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1F85C7A-EB1B-4543-9C87-FB9531012770}" xr6:coauthVersionLast="47" xr6:coauthVersionMax="47" xr10:uidLastSave="{00000000-0000-0000-0000-000000000000}"/>
  <bookViews>
    <workbookView xWindow="-110" yWindow="-110" windowWidth="19420" windowHeight="10300" activeTab="4" xr2:uid="{E37C0529-6AC9-4957-B597-D4F599745C0E}"/>
  </bookViews>
  <sheets>
    <sheet name="Raw Data" sheetId="2" r:id="rId1"/>
    <sheet name="Cleaned Data" sheetId="1" r:id="rId2"/>
    <sheet name="KPI Calculations" sheetId="3" r:id="rId3"/>
    <sheet name="Pivot Tables" sheetId="4" r:id="rId4"/>
    <sheet name="Dashboard" sheetId="5" r:id="rId5"/>
  </sheets>
  <definedNames>
    <definedName name="ExternalData_1" localSheetId="1" hidden="1">'Cleaned Data'!$A$1:$H$4255</definedName>
  </definedNames>
  <calcPr calcId="191029"/>
  <pivotCaches>
    <pivotCache cacheId="18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6" i="3"/>
  <c r="O8" i="5" s="1"/>
  <c r="C5" i="3"/>
  <c r="K8" i="5" s="1"/>
  <c r="C4" i="3"/>
  <c r="G8" i="5" s="1"/>
  <c r="C3" i="3"/>
  <c r="C8" i="3" s="1"/>
  <c r="S8" i="5" s="1"/>
  <c r="C7" i="3"/>
  <c r="C8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2BD02F-B73F-47A1-8A6A-DD2F76864045}" keepAlive="1" name="Query - wastebase_scan_summary_202503F" description="Connection to the 'wastebase_scan_summary_202503F' query in the workbook." type="5" refreshedVersion="8" background="1" saveData="1">
    <dbPr connection="Provider=Microsoft.Mashup.OleDb.1;Data Source=$Workbook$;Location=wastebase_scan_summary_202503F;Extended Properties=&quot;&quot;" command="SELECT * FROM [wastebase_scan_summary_202503F]"/>
  </connection>
</connections>
</file>

<file path=xl/sharedStrings.xml><?xml version="1.0" encoding="utf-8"?>
<sst xmlns="http://schemas.openxmlformats.org/spreadsheetml/2006/main" count="55440" uniqueCount="5106">
  <si>
    <t>Product Barcode</t>
  </si>
  <si>
    <t>Product Name</t>
  </si>
  <si>
    <t>Product Size</t>
  </si>
  <si>
    <t>Brand Name</t>
  </si>
  <si>
    <t>Manufacturer Country</t>
  </si>
  <si>
    <t>Manufacturer Name</t>
  </si>
  <si>
    <t>Scan Country</t>
  </si>
  <si>
    <t>Bottle Count</t>
  </si>
  <si>
    <t>Purified drinking water</t>
  </si>
  <si>
    <t>500 ml</t>
  </si>
  <si>
    <t>Rehaan ice</t>
  </si>
  <si>
    <t>KE</t>
  </si>
  <si>
    <t>Al Hatim Traders</t>
  </si>
  <si>
    <t>Original</t>
  </si>
  <si>
    <t>Coca-Cola</t>
  </si>
  <si>
    <t>US</t>
  </si>
  <si>
    <t>CA</t>
  </si>
  <si>
    <t>Tomatoes</t>
  </si>
  <si>
    <t>750 g</t>
  </si>
  <si>
    <t>Aldi</t>
  </si>
  <si>
    <t>DE</t>
  </si>
  <si>
    <t>ALDI Einkauf SE &amp; Co. oHG</t>
  </si>
  <si>
    <t>GB</t>
  </si>
  <si>
    <t>7up</t>
  </si>
  <si>
    <t>7UP</t>
  </si>
  <si>
    <t>Keurig Dr Pepper Inc.</t>
  </si>
  <si>
    <t>Big8</t>
  </si>
  <si>
    <t>big8</t>
  </si>
  <si>
    <t>Empire Company Limited</t>
  </si>
  <si>
    <t>Kumbucha Alcoholic Drink</t>
  </si>
  <si>
    <t>Kabisa</t>
  </si>
  <si>
    <t>UG</t>
  </si>
  <si>
    <t>Oyoma General stores LTD</t>
  </si>
  <si>
    <t>MW</t>
  </si>
  <si>
    <t>MZ</t>
  </si>
  <si>
    <t>Alcoholic Kombucha Drink</t>
  </si>
  <si>
    <t>200 ml</t>
  </si>
  <si>
    <t>Tampico Drink</t>
  </si>
  <si>
    <t>300 ml</t>
  </si>
  <si>
    <t>Tampico</t>
  </si>
  <si>
    <t>Houchens Industries Inc.</t>
  </si>
  <si>
    <t>GH</t>
  </si>
  <si>
    <t>Madagascan Vanilla Custard</t>
  </si>
  <si>
    <t>500 g</t>
  </si>
  <si>
    <t>M&amp;S Food</t>
  </si>
  <si>
    <t>Marks and Spencer plc</t>
  </si>
  <si>
    <t>Peach</t>
  </si>
  <si>
    <t>503ml</t>
  </si>
  <si>
    <t>Sparkling Ice</t>
  </si>
  <si>
    <t>TALKING RAIN BEVERAGE COMPANY, INC.</t>
  </si>
  <si>
    <t>Schweppes Gingerale</t>
  </si>
  <si>
    <t>710ml</t>
  </si>
  <si>
    <t>Schweppes</t>
  </si>
  <si>
    <t>591 ml</t>
  </si>
  <si>
    <t>G-Zero</t>
  </si>
  <si>
    <t>Gatorade</t>
  </si>
  <si>
    <t>Pepsico, Inc</t>
  </si>
  <si>
    <t>Real Mayonnaise</t>
  </si>
  <si>
    <t>473ml</t>
  </si>
  <si>
    <t>American Garden</t>
  </si>
  <si>
    <t>Global Export Marketing Co. Ltd.</t>
  </si>
  <si>
    <t>TZ</t>
  </si>
  <si>
    <t>Custard</t>
  </si>
  <si>
    <t>Tesco Finest</t>
  </si>
  <si>
    <t>Tesco PLC</t>
  </si>
  <si>
    <t>Striker Gin</t>
  </si>
  <si>
    <t>50 ml</t>
  </si>
  <si>
    <t>1 Africa Industries Limited</t>
  </si>
  <si>
    <t>Chocolate Drink</t>
  </si>
  <si>
    <t>250 g</t>
  </si>
  <si>
    <t>Nestlé</t>
  </si>
  <si>
    <t>CH</t>
  </si>
  <si>
    <t>Nestlé S.A.</t>
  </si>
  <si>
    <t>ZA</t>
  </si>
  <si>
    <t>Óleo de soja refinado</t>
  </si>
  <si>
    <t>5.0 L</t>
  </si>
  <si>
    <t>San drop</t>
  </si>
  <si>
    <t>Gein Group</t>
  </si>
  <si>
    <t>2.0 L</t>
  </si>
  <si>
    <t>Óleo de girassol refinado</t>
  </si>
  <si>
    <t>Óleo da Cozinha</t>
  </si>
  <si>
    <t>1.0 L</t>
  </si>
  <si>
    <t>mo energy</t>
  </si>
  <si>
    <t>400 ml</t>
  </si>
  <si>
    <t>Mo Xtra</t>
  </si>
  <si>
    <t>METL Group</t>
  </si>
  <si>
    <t>Cigar</t>
  </si>
  <si>
    <t>5.0 g</t>
  </si>
  <si>
    <t>Swisher</t>
  </si>
  <si>
    <t>Swisher International Inc.</t>
  </si>
  <si>
    <t>Cheese flavored snack</t>
  </si>
  <si>
    <t>28 g</t>
  </si>
  <si>
    <t>Cheetos</t>
  </si>
  <si>
    <t>Eat now, eat later hass avocados</t>
  </si>
  <si>
    <t>100 g</t>
  </si>
  <si>
    <t>Cran-Pineapple</t>
  </si>
  <si>
    <t>1.89 L</t>
  </si>
  <si>
    <t>Ocean Spray</t>
  </si>
  <si>
    <t>Ocean Spray Cranberries, Inc.</t>
  </si>
  <si>
    <t>100% Juice Blend Cranberry</t>
  </si>
  <si>
    <t>1.77 L</t>
  </si>
  <si>
    <t>The Original Badia</t>
  </si>
  <si>
    <t>340 g</t>
  </si>
  <si>
    <t>Badia Seasoning</t>
  </si>
  <si>
    <t>Badia Spices</t>
  </si>
  <si>
    <t>Reese's peanut butter cups</t>
  </si>
  <si>
    <t>42 g</t>
  </si>
  <si>
    <t>Reese's</t>
  </si>
  <si>
    <t>Hershey's</t>
  </si>
  <si>
    <t>Vegetable oil</t>
  </si>
  <si>
    <t>1 L</t>
  </si>
  <si>
    <t>Sainsbury's</t>
  </si>
  <si>
    <t>J Sainsbury plc</t>
  </si>
  <si>
    <t>Vida Em Cada Gota</t>
  </si>
  <si>
    <t>600 ml</t>
  </si>
  <si>
    <t>Agua da Montanha</t>
  </si>
  <si>
    <t>Montana Namaacha</t>
  </si>
  <si>
    <t>CD</t>
  </si>
  <si>
    <t>Extra Virgin Olive Oil</t>
  </si>
  <si>
    <t>Still Natural Mineral Water</t>
  </si>
  <si>
    <t>Ballygowan</t>
  </si>
  <si>
    <t>Britvic plc</t>
  </si>
  <si>
    <t>IE</t>
  </si>
  <si>
    <t>Sparkling Strawberry and Kiwi</t>
  </si>
  <si>
    <t>Perla</t>
  </si>
  <si>
    <t>Perla (GH)</t>
  </si>
  <si>
    <t>Multi Pac ltd</t>
  </si>
  <si>
    <t>Vodka</t>
  </si>
  <si>
    <t>375 ml</t>
  </si>
  <si>
    <t>Polar Ice</t>
  </si>
  <si>
    <t>FR</t>
  </si>
  <si>
    <t>Pernod Richard</t>
  </si>
  <si>
    <t>Sunny D</t>
  </si>
  <si>
    <t>240 ml</t>
  </si>
  <si>
    <t>SunnyD</t>
  </si>
  <si>
    <t>Harvest Hill Beverage Company</t>
  </si>
  <si>
    <t>Mountain Spring Water</t>
  </si>
  <si>
    <t>Arrowhead</t>
  </si>
  <si>
    <t>BlueTriton Inc.</t>
  </si>
  <si>
    <t>Drink</t>
  </si>
  <si>
    <t>Dr. Pepper</t>
  </si>
  <si>
    <t>Cool Blue</t>
  </si>
  <si>
    <t>Pine-Sol</t>
  </si>
  <si>
    <t>828 ml</t>
  </si>
  <si>
    <t>The Clorox Company</t>
  </si>
  <si>
    <t>Cool Blue Carbonated Drink</t>
  </si>
  <si>
    <t>710 ml</t>
  </si>
  <si>
    <t>Lime</t>
  </si>
  <si>
    <t>Fruit Punch</t>
  </si>
  <si>
    <t>Blue Cool Carbonated Sports Drink</t>
  </si>
  <si>
    <t>RW</t>
  </si>
  <si>
    <t>591ml</t>
  </si>
  <si>
    <t>Orange Half the Sugar</t>
  </si>
  <si>
    <t>G2 Fruit Punch Half the Sugar</t>
  </si>
  <si>
    <t>G2 Half The Sugar Grape</t>
  </si>
  <si>
    <t>G2 Blueberry Pomegranate</t>
  </si>
  <si>
    <t>Lemon Lime</t>
  </si>
  <si>
    <t>G Cool Blue</t>
  </si>
  <si>
    <t>Compliments Lemon Lime Sparkling Water</t>
  </si>
  <si>
    <t>1L</t>
  </si>
  <si>
    <t>Compliments</t>
  </si>
  <si>
    <t>compliments Mandarin Orange Sparkling Water</t>
  </si>
  <si>
    <t>Orange Mango</t>
  </si>
  <si>
    <t>Primo Spaghetti</t>
  </si>
  <si>
    <t>900 g</t>
  </si>
  <si>
    <t>Primo</t>
  </si>
  <si>
    <t>Primo Foods Inc.</t>
  </si>
  <si>
    <t>Orange</t>
  </si>
  <si>
    <t>Crush</t>
  </si>
  <si>
    <t>Yop</t>
  </si>
  <si>
    <t>266 ml</t>
  </si>
  <si>
    <t>Yoplait</t>
  </si>
  <si>
    <t>General Mills, Inc</t>
  </si>
  <si>
    <t>200ml</t>
  </si>
  <si>
    <t>Vanilla Yop</t>
  </si>
  <si>
    <t>Frost Carbonated Sports Drink</t>
  </si>
  <si>
    <t>Frost</t>
  </si>
  <si>
    <t>591</t>
  </si>
  <si>
    <t>G Zero Orange</t>
  </si>
  <si>
    <t>G-Zero Lemon Lime</t>
  </si>
  <si>
    <t>G-Zero Berry</t>
  </si>
  <si>
    <t>355ml</t>
  </si>
  <si>
    <t>Gatorlyte</t>
  </si>
  <si>
    <t>G Zero</t>
  </si>
  <si>
    <t>Propel Electrolytes Zero Sugar</t>
  </si>
  <si>
    <t>Frost Iceberg</t>
  </si>
  <si>
    <t>Green Apple</t>
  </si>
  <si>
    <t>Naya Natural Spring Water</t>
  </si>
  <si>
    <t>500mL</t>
  </si>
  <si>
    <t>Naya</t>
  </si>
  <si>
    <t>Naya Waters Inc</t>
  </si>
  <si>
    <t>Naya Water</t>
  </si>
  <si>
    <t>1.5 L</t>
  </si>
  <si>
    <t>Peach Mango</t>
  </si>
  <si>
    <t>President's Choice</t>
  </si>
  <si>
    <t>Loblaw Companies Ltd</t>
  </si>
  <si>
    <t>Apple Juice</t>
  </si>
  <si>
    <t>Pomgranate</t>
  </si>
  <si>
    <t>Diet Cola</t>
  </si>
  <si>
    <t>Strawberry Lemonade</t>
  </si>
  <si>
    <t>1.54 L</t>
  </si>
  <si>
    <t>Lemonade</t>
  </si>
  <si>
    <t>Free Clear Black Cherry</t>
  </si>
  <si>
    <t>unscented scoopable cat litter</t>
  </si>
  <si>
    <t>7000 g</t>
  </si>
  <si>
    <t>no name</t>
  </si>
  <si>
    <t>Sparkling Water Mandarin Orange</t>
  </si>
  <si>
    <t>original lemonade</t>
  </si>
  <si>
    <t>peach mist</t>
  </si>
  <si>
    <t>Strawberry Mist</t>
  </si>
  <si>
    <t>Mango Lemonade</t>
  </si>
  <si>
    <t>1.89l</t>
  </si>
  <si>
    <t>Natural Spring Water</t>
  </si>
  <si>
    <t>Grape</t>
  </si>
  <si>
    <t>2 L</t>
  </si>
  <si>
    <t>Free &amp; Clear Tangerine Lime</t>
  </si>
  <si>
    <t>Cranberry Gingerale</t>
  </si>
  <si>
    <t>Evian Spring Water</t>
  </si>
  <si>
    <t>750mL</t>
  </si>
  <si>
    <t>Evian</t>
  </si>
  <si>
    <t>Danone S.A.</t>
  </si>
  <si>
    <t>Pure Life Water</t>
  </si>
  <si>
    <t>Pure Life</t>
  </si>
  <si>
    <t>1% Chocolate Milk</t>
  </si>
  <si>
    <t>Scotsburn</t>
  </si>
  <si>
    <t>Saputo Inc</t>
  </si>
  <si>
    <t>Orange Juice</t>
  </si>
  <si>
    <t>Tim Horton's</t>
  </si>
  <si>
    <t>Restaurant Brands International, Inc</t>
  </si>
  <si>
    <t>Peach Passion</t>
  </si>
  <si>
    <t>473 ml</t>
  </si>
  <si>
    <t>M &amp; S Sparkling Mountain Water</t>
  </si>
  <si>
    <t>Still Mountain Water from Scotland</t>
  </si>
  <si>
    <t>Big8 Pineapple</t>
  </si>
  <si>
    <t>Big8 Grape</t>
  </si>
  <si>
    <t>Spring Water</t>
  </si>
  <si>
    <t>4 L</t>
  </si>
  <si>
    <t>7up Zero</t>
  </si>
  <si>
    <t>Orange Juice 100%</t>
  </si>
  <si>
    <t>450 ml</t>
  </si>
  <si>
    <t>Dole</t>
  </si>
  <si>
    <t>220 ml</t>
  </si>
  <si>
    <t>Strawberry Kiwi</t>
  </si>
  <si>
    <t>Propel</t>
  </si>
  <si>
    <t>Juice Cocktail</t>
  </si>
  <si>
    <t>450ml</t>
  </si>
  <si>
    <t>Fanta</t>
  </si>
  <si>
    <t>Tropical Punch</t>
  </si>
  <si>
    <t>BODYARMOR</t>
  </si>
  <si>
    <t>Original Taste</t>
  </si>
  <si>
    <t>Diet Coke</t>
  </si>
  <si>
    <t>Coca-cola Zero Sugar</t>
  </si>
  <si>
    <t>Root Beer</t>
  </si>
  <si>
    <t>500ml</t>
  </si>
  <si>
    <t>Barq's</t>
  </si>
  <si>
    <t>Oasis (CA)</t>
  </si>
  <si>
    <t>Industries Lassonde Inc.</t>
  </si>
  <si>
    <t>945 ml</t>
  </si>
  <si>
    <t>Graves</t>
  </si>
  <si>
    <t>Farmers Chocolate Milk</t>
  </si>
  <si>
    <t>Farmers</t>
  </si>
  <si>
    <t>Agropur Cooperative</t>
  </si>
  <si>
    <t>Drinking Water</t>
  </si>
  <si>
    <t>Splash Lemon</t>
  </si>
  <si>
    <t>Splash Raspberry</t>
  </si>
  <si>
    <t>Splash Wildberry</t>
  </si>
  <si>
    <t>Splash Acai Grape</t>
  </si>
  <si>
    <t>Scottish Whole Milk</t>
  </si>
  <si>
    <t>568 ml</t>
  </si>
  <si>
    <t>Chocolate Milk</t>
  </si>
  <si>
    <t>Milk2Go</t>
  </si>
  <si>
    <t>Chocolate Shake</t>
  </si>
  <si>
    <t>250 ml</t>
  </si>
  <si>
    <t>Pepsi</t>
  </si>
  <si>
    <t>335 ml</t>
  </si>
  <si>
    <t>Diet Pepsi</t>
  </si>
  <si>
    <t>Pepsi Zero</t>
  </si>
  <si>
    <t>zero sugar</t>
  </si>
  <si>
    <t>355 ml</t>
  </si>
  <si>
    <t>Brisk Lemon Iced Tea</t>
  </si>
  <si>
    <t>Brisk</t>
  </si>
  <si>
    <t>Brisk Iced Tea</t>
  </si>
  <si>
    <t>Mug Root Beer</t>
  </si>
  <si>
    <t>Mountain Dew</t>
  </si>
  <si>
    <t>Plus Vitamins Orange Tangerine</t>
  </si>
  <si>
    <t>Aquafina</t>
  </si>
  <si>
    <t>Pure Water Perfect Taste</t>
  </si>
  <si>
    <t>Mountain Dew Voltage</t>
  </si>
  <si>
    <t>Lemon</t>
  </si>
  <si>
    <t>547 ml</t>
  </si>
  <si>
    <t>Pure Leaf</t>
  </si>
  <si>
    <t>Mountain Dew Baja Blast</t>
  </si>
  <si>
    <t>Rasberry Lemonade</t>
  </si>
  <si>
    <t>Middleton's</t>
  </si>
  <si>
    <t>John Middleton Inc.</t>
  </si>
  <si>
    <t>Energy Drink</t>
  </si>
  <si>
    <t>Monster</t>
  </si>
  <si>
    <t>Monster Beverage Corporation</t>
  </si>
  <si>
    <t>Fruit juice smoothie</t>
  </si>
  <si>
    <t>Bolthouse Farms</t>
  </si>
  <si>
    <t>Boltehouse Juice LLC</t>
  </si>
  <si>
    <t>Cheese Danish</t>
  </si>
  <si>
    <t>142 g</t>
  </si>
  <si>
    <t>Entenmann's</t>
  </si>
  <si>
    <t>Bimbo Bakeries</t>
  </si>
  <si>
    <t>Calcium and Magnesium</t>
  </si>
  <si>
    <t>1.600ml</t>
  </si>
  <si>
    <t>Solaray Dietary supplement</t>
  </si>
  <si>
    <t>UK</t>
  </si>
  <si>
    <t>UNKNOWN_ORG</t>
  </si>
  <si>
    <t>APPLE &amp; EVE apple juice</t>
  </si>
  <si>
    <t>290 ml</t>
  </si>
  <si>
    <t>APPLE&amp;EVE</t>
  </si>
  <si>
    <t>Gorgeous Green Lentils</t>
  </si>
  <si>
    <t>Lidl</t>
  </si>
  <si>
    <t>Schwarz Group</t>
  </si>
  <si>
    <t>Sauza Tequila</t>
  </si>
  <si>
    <t>Sauza</t>
  </si>
  <si>
    <t>JP</t>
  </si>
  <si>
    <t>Suntory Holdings Limited</t>
  </si>
  <si>
    <t>Fiery Pink Pepper Body Lotion</t>
  </si>
  <si>
    <t>Molton Brown</t>
  </si>
  <si>
    <t>Iodated table salt</t>
  </si>
  <si>
    <t>Cerebos</t>
  </si>
  <si>
    <t>The Bud Group</t>
  </si>
  <si>
    <t>East Coast White Rum</t>
  </si>
  <si>
    <t>750 ml</t>
  </si>
  <si>
    <t>Captain Morgan</t>
  </si>
  <si>
    <t>Diageo Plc</t>
  </si>
  <si>
    <t>Smirnoff Ice Org.</t>
  </si>
  <si>
    <t>Smirnoff</t>
  </si>
  <si>
    <t>Lemon Ice Tea</t>
  </si>
  <si>
    <t>Nestea</t>
  </si>
  <si>
    <t>Broccoli Crown</t>
  </si>
  <si>
    <t>325 g</t>
  </si>
  <si>
    <t>Arborio Risotto Rice</t>
  </si>
  <si>
    <t>500g</t>
  </si>
  <si>
    <t>Waitrose</t>
  </si>
  <si>
    <t>John Lewis Partnership Plc</t>
  </si>
  <si>
    <t>White Rum</t>
  </si>
  <si>
    <t>Red Tassel</t>
  </si>
  <si>
    <t>Cinnamon Whisky</t>
  </si>
  <si>
    <t>Fireball</t>
  </si>
  <si>
    <t>Sazerac Company, Inc.</t>
  </si>
  <si>
    <t>Southern Comfort</t>
  </si>
  <si>
    <t>White Chocolate Milkshake</t>
  </si>
  <si>
    <t>Mango Fruit Drink</t>
  </si>
  <si>
    <t>Tampico Irresistible</t>
  </si>
  <si>
    <t>Tampico Beverages INC</t>
  </si>
  <si>
    <t>Fruit Drink</t>
  </si>
  <si>
    <t>Omega-3</t>
  </si>
  <si>
    <t>Kirkland Signature</t>
  </si>
  <si>
    <t>Costco Wholesale Corporation</t>
  </si>
  <si>
    <t>Sparkling Black Raspberry</t>
  </si>
  <si>
    <t>503 ml</t>
  </si>
  <si>
    <t>Sport Fruit Punch</t>
  </si>
  <si>
    <t>yoghurt natural</t>
  </si>
  <si>
    <t>Joy</t>
  </si>
  <si>
    <t>Tuma 250</t>
  </si>
  <si>
    <t>Axe Appolo</t>
  </si>
  <si>
    <t>Axe</t>
  </si>
  <si>
    <t>Unilever Plc</t>
  </si>
  <si>
    <t>Berries Flavoured Carbonated Soft drink</t>
  </si>
  <si>
    <t>Afiya</t>
  </si>
  <si>
    <t>Watercom (T) Ltd</t>
  </si>
  <si>
    <t>Flavoured Carbonated Soft drink</t>
  </si>
  <si>
    <t>Afya</t>
  </si>
  <si>
    <t>Salt</t>
  </si>
  <si>
    <t>500</t>
  </si>
  <si>
    <t>Scottish Fresh Semi-Skimmed Milk</t>
  </si>
  <si>
    <t>2.272 L</t>
  </si>
  <si>
    <t>liquid mousse hair spray</t>
  </si>
  <si>
    <t>Fantasia</t>
  </si>
  <si>
    <t>Penne</t>
  </si>
  <si>
    <t>Cucina</t>
  </si>
  <si>
    <t>Festa Energy</t>
  </si>
  <si>
    <t>Festa</t>
  </si>
  <si>
    <t>Swissta RDC S.A.R.L</t>
  </si>
  <si>
    <t>Whater</t>
  </si>
  <si>
    <t>Swissta</t>
  </si>
  <si>
    <t>Eau de Source</t>
  </si>
  <si>
    <t>Aden</t>
  </si>
  <si>
    <t>KM</t>
  </si>
  <si>
    <t>Aden SARL</t>
  </si>
  <si>
    <t>Water</t>
  </si>
  <si>
    <t>150 ml</t>
  </si>
  <si>
    <t>Supermont</t>
  </si>
  <si>
    <t>CM</t>
  </si>
  <si>
    <t>Source du Pays S.A</t>
  </si>
  <si>
    <t>Black Rasberry</t>
  </si>
  <si>
    <t>Kiwi Strawberry</t>
  </si>
  <si>
    <t>Cherry Limeade</t>
  </si>
  <si>
    <t>Sparkling Ice Pink Grapefruit</t>
  </si>
  <si>
    <t>Peach Nectarine Flavored Sparkling Water</t>
  </si>
  <si>
    <t>Ginger Ale</t>
  </si>
  <si>
    <t>Mayonnaise</t>
  </si>
  <si>
    <t>887 ml</t>
  </si>
  <si>
    <t>RedBull Original</t>
  </si>
  <si>
    <t>Red Bull</t>
  </si>
  <si>
    <t>AT</t>
  </si>
  <si>
    <t>Red Bull GmbH</t>
  </si>
  <si>
    <t>SugarFree</t>
  </si>
  <si>
    <t>Raspberry Lemon</t>
  </si>
  <si>
    <t>502 ml</t>
  </si>
  <si>
    <t>Fruit2O</t>
  </si>
  <si>
    <t>Mixed Berry</t>
  </si>
  <si>
    <t>Strawberry</t>
  </si>
  <si>
    <t>delight yoghurt</t>
  </si>
  <si>
    <t>Zirakamwa Dairy</t>
  </si>
  <si>
    <t>ZIRAKAMWA MEZA NYANZA DAIRY LTD</t>
  </si>
  <si>
    <t>Spring water</t>
  </si>
  <si>
    <t>Circle K</t>
  </si>
  <si>
    <t>Alimentation Couche-Tard Inc.</t>
  </si>
  <si>
    <t>mo chungwa</t>
  </si>
  <si>
    <t>Mo</t>
  </si>
  <si>
    <t>Dew Drop</t>
  </si>
  <si>
    <t>Dew Drop Drinks Co.Ltd</t>
  </si>
  <si>
    <t>Oleo</t>
  </si>
  <si>
    <t>Puffs</t>
  </si>
  <si>
    <t>200 g</t>
  </si>
  <si>
    <t>Hill Water</t>
  </si>
  <si>
    <t>Hill Group</t>
  </si>
  <si>
    <t>mo xtra</t>
  </si>
  <si>
    <t>World Cola</t>
  </si>
  <si>
    <t>Groupe Castel</t>
  </si>
  <si>
    <t>Free range chicken breast fillets</t>
  </si>
  <si>
    <t>Co-op</t>
  </si>
  <si>
    <t>CO-OPERATIVE GROUP LIMITED</t>
  </si>
  <si>
    <t>Diet Cranberry</t>
  </si>
  <si>
    <t>739 ml</t>
  </si>
  <si>
    <t>Scottish Strawberries</t>
  </si>
  <si>
    <t>400 g</t>
  </si>
  <si>
    <t>Tesco</t>
  </si>
  <si>
    <t>Jaffa Easy Peelers</t>
  </si>
  <si>
    <t>600 g</t>
  </si>
  <si>
    <t>Jaffa</t>
  </si>
  <si>
    <t>Small apples</t>
  </si>
  <si>
    <t>Large Flat Mushrooms</t>
  </si>
  <si>
    <t>King Edward Potatoes</t>
  </si>
  <si>
    <t>2.0 kg</t>
  </si>
  <si>
    <t>vodka</t>
  </si>
  <si>
    <t>Absolut</t>
  </si>
  <si>
    <t>Mangetout</t>
  </si>
  <si>
    <t>180 g</t>
  </si>
  <si>
    <t>British Carrots</t>
  </si>
  <si>
    <t>800 g</t>
  </si>
  <si>
    <t>Eau de Table</t>
  </si>
  <si>
    <t>600ml</t>
  </si>
  <si>
    <t>USA</t>
  </si>
  <si>
    <t>MOUNTAIN GROUP</t>
  </si>
  <si>
    <t>Berry flavoured Carbonated Soft Drink</t>
  </si>
  <si>
    <t>Sparletta</t>
  </si>
  <si>
    <t>Kilimanjaro</t>
  </si>
  <si>
    <t>London Oat Digestive</t>
  </si>
  <si>
    <t>40 g</t>
  </si>
  <si>
    <t>McBerry</t>
  </si>
  <si>
    <t>Twellium Industry Limited</t>
  </si>
  <si>
    <t>Golden Oreo</t>
  </si>
  <si>
    <t>10 g</t>
  </si>
  <si>
    <t>Oreo</t>
  </si>
  <si>
    <t>Mondelēz International, Inc.</t>
  </si>
  <si>
    <t>Agua mineral natural</t>
  </si>
  <si>
    <t>8.0 L</t>
  </si>
  <si>
    <t>Monssalus</t>
  </si>
  <si>
    <t>ES</t>
  </si>
  <si>
    <t>AGUA MINERAL CRISTALINA, S.L.</t>
  </si>
  <si>
    <t>G2 Orange</t>
  </si>
  <si>
    <t>Castor oil</t>
  </si>
  <si>
    <t>213 g</t>
  </si>
  <si>
    <t>Hollywood Beauty Products</t>
  </si>
  <si>
    <t>Hollywood Beauty</t>
  </si>
  <si>
    <t>Bigoo Cola Drink</t>
  </si>
  <si>
    <t>350 ml</t>
  </si>
  <si>
    <t>Bigoo</t>
  </si>
  <si>
    <t>Tropicana</t>
  </si>
  <si>
    <t>PAI Partners</t>
  </si>
  <si>
    <t>1.36 L</t>
  </si>
  <si>
    <t>Orange Tangerine</t>
  </si>
  <si>
    <t>Apple</t>
  </si>
  <si>
    <t>325 ml</t>
  </si>
  <si>
    <t>Sunny D 5% Juice</t>
  </si>
  <si>
    <t>Smooth Orange</t>
  </si>
  <si>
    <t>italian seasoning</t>
  </si>
  <si>
    <t>21g</t>
  </si>
  <si>
    <t>gold emblem</t>
  </si>
  <si>
    <t>Mineral Water</t>
  </si>
  <si>
    <t>Cream Soda</t>
  </si>
  <si>
    <t>Dr. Pepper Soda</t>
  </si>
  <si>
    <t>Perform Lemon Lime</t>
  </si>
  <si>
    <t>950 ml</t>
  </si>
  <si>
    <t>950ml</t>
  </si>
  <si>
    <t>Gatorade Frost</t>
  </si>
  <si>
    <t>Orange Gatorade</t>
  </si>
  <si>
    <t>Gatorade Orange</t>
  </si>
  <si>
    <t>Gatorade Fruit Punch</t>
  </si>
  <si>
    <t>G2 Orange Half The Sugar</t>
  </si>
  <si>
    <t>Fruit Punch  Half Sugar</t>
  </si>
  <si>
    <t>G2 Half The Sugar Orange</t>
  </si>
  <si>
    <t>Half the Sugar Blueberry Pomegranate</t>
  </si>
  <si>
    <t>Fruit Punch Half Sugar</t>
  </si>
  <si>
    <t>Half the Sugar - Grape</t>
  </si>
  <si>
    <t>Blueberry Half the Sugar</t>
  </si>
  <si>
    <t>White Vinegar</t>
  </si>
  <si>
    <t>Crush Orange</t>
  </si>
  <si>
    <t>710mL</t>
  </si>
  <si>
    <t>água da nascente</t>
  </si>
  <si>
    <t>Serra da Pehna</t>
  </si>
  <si>
    <t>PT</t>
  </si>
  <si>
    <t>Lactogal Produtos Alimentares S.A.</t>
  </si>
  <si>
    <t>Orange Soda</t>
  </si>
  <si>
    <t>Huile Végétale</t>
  </si>
  <si>
    <t>5000ml</t>
  </si>
  <si>
    <t>REGINA</t>
  </si>
  <si>
    <t>FoodLife</t>
  </si>
  <si>
    <t>Canada Dry</t>
  </si>
  <si>
    <t>Crush Grape</t>
  </si>
  <si>
    <t>Crush Cream Soda</t>
  </si>
  <si>
    <t>Frost Summit Storm</t>
  </si>
  <si>
    <t>G Zero Lemon Lime</t>
  </si>
  <si>
    <t>Berry G Zero</t>
  </si>
  <si>
    <t>590 ml</t>
  </si>
  <si>
    <t>Gatorade Zero Berry</t>
  </si>
  <si>
    <t>Gatorade Cool Blue</t>
  </si>
  <si>
    <t>355mL</t>
  </si>
  <si>
    <t>Perform Fruit Punch</t>
  </si>
  <si>
    <t>G Zero Fruit Punch</t>
  </si>
  <si>
    <t>G2 Cool Blue</t>
  </si>
  <si>
    <t>Black fly Vodka Mixed Berry</t>
  </si>
  <si>
    <t>Black Fly</t>
  </si>
  <si>
    <t>Black Fly Beverage Company</t>
  </si>
  <si>
    <t>Gatorlyte Cherry Lime</t>
  </si>
  <si>
    <t>G Fit</t>
  </si>
  <si>
    <t>Fit Tropical Mango</t>
  </si>
  <si>
    <t>828ml</t>
  </si>
  <si>
    <t>Iceberg G Zero Blue</t>
  </si>
  <si>
    <t>Propel Grape</t>
  </si>
  <si>
    <t>G Zero Clacier Cherry</t>
  </si>
  <si>
    <t>G-Zero Glacier Cherry</t>
  </si>
  <si>
    <t>Glacier Cherry</t>
  </si>
  <si>
    <t>Minute Maid</t>
  </si>
  <si>
    <t>Minute Maid 100% Apple Juice</t>
  </si>
  <si>
    <t>Simply Orange</t>
  </si>
  <si>
    <t>340 ml</t>
  </si>
  <si>
    <t>Simply</t>
  </si>
  <si>
    <t>Pure Drinking Water</t>
  </si>
  <si>
    <t>0.5 L</t>
  </si>
  <si>
    <t>Aqualife</t>
  </si>
  <si>
    <t>LR</t>
  </si>
  <si>
    <t>Liberty Investment Ltd</t>
  </si>
  <si>
    <t>water</t>
  </si>
  <si>
    <t>Gingerale</t>
  </si>
  <si>
    <t>Cranberry Cocktail</t>
  </si>
  <si>
    <t>PC Manderin Orange</t>
  </si>
  <si>
    <t>Distilled Water</t>
  </si>
  <si>
    <t>Original Lemonade</t>
  </si>
  <si>
    <t>Peach Lemonade</t>
  </si>
  <si>
    <t>Pink Grapefruit juice</t>
  </si>
  <si>
    <t>Real Canadian</t>
  </si>
  <si>
    <t>Mediterranean Sea Salts</t>
  </si>
  <si>
    <t>360 g</t>
  </si>
  <si>
    <t>Sparkling Water</t>
  </si>
  <si>
    <t>Dill pickle flavour potato chips</t>
  </si>
  <si>
    <t>60 g</t>
  </si>
  <si>
    <t>Lay's</t>
  </si>
  <si>
    <t>Doritos Sweet Chili Heat</t>
  </si>
  <si>
    <t>80 g</t>
  </si>
  <si>
    <t>Doritos</t>
  </si>
  <si>
    <t>Cheetos Crunchy Cheedar Jalapeno</t>
  </si>
  <si>
    <t>90 g</t>
  </si>
  <si>
    <t>Snack Mix</t>
  </si>
  <si>
    <t>175 g</t>
  </si>
  <si>
    <t>MUNCHIES</t>
  </si>
  <si>
    <t>Great Value Water</t>
  </si>
  <si>
    <t>Great Value</t>
  </si>
  <si>
    <t>Walmart Inc.</t>
  </si>
  <si>
    <t>Boisson Gazeuse Cola</t>
  </si>
  <si>
    <t>350ml</t>
  </si>
  <si>
    <t>Yess</t>
  </si>
  <si>
    <t>ZM</t>
  </si>
  <si>
    <t>Acacia Food and Beverages Ltd</t>
  </si>
  <si>
    <t>PINEAPPLE</t>
  </si>
  <si>
    <t>Boisson Gazeuse</t>
  </si>
  <si>
    <t>Yess Ginger Beer</t>
  </si>
  <si>
    <t>Lemonade Boisson Gazeuse</t>
  </si>
  <si>
    <t>Apple Boisson Gazeuse</t>
  </si>
  <si>
    <t>HAVANA COLA</t>
  </si>
  <si>
    <t>Flamingo</t>
  </si>
  <si>
    <t>Tango Orange Soft Drink</t>
  </si>
  <si>
    <t>Grenadilla</t>
  </si>
  <si>
    <t>Água Purificada</t>
  </si>
  <si>
    <t>Recheio</t>
  </si>
  <si>
    <t>COGEF Group</t>
  </si>
  <si>
    <t>Água purificada</t>
  </si>
  <si>
    <t>Flavoured Carbonated Soft Drink</t>
  </si>
  <si>
    <t>Rocky</t>
  </si>
  <si>
    <t>Mellet Enterprise</t>
  </si>
  <si>
    <t>Cream Crackers</t>
  </si>
  <si>
    <t>Beloxxi</t>
  </si>
  <si>
    <t>NG</t>
  </si>
  <si>
    <t>Beloxxi Industries Limited</t>
  </si>
  <si>
    <t>Razzl</t>
  </si>
  <si>
    <t>UCB</t>
  </si>
  <si>
    <t>Special Cocktail</t>
  </si>
  <si>
    <t>330 ml</t>
  </si>
  <si>
    <t>Spécial</t>
  </si>
  <si>
    <t>Boisson Gazeuse Sans alcool</t>
  </si>
  <si>
    <t>Vimto Gasificado</t>
  </si>
  <si>
    <t>Vimto</t>
  </si>
  <si>
    <t>Nichols plc</t>
  </si>
  <si>
    <t>Chibwantu</t>
  </si>
  <si>
    <t>750ml</t>
  </si>
  <si>
    <t>Big Bottle General Dealers</t>
  </si>
  <si>
    <t>White</t>
  </si>
  <si>
    <t>Cadbury</t>
  </si>
  <si>
    <t>dairy milk</t>
  </si>
  <si>
    <t>95g</t>
  </si>
  <si>
    <t>Dairy Milk Buttons</t>
  </si>
  <si>
    <t>25 g</t>
  </si>
  <si>
    <t>Arizona Mucho Mango Fruit Drink</t>
  </si>
  <si>
    <t>Arizona Beverages</t>
  </si>
  <si>
    <t>AriZona Beverages</t>
  </si>
  <si>
    <t>Evian Natural Spring</t>
  </si>
  <si>
    <t>Matural Mineral Water</t>
  </si>
  <si>
    <t>550 ml</t>
  </si>
  <si>
    <t>West Lake</t>
  </si>
  <si>
    <t>West Lake Water Company SMC Limited</t>
  </si>
  <si>
    <t>Vanilla</t>
  </si>
  <si>
    <t>150ml</t>
  </si>
  <si>
    <t>Ngambi Fresh</t>
  </si>
  <si>
    <t>Farming Solutions Ltd</t>
  </si>
  <si>
    <t>100ml</t>
  </si>
  <si>
    <t>Canada Dry Gingerale</t>
  </si>
  <si>
    <t>Canadian Springs</t>
  </si>
  <si>
    <t>Primo Water Corporation</t>
  </si>
  <si>
    <t>Chocolate Coated Cocoa Wafer</t>
  </si>
  <si>
    <t>40g</t>
  </si>
  <si>
    <t>Runix</t>
  </si>
  <si>
    <t>TR</t>
  </si>
  <si>
    <t>Hazal Biskuvi Ve Gida Sanayi A.S.</t>
  </si>
  <si>
    <t>Bacardi</t>
  </si>
  <si>
    <t>BM</t>
  </si>
  <si>
    <t>Bacardi Limited</t>
  </si>
  <si>
    <t>GINGER ALE sparkling ginger flavoured drink</t>
  </si>
  <si>
    <t>Crystalina</t>
  </si>
  <si>
    <t>SK Industries, Lda</t>
  </si>
  <si>
    <t>Diet Gingerale</t>
  </si>
  <si>
    <t>Pomegranted</t>
  </si>
  <si>
    <t>Ginger ale</t>
  </si>
  <si>
    <t>Ginger ale Soda</t>
  </si>
  <si>
    <t>Still Mineral Water</t>
  </si>
  <si>
    <t>Buxton</t>
  </si>
  <si>
    <t>Super Pure</t>
  </si>
  <si>
    <t>Safari Company Ltd</t>
  </si>
  <si>
    <t>Vodke</t>
  </si>
  <si>
    <t>1.75L</t>
  </si>
  <si>
    <t>Iceberg Vodka</t>
  </si>
  <si>
    <t>CANADIAN ICEBERG VODKA CORPORATION</t>
  </si>
  <si>
    <t>The Peach Edition</t>
  </si>
  <si>
    <t>Pepper Powder</t>
  </si>
  <si>
    <t>20 g</t>
  </si>
  <si>
    <t>KIVO</t>
  </si>
  <si>
    <t>Procus Ghana ltd</t>
  </si>
  <si>
    <t>Hot Pepper Powder</t>
  </si>
  <si>
    <t>35 g</t>
  </si>
  <si>
    <t>Pure Apple Juice</t>
  </si>
  <si>
    <t>Ginger Alr</t>
  </si>
  <si>
    <t>Salt Free Soda Water</t>
  </si>
  <si>
    <t>Big8 Mountain Burst</t>
  </si>
  <si>
    <t>Cola</t>
  </si>
  <si>
    <t>Diet-Cola</t>
  </si>
  <si>
    <t>Big8 Rootbeer</t>
  </si>
  <si>
    <t>big8 Cream Soda</t>
  </si>
  <si>
    <t>Big8 Water</t>
  </si>
  <si>
    <t>4.0 L</t>
  </si>
  <si>
    <t>ATLANTIC Pride Spring Water</t>
  </si>
  <si>
    <t>Pineapple</t>
  </si>
  <si>
    <t>Classic Sumo de Limão</t>
  </si>
  <si>
    <t>Royal</t>
  </si>
  <si>
    <t>7.5l</t>
  </si>
  <si>
    <t>Boost</t>
  </si>
  <si>
    <t>Boost Drinks LTD</t>
  </si>
  <si>
    <t>10 L</t>
  </si>
  <si>
    <t>AQ</t>
  </si>
  <si>
    <t>Aquafria Moçambique, LDA</t>
  </si>
  <si>
    <t>Purified Water</t>
  </si>
  <si>
    <t>Lemon and Lime Flavoured Soft Drink</t>
  </si>
  <si>
    <t>459 ml</t>
  </si>
  <si>
    <t>Strawberry Kiwi Cocktail</t>
  </si>
  <si>
    <t>7ip</t>
  </si>
  <si>
    <t>Zero</t>
  </si>
  <si>
    <t>JD Shore</t>
  </si>
  <si>
    <t>Halifax Distilling Co.</t>
  </si>
  <si>
    <t>Greek Yoghurt</t>
  </si>
  <si>
    <t>Liberté</t>
  </si>
  <si>
    <t>American Juice</t>
  </si>
  <si>
    <t>Mega Congo SARL</t>
  </si>
  <si>
    <t>Grenadine</t>
  </si>
  <si>
    <t>Lemon Carbonated Soft Drink</t>
  </si>
  <si>
    <t>Fiesta</t>
  </si>
  <si>
    <t>Fiesta Moçambique Lda.</t>
  </si>
  <si>
    <t>Nesquik Vanilla</t>
  </si>
  <si>
    <t>Rolo</t>
  </si>
  <si>
    <t>Coffee Crisp Chocolate Milk</t>
  </si>
  <si>
    <t>Orange Flavour Carbonated Drink</t>
  </si>
  <si>
    <t>Sprite Lemonade Legacy</t>
  </si>
  <si>
    <t>Sprite</t>
  </si>
  <si>
    <t>Zero Orange</t>
  </si>
  <si>
    <t>Powerade</t>
  </si>
  <si>
    <t>Coca-Cola Zero Sugar</t>
  </si>
  <si>
    <t>Coke Zero</t>
  </si>
  <si>
    <t>Zero Sugar</t>
  </si>
  <si>
    <t>Dasani</t>
  </si>
  <si>
    <t>Eska Water</t>
  </si>
  <si>
    <t>Eska</t>
  </si>
  <si>
    <t>ESKA Inc.</t>
  </si>
  <si>
    <t>Dasani Reminerized Water</t>
  </si>
  <si>
    <t>Oasis Pineapple</t>
  </si>
  <si>
    <t>960 ml</t>
  </si>
  <si>
    <t>Oasis Apple Calcium</t>
  </si>
  <si>
    <t>Peach Cocktail</t>
  </si>
  <si>
    <t>Powerade Fruit Punch</t>
  </si>
  <si>
    <t>Mixed Beery</t>
  </si>
  <si>
    <t>PowerAde Fruit Punch</t>
  </si>
  <si>
    <t>Melon-Pineapple</t>
  </si>
  <si>
    <t>PowerAde Grape</t>
  </si>
  <si>
    <t>Stawberry Lemonade</t>
  </si>
  <si>
    <t>Blue Raspberry Cherry</t>
  </si>
  <si>
    <t>White Cherry</t>
  </si>
  <si>
    <t>Sprite Lemin Lime</t>
  </si>
  <si>
    <t>Cherry Cocacola Zero Sugar</t>
  </si>
  <si>
    <t>Sprite Lemon Lime</t>
  </si>
  <si>
    <t>Cherry Bite</t>
  </si>
  <si>
    <t>Farmers 1L Chocolate</t>
  </si>
  <si>
    <t>Farmers 2% MF</t>
  </si>
  <si>
    <t>OBA Makarna Spaghetti</t>
  </si>
  <si>
    <t>Oba Makarna</t>
  </si>
  <si>
    <t>OBA MAKARNACILIK SAN. VE TIC. A.Ş.</t>
  </si>
  <si>
    <t>Sumo sabor manga</t>
  </si>
  <si>
    <t>REGAL</t>
  </si>
  <si>
    <t>Aoshida Industry</t>
  </si>
  <si>
    <t>Sumo sabor limão e laranja</t>
  </si>
  <si>
    <t>Sumo Suco de maçã</t>
  </si>
  <si>
    <t>Sumo sabor a banana</t>
  </si>
  <si>
    <t>Sumo Iogurte de frutas</t>
  </si>
  <si>
    <t>Sumo sabor a uva</t>
  </si>
  <si>
    <t>Pure Life Natural Spring Water</t>
  </si>
  <si>
    <t>Splash Blast</t>
  </si>
  <si>
    <t>BlueTriton Brands, Inc</t>
  </si>
  <si>
    <t>Splash Blast Raspberry</t>
  </si>
  <si>
    <t>Wildberry</t>
  </si>
  <si>
    <t>Sparkling Lemon</t>
  </si>
  <si>
    <t>Sparkling Lime</t>
  </si>
  <si>
    <t>Still Spring Water</t>
  </si>
  <si>
    <t>Maracuja</t>
  </si>
  <si>
    <t>Ice River Green Bottle</t>
  </si>
  <si>
    <t>Ice River Sustainable Solutions</t>
  </si>
  <si>
    <t>Kombucha</t>
  </si>
  <si>
    <t>Milk 2Go</t>
  </si>
  <si>
    <t>100 ml</t>
  </si>
  <si>
    <t>diet pepsi</t>
  </si>
  <si>
    <t>Pepsi Zero Sugar</t>
  </si>
  <si>
    <t>Lemon Iced Tea</t>
  </si>
  <si>
    <t>Root beer</t>
  </si>
  <si>
    <t>Black &amp; Blueberry</t>
  </si>
  <si>
    <t>pure water</t>
  </si>
  <si>
    <t>Pure water, perfect taste</t>
  </si>
  <si>
    <t>pure water perfect taste</t>
  </si>
  <si>
    <t>Voltage</t>
  </si>
  <si>
    <t>Pitch Black Citrus Punch</t>
  </si>
  <si>
    <t>Major Melin</t>
  </si>
  <si>
    <t>Spark Raspberry Lemonade</t>
  </si>
  <si>
    <t>VooDew</t>
  </si>
  <si>
    <t>Pepsi Cola</t>
  </si>
  <si>
    <t>Xtreme Wafer Sticks Chocolaty Flavour</t>
  </si>
  <si>
    <t>24 g</t>
  </si>
  <si>
    <t>Champion</t>
  </si>
  <si>
    <t>IN</t>
  </si>
  <si>
    <t>Sukhdata Foods Pvt. Ltd.</t>
  </si>
  <si>
    <t>Uva</t>
  </si>
  <si>
    <t>Postobon</t>
  </si>
  <si>
    <t>CO</t>
  </si>
  <si>
    <t>Ardila Lulle</t>
  </si>
  <si>
    <t>Big</t>
  </si>
  <si>
    <t>Sparkle Investments Ltd</t>
  </si>
  <si>
    <t>Ginger</t>
  </si>
  <si>
    <t>Mzuri</t>
  </si>
  <si>
    <t>NEBAZ Water</t>
  </si>
  <si>
    <t>Island Beverages ltd</t>
  </si>
  <si>
    <t>MT</t>
  </si>
  <si>
    <t>Island Beverages Ltd</t>
  </si>
  <si>
    <t>Agua Mineral</t>
  </si>
  <si>
    <t>Matisana</t>
  </si>
  <si>
    <t>Matisana Lda</t>
  </si>
  <si>
    <t>Água mineral</t>
  </si>
  <si>
    <t>High Quality Natural Water</t>
  </si>
  <si>
    <t>Spa</t>
  </si>
  <si>
    <t>Lilongwe Beverages Ltd</t>
  </si>
  <si>
    <t>Aquina Water</t>
  </si>
  <si>
    <t>Aquina</t>
  </si>
  <si>
    <t>Coop Coperative</t>
  </si>
  <si>
    <t>Aquina water</t>
  </si>
  <si>
    <t>1000 ml</t>
  </si>
  <si>
    <t>Klori-Pure</t>
  </si>
  <si>
    <t>Melcom Group of Companies</t>
  </si>
  <si>
    <t>Bib's COLA</t>
  </si>
  <si>
    <t>Grapefruit &amp; Orange Shampoo</t>
  </si>
  <si>
    <t>400ml</t>
  </si>
  <si>
    <t>Faith in Nature</t>
  </si>
  <si>
    <t>Faith in Nature Ltd</t>
  </si>
  <si>
    <t>Wild Rose Conditioner</t>
  </si>
  <si>
    <t>Monster Hydro Manic Melon</t>
  </si>
  <si>
    <t>American Water</t>
  </si>
  <si>
    <t>eau pure</t>
  </si>
  <si>
    <t>chibuku super</t>
  </si>
  <si>
    <t>1.25 L</t>
  </si>
  <si>
    <t>Chibuku</t>
  </si>
  <si>
    <t>BE</t>
  </si>
  <si>
    <t>Anheuser-Busch InBev</t>
  </si>
  <si>
    <t>Agua da Nascente</t>
  </si>
  <si>
    <t>Monte Gurue</t>
  </si>
  <si>
    <t>Asian Tea Group (Asian Tea Company Pvt Ltd)</t>
  </si>
  <si>
    <t>Água nascente da montanha</t>
  </si>
  <si>
    <t>Fraldas Super Secas</t>
  </si>
  <si>
    <t>Kisskids</t>
  </si>
  <si>
    <t>Amour</t>
  </si>
  <si>
    <t>1500 ml</t>
  </si>
  <si>
    <t>la vie</t>
  </si>
  <si>
    <t>VN</t>
  </si>
  <si>
    <t>La Vie Limited Liability</t>
  </si>
  <si>
    <t>L'eau mineral</t>
  </si>
  <si>
    <t>Hi2O</t>
  </si>
  <si>
    <t>Shine Hair Shampoo</t>
  </si>
  <si>
    <t>Orbit</t>
  </si>
  <si>
    <t>Orbit Products Africa Limited</t>
  </si>
  <si>
    <t>Purified Drinking Water</t>
  </si>
  <si>
    <t>Aqualina</t>
  </si>
  <si>
    <t>Shenkalil Enterprises</t>
  </si>
  <si>
    <t>1500ml</t>
  </si>
  <si>
    <t>Eau de Roche</t>
  </si>
  <si>
    <t>Perle</t>
  </si>
  <si>
    <t>Ets PERLE</t>
  </si>
  <si>
    <t>Ice Valley</t>
  </si>
  <si>
    <t>Shepley Spring Ltd</t>
  </si>
  <si>
    <t>spring water</t>
  </si>
  <si>
    <t>Icy Cool</t>
  </si>
  <si>
    <t>Eau pure</t>
  </si>
  <si>
    <t>Aidine water</t>
  </si>
  <si>
    <t>EMMA AIDINE</t>
  </si>
  <si>
    <t>Go fresh</t>
  </si>
  <si>
    <t>380 ml</t>
  </si>
  <si>
    <t>GoFresh</t>
  </si>
  <si>
    <t>Magn maji</t>
  </si>
  <si>
    <t>drinking water</t>
  </si>
  <si>
    <t>Energy drink</t>
  </si>
  <si>
    <t>Ananas</t>
  </si>
  <si>
    <t>Soda</t>
  </si>
  <si>
    <t>Cool waters</t>
  </si>
  <si>
    <t>Vanilla Yoghurt</t>
  </si>
  <si>
    <t>Langine</t>
  </si>
  <si>
    <t>Melangine Dairies</t>
  </si>
  <si>
    <t>Safi</t>
  </si>
  <si>
    <t>Safi Water Limited</t>
  </si>
  <si>
    <t>Nawaal Ice</t>
  </si>
  <si>
    <t>Nawaalice Traders Ltd</t>
  </si>
  <si>
    <t>Madar Detergent</t>
  </si>
  <si>
    <t>700 g</t>
  </si>
  <si>
    <t>Madar</t>
  </si>
  <si>
    <t>SN</t>
  </si>
  <si>
    <t>H&amp;D INDUSTRIES S.A</t>
  </si>
  <si>
    <t>Allen</t>
  </si>
  <si>
    <t>Pally Ventures Ltd</t>
  </si>
  <si>
    <t>Lulu</t>
  </si>
  <si>
    <t>Masasi Food Industries ltd</t>
  </si>
  <si>
    <t>gengibre</t>
  </si>
  <si>
    <t>Unique</t>
  </si>
  <si>
    <t>Aber Drips</t>
  </si>
  <si>
    <t>Total Quartz</t>
  </si>
  <si>
    <t>5000 ml</t>
  </si>
  <si>
    <t>TotalEnergies SE</t>
  </si>
  <si>
    <t>AFRICAN BEER</t>
  </si>
  <si>
    <t>ROMI'S</t>
  </si>
  <si>
    <t>MBS Fruit Agencies Ltd</t>
  </si>
  <si>
    <t>American Cola</t>
  </si>
  <si>
    <t>Planet Bottling</t>
  </si>
  <si>
    <t>Eau Minérale</t>
  </si>
  <si>
    <t>La Vie</t>
  </si>
  <si>
    <t>PREMIDIS SARL</t>
  </si>
  <si>
    <t>U-Fresh Pineapple Flovoured Drink</t>
  </si>
  <si>
    <t>Yonse Bo</t>
  </si>
  <si>
    <t>Yonse-Bo Orange Flavour</t>
  </si>
  <si>
    <t>Yonse-Bo Passion Flavour</t>
  </si>
  <si>
    <t>No21 Vodka</t>
  </si>
  <si>
    <t>50ml</t>
  </si>
  <si>
    <t>Max Power Energy Drink</t>
  </si>
  <si>
    <t>MELLET ENTERPRISES</t>
  </si>
  <si>
    <t>Cordial</t>
  </si>
  <si>
    <t>big blend</t>
  </si>
  <si>
    <t>Strawberry Yoghurt</t>
  </si>
  <si>
    <t>Kombeza Foods</t>
  </si>
  <si>
    <t>6.5L</t>
  </si>
  <si>
    <t>Vitale</t>
  </si>
  <si>
    <t>Monarch Beverage Company Inc</t>
  </si>
  <si>
    <t>natural pure water</t>
  </si>
  <si>
    <t>1.5 l</t>
  </si>
  <si>
    <t>Pure Water</t>
  </si>
  <si>
    <t>Água subterrânea</t>
  </si>
  <si>
    <t>0.5</t>
  </si>
  <si>
    <t>Água da Bela Vista</t>
  </si>
  <si>
    <t>Kargasok Safi</t>
  </si>
  <si>
    <t>300ml</t>
  </si>
  <si>
    <t>Appolo Wine Limited</t>
  </si>
  <si>
    <t>Gari soaking Mix</t>
  </si>
  <si>
    <t>125 g</t>
  </si>
  <si>
    <t>Vitamin Water</t>
  </si>
  <si>
    <t>Glaçeau Smartwater</t>
  </si>
  <si>
    <t>VitaminWater</t>
  </si>
  <si>
    <t>XXX Acai Berry</t>
  </si>
  <si>
    <t>Glaçeau vitaminwater</t>
  </si>
  <si>
    <t>Kivo pepper powder</t>
  </si>
  <si>
    <t>50 g</t>
  </si>
  <si>
    <t>Água de Mesa</t>
  </si>
  <si>
    <t>AO</t>
  </si>
  <si>
    <t>Befco Industria Lda</t>
  </si>
  <si>
    <t>Strawberry yoghurt</t>
  </si>
  <si>
    <t>Ingabo Dairy</t>
  </si>
  <si>
    <t>Ingabo Dairy ltd</t>
  </si>
  <si>
    <t>Mbaruk Springs</t>
  </si>
  <si>
    <t>Karigen</t>
  </si>
  <si>
    <t>Tesouros</t>
  </si>
  <si>
    <t>sasumwa</t>
  </si>
  <si>
    <t>Oceanic</t>
  </si>
  <si>
    <t>5ltrs</t>
  </si>
  <si>
    <t>Quench Canista</t>
  </si>
  <si>
    <t>Royal Quench</t>
  </si>
  <si>
    <t>Nemsi Enterprises</t>
  </si>
  <si>
    <t>Eden Springs</t>
  </si>
  <si>
    <t>Naturally Refreshing</t>
  </si>
  <si>
    <t>Brook Fresh</t>
  </si>
  <si>
    <t>KUNNUMPURATHU GROUP OF BUSINESS PRIVATE LIMITED</t>
  </si>
  <si>
    <t>20 L</t>
  </si>
  <si>
    <t>Brooks</t>
  </si>
  <si>
    <t>Brooks Drinking water</t>
  </si>
  <si>
    <t>purified drinking water</t>
  </si>
  <si>
    <t>01 L</t>
  </si>
  <si>
    <t>el-mist</t>
  </si>
  <si>
    <t>El-Mist Purified drinking water</t>
  </si>
  <si>
    <t>aqua soft</t>
  </si>
  <si>
    <t>Pure drinking water</t>
  </si>
  <si>
    <t>Spring Montagne</t>
  </si>
  <si>
    <t>Madini</t>
  </si>
  <si>
    <t>Taste the Purity Water</t>
  </si>
  <si>
    <t>AquaSplash</t>
  </si>
  <si>
    <t>NA</t>
  </si>
  <si>
    <t>Namibia Breweries Limited</t>
  </si>
  <si>
    <t>Aqua Splash</t>
  </si>
  <si>
    <t>O&amp;L Group of Companies</t>
  </si>
  <si>
    <t>Salama Ice</t>
  </si>
  <si>
    <t>Salama ICE Drinking Water</t>
  </si>
  <si>
    <t>1.5litres</t>
  </si>
  <si>
    <t>Rayaan Ice</t>
  </si>
  <si>
    <t>Rayan Ice Water</t>
  </si>
  <si>
    <t>10ltrs</t>
  </si>
  <si>
    <t>Milk Flavour</t>
  </si>
  <si>
    <t>Marie</t>
  </si>
  <si>
    <t>MY</t>
  </si>
  <si>
    <t>Julie's Manufacturing</t>
  </si>
  <si>
    <t>Détergent en poudre</t>
  </si>
  <si>
    <t>30 g</t>
  </si>
  <si>
    <t>SOMO Mousse</t>
  </si>
  <si>
    <t>CIDI Sarl</t>
  </si>
  <si>
    <t>Pão de forma integral</t>
  </si>
  <si>
    <t>700g</t>
  </si>
  <si>
    <t>Blue Ribbon</t>
  </si>
  <si>
    <t>Premier FMCG (Pty) Limited</t>
  </si>
  <si>
    <t>Premium Water</t>
  </si>
  <si>
    <t>Rocky Bubble</t>
  </si>
  <si>
    <t>99 Bananas</t>
  </si>
  <si>
    <t>Prime Ice Pop</t>
  </si>
  <si>
    <t>Prime</t>
  </si>
  <si>
    <t>Congo Brands</t>
  </si>
  <si>
    <t>Strawberry Banana</t>
  </si>
  <si>
    <t>Anti-Bac All Purpose Cleaner</t>
  </si>
  <si>
    <t>Method</t>
  </si>
  <si>
    <t>Method Products pbc</t>
  </si>
  <si>
    <t>1.14 L</t>
  </si>
  <si>
    <t>Smirnoff Ice</t>
  </si>
  <si>
    <t>Smirnoff Vodka</t>
  </si>
  <si>
    <t>Naked Strawberry Banana</t>
  </si>
  <si>
    <t>450mL</t>
  </si>
  <si>
    <t>Naked</t>
  </si>
  <si>
    <t>Naked Juice Co. of Glendora, Inc.</t>
  </si>
  <si>
    <t>Nestea Lemon</t>
  </si>
  <si>
    <t>Orangina Carbonated Drink</t>
  </si>
  <si>
    <t>420 ml</t>
  </si>
  <si>
    <t>Orangina</t>
  </si>
  <si>
    <t>Reaktor</t>
  </si>
  <si>
    <t>Monarch Beverages Paris</t>
  </si>
  <si>
    <t>Soft drink</t>
  </si>
  <si>
    <t>Planet</t>
  </si>
  <si>
    <t>Sof Drink</t>
  </si>
  <si>
    <t>Bubble Up</t>
  </si>
  <si>
    <t>Planet Tropical</t>
  </si>
  <si>
    <t>Soft drinks</t>
  </si>
  <si>
    <t>1.20 L</t>
  </si>
  <si>
    <t>strawberry  and  watermelon</t>
  </si>
  <si>
    <t>Mr. Beast Milk Chocolate Bar</t>
  </si>
  <si>
    <t>Feastables</t>
  </si>
  <si>
    <t>FEASTABLES INC.</t>
  </si>
  <si>
    <t>0.5L</t>
  </si>
  <si>
    <t>American cola</t>
  </si>
  <si>
    <t>Planet Orange</t>
  </si>
  <si>
    <t>Carbonated Soft Drink</t>
  </si>
  <si>
    <t>Supermont Water</t>
  </si>
  <si>
    <t>Planet Cocktail</t>
  </si>
  <si>
    <t>Bitter lemon</t>
  </si>
  <si>
    <t>Supermont eau minérale</t>
  </si>
  <si>
    <t>Coke</t>
  </si>
  <si>
    <t>Best Drinking Water</t>
  </si>
  <si>
    <t>Drop of Zanzibar</t>
  </si>
  <si>
    <t>Drop of Zanzibar Limited</t>
  </si>
  <si>
    <t>haribo tangfastics</t>
  </si>
  <si>
    <t>Haribo</t>
  </si>
  <si>
    <t>Captain Morgan White Rum</t>
  </si>
  <si>
    <t>Conditioner</t>
  </si>
  <si>
    <t>414 ml</t>
  </si>
  <si>
    <t>Pure Silk</t>
  </si>
  <si>
    <t>Perio Inc.</t>
  </si>
  <si>
    <t>Raspberry Liquor</t>
  </si>
  <si>
    <t>Sour Puss</t>
  </si>
  <si>
    <t>United States Distilled Products Company</t>
  </si>
  <si>
    <t>Fireball Cinnamon Whisky</t>
  </si>
  <si>
    <t>Goldschlager</t>
  </si>
  <si>
    <t>Fireball Cinnamon Whiskey</t>
  </si>
  <si>
    <t>Refrigerante Aromatizado</t>
  </si>
  <si>
    <t>Vodka Citrus</t>
  </si>
  <si>
    <t>Vodka Mixed Berry</t>
  </si>
  <si>
    <t>Aloe vera king drink</t>
  </si>
  <si>
    <t>Aloe Vera King</t>
  </si>
  <si>
    <t>KR</t>
  </si>
  <si>
    <t>OKF CORPORATION</t>
  </si>
  <si>
    <t>Kleesoft</t>
  </si>
  <si>
    <t>CN</t>
  </si>
  <si>
    <t>Sunda International</t>
  </si>
  <si>
    <t>apple carbonated drink</t>
  </si>
  <si>
    <t>Mirinda</t>
  </si>
  <si>
    <t>Nutrition Shake Vanilla</t>
  </si>
  <si>
    <t>242 ml</t>
  </si>
  <si>
    <t>Whole Black Peppercorns</t>
  </si>
  <si>
    <t>399 g</t>
  </si>
  <si>
    <t>Kirkland Natural Spring Water</t>
  </si>
  <si>
    <t>Sparkling Spring Water</t>
  </si>
  <si>
    <t>Romaine Hearts</t>
  </si>
  <si>
    <t>Sweetcorn cobettes</t>
  </si>
  <si>
    <t>Baby Potatoes</t>
  </si>
  <si>
    <t>1.0 kg</t>
  </si>
  <si>
    <t>Red Seedless Grapes</t>
  </si>
  <si>
    <t>Lucozade Sport Orange</t>
  </si>
  <si>
    <t>Lucozade</t>
  </si>
  <si>
    <t>48 g</t>
  </si>
  <si>
    <t>Walkers</t>
  </si>
  <si>
    <t>Premium Pure Drinking water</t>
  </si>
  <si>
    <t>Top Ananas</t>
  </si>
  <si>
    <t>Top</t>
  </si>
  <si>
    <t>Eau de source</t>
  </si>
  <si>
    <t>Volvic</t>
  </si>
  <si>
    <t>Alcoholic drink</t>
  </si>
  <si>
    <t>Afya Bora</t>
  </si>
  <si>
    <t>BSK Valens Ltd</t>
  </si>
  <si>
    <t>13 L</t>
  </si>
  <si>
    <t>Uhai</t>
  </si>
  <si>
    <t>BAKHRESA GROUP DIVISIONS</t>
  </si>
  <si>
    <t>Byte</t>
  </si>
  <si>
    <t>Cheese and Onion crisps</t>
  </si>
  <si>
    <t>Kombucha ginger</t>
  </si>
  <si>
    <t>Nutricom</t>
  </si>
  <si>
    <t>Nutricom Food &amp; Beverages Ltd</t>
  </si>
  <si>
    <t>Still drinking water</t>
  </si>
  <si>
    <t>Flash Fresh Scent with Bleach</t>
  </si>
  <si>
    <t>Flash</t>
  </si>
  <si>
    <t>THE PROCTER &amp; GAMBLE COMPANY</t>
  </si>
  <si>
    <t>Eva</t>
  </si>
  <si>
    <t>150cl</t>
  </si>
  <si>
    <t>eva</t>
  </si>
  <si>
    <t>rock boom</t>
  </si>
  <si>
    <t>320ml</t>
  </si>
  <si>
    <t>Riham</t>
  </si>
  <si>
    <t>Hariss International Ltd</t>
  </si>
  <si>
    <t>Nestle Pure life</t>
  </si>
  <si>
    <t>Bel Aqua Mineral water</t>
  </si>
  <si>
    <t>Bel Aqua</t>
  </si>
  <si>
    <t>Blow Group</t>
  </si>
  <si>
    <t>Lotion</t>
  </si>
  <si>
    <t>225ml</t>
  </si>
  <si>
    <t>Bio Plus Carrot</t>
  </si>
  <si>
    <t>Dover Cosmetics Ltd</t>
  </si>
  <si>
    <t>1.6 L</t>
  </si>
  <si>
    <t>Chuckles Malted Puffs in Milk Chocolate</t>
  </si>
  <si>
    <t>Woolworths</t>
  </si>
  <si>
    <t>Woolworths Holdings Ltd</t>
  </si>
  <si>
    <t>crumbly</t>
  </si>
  <si>
    <t>Fresh Milk Full Cream</t>
  </si>
  <si>
    <t>fresh custard with vanilla bean seeds</t>
  </si>
  <si>
    <t>blueberries</t>
  </si>
  <si>
    <t>Semi Skimmed Milk</t>
  </si>
  <si>
    <t>2.3 l</t>
  </si>
  <si>
    <t>Dairy Manor</t>
  </si>
  <si>
    <t>Bon Chretien Dried Pears</t>
  </si>
  <si>
    <t>Peanut Butter</t>
  </si>
  <si>
    <t>Ayrshire Full Cream Milk</t>
  </si>
  <si>
    <t>Plain Yoghurt</t>
  </si>
  <si>
    <t>Ayrshire Full Cream Fresh Milk</t>
  </si>
  <si>
    <t>Lait caillé</t>
  </si>
  <si>
    <t>MANIA</t>
  </si>
  <si>
    <t>Safi-Sana</t>
  </si>
  <si>
    <t>Lait Caille</t>
  </si>
  <si>
    <t>250ml</t>
  </si>
  <si>
    <t>Fresh Milk</t>
  </si>
  <si>
    <t>Macaroni Cheese with Bacon</t>
  </si>
  <si>
    <t>300 g</t>
  </si>
  <si>
    <t>Natural spring water</t>
  </si>
  <si>
    <t>Woolworthfoods</t>
  </si>
  <si>
    <t>pouring cream</t>
  </si>
  <si>
    <t>Yoghurt</t>
  </si>
  <si>
    <t>1000 g</t>
  </si>
  <si>
    <t>Cheddar Cheese Mild</t>
  </si>
  <si>
    <t>chocolate mousse</t>
  </si>
  <si>
    <t>salad cream</t>
  </si>
  <si>
    <t>780 g</t>
  </si>
  <si>
    <t>natural spring water</t>
  </si>
  <si>
    <t>orange juice</t>
  </si>
  <si>
    <t>cape Malay curry</t>
  </si>
  <si>
    <t>65 g</t>
  </si>
  <si>
    <t>low fat smooth strawberry flavoured yoghurt</t>
  </si>
  <si>
    <t>Smoked German Style Salami</t>
  </si>
  <si>
    <t>hummus</t>
  </si>
  <si>
    <t>Ground Coffee - Cafe Gold Blend</t>
  </si>
  <si>
    <t>Spar</t>
  </si>
  <si>
    <t>The Spar Group Ltd</t>
  </si>
  <si>
    <t>Ricotta</t>
  </si>
  <si>
    <t>272 g</t>
  </si>
  <si>
    <t>PUFT</t>
  </si>
  <si>
    <t>70 g</t>
  </si>
  <si>
    <t>Hulla Hoops</t>
  </si>
  <si>
    <t>KP Snacks</t>
  </si>
  <si>
    <t>Dried mango</t>
  </si>
  <si>
    <t>Alesto</t>
  </si>
  <si>
    <t>Natural Mixed Nuta</t>
  </si>
  <si>
    <t>The Sun Valley Nut Co</t>
  </si>
  <si>
    <t>Zertus</t>
  </si>
  <si>
    <t>Água de Namaacha</t>
  </si>
  <si>
    <t>Sociedade de Águas de Moçambique</t>
  </si>
  <si>
    <t>Natural Mineral Water</t>
  </si>
  <si>
    <t>Fonte Fresca</t>
  </si>
  <si>
    <t>Asda</t>
  </si>
  <si>
    <t>320 ml</t>
  </si>
  <si>
    <t>Palm Oil</t>
  </si>
  <si>
    <t>Mayor</t>
  </si>
  <si>
    <t>SCRM MAYA &amp; Cie</t>
  </si>
  <si>
    <t>Agua Mineral Natural</t>
  </si>
  <si>
    <t>Eau Naturelle</t>
  </si>
  <si>
    <t>Golden Water</t>
  </si>
  <si>
    <t>INVESTIR CHEZ NOUS</t>
  </si>
  <si>
    <t>50cl</t>
  </si>
  <si>
    <t>West Lake Natural mineral water</t>
  </si>
  <si>
    <t>Ean pure de nos montagnes</t>
  </si>
  <si>
    <t>hurya</t>
  </si>
  <si>
    <t>Hurya Industrie SARL</t>
  </si>
  <si>
    <t>Strawberry Flavour Milk</t>
  </si>
  <si>
    <t>Tunda Mango juce Drink</t>
  </si>
  <si>
    <t>Sayona</t>
  </si>
  <si>
    <t>Motisun Group</t>
  </si>
  <si>
    <t>gluten free chicken fajitas wrap</t>
  </si>
  <si>
    <t>The Tropical One Juice</t>
  </si>
  <si>
    <t>1600 ml</t>
  </si>
  <si>
    <t>Lindahls</t>
  </si>
  <si>
    <t>150 g</t>
  </si>
  <si>
    <t>Azam</t>
  </si>
  <si>
    <t>Touch of Fruit Lemon Lime Sugar Free</t>
  </si>
  <si>
    <t>Touch of Fruit Lemon and Lime</t>
  </si>
  <si>
    <t>Touch of Lemon and Lime Water</t>
  </si>
  <si>
    <t>Touch of Fruit Strawberry</t>
  </si>
  <si>
    <t>Watermelon Flavoured Water</t>
  </si>
  <si>
    <t>touch of fruit</t>
  </si>
  <si>
    <t>volvic juicy</t>
  </si>
  <si>
    <t>1000ml</t>
  </si>
  <si>
    <t>Mango Passion</t>
  </si>
  <si>
    <t>Touch of Fruit Mango Passion</t>
  </si>
  <si>
    <t>Eau minerale naturelle</t>
  </si>
  <si>
    <t>Evian water</t>
  </si>
  <si>
    <t>Kettle sriracha</t>
  </si>
  <si>
    <t>Kettle</t>
  </si>
  <si>
    <t>Campbell's</t>
  </si>
  <si>
    <t>Single-Blade Razors</t>
  </si>
  <si>
    <t>5 pc</t>
  </si>
  <si>
    <t>Bic</t>
  </si>
  <si>
    <t>Societé BIC</t>
  </si>
  <si>
    <t>Berries flavour carbonated soft drink</t>
  </si>
  <si>
    <t>Tropicana orange juice</t>
  </si>
  <si>
    <t>Lager Beer</t>
  </si>
  <si>
    <t>330ml</t>
  </si>
  <si>
    <t>Desperados Original Tequila</t>
  </si>
  <si>
    <t>NL</t>
  </si>
  <si>
    <t>Heineken N.V.</t>
  </si>
  <si>
    <t>Berry-flavored carbonated soft drink</t>
  </si>
  <si>
    <t>xtra Berry flavour Carbonated Soft Drink</t>
  </si>
  <si>
    <t>Pain au Chocolat</t>
  </si>
  <si>
    <t>420 g</t>
  </si>
  <si>
    <t>Picard</t>
  </si>
  <si>
    <t>Picard Surgelés</t>
  </si>
  <si>
    <t>Breakfast cereal biscuits</t>
  </si>
  <si>
    <t>Yop Strawberry Flavour</t>
  </si>
  <si>
    <t>Motul</t>
  </si>
  <si>
    <t>Motul Moto</t>
  </si>
  <si>
    <t>Motul S.A.</t>
  </si>
  <si>
    <t>Full Cream Milk</t>
  </si>
  <si>
    <t>Asas Diaries</t>
  </si>
  <si>
    <t>Asas Group of companies</t>
  </si>
  <si>
    <t>Engine Oil</t>
  </si>
  <si>
    <t>Quartz</t>
  </si>
  <si>
    <t>Special 4T Motorcycle Engine Oil</t>
  </si>
  <si>
    <t>HI-PERF</t>
  </si>
  <si>
    <t>lodized sea salt</t>
  </si>
  <si>
    <t>KONKORD</t>
  </si>
  <si>
    <t>ITC Farms</t>
  </si>
  <si>
    <t>Double Mint Chewing Gum</t>
  </si>
  <si>
    <t>58 g</t>
  </si>
  <si>
    <t>Wrigley's</t>
  </si>
  <si>
    <t>Mars, Incorporated</t>
  </si>
  <si>
    <t>PH</t>
  </si>
  <si>
    <t>Blue</t>
  </si>
  <si>
    <t>Carrefour</t>
  </si>
  <si>
    <t>eco planet</t>
  </si>
  <si>
    <t>Lait corps</t>
  </si>
  <si>
    <t>Mixa</t>
  </si>
  <si>
    <t>FEMCO</t>
  </si>
  <si>
    <t>Mini Eggs</t>
  </si>
  <si>
    <t>Aquarel</t>
  </si>
  <si>
    <t>Boisson &amp; Lait</t>
  </si>
  <si>
    <t>U-Fresh</t>
  </si>
  <si>
    <t>U Fresh Juice</t>
  </si>
  <si>
    <t>Hill water</t>
  </si>
  <si>
    <t>Simply Good</t>
  </si>
  <si>
    <t>54 g</t>
  </si>
  <si>
    <t>Equator foods Ghana ltd</t>
  </si>
  <si>
    <t>Ultra Low Fat Milk</t>
  </si>
  <si>
    <t>Clover</t>
  </si>
  <si>
    <t>Clover Industries</t>
  </si>
  <si>
    <t>Krush</t>
  </si>
  <si>
    <t>Sun Kids 50+</t>
  </si>
  <si>
    <t>NIVEA</t>
  </si>
  <si>
    <t>Beiersdorf AG</t>
  </si>
  <si>
    <t>Body Lotion 48h</t>
  </si>
  <si>
    <t>Body lotion</t>
  </si>
  <si>
    <t>Body Cream</t>
  </si>
  <si>
    <t>Body Lotion for Men</t>
  </si>
  <si>
    <t>Protect &amp; Moisture</t>
  </si>
  <si>
    <t>Cherry Blossom &amp; Jojoba oil</t>
  </si>
  <si>
    <t>Skittles</t>
  </si>
  <si>
    <t>45 g</t>
  </si>
  <si>
    <t>Magic Stars</t>
  </si>
  <si>
    <t>33 g</t>
  </si>
  <si>
    <t>Milky Way</t>
  </si>
  <si>
    <t>Bounty</t>
  </si>
  <si>
    <t>285 mg</t>
  </si>
  <si>
    <t>Blackcurrant</t>
  </si>
  <si>
    <t>Double Strength Dish Washing Liquid</t>
  </si>
  <si>
    <t>Pril</t>
  </si>
  <si>
    <t>Henkel</t>
  </si>
  <si>
    <t>Frijj Strawberry Flavour</t>
  </si>
  <si>
    <t>Frijj</t>
  </si>
  <si>
    <t>LU</t>
  </si>
  <si>
    <t>Unternehmensgruppe Theo Müller</t>
  </si>
  <si>
    <t>Chocolate Flavour Milkshake</t>
  </si>
  <si>
    <t>Strawberry Milkshake</t>
  </si>
  <si>
    <t>CHOCHO CREME NATURAL SKIN RESTORER</t>
  </si>
  <si>
    <t>29 g</t>
  </si>
  <si>
    <t>CHOCHO CREME</t>
  </si>
  <si>
    <t>CHOCHO Industries ltd</t>
  </si>
  <si>
    <t>bigoo cocktail</t>
  </si>
  <si>
    <t>Cool Rivers</t>
  </si>
  <si>
    <t>cool rivers</t>
  </si>
  <si>
    <t>Freshly Squeezed Raspberry Lemonade</t>
  </si>
  <si>
    <t>Leche Fresca Semi Desnatada</t>
  </si>
  <si>
    <t>Soya classic</t>
  </si>
  <si>
    <t>Vemondo</t>
  </si>
  <si>
    <t>Apple &amp; Mango Juice</t>
  </si>
  <si>
    <t>Naturis</t>
  </si>
  <si>
    <t>Washing up liquid (lemon)</t>
  </si>
  <si>
    <t>double strength orange</t>
  </si>
  <si>
    <t>Lindhouse</t>
  </si>
  <si>
    <t>Apple High Juice</t>
  </si>
  <si>
    <t>Pepsi Max</t>
  </si>
  <si>
    <t>Zero Azúcar</t>
  </si>
  <si>
    <t>Citrus Blast</t>
  </si>
  <si>
    <t>Pepsi Max Cherry</t>
  </si>
  <si>
    <t>Pepsi Max No Sugar</t>
  </si>
  <si>
    <t>3.0 L</t>
  </si>
  <si>
    <t>PepsiMax Cherry Carbonated Low Calorie Drink</t>
  </si>
  <si>
    <t>Pepsi Max Raspberry Drink</t>
  </si>
  <si>
    <t>2.25 L</t>
  </si>
  <si>
    <t>Lemon Lime Cherry Sugar Free</t>
  </si>
  <si>
    <t>Lipton Lemon Ice Tea</t>
  </si>
  <si>
    <t>Lipton</t>
  </si>
  <si>
    <t>Lemon &amp; Lime Carbonated Soft Drink</t>
  </si>
  <si>
    <t>Max</t>
  </si>
  <si>
    <t>pepsi</t>
  </si>
  <si>
    <t>7UP carbonated drink</t>
  </si>
  <si>
    <t>Honey and Peppercorn Nuts</t>
  </si>
  <si>
    <t>150g</t>
  </si>
  <si>
    <t>Max No Sugar</t>
  </si>
  <si>
    <t>Lemon lime flavoured drink</t>
  </si>
  <si>
    <t>Bonaqua Mineral Water</t>
  </si>
  <si>
    <t>Bonaqua</t>
  </si>
  <si>
    <t>Fanta Orange</t>
  </si>
  <si>
    <t>Pro V Champu Purificante</t>
  </si>
  <si>
    <t>270 ml</t>
  </si>
  <si>
    <t>Pantene</t>
  </si>
  <si>
    <t>Original Dish Washing Liquid</t>
  </si>
  <si>
    <t>780ml</t>
  </si>
  <si>
    <t>Fairy</t>
  </si>
  <si>
    <t>Orange Flavoured Drink</t>
  </si>
  <si>
    <t>Onions</t>
  </si>
  <si>
    <t>Carrots</t>
  </si>
  <si>
    <t>British Miniature Potatoes</t>
  </si>
  <si>
    <t>Indian Tonic Water</t>
  </si>
  <si>
    <t>Greek style Yoghurt</t>
  </si>
  <si>
    <t>Brooklea</t>
  </si>
  <si>
    <t>4 seed mix</t>
  </si>
  <si>
    <t>Vive Lemonade</t>
  </si>
  <si>
    <t>Safari Snacks</t>
  </si>
  <si>
    <t>133g</t>
  </si>
  <si>
    <t>Apple and raspberry spring water</t>
  </si>
  <si>
    <t>Aqua Vale</t>
  </si>
  <si>
    <t>Coca Cola</t>
  </si>
  <si>
    <t>Cocktail</t>
  </si>
  <si>
    <t>Peperami</t>
  </si>
  <si>
    <t>Link Snacks, Inc.</t>
  </si>
  <si>
    <t>Tropical Juice Drink</t>
  </si>
  <si>
    <t>Orange Flavour Soft Drink</t>
  </si>
  <si>
    <t>Fanta Fruit Blast</t>
  </si>
  <si>
    <t>Minute Maid Orange</t>
  </si>
  <si>
    <t>280 ml</t>
  </si>
  <si>
    <t>Orange flavored drink</t>
  </si>
  <si>
    <t>Fanta Litchi</t>
  </si>
  <si>
    <t>Lemon Drink</t>
  </si>
  <si>
    <t>Sprite zero</t>
  </si>
  <si>
    <t>280ml</t>
  </si>
  <si>
    <t>Fruit Malt Drink</t>
  </si>
  <si>
    <t>Novida</t>
  </si>
  <si>
    <t>Água engarrafada</t>
  </si>
  <si>
    <t>0.6</t>
  </si>
  <si>
    <t>Kolah Cool</t>
  </si>
  <si>
    <t>5Star Drinks</t>
  </si>
  <si>
    <t>Vanda cool</t>
  </si>
  <si>
    <t>5Star</t>
  </si>
  <si>
    <t>Sabão líquido</t>
  </si>
  <si>
    <t>Limpo</t>
  </si>
  <si>
    <t>Vin Amour</t>
  </si>
  <si>
    <t>Afro American Industries</t>
  </si>
  <si>
    <t>afro american industries sarl</t>
  </si>
  <si>
    <t>FanIce</t>
  </si>
  <si>
    <t>145 ml</t>
  </si>
  <si>
    <t>FanMilk</t>
  </si>
  <si>
    <t>Apple Drink</t>
  </si>
  <si>
    <t>La Casera</t>
  </si>
  <si>
    <t>Jotna Group</t>
  </si>
  <si>
    <t>Kilimanjaro water</t>
  </si>
  <si>
    <t>Chocolate Mousse</t>
  </si>
  <si>
    <t>Mayor Palm Oil</t>
  </si>
  <si>
    <t>Aloe vera Light</t>
  </si>
  <si>
    <t>Aleo</t>
  </si>
  <si>
    <t>LT</t>
  </si>
  <si>
    <t>Mega Baltic JSC</t>
  </si>
  <si>
    <t>Healthy Juice</t>
  </si>
  <si>
    <t>1.5L</t>
  </si>
  <si>
    <t>Aloe vera with chia seeds</t>
  </si>
  <si>
    <t>Sunflower Seed Oil</t>
  </si>
  <si>
    <t>Bonlife</t>
  </si>
  <si>
    <t>UA</t>
  </si>
  <si>
    <t>Manzaro Ukraine LLC</t>
  </si>
  <si>
    <t>Orion</t>
  </si>
  <si>
    <t>GMR Group Africa</t>
  </si>
  <si>
    <t>thirllz</t>
  </si>
  <si>
    <t>Antibacterial handwash</t>
  </si>
  <si>
    <t>Carex</t>
  </si>
  <si>
    <t>PZ Cussons International Ltd.</t>
  </si>
  <si>
    <t>Fruit Chew Antibacterial Handwash</t>
  </si>
  <si>
    <t>Cussons</t>
  </si>
  <si>
    <t>PZ Cussons PLC</t>
  </si>
  <si>
    <t>Luxurious bath soak</t>
  </si>
  <si>
    <t>Imperial Leather</t>
  </si>
  <si>
    <t>Antibacterial Hand Wash</t>
  </si>
  <si>
    <t>Shower Cream</t>
  </si>
  <si>
    <t>HP Sauce</t>
  </si>
  <si>
    <t>450 g</t>
  </si>
  <si>
    <t>Kraft Heinz Foods Company</t>
  </si>
  <si>
    <t>HP Sauce 600g</t>
  </si>
  <si>
    <t>2000 ml</t>
  </si>
  <si>
    <t>Citrus Punch Fruit Drink</t>
  </si>
  <si>
    <t>Oasis (UK)</t>
  </si>
  <si>
    <t>Summer Fruits Juice Drink</t>
  </si>
  <si>
    <t>Berry and Tropical Drink</t>
  </si>
  <si>
    <t>Raspberry Zero Sugar</t>
  </si>
  <si>
    <t>Fruit Twist</t>
  </si>
  <si>
    <t>Dr Pepper Zero</t>
  </si>
  <si>
    <t>1.75 L</t>
  </si>
  <si>
    <t>coca cola</t>
  </si>
  <si>
    <t>Coca-Cola Original</t>
  </si>
  <si>
    <t>Dr Pepper</t>
  </si>
  <si>
    <t>Lemon ice tea</t>
  </si>
  <si>
    <t>Peach Ice Tea</t>
  </si>
  <si>
    <t>mango ice tea</t>
  </si>
  <si>
    <t>Sunflower Oil</t>
  </si>
  <si>
    <t>Diet Sparkling Lemonade</t>
  </si>
  <si>
    <t>83 g</t>
  </si>
  <si>
    <t>Fresh Whole Milk</t>
  </si>
  <si>
    <t>Chillies</t>
  </si>
  <si>
    <t>cherryade</t>
  </si>
  <si>
    <t>Natural Mineral Water Still</t>
  </si>
  <si>
    <t>Natural mineral water</t>
  </si>
  <si>
    <t>Diet Cloudy Lemonade</t>
  </si>
  <si>
    <t>Tomato Ketchup</t>
  </si>
  <si>
    <t>470 g</t>
  </si>
  <si>
    <t>Sparkling Natural Mineral Water</t>
  </si>
  <si>
    <t>Sparkling Lemonade</t>
  </si>
  <si>
    <t>Mango and Passion Fruit Smoothie</t>
  </si>
  <si>
    <t>1.136 L</t>
  </si>
  <si>
    <t>Organic Fresh Semi-Skimmed Milk</t>
  </si>
  <si>
    <t>Organic Fresh Whole Milk</t>
  </si>
  <si>
    <t>Real Fruit Juice Drink</t>
  </si>
  <si>
    <t>Robinsons</t>
  </si>
  <si>
    <t>Apple and blackcurrant</t>
  </si>
  <si>
    <t>Fruit Skittles</t>
  </si>
  <si>
    <t>38 g</t>
  </si>
  <si>
    <t>galaxy</t>
  </si>
  <si>
    <t>75 g</t>
  </si>
  <si>
    <t>Mars</t>
  </si>
  <si>
    <t>MalteserTeasers</t>
  </si>
  <si>
    <t>Maltesers</t>
  </si>
  <si>
    <t>Celebrations chocolate</t>
  </si>
  <si>
    <t>Celebrations</t>
  </si>
  <si>
    <t>Pressed Apple Juice</t>
  </si>
  <si>
    <t>Moisturising Lotion</t>
  </si>
  <si>
    <t>E45</t>
  </si>
  <si>
    <t>Digestive biscuits</t>
  </si>
  <si>
    <t>Mc Vities</t>
  </si>
  <si>
    <t>Pladis</t>
  </si>
  <si>
    <t>Apple Juice with Elderflower</t>
  </si>
  <si>
    <t>Energy Orange Sport</t>
  </si>
  <si>
    <t>Euro Shopper</t>
  </si>
  <si>
    <t>AMS Sourcing B.V.</t>
  </si>
  <si>
    <t>Isotonic Orange Sport Drink</t>
  </si>
  <si>
    <t>Emerge</t>
  </si>
  <si>
    <t>Refresco Drinks UK</t>
  </si>
  <si>
    <t>Isotonic Tropical &amp; Berry Drink</t>
  </si>
  <si>
    <t>Thick bleach</t>
  </si>
  <si>
    <t>Domestos</t>
  </si>
  <si>
    <t>Slimline Lemonade</t>
  </si>
  <si>
    <t>Cadbury Richoco</t>
  </si>
  <si>
    <t>Malta</t>
  </si>
  <si>
    <t>Guinness</t>
  </si>
  <si>
    <t>Alvaro Malt non-alcoholic beer</t>
  </si>
  <si>
    <t>Alvaro</t>
  </si>
  <si>
    <t>Pure Sunflower Oil</t>
  </si>
  <si>
    <t>Flora</t>
  </si>
  <si>
    <t>Upfield Europe BV</t>
  </si>
  <si>
    <t>Crisps</t>
  </si>
  <si>
    <t>Discos</t>
  </si>
  <si>
    <t>Cheddar &amp; Onion Crisps</t>
  </si>
  <si>
    <t>McCoys</t>
  </si>
  <si>
    <t>Intersnack Group</t>
  </si>
  <si>
    <t>Space Raiders Beef</t>
  </si>
  <si>
    <t>Space Raiders</t>
  </si>
  <si>
    <t>Organic Milk Semi-Skimmed</t>
  </si>
  <si>
    <t>Yeo Valley Organic</t>
  </si>
  <si>
    <t>Extra Mature Cheddar</t>
  </si>
  <si>
    <t>350 g</t>
  </si>
  <si>
    <t>Cathedral City</t>
  </si>
  <si>
    <t>550g</t>
  </si>
  <si>
    <t>Glacier Mints</t>
  </si>
  <si>
    <t>Fox's</t>
  </si>
  <si>
    <t>Valeo Foods Group</t>
  </si>
  <si>
    <t>Walkers crisps</t>
  </si>
  <si>
    <t>Baked Cheese and Onion Crisps</t>
  </si>
  <si>
    <t>22 g</t>
  </si>
  <si>
    <t>Salt and vinegar crisps</t>
  </si>
  <si>
    <t>Corn Snacks</t>
  </si>
  <si>
    <t>Cheese And Onion Crisps</t>
  </si>
  <si>
    <t>Tangy Cheese</t>
  </si>
  <si>
    <t>Prawn Cocktail Crisps Multipack</t>
  </si>
  <si>
    <t>Cheese flavour</t>
  </si>
  <si>
    <t>34 g</t>
  </si>
  <si>
    <t>Quavers</t>
  </si>
  <si>
    <t>Monster Munch Beef</t>
  </si>
  <si>
    <t>Pickled Onion flavour potato snacks</t>
  </si>
  <si>
    <t>Monster Munch</t>
  </si>
  <si>
    <t>Tangy cheese</t>
  </si>
  <si>
    <t>Cool Original</t>
  </si>
  <si>
    <t>Low Calorie Strawberry Juice Drink with Sweeteners</t>
  </si>
  <si>
    <t>Simply Fruity</t>
  </si>
  <si>
    <t>A.G. BARR PLC</t>
  </si>
  <si>
    <t>Cola drink</t>
  </si>
  <si>
    <t>Barr</t>
  </si>
  <si>
    <t>Irn-Bru</t>
  </si>
  <si>
    <t>Sugar Free Carbonated Drink</t>
  </si>
  <si>
    <t>Cherryade</t>
  </si>
  <si>
    <t>American Cream Soda</t>
  </si>
  <si>
    <t>Irn Bru Xtra</t>
  </si>
  <si>
    <t>Irn Bru</t>
  </si>
  <si>
    <t>Orange &amp; Mango Spring Water</t>
  </si>
  <si>
    <t>Rubicon</t>
  </si>
  <si>
    <t>Sugar Free Carbonated Soft Drink</t>
  </si>
  <si>
    <t>Sour Apple</t>
  </si>
  <si>
    <t>Orangeade</t>
  </si>
  <si>
    <t>Fruity Lemonade</t>
  </si>
  <si>
    <t>Morango Refresco</t>
  </si>
  <si>
    <t>Superkings</t>
  </si>
  <si>
    <t>JPS</t>
  </si>
  <si>
    <t>Imperial Tobacco Limited</t>
  </si>
  <si>
    <t>whole 3.7% fat milk</t>
  </si>
  <si>
    <t>Semi-Skimmed Milk</t>
  </si>
  <si>
    <t>Ashbeck English Natural Mineral Water</t>
  </si>
  <si>
    <t>Original Anti-Perspirant</t>
  </si>
  <si>
    <t>Dove</t>
  </si>
  <si>
    <t>Half and Half Medium Loaf</t>
  </si>
  <si>
    <t>Warburtons</t>
  </si>
  <si>
    <t>Warburtons Holdings Limited</t>
  </si>
  <si>
    <t>Drench</t>
  </si>
  <si>
    <t>Dark Berry Sugar Free</t>
  </si>
  <si>
    <t>Tango</t>
  </si>
  <si>
    <t>Raspberry &amp; Apple Drink</t>
  </si>
  <si>
    <t>Merrylicious</t>
  </si>
  <si>
    <t>275 ml</t>
  </si>
  <si>
    <t>Fruit Shoot</t>
  </si>
  <si>
    <t>Malta Guinness</t>
  </si>
  <si>
    <t>Natural Yogurt</t>
  </si>
  <si>
    <t>Morrisons</t>
  </si>
  <si>
    <t>Orange and Peach Flavoured Water</t>
  </si>
  <si>
    <t>Qudruple chocolate cookies</t>
  </si>
  <si>
    <t>18 year old Single Malt Whisky</t>
  </si>
  <si>
    <t>Glenfiddich</t>
  </si>
  <si>
    <t>William Grant &amp; Sons</t>
  </si>
  <si>
    <t>lemon &amp; lime zero</t>
  </si>
  <si>
    <t>Rodeo</t>
  </si>
  <si>
    <t>Pedigree</t>
  </si>
  <si>
    <t>Vimto No Added Sugar</t>
  </si>
  <si>
    <t>Boisson sans alcool</t>
  </si>
  <si>
    <t>Orange, Strawberry &amp; Lime Juice Drink</t>
  </si>
  <si>
    <t>Spring Water (8-pack)</t>
  </si>
  <si>
    <t>4000 ml</t>
  </si>
  <si>
    <t>Highland Spring</t>
  </si>
  <si>
    <t>HIGHLAND SPRING LIMITED</t>
  </si>
  <si>
    <t>Highland Spring Mineral Water - Sparkling</t>
  </si>
  <si>
    <t>Irn Bru Sugar Free</t>
  </si>
  <si>
    <t>Vital</t>
  </si>
  <si>
    <t>Deep River Rock</t>
  </si>
  <si>
    <t>Coca-Cola Carbonated Soft Drink</t>
  </si>
  <si>
    <t>Pineapple Carbonated Soft Drink</t>
  </si>
  <si>
    <t>Tonic water</t>
  </si>
  <si>
    <t>Set Honey</t>
  </si>
  <si>
    <t>1360 g</t>
  </si>
  <si>
    <t>Rowse</t>
  </si>
  <si>
    <t>Rowse Honey Ltd</t>
  </si>
  <si>
    <t>Organic Honey</t>
  </si>
  <si>
    <t>organic honey</t>
  </si>
  <si>
    <t>3X340g</t>
  </si>
  <si>
    <t>Shineand Protect</t>
  </si>
  <si>
    <t>Finish</t>
  </si>
  <si>
    <t>Reckitt Benckiser Group PLC</t>
  </si>
  <si>
    <t>Liquid Hand Wash</t>
  </si>
  <si>
    <t>Dettol</t>
  </si>
  <si>
    <t>Mango Juice Drink</t>
  </si>
  <si>
    <t>advance</t>
  </si>
  <si>
    <t>1.0l</t>
  </si>
  <si>
    <t>shell</t>
  </si>
  <si>
    <t>Shell Kenya</t>
  </si>
  <si>
    <t>Disinfectant Cleaner</t>
  </si>
  <si>
    <t>Fabulosa</t>
  </si>
  <si>
    <t>shell rimula</t>
  </si>
  <si>
    <t>1.0L</t>
  </si>
  <si>
    <t>1l</t>
  </si>
  <si>
    <t>Stripes</t>
  </si>
  <si>
    <t>140 g</t>
  </si>
  <si>
    <t>Maoam</t>
  </si>
  <si>
    <t>Starmix</t>
  </si>
  <si>
    <t>160g</t>
  </si>
  <si>
    <t>Supermix</t>
  </si>
  <si>
    <t>Haribo Merry mix</t>
  </si>
  <si>
    <t>160 g</t>
  </si>
  <si>
    <t>Strathmore</t>
  </si>
  <si>
    <t>Shower + Oils Gel</t>
  </si>
  <si>
    <t>Right Guard</t>
  </si>
  <si>
    <t>Pure Coconut Oil</t>
  </si>
  <si>
    <t>KTC</t>
  </si>
  <si>
    <t>KTC Edibles Limited</t>
  </si>
  <si>
    <t>Broken Vermicilli</t>
  </si>
  <si>
    <t>Sparkling Mineral Water</t>
  </si>
  <si>
    <t>Still Water</t>
  </si>
  <si>
    <t>1.5l</t>
  </si>
  <si>
    <t>Buxton still water</t>
  </si>
  <si>
    <t>Heinz</t>
  </si>
  <si>
    <t>Hand Hygiene Gel</t>
  </si>
  <si>
    <t>Calypso</t>
  </si>
  <si>
    <t>Linco Care Ltd</t>
  </si>
  <si>
    <t>Semi-skimmed Milk</t>
  </si>
  <si>
    <t>Müller</t>
  </si>
  <si>
    <t>Keringet</t>
  </si>
  <si>
    <t>Scottish Spring Water Cranberry &amp; Raspberry</t>
  </si>
  <si>
    <t>MacB</t>
  </si>
  <si>
    <t>Refresco Beverages UK Ltd</t>
  </si>
  <si>
    <t>Strawberry &amp; Kiwi</t>
  </si>
  <si>
    <t>Apple &amp; Blackcurrant</t>
  </si>
  <si>
    <t>Citrus Juice Drink</t>
  </si>
  <si>
    <t>Tropical Berry Sport Drink</t>
  </si>
  <si>
    <t>Tropical Sport</t>
  </si>
  <si>
    <t>Orange Sport</t>
  </si>
  <si>
    <t>Berries Sport</t>
  </si>
  <si>
    <t>Original Energy Drink</t>
  </si>
  <si>
    <t>Glucose Sparkling Cherry</t>
  </si>
  <si>
    <t>Tropical Berry</t>
  </si>
  <si>
    <t>Tropical Berry Sport</t>
  </si>
  <si>
    <t>Milk Chocolate</t>
  </si>
  <si>
    <t>White Chocolate</t>
  </si>
  <si>
    <t>Strawberry Zing</t>
  </si>
  <si>
    <t>Bonsai Feed</t>
  </si>
  <si>
    <t>westland</t>
  </si>
  <si>
    <t>Westland Horticulture Ltd</t>
  </si>
  <si>
    <t>Mini Pops Bubble Hum</t>
  </si>
  <si>
    <t>Zodiac</t>
  </si>
  <si>
    <t>Big Time Soft Drinks Ltd</t>
  </si>
  <si>
    <t>Aspar Pharmaceutical Dispersible Aspirin</t>
  </si>
  <si>
    <t>75 mg</t>
  </si>
  <si>
    <t>Dispersible Aspirin 75mg Tablets 100's pot</t>
  </si>
  <si>
    <t>Aspar Pharmaceuticals Ltd</t>
  </si>
  <si>
    <t>Princes Gate</t>
  </si>
  <si>
    <t>Princes Gate Spring Water Ltd</t>
  </si>
  <si>
    <t>Giant Spotted Cookie</t>
  </si>
  <si>
    <t>55 g</t>
  </si>
  <si>
    <t>Oh So...Scrummy</t>
  </si>
  <si>
    <t>Handmade Speciality Products Ltd</t>
  </si>
  <si>
    <t>Maltina</t>
  </si>
  <si>
    <t>33cl</t>
  </si>
  <si>
    <t>Nigerian Breweries Plc</t>
  </si>
  <si>
    <t>Malt Drink</t>
  </si>
  <si>
    <t>Nivea soft moisturising cream</t>
  </si>
  <si>
    <t>Radnor</t>
  </si>
  <si>
    <t>Radnor Hills Mineral Water Company Limited</t>
  </si>
  <si>
    <t>Radnor Hills Water</t>
  </si>
  <si>
    <t>Forest Fruits Water</t>
  </si>
  <si>
    <t>Peach Fizz</t>
  </si>
  <si>
    <t>Tropical Fizz</t>
  </si>
  <si>
    <t>Splash</t>
  </si>
  <si>
    <t>Red Kola</t>
  </si>
  <si>
    <t>Shea Body Moisturiser</t>
  </si>
  <si>
    <t>The Body Shop</t>
  </si>
  <si>
    <t>The Body Shop International Ltd</t>
  </si>
  <si>
    <t>British Rose Body Moisturiser</t>
  </si>
  <si>
    <t>192 g</t>
  </si>
  <si>
    <t>Tesco Window and Glass Cleaner Spray</t>
  </si>
  <si>
    <t>485 mg</t>
  </si>
  <si>
    <t>All-purpose Sanitiser</t>
  </si>
  <si>
    <t>Bio-D</t>
  </si>
  <si>
    <t>Liquid Handwash</t>
  </si>
  <si>
    <t>Whole Milk</t>
  </si>
  <si>
    <t>Freshways</t>
  </si>
  <si>
    <t>Nijjar Diaries Ltd</t>
  </si>
  <si>
    <t>Yeo valley</t>
  </si>
  <si>
    <t>super thick creamy yoghurt</t>
  </si>
  <si>
    <t>Citrus Shield Juice</t>
  </si>
  <si>
    <t>innocent</t>
  </si>
  <si>
    <t>Blueberries, peaches and apples</t>
  </si>
  <si>
    <t>Smoothie Mangoes Passion Fruits Apples</t>
  </si>
  <si>
    <t>Blue Skies</t>
  </si>
  <si>
    <t>Orange Original Drink</t>
  </si>
  <si>
    <t>Orange Fruit Shoot</t>
  </si>
  <si>
    <t>Fruit Shoot Apple &amp; Blackcurrant</t>
  </si>
  <si>
    <t>605 ml</t>
  </si>
  <si>
    <t>Tesco Organic Semi-Skimmed Milk</t>
  </si>
  <si>
    <t>Organic Free Range Whole Milk</t>
  </si>
  <si>
    <t>Malaysian Curry Rice</t>
  </si>
  <si>
    <t>78 g</t>
  </si>
  <si>
    <t>Thai Style</t>
  </si>
  <si>
    <t>104 g</t>
  </si>
  <si>
    <t>Tesco Lime Juice</t>
  </si>
  <si>
    <t>British Aberdeen Angus Steak Mince</t>
  </si>
  <si>
    <t>Table Salt</t>
  </si>
  <si>
    <t>best-one</t>
  </si>
  <si>
    <t>Orange Energy Drink</t>
  </si>
  <si>
    <t>Ribena</t>
  </si>
  <si>
    <t>Lucozade Energy Original</t>
  </si>
  <si>
    <t>Lucozade Sport Orange Still</t>
  </si>
  <si>
    <t>Orange Sport Drink</t>
  </si>
  <si>
    <t>Caribbean Cruise</t>
  </si>
  <si>
    <t>Raspberry Sport Drink</t>
  </si>
  <si>
    <t>Blackcurrant Flavour Carbonated Drink</t>
  </si>
  <si>
    <t>Brazilian Mango and Mandarin</t>
  </si>
  <si>
    <t>Sport Raspberry</t>
  </si>
  <si>
    <t>Energy Drink Original</t>
  </si>
  <si>
    <t>Lucozade Apple Blast</t>
  </si>
  <si>
    <t>Apple Blast</t>
  </si>
  <si>
    <t>900 ml</t>
  </si>
  <si>
    <t>Lucozade Zero</t>
  </si>
  <si>
    <t>Lucozade Energy</t>
  </si>
  <si>
    <t>1450 ml</t>
  </si>
  <si>
    <t>Lucozade Original</t>
  </si>
  <si>
    <t>Lucozade Energy drink</t>
  </si>
  <si>
    <t>lucozade sport orange</t>
  </si>
  <si>
    <t>Zero Sugar Pink Lemonade</t>
  </si>
  <si>
    <t>Original Washing-up Liquid</t>
  </si>
  <si>
    <t>Tropical laundry gel</t>
  </si>
  <si>
    <t>888 ml</t>
  </si>
  <si>
    <t>Trail mix</t>
  </si>
  <si>
    <t>Original Carbonated Energy Drink</t>
  </si>
  <si>
    <t>Boost Sport Carbonated Drink</t>
  </si>
  <si>
    <t>Sport Isotonic Mixed Berry Drink</t>
  </si>
  <si>
    <t>Sport Isotonic Tropical Berry</t>
  </si>
  <si>
    <t>Boost Sport</t>
  </si>
  <si>
    <t>Citrus</t>
  </si>
  <si>
    <t>Raspberry</t>
  </si>
  <si>
    <t>Aqua Pura</t>
  </si>
  <si>
    <t>Sources Alma</t>
  </si>
  <si>
    <t>Galaxy drink</t>
  </si>
  <si>
    <t>Galaxy</t>
  </si>
  <si>
    <t>Zesty lemon washing up liquid</t>
  </si>
  <si>
    <t>Sea Minerals Extracts Shower Gel</t>
  </si>
  <si>
    <t>Extracts of Eucalyptus Antibacterial Handwash</t>
  </si>
  <si>
    <t>Roasted and Salted cashews</t>
  </si>
  <si>
    <t>Orange Fruit Splash</t>
  </si>
  <si>
    <t>Mature Cheddar</t>
  </si>
  <si>
    <t>320 g</t>
  </si>
  <si>
    <t>Triple chocolate fudge bar</t>
  </si>
  <si>
    <t>My Protein</t>
  </si>
  <si>
    <t>The Hut Group PLC</t>
  </si>
  <si>
    <t>Harrogate</t>
  </si>
  <si>
    <t>Harrogate Spring Water</t>
  </si>
  <si>
    <t>Lightly Sea Salted Crisps</t>
  </si>
  <si>
    <t>Tyrrell's</t>
  </si>
  <si>
    <t>Astonish moisture and protect</t>
  </si>
  <si>
    <t>650 ml</t>
  </si>
  <si>
    <t>Astonish</t>
  </si>
  <si>
    <t>The London Oil Refining Company ltd</t>
  </si>
  <si>
    <t>Smart bar</t>
  </si>
  <si>
    <t>PhD</t>
  </si>
  <si>
    <t>PhD Nutrition</t>
  </si>
  <si>
    <t>Chocolate and malt flavour drink</t>
  </si>
  <si>
    <t>376 ml</t>
  </si>
  <si>
    <t>Durum Wheat Piadina Midi Flatbreads</t>
  </si>
  <si>
    <t>240 g</t>
  </si>
  <si>
    <t>Crosta and Mollica</t>
  </si>
  <si>
    <t>Perwyn</t>
  </si>
  <si>
    <t>Rocking Fantasy</t>
  </si>
  <si>
    <t>Dear Body</t>
  </si>
  <si>
    <t>Cleanse and Polish</t>
  </si>
  <si>
    <t>Liz Earle</t>
  </si>
  <si>
    <t>Liz Earle Beauty Co. Limited</t>
  </si>
  <si>
    <t>Aloe Drink</t>
  </si>
  <si>
    <t>Just Drink</t>
  </si>
  <si>
    <t>Aloe drink Summer Berries</t>
  </si>
  <si>
    <t>Mars chocolate milk drink</t>
  </si>
  <si>
    <t>THE KING SUNFLOWER OIL</t>
  </si>
  <si>
    <t>The King</t>
  </si>
  <si>
    <t>AE</t>
  </si>
  <si>
    <t>QP Agro</t>
  </si>
  <si>
    <t>Energy Drink Original Flavour</t>
  </si>
  <si>
    <t>Power Play</t>
  </si>
  <si>
    <t>Carbonated  energy drink</t>
  </si>
  <si>
    <t>Papadums</t>
  </si>
  <si>
    <t>Shalimar</t>
  </si>
  <si>
    <t>AIB Foods Limited</t>
  </si>
  <si>
    <t>Carbonated Energy Drink</t>
  </si>
  <si>
    <t>Predator Energy</t>
  </si>
  <si>
    <t>Gold Strike Energy Drink</t>
  </si>
  <si>
    <t>Smoov chapman</t>
  </si>
  <si>
    <t>35cl</t>
  </si>
  <si>
    <t>Kyra gentle face wash</t>
  </si>
  <si>
    <t>120ml</t>
  </si>
  <si>
    <t>Gruum</t>
  </si>
  <si>
    <t>Gruum Europe Ltd</t>
  </si>
  <si>
    <t>Altruist SPF50 Sunscreen</t>
  </si>
  <si>
    <t>Zongo</t>
  </si>
  <si>
    <t>UNITY BEVERAGES</t>
  </si>
  <si>
    <t>Aloe Vera Drink Strawberry</t>
  </si>
  <si>
    <t>Dr. Aloe</t>
  </si>
  <si>
    <t>Merran Ltd</t>
  </si>
  <si>
    <t>75 ml</t>
  </si>
  <si>
    <t>Zatopi</t>
  </si>
  <si>
    <t>GR</t>
  </si>
  <si>
    <t>Zagori</t>
  </si>
  <si>
    <t>Vikos</t>
  </si>
  <si>
    <t>Epirotic Bottling Industry S.A.</t>
  </si>
  <si>
    <t>Xtra Berry Flavoured Carbonated Soft Drink</t>
  </si>
  <si>
    <t>Extra carbonate soft drink</t>
  </si>
  <si>
    <t>afya drinking water</t>
  </si>
  <si>
    <t>Djino</t>
  </si>
  <si>
    <t>Seven powers 7777777</t>
  </si>
  <si>
    <t>Seven Powers 7777777</t>
  </si>
  <si>
    <t>Cybele Cosmetic Products</t>
  </si>
  <si>
    <t>Cyprina red grape</t>
  </si>
  <si>
    <t>Cyprina</t>
  </si>
  <si>
    <t>CY</t>
  </si>
  <si>
    <t>New Sevegep ltd</t>
  </si>
  <si>
    <t>VIDA</t>
  </si>
  <si>
    <t>Adam Industrie</t>
  </si>
  <si>
    <t>Eau mineral</t>
  </si>
  <si>
    <t>Protective sun lotion</t>
  </si>
  <si>
    <t>60 ml</t>
  </si>
  <si>
    <t>Banana Boat</t>
  </si>
  <si>
    <t>Edgewell Personal Care</t>
  </si>
  <si>
    <t>Demi-ecreme</t>
  </si>
  <si>
    <t>Boni Selection</t>
  </si>
  <si>
    <t>Colyrut Group Services</t>
  </si>
  <si>
    <t>Juice</t>
  </si>
  <si>
    <t>Cappy</t>
  </si>
  <si>
    <t>Delight. Mango</t>
  </si>
  <si>
    <t>Tropical Delight</t>
  </si>
  <si>
    <t>Soda Water</t>
  </si>
  <si>
    <t>Krest</t>
  </si>
  <si>
    <t>cappy delight goiaba</t>
  </si>
  <si>
    <t>Top Orange Boisson Gazeuse</t>
  </si>
  <si>
    <t>Youzou</t>
  </si>
  <si>
    <t>SPA Reine</t>
  </si>
  <si>
    <t>S.A. SPADEL N.V.</t>
  </si>
  <si>
    <t>Original Dishwashing Liquid</t>
  </si>
  <si>
    <t>433 ml</t>
  </si>
  <si>
    <t>Milk Drink</t>
  </si>
  <si>
    <t>Yazoo</t>
  </si>
  <si>
    <t>Koninklijke FrieslandCampina N.V.</t>
  </si>
  <si>
    <t>Yazoo Milk Drink</t>
  </si>
  <si>
    <t>Chocolate milk drink</t>
  </si>
  <si>
    <t>Rinse Aid</t>
  </si>
  <si>
    <t>Ecover</t>
  </si>
  <si>
    <t>S. C. Johnson &amp; Son, Inc.</t>
  </si>
  <si>
    <t>Sensitive Washing Up Liquid</t>
  </si>
  <si>
    <t>Zero Wool &amp; Delicates Laundry Liquid</t>
  </si>
  <si>
    <t>Bleach</t>
  </si>
  <si>
    <t>Bathroom Cleaner</t>
  </si>
  <si>
    <t>Vinagre Branco</t>
  </si>
  <si>
    <t>Oasis (MZ)</t>
  </si>
  <si>
    <t>Águas de Ribaue Lda</t>
  </si>
  <si>
    <t>Mineral water</t>
  </si>
  <si>
    <t>Kitulo</t>
  </si>
  <si>
    <t>Berry Flavoured Carbonated Soft Drink</t>
  </si>
  <si>
    <t>Coca Cola Cans 330ml Pk24 A00768</t>
  </si>
  <si>
    <t>0.33L</t>
  </si>
  <si>
    <t>Fanta Orange Zero</t>
  </si>
  <si>
    <t>Fanta Grape</t>
  </si>
  <si>
    <t>Lemon Lime Carbonated Drink</t>
  </si>
  <si>
    <t>Boisson Sucré</t>
  </si>
  <si>
    <t>Fanta orange</t>
  </si>
  <si>
    <t>Carbonated beverage</t>
  </si>
  <si>
    <t>Coke Light</t>
  </si>
  <si>
    <t>Pineapple / Ananás</t>
  </si>
  <si>
    <t>Pine-nut carbonated soft drink</t>
  </si>
  <si>
    <t>1.25L</t>
  </si>
  <si>
    <t>Orange Flavored Drink</t>
  </si>
  <si>
    <t>Lemon-lime Flavoured Drink</t>
  </si>
  <si>
    <t>Smartwater</t>
  </si>
  <si>
    <t>Boisson gazeuse</t>
  </si>
  <si>
    <t>Boisson rafraîchissante</t>
  </si>
  <si>
    <t>1.5 ml</t>
  </si>
  <si>
    <t>Orange Carbonated Drink</t>
  </si>
  <si>
    <t>Lemon Flavoured Drink</t>
  </si>
  <si>
    <t>Twist</t>
  </si>
  <si>
    <t>2.5 L</t>
  </si>
  <si>
    <t>Passion Fruit Flavoured Drink</t>
  </si>
  <si>
    <t>prepared water</t>
  </si>
  <si>
    <t>5</t>
  </si>
  <si>
    <t>Still Drinking Water</t>
  </si>
  <si>
    <t>Granadilla Flavoured Drink</t>
  </si>
  <si>
    <t>Carbonated soft drink stoney Tangawizi/ ginger</t>
  </si>
  <si>
    <t>Carbonated Lemon- Lime no sugar</t>
  </si>
  <si>
    <t>Valpre</t>
  </si>
  <si>
    <t>Refrigerante Lima/Limão</t>
  </si>
  <si>
    <t>Sparletta Pine Nut</t>
  </si>
  <si>
    <t>DRINKING WATER</t>
  </si>
  <si>
    <t>Agua del Manantial Santolin</t>
  </si>
  <si>
    <t>aquaBona</t>
  </si>
  <si>
    <t>Agua del Manantial Fontoira</t>
  </si>
  <si>
    <t>Summer Fruits</t>
  </si>
  <si>
    <t>Citrus Punch</t>
  </si>
  <si>
    <t>Eva table water</t>
  </si>
  <si>
    <t>Premium Table Water</t>
  </si>
  <si>
    <t>Sparkling Drinking Water</t>
  </si>
  <si>
    <t>Soda water</t>
  </si>
  <si>
    <t>Bitter Lemon</t>
  </si>
  <si>
    <t>Strawberry / Morango Carbonated Soft Drink</t>
  </si>
  <si>
    <t>Grape / Uva Refresco</t>
  </si>
  <si>
    <t>coke zero</t>
  </si>
  <si>
    <t>sprite</t>
  </si>
  <si>
    <t>Citrus Carbonated Soft Drink</t>
  </si>
  <si>
    <t>Delight Apple</t>
  </si>
  <si>
    <t>Te Verde Maracuja</t>
  </si>
  <si>
    <t>Tangawizi / Ginger Beer Soft Drink</t>
  </si>
  <si>
    <t>Stoney</t>
  </si>
  <si>
    <t>Delight Tropical</t>
  </si>
  <si>
    <t>Mango Carbonated Soft Drink</t>
  </si>
  <si>
    <t>1 litre</t>
  </si>
  <si>
    <t>Zero Sugar Fruit Twist</t>
  </si>
  <si>
    <t>Smartwater Still</t>
  </si>
  <si>
    <t>850 ml</t>
  </si>
  <si>
    <t>Coca-Cola Light</t>
  </si>
  <si>
    <t>HU</t>
  </si>
  <si>
    <t>Lemon / Citron flavour Carbonated Soft Drink</t>
  </si>
  <si>
    <t>Soft Drink</t>
  </si>
  <si>
    <t>Berry Blast</t>
  </si>
  <si>
    <t>Regular</t>
  </si>
  <si>
    <t>Diet Sprite</t>
  </si>
  <si>
    <t>440 ml</t>
  </si>
  <si>
    <t>Lemon-Lime Carbonated Drink</t>
  </si>
  <si>
    <t>Indian Tonic Water no sugar</t>
  </si>
  <si>
    <t>Blackcurrent Flavoured Drink</t>
  </si>
  <si>
    <t>425 ml</t>
  </si>
  <si>
    <t>Xarope Aromatizado</t>
  </si>
  <si>
    <t>Mazoe</t>
  </si>
  <si>
    <t>Lemon-Lime Flavoured</t>
  </si>
  <si>
    <t>mango juice</t>
  </si>
  <si>
    <t>Ginger Beer</t>
  </si>
  <si>
    <t>Tangawizi</t>
  </si>
  <si>
    <t>1.25l</t>
  </si>
  <si>
    <t>Pump Low Kilojoule Still Lemon Flavoured Drink</t>
  </si>
  <si>
    <t>Zero sugar</t>
  </si>
  <si>
    <t>Nutridefenses,nectar tropical</t>
  </si>
  <si>
    <t>Mango</t>
  </si>
  <si>
    <t>Minute Maid Orange - Laranja</t>
  </si>
  <si>
    <t>Apple flavoured drink</t>
  </si>
  <si>
    <t>Embe flavoured drink</t>
  </si>
  <si>
    <t>Delight Mango Flavoured Drink</t>
  </si>
  <si>
    <t>Dry Lemon</t>
  </si>
  <si>
    <t>Da Terra Fruit Juice</t>
  </si>
  <si>
    <t>Sumo Cappy</t>
  </si>
  <si>
    <t>Delight. manga</t>
  </si>
  <si>
    <t>Coca Cola Sabco (Mozambique) SARL</t>
  </si>
  <si>
    <t>Chapman Carbonated Soft Drink</t>
  </si>
  <si>
    <t>Rwenzori</t>
  </si>
  <si>
    <t>Novida Nanasi Flavoured</t>
  </si>
  <si>
    <t>2</t>
  </si>
  <si>
    <t>Sparberry</t>
  </si>
  <si>
    <t>Orange Flavoured Sports Drink</t>
  </si>
  <si>
    <t>mountain blast sports drink</t>
  </si>
  <si>
    <t>Tonic Water</t>
  </si>
  <si>
    <t>Lemon-Lime Flavoured Drink</t>
  </si>
  <si>
    <t>Orange Zero Sugar</t>
  </si>
  <si>
    <t>Berry &amp; Tropical Fruits Isotonic Sports Drink</t>
  </si>
  <si>
    <t>Cherry</t>
  </si>
  <si>
    <t>Passion Flavour Carbonated Drink</t>
  </si>
  <si>
    <t>Passion Fruit Flavour Carbonated Drink</t>
  </si>
  <si>
    <t>Anti bacterial hand hygiene gel</t>
  </si>
  <si>
    <t>Non Alcoholic Malt Drink</t>
  </si>
  <si>
    <t>Água de Mesa Natural</t>
  </si>
  <si>
    <t>Atlantis</t>
  </si>
  <si>
    <t>Nutre Group</t>
  </si>
  <si>
    <t>Água de nascente</t>
  </si>
  <si>
    <t>nutro</t>
  </si>
  <si>
    <t>Nutritir - Distribuição Alimentar, Lda</t>
  </si>
  <si>
    <t>Condimento Balsâmico</t>
  </si>
  <si>
    <t>Cider Vinager / Vinagre de Sidra</t>
  </si>
  <si>
    <t>Água de mesa</t>
  </si>
  <si>
    <t>Levita</t>
  </si>
  <si>
    <t>Água da nascente</t>
  </si>
  <si>
    <t>Caramulo</t>
  </si>
  <si>
    <t>Mountain Water</t>
  </si>
  <si>
    <t>Óleo alimentar</t>
  </si>
  <si>
    <t>Fula</t>
  </si>
  <si>
    <t>Sovena Group</t>
  </si>
  <si>
    <t>Oleo Alimentar</t>
  </si>
  <si>
    <t>Serra da Estrela</t>
  </si>
  <si>
    <t>SUMOL+COMPAL, S.A.</t>
  </si>
  <si>
    <t>Refrigerante</t>
  </si>
  <si>
    <t>Guaraná Antartica</t>
  </si>
  <si>
    <t>Yoghurt drink</t>
  </si>
  <si>
    <t>155 g</t>
  </si>
  <si>
    <t>Activia</t>
  </si>
  <si>
    <t>Colombia Café Torrado Moido</t>
  </si>
  <si>
    <t>220 g</t>
  </si>
  <si>
    <t>Delta</t>
  </si>
  <si>
    <t>Grupo Nabeiro</t>
  </si>
  <si>
    <t>Cafe Torrado Moido Descafeinado</t>
  </si>
  <si>
    <t>Engine Oil SAE10W-40</t>
  </si>
  <si>
    <t>Galp</t>
  </si>
  <si>
    <t>Galp Energia, SGPS, S.A.</t>
  </si>
  <si>
    <t>Da Terra Juice Cashew, Mango and Coconut</t>
  </si>
  <si>
    <t>Compal</t>
  </si>
  <si>
    <t>1.5</t>
  </si>
  <si>
    <t>Luso</t>
  </si>
  <si>
    <t>Mel de Flores / Flower Honey</t>
  </si>
  <si>
    <t>Continente</t>
  </si>
  <si>
    <t>MODELO CONTINENTE HIPERMERCADOS, S.A.</t>
  </si>
  <si>
    <t>Equilibrio Jam 4 Frutos Vermelhos</t>
  </si>
  <si>
    <t>340g</t>
  </si>
  <si>
    <t>Cafe Descadeinado Moagem Fina</t>
  </si>
  <si>
    <t>Flocos de Aveia Integral Finos</t>
  </si>
  <si>
    <t>Leite Corporal Peles Secas</t>
  </si>
  <si>
    <t>Equilibrio Multifruits Juice</t>
  </si>
  <si>
    <t>Refrigerante De Sumo De Frutos Vermelhos</t>
  </si>
  <si>
    <t>Gel de Banho Morango / Bath Gel</t>
  </si>
  <si>
    <t>Amaciador Concentrado - Suave</t>
  </si>
  <si>
    <t>Sabonete Líquido Antiodores</t>
  </si>
  <si>
    <t>Gel de Banho Mel e Coco</t>
  </si>
  <si>
    <t>Gel de Banho Leite e Mel</t>
  </si>
  <si>
    <t>Água Mineral Natural</t>
  </si>
  <si>
    <t>Vitalis</t>
  </si>
  <si>
    <t>DK</t>
  </si>
  <si>
    <t>Carlsberg Breweries A/S</t>
  </si>
  <si>
    <t>Água mineral natural</t>
  </si>
  <si>
    <t>Carvalhelhos</t>
  </si>
  <si>
    <t>Águas de Carvalhelhos, S. A.</t>
  </si>
  <si>
    <t>Agua de nasciente</t>
  </si>
  <si>
    <t>Tempero Culinário</t>
  </si>
  <si>
    <t>5 L</t>
  </si>
  <si>
    <t>Serra</t>
  </si>
  <si>
    <t>Agua de Nascente</t>
  </si>
  <si>
    <t>Alcafaz</t>
  </si>
  <si>
    <t>Empresa Central Serrana de Águas, S.A.</t>
  </si>
  <si>
    <t>Fontes de La</t>
  </si>
  <si>
    <t>Álcool Gel Desinfetante</t>
  </si>
  <si>
    <t>125 ml</t>
  </si>
  <si>
    <t>Mistolin</t>
  </si>
  <si>
    <t>Mistolin Company</t>
  </si>
  <si>
    <t>Lixívia / Bleach</t>
  </si>
  <si>
    <t>ACTY</t>
  </si>
  <si>
    <t>Acty Gel de Limpeza</t>
  </si>
  <si>
    <t>560 ml</t>
  </si>
  <si>
    <t>Limpa vidros - Acty by mistolin</t>
  </si>
  <si>
    <t>LavaTudo All Purpose Cleaner</t>
  </si>
  <si>
    <t>Ambientador</t>
  </si>
  <si>
    <t>Nathura pharma - (alcool etilico)</t>
  </si>
  <si>
    <t>Air Freshener Lemon-Lime</t>
  </si>
  <si>
    <t>Air Freshener / Ambientador</t>
  </si>
  <si>
    <t>Aveia - Flocos finos integrais</t>
  </si>
  <si>
    <t>CEM PORCENTO</t>
  </si>
  <si>
    <t>Ignoramus</t>
  </si>
  <si>
    <t>Montes Libombos</t>
  </si>
  <si>
    <t>RVA Comércio, Indústria e  Consultoria</t>
  </si>
  <si>
    <t>Montes libombos</t>
  </si>
  <si>
    <t>Molho de Soja / Soy Sauce</t>
  </si>
  <si>
    <t>135ml</t>
  </si>
  <si>
    <t>Gourmet</t>
  </si>
  <si>
    <t>Pura</t>
  </si>
  <si>
    <t>Refriango</t>
  </si>
  <si>
    <t>Speed</t>
  </si>
  <si>
    <t>Fudge</t>
  </si>
  <si>
    <t>Wood Glue</t>
  </si>
  <si>
    <t>336 ml</t>
  </si>
  <si>
    <t>Gorilla</t>
  </si>
  <si>
    <t>Oleo Refinado De Soja</t>
  </si>
  <si>
    <t>Maeva</t>
  </si>
  <si>
    <t>Oleo Vegetal Refinado</t>
  </si>
  <si>
    <t>Oleo Vegetal</t>
  </si>
  <si>
    <t>Refined Vegetable Oil</t>
  </si>
  <si>
    <t>Starbucks Frappuccino</t>
  </si>
  <si>
    <t>Starbucks</t>
  </si>
  <si>
    <t>Banana e Morango</t>
  </si>
  <si>
    <t>BeBidaláctea</t>
  </si>
  <si>
    <t>Mozam IndustriesLda</t>
  </si>
  <si>
    <t>hypoallergenic</t>
  </si>
  <si>
    <t>Tymbark juice drink</t>
  </si>
  <si>
    <t>Tymbark</t>
  </si>
  <si>
    <t>PL</t>
  </si>
  <si>
    <t>VanPur</t>
  </si>
  <si>
    <t>Van Pur Malt Drink</t>
  </si>
  <si>
    <t>Van Pur S.A.</t>
  </si>
  <si>
    <t>Daim</t>
  </si>
  <si>
    <t>70g</t>
  </si>
  <si>
    <t>mouchoirs tissues</t>
  </si>
  <si>
    <t>cotex</t>
  </si>
  <si>
    <t>UNITY Manifacturing SARL</t>
  </si>
  <si>
    <t>Milk</t>
  </si>
  <si>
    <t>Brown Spirit Vinegar</t>
  </si>
  <si>
    <t>SaveMor</t>
  </si>
  <si>
    <t>Blue Mountain Filter Coffee - Medium Roast</t>
  </si>
  <si>
    <t>Cocktails Assorted Flavoured Snack</t>
  </si>
  <si>
    <t>Burst Dairy Fruit Blend</t>
  </si>
  <si>
    <t>Skin for Men Body Lotion</t>
  </si>
  <si>
    <t>Apple &amp; Blueberry 100% Fruit Juice Blend</t>
  </si>
  <si>
    <t>Breakfast Seed Mix</t>
  </si>
  <si>
    <t>Fresh Full Cream Milk</t>
  </si>
  <si>
    <t>Tin roof</t>
  </si>
  <si>
    <t>Cream Flavoured Yoghurt</t>
  </si>
  <si>
    <t>Antiseptic</t>
  </si>
  <si>
    <t>apple cider vinegar</t>
  </si>
  <si>
    <t>375</t>
  </si>
  <si>
    <t>Safari</t>
  </si>
  <si>
    <t>Iodated Table Salt</t>
  </si>
  <si>
    <t>Sweet Chilli Sauce</t>
  </si>
  <si>
    <t>Wellington's</t>
  </si>
  <si>
    <t>Pioneer Foods (Pty)</t>
  </si>
  <si>
    <t>Essence Vanilla Flavour</t>
  </si>
  <si>
    <t>Robertsons</t>
  </si>
  <si>
    <t>Double Cream Plain Yoghurt</t>
  </si>
  <si>
    <t>1 kg</t>
  </si>
  <si>
    <t>Parmalat</t>
  </si>
  <si>
    <t>Groupe Lactalis</t>
  </si>
  <si>
    <t>Strawberry Medium Fat Yoghurt</t>
  </si>
  <si>
    <t>Strawberry medium fat yoghurt</t>
  </si>
  <si>
    <t>Nivea Men</t>
  </si>
  <si>
    <t>Shower Gel</t>
  </si>
  <si>
    <t>Oil In Lotion</t>
  </si>
  <si>
    <t>NIVEA Vanilla &amp; Almond Oil</t>
  </si>
  <si>
    <t>Care Shower Lemongrass &amp; Oil</t>
  </si>
  <si>
    <t>Ginger Nuts</t>
  </si>
  <si>
    <t>Bakers</t>
  </si>
  <si>
    <t>All Gold mustard sauce</t>
  </si>
  <si>
    <t>All Gold</t>
  </si>
  <si>
    <t>Tiger Brands Ltd</t>
  </si>
  <si>
    <t>Dream Confectionery with Biscuits</t>
  </si>
  <si>
    <t>Dairy Milk Chocolate</t>
  </si>
  <si>
    <t>Toothbrush</t>
  </si>
  <si>
    <t>Colgate</t>
  </si>
  <si>
    <t>Colgate-Palmolive Company</t>
  </si>
  <si>
    <t>Breakfast Energy Drink</t>
  </si>
  <si>
    <t>Milo</t>
  </si>
  <si>
    <t>Hot Chocolate</t>
  </si>
  <si>
    <t>Lemon Dishwashing Liquid</t>
  </si>
  <si>
    <t>Sunlight</t>
  </si>
  <si>
    <t>Unstoppable</t>
  </si>
  <si>
    <t>Bleach multi- purpose</t>
  </si>
  <si>
    <t>Omo</t>
  </si>
  <si>
    <t>Javel Multipurpose</t>
  </si>
  <si>
    <t>Multi Purpose Scourer Lemon Fresh</t>
  </si>
  <si>
    <t>Vim</t>
  </si>
  <si>
    <t>Safer Toilets Bleach</t>
  </si>
  <si>
    <t>Toilet Cleaner</t>
  </si>
  <si>
    <t>Baby Jelly Protector</t>
  </si>
  <si>
    <t>Vaseline</t>
  </si>
  <si>
    <t>Handy Andy Cream</t>
  </si>
  <si>
    <t>Handy Andy</t>
  </si>
  <si>
    <t>Creme de Limpeza</t>
  </si>
  <si>
    <t>Men Body Lotion</t>
  </si>
  <si>
    <t>Dawn</t>
  </si>
  <si>
    <t>Men Repairing Moisturiser</t>
  </si>
  <si>
    <t>Body Lotion Cocoa Butter</t>
  </si>
  <si>
    <t>Intensive Care Aloe Soothe Moisturiser</t>
  </si>
  <si>
    <t>Sunlight Liquid</t>
  </si>
  <si>
    <t>Pine Gel</t>
  </si>
  <si>
    <t>Organic Shea Butter Shampoo</t>
  </si>
  <si>
    <t>Organics</t>
  </si>
  <si>
    <t>windolene</t>
  </si>
  <si>
    <t>Windolene</t>
  </si>
  <si>
    <t>Regular Bleach</t>
  </si>
  <si>
    <t>Jik</t>
  </si>
  <si>
    <t>Bleach Pot Pourri</t>
  </si>
  <si>
    <t>Window and Glass Cleaner</t>
  </si>
  <si>
    <t>Hygiene Kitchen Cleaner</t>
  </si>
  <si>
    <t>Instant Hand Sanitizer</t>
  </si>
  <si>
    <t>Fabric</t>
  </si>
  <si>
    <t>Vanish</t>
  </si>
  <si>
    <t>Fresh anti-bacterial soap</t>
  </si>
  <si>
    <t>100g</t>
  </si>
  <si>
    <t>Savanna</t>
  </si>
  <si>
    <t>Savannah Cider</t>
  </si>
  <si>
    <t>Low Kilojoule Creme Soda Drink</t>
  </si>
  <si>
    <t>Iron Brew</t>
  </si>
  <si>
    <t>Ginger beer</t>
  </si>
  <si>
    <t>Anti-bacterial Mouthwash</t>
  </si>
  <si>
    <t>Listerine</t>
  </si>
  <si>
    <t>Johnson &amp; Johnson</t>
  </si>
  <si>
    <t>gum protection</t>
  </si>
  <si>
    <t>Ceres</t>
  </si>
  <si>
    <t>Medley of Fruits Juice</t>
  </si>
  <si>
    <t>Secrets of the Valley Fruit Juice</t>
  </si>
  <si>
    <t>Lemon flavour ice tea</t>
  </si>
  <si>
    <t>Peach flavour Ice Tea</t>
  </si>
  <si>
    <t>Caribbean Crush Nectar</t>
  </si>
  <si>
    <t>Orange Dairy Blend Concentrate</t>
  </si>
  <si>
    <t>Dairy Blend Concentrate</t>
  </si>
  <si>
    <t>Sumo de Fruta</t>
  </si>
  <si>
    <t>Advanced Toilet Cleaner</t>
  </si>
  <si>
    <t>Duck</t>
  </si>
  <si>
    <t>full cream milk</t>
  </si>
  <si>
    <t>Clover Classic Yoghurt</t>
  </si>
  <si>
    <t>Tropika</t>
  </si>
  <si>
    <t>Ananás Sumo com leite</t>
  </si>
  <si>
    <t>Tropika Drink Fruta Tropical</t>
  </si>
  <si>
    <t>Leite Meio Gordo</t>
  </si>
  <si>
    <t>Full cream Milk</t>
  </si>
  <si>
    <t>Full Cream Fresh Milk</t>
  </si>
  <si>
    <t>Full Cream Milk UHT</t>
  </si>
  <si>
    <t>Low Fat Plain Yoghurt</t>
  </si>
  <si>
    <t>Bliss double cream black forest</t>
  </si>
  <si>
    <t>1kg</t>
  </si>
  <si>
    <t>Bliss double cream choc chip</t>
  </si>
  <si>
    <t>Choc Chip Double Cream Yoghurt</t>
  </si>
  <si>
    <t>Tropika Cool Red Flavoured Dairy Fruit Drink</t>
  </si>
  <si>
    <t>Super M</t>
  </si>
  <si>
    <t>Krush APPLE</t>
  </si>
  <si>
    <t>Ultra Leite Gordo</t>
  </si>
  <si>
    <t>6 x 1 L</t>
  </si>
  <si>
    <t>Feta-Style Plain Semi-Hard Cheese</t>
  </si>
  <si>
    <t>Butro butter spread</t>
  </si>
  <si>
    <t>Orange Squash</t>
  </si>
  <si>
    <t>Oros</t>
  </si>
  <si>
    <t>Naartjie Drink</t>
  </si>
  <si>
    <t>Energade</t>
  </si>
  <si>
    <t>Sport Drink</t>
  </si>
  <si>
    <t>Blueberry Flavoured Drink</t>
  </si>
  <si>
    <t>Sports drink</t>
  </si>
  <si>
    <t>Super Brake Fluid</t>
  </si>
  <si>
    <t>Engen</t>
  </si>
  <si>
    <t>Shell</t>
  </si>
  <si>
    <t>Engen Brake Fluid</t>
  </si>
  <si>
    <t>Peach Blossom Bubble Bath</t>
  </si>
  <si>
    <t>Satiskin</t>
  </si>
  <si>
    <t>Amka Products (Pty) Ltd</t>
  </si>
  <si>
    <t>Boby cream cocoa butter</t>
  </si>
  <si>
    <t>Clere</t>
  </si>
  <si>
    <t>Body cream cocoa butter</t>
  </si>
  <si>
    <t>INSTANT Hand Sanitiser</t>
  </si>
  <si>
    <t>Sunseed</t>
  </si>
  <si>
    <t>Sealake Industries</t>
  </si>
  <si>
    <t>Drostdy Hof</t>
  </si>
  <si>
    <t>Drostdy hof premier Grand Cru</t>
  </si>
  <si>
    <t>Bond Latex Additive</t>
  </si>
  <si>
    <t>Tal</t>
  </si>
  <si>
    <t>Norcros Plc</t>
  </si>
  <si>
    <t>Keycoat latex primer</t>
  </si>
  <si>
    <t>Pure Cooking Oil</t>
  </si>
  <si>
    <t>d'lite</t>
  </si>
  <si>
    <t>Trade Kings Group</t>
  </si>
  <si>
    <t>2000ml</t>
  </si>
  <si>
    <t>5L</t>
  </si>
  <si>
    <t>Oleo Ouro</t>
  </si>
  <si>
    <t>Somol</t>
  </si>
  <si>
    <t>Brake Fluid Dot 4</t>
  </si>
  <si>
    <t>Castrol</t>
  </si>
  <si>
    <t>Castrol Limited</t>
  </si>
  <si>
    <t>Óleo Alimentar</t>
  </si>
  <si>
    <t>Excella</t>
  </si>
  <si>
    <t>SG</t>
  </si>
  <si>
    <t>Wilmar International Limited</t>
  </si>
  <si>
    <t>Sunflower oil</t>
  </si>
  <si>
    <t>Eau Gazeuse</t>
  </si>
  <si>
    <t>Vital'O</t>
  </si>
  <si>
    <t>Vital'o</t>
  </si>
  <si>
    <t>Boston</t>
  </si>
  <si>
    <t>Jumbo Brands</t>
  </si>
  <si>
    <t>Lemon Juice</t>
  </si>
  <si>
    <t>Original Hot Chocolate</t>
  </si>
  <si>
    <t>Essence Caramel Flavour</t>
  </si>
  <si>
    <t>40 ml</t>
  </si>
  <si>
    <t>Soap</t>
  </si>
  <si>
    <t>Premium Lager</t>
  </si>
  <si>
    <t>Windhoek</t>
  </si>
  <si>
    <t>Ohlthaver &amp; List Group of Companies</t>
  </si>
  <si>
    <t>Lavender Air Freshener</t>
  </si>
  <si>
    <t>180 ml</t>
  </si>
  <si>
    <t>Air Scents</t>
  </si>
  <si>
    <t>Shield Chemicals</t>
  </si>
  <si>
    <t>Vaseline Blueseal</t>
  </si>
  <si>
    <t>Ginger Wine</t>
  </si>
  <si>
    <t>African Blessing</t>
  </si>
  <si>
    <t>African Blessing Investments Ltd</t>
  </si>
  <si>
    <t>Mayo Vanilla Fudge Dairy Snack</t>
  </si>
  <si>
    <t>Danone</t>
  </si>
  <si>
    <t>Apollo</t>
  </si>
  <si>
    <t>Daily multi v and minerals</t>
  </si>
  <si>
    <t>Junglevites</t>
  </si>
  <si>
    <t>Kick0</t>
  </si>
  <si>
    <t>Krazy Kool Beverages</t>
  </si>
  <si>
    <t>Lemon Krush Sparkling Flavoured Drink</t>
  </si>
  <si>
    <t>Jive</t>
  </si>
  <si>
    <t>The Beverage Company</t>
  </si>
  <si>
    <t>Frozy</t>
  </si>
  <si>
    <t>Yaafico Industrial Lda</t>
  </si>
  <si>
    <t>Spirit Vinegar</t>
  </si>
  <si>
    <t>Top Brown</t>
  </si>
  <si>
    <t>G.D. Foods Manufacturing (India) Pvt. Ltd.</t>
  </si>
  <si>
    <t>2L</t>
  </si>
  <si>
    <t>Top Sauces</t>
  </si>
  <si>
    <t>Ribas Manufacturers</t>
  </si>
  <si>
    <t>Mouthwash total Care</t>
  </si>
  <si>
    <t>Pine Whizz Sparkling Flavoured Drink</t>
  </si>
  <si>
    <t>Tomato Paste</t>
  </si>
  <si>
    <t>115 g</t>
  </si>
  <si>
    <t>Rhodes Quality</t>
  </si>
  <si>
    <t>Rhodes Food Group Holdings Ltd</t>
  </si>
  <si>
    <t>Apple &amp; Cranberry</t>
  </si>
  <si>
    <t>Beer</t>
  </si>
  <si>
    <t>Kuche Kuche</t>
  </si>
  <si>
    <t>Darling</t>
  </si>
  <si>
    <t>Darling Romery</t>
  </si>
  <si>
    <t>Top BROWN SPIRIT VINEGAR</t>
  </si>
  <si>
    <t>vinegar</t>
  </si>
  <si>
    <t>Tomato Sauce</t>
  </si>
  <si>
    <t>2.0l</t>
  </si>
  <si>
    <t>Extra Bold Peppercorns</t>
  </si>
  <si>
    <t>185 g</t>
  </si>
  <si>
    <t>Cape Herb &amp; Spice</t>
  </si>
  <si>
    <t>Libstar Holdings Ltd</t>
  </si>
  <si>
    <t>Himalayan Pink Salt</t>
  </si>
  <si>
    <t>390 g</t>
  </si>
  <si>
    <t>Black Peppercorns</t>
  </si>
  <si>
    <t>Brake fluid</t>
  </si>
  <si>
    <t>Royal Lubricants</t>
  </si>
  <si>
    <t>AU</t>
  </si>
  <si>
    <t>Royal Precision Lubricants Pty Ltd</t>
  </si>
  <si>
    <t>Zanzibar Kool</t>
  </si>
  <si>
    <t>Zainab Bottlers Company limited</t>
  </si>
  <si>
    <t>Butro Butter Spread</t>
  </si>
  <si>
    <t>Pure Glycerine</t>
  </si>
  <si>
    <t>Premium Still Water</t>
  </si>
  <si>
    <t>Nyika</t>
  </si>
  <si>
    <t>Universal Industries Ltd</t>
  </si>
  <si>
    <t>Pineapple Cordial</t>
  </si>
  <si>
    <t>Frooty</t>
  </si>
  <si>
    <t>Kazinga Cooking Oil</t>
  </si>
  <si>
    <t>Sun Smooth</t>
  </si>
  <si>
    <t>Lime Cordial</t>
  </si>
  <si>
    <t>Jam - Mixed Fruit</t>
  </si>
  <si>
    <t>Sun</t>
  </si>
  <si>
    <t>ZW</t>
  </si>
  <si>
    <t>Cairns Holdings Limited</t>
  </si>
  <si>
    <t>Drinking Yoghurt Peach Flavour</t>
  </si>
  <si>
    <t>Lowveld Favourites</t>
  </si>
  <si>
    <t>Peach Flavour Drinking Yoghurt</t>
  </si>
  <si>
    <t>Low Fat Cream Soda Yoghurt Drink</t>
  </si>
  <si>
    <t>Low fat yoghurt with peach fruit</t>
  </si>
  <si>
    <t>Moyo</t>
  </si>
  <si>
    <t>Moyo Madzi</t>
  </si>
  <si>
    <t>Barbie</t>
  </si>
  <si>
    <t>Mattel Inc.</t>
  </si>
  <si>
    <t>mayonnaise</t>
  </si>
  <si>
    <t>385 g</t>
  </si>
  <si>
    <t>Cape Seed Bread</t>
  </si>
  <si>
    <t>Cowbell coffee</t>
  </si>
  <si>
    <t>Cowbell</t>
  </si>
  <si>
    <t>Promisador</t>
  </si>
  <si>
    <t>Cowbell strawberry fraise</t>
  </si>
  <si>
    <t>Promasidor</t>
  </si>
  <si>
    <t>Miksi chocolate</t>
  </si>
  <si>
    <t>Miksi Chocolate</t>
  </si>
  <si>
    <t>ONGA</t>
  </si>
  <si>
    <t>Onga</t>
  </si>
  <si>
    <t>lait en poudre</t>
  </si>
  <si>
    <t>Onga stew seasoning</t>
  </si>
  <si>
    <t>promasidor</t>
  </si>
  <si>
    <t>14 g</t>
  </si>
  <si>
    <t>Mango juice drink</t>
  </si>
  <si>
    <t>Afia</t>
  </si>
  <si>
    <t>Kevian Kenya Limited</t>
  </si>
  <si>
    <t>Natural Drinking Water</t>
  </si>
  <si>
    <t>Mt. Kenyan</t>
  </si>
  <si>
    <t>Multi-Vitamin Fruit Juice</t>
  </si>
  <si>
    <t>Multi Vitamin Drink</t>
  </si>
  <si>
    <t>Mango Juice</t>
  </si>
  <si>
    <t>Mixed Fruit Juice</t>
  </si>
  <si>
    <t>TOMATO SAUCE</t>
  </si>
  <si>
    <t>PEPTANG</t>
  </si>
  <si>
    <t>Premier Foods Limited</t>
  </si>
  <si>
    <t>Água Lepo</t>
  </si>
  <si>
    <t>570</t>
  </si>
  <si>
    <t>Lepo</t>
  </si>
  <si>
    <t>Yuesheng Lda</t>
  </si>
  <si>
    <t>Sumo de laranja</t>
  </si>
  <si>
    <t>Mango sumo de fruta</t>
  </si>
  <si>
    <t>Sumo Laranja</t>
  </si>
  <si>
    <t>Super Maçã</t>
  </si>
  <si>
    <t>Super</t>
  </si>
  <si>
    <t>Magnifico Moçambique Lda</t>
  </si>
  <si>
    <t>Super Uva</t>
  </si>
  <si>
    <t>Herb Salad</t>
  </si>
  <si>
    <t>Berry Muesli</t>
  </si>
  <si>
    <t>white wine vinegar</t>
  </si>
  <si>
    <t>seafood rub</t>
  </si>
  <si>
    <t>air sprizt</t>
  </si>
  <si>
    <t>apple juice</t>
  </si>
  <si>
    <t>crema of italy</t>
  </si>
  <si>
    <t>Ground Coffee Hazelnut Flavoured</t>
  </si>
  <si>
    <t>Ground Coffeee Vanilla Flavoured</t>
  </si>
  <si>
    <t>250g</t>
  </si>
  <si>
    <t>low fat plain yoghurt</t>
  </si>
  <si>
    <t>Local Seasonal Honey</t>
  </si>
  <si>
    <t>375 g</t>
  </si>
  <si>
    <t>Guava Yoghurt</t>
  </si>
  <si>
    <t>passionade</t>
  </si>
  <si>
    <t>Sea Salt Hand Cooked Crisps</t>
  </si>
  <si>
    <t>meat masala</t>
  </si>
  <si>
    <t>White Tortilla Wraps</t>
  </si>
  <si>
    <t>xylitol</t>
  </si>
  <si>
    <t>Cocoa plain</t>
  </si>
  <si>
    <t>KitKat</t>
  </si>
  <si>
    <t>Full cream Vanilla Flavoured Yoghurt</t>
  </si>
  <si>
    <t>Sparkling Spring Drink Ginger &amp; Lime</t>
  </si>
  <si>
    <t>Decaf Coffee Beans</t>
  </si>
  <si>
    <t>Triple Layered Chocolate Gateau</t>
  </si>
  <si>
    <t>850 g</t>
  </si>
  <si>
    <t>olive oil</t>
  </si>
  <si>
    <t>sparkling drink</t>
  </si>
  <si>
    <t>steakhouse</t>
  </si>
  <si>
    <t>145 g</t>
  </si>
  <si>
    <t>chicken rub</t>
  </si>
  <si>
    <t>Roasted Almonds</t>
  </si>
  <si>
    <t>juice</t>
  </si>
  <si>
    <t>lemon verbena</t>
  </si>
  <si>
    <t>35 ml</t>
  </si>
  <si>
    <t>Double Cream Lemon Curd Yoghurt</t>
  </si>
  <si>
    <t>Plain Yoghurt with Strawberry</t>
  </si>
  <si>
    <t>hot seasoning</t>
  </si>
  <si>
    <t>Mild Seasoning</t>
  </si>
  <si>
    <t>plain yoghurt</t>
  </si>
  <si>
    <t>Agua Purificada</t>
  </si>
  <si>
    <t>6.0 L</t>
  </si>
  <si>
    <t>Aquaplus</t>
  </si>
  <si>
    <t>Mopani Internacional Lda</t>
  </si>
  <si>
    <t>Niknaks Cheese Flavour</t>
  </si>
  <si>
    <t>SIMBA</t>
  </si>
  <si>
    <t>MARSAVCO</t>
  </si>
  <si>
    <t>Potato Chips Salted</t>
  </si>
  <si>
    <t>23 g</t>
  </si>
  <si>
    <t>Potatos Chips Caribean Onion &amp; Balsamic Vinegar Flavour</t>
  </si>
  <si>
    <t>Potato Chips Spring Onion &amp; Cheese Flavour</t>
  </si>
  <si>
    <t>Sweet Chilli Corn Chips</t>
  </si>
  <si>
    <t>Chutney flavour Potato Chips</t>
  </si>
  <si>
    <t>Simba Crisps</t>
  </si>
  <si>
    <t>Smoked Beef</t>
  </si>
  <si>
    <t>Salted Potato Chips</t>
  </si>
  <si>
    <t>105 g</t>
  </si>
  <si>
    <t>Javel Bleach</t>
  </si>
  <si>
    <t>Bamaru</t>
  </si>
  <si>
    <t>MODET - Sociedade Mocambicana de Detergentes, Lda</t>
  </si>
  <si>
    <t>Black Cat</t>
  </si>
  <si>
    <t>skin lotion</t>
  </si>
  <si>
    <t>Ingram's</t>
  </si>
  <si>
    <t>Shake 'n ship</t>
  </si>
  <si>
    <t>ZAMHA</t>
  </si>
  <si>
    <t>Zambian Halaal Certifiers</t>
  </si>
  <si>
    <t>Fruilt Milk</t>
  </si>
  <si>
    <t>Shake n Sip</t>
  </si>
  <si>
    <t>Milk Maheu</t>
  </si>
  <si>
    <t>470 ml</t>
  </si>
  <si>
    <t>Ama Sipsip</t>
  </si>
  <si>
    <t>Água de Goba</t>
  </si>
  <si>
    <t>Águas de Goba - Água de Nascente, Limitada</t>
  </si>
  <si>
    <t>stone</t>
  </si>
  <si>
    <t>Just Water</t>
  </si>
  <si>
    <t>Bolacha Côco</t>
  </si>
  <si>
    <t>CIM</t>
  </si>
  <si>
    <t>Mixed Fruit</t>
  </si>
  <si>
    <t>JAM</t>
  </si>
  <si>
    <t>Ideal Glycerine</t>
  </si>
  <si>
    <t>Ideal Glycerin</t>
  </si>
  <si>
    <t>Alison Products Kenya Limited</t>
  </si>
  <si>
    <t>aQuellé</t>
  </si>
  <si>
    <t>Aquelle</t>
  </si>
  <si>
    <t>SZ</t>
  </si>
  <si>
    <t>Natural still water still</t>
  </si>
  <si>
    <t>Sparkling flavoured drink LITCHI</t>
  </si>
  <si>
    <t>Sparkling flavoured drink Litchi</t>
  </si>
  <si>
    <t>Sparkling flavoured drink Limon</t>
  </si>
  <si>
    <t>Aqua Azul</t>
  </si>
  <si>
    <t>Sierra Nevada</t>
  </si>
  <si>
    <t>Flavoured Drinking Water</t>
  </si>
  <si>
    <t>Still Natural Spring Water</t>
  </si>
  <si>
    <t>Sparkling flavoured drink strawberry</t>
  </si>
  <si>
    <t>SPARKLINS FLAVOURED PINEAPPLE</t>
  </si>
  <si>
    <t>SPARKLING</t>
  </si>
  <si>
    <t>Sports drink kalamansi</t>
  </si>
  <si>
    <t>Apple Cider Vinegar</t>
  </si>
  <si>
    <t>Health Connection Whole Foods</t>
  </si>
  <si>
    <t>Health Connection Wholefoods (Pty) Ltd</t>
  </si>
  <si>
    <t>Nutriday</t>
  </si>
  <si>
    <t>Low Fat Fruit Cocktail Yoghurt</t>
  </si>
  <si>
    <t>Yogi Sip</t>
  </si>
  <si>
    <t>Lancewood</t>
  </si>
  <si>
    <t>Orange Drink</t>
  </si>
  <si>
    <t>Quencher</t>
  </si>
  <si>
    <t>Excel Chemicals Limited</t>
  </si>
  <si>
    <t>PureNatural Mineral Water</t>
  </si>
  <si>
    <t>18 L</t>
  </si>
  <si>
    <t>Maziwa Lala</t>
  </si>
  <si>
    <t>Ilara</t>
  </si>
  <si>
    <t>Brookside Dairy Limited</t>
  </si>
  <si>
    <t>Água Montemor</t>
  </si>
  <si>
    <t>Montemor</t>
  </si>
  <si>
    <t>Montemor SARL</t>
  </si>
  <si>
    <t>Água Mineral da Nascente</t>
  </si>
  <si>
    <t>tiger glucose biscuits</t>
  </si>
  <si>
    <t>Azamto flavoured ice</t>
  </si>
  <si>
    <t>70ml</t>
  </si>
  <si>
    <t>fruity mango lolly</t>
  </si>
  <si>
    <t>70 ml</t>
  </si>
  <si>
    <t>Super Balllcone Vanilla Flavoured Ice Cream</t>
  </si>
  <si>
    <t>120 ml</t>
  </si>
  <si>
    <t>cool bar 50-50</t>
  </si>
  <si>
    <t>80 ml</t>
  </si>
  <si>
    <t>Kreema Toffee Milk Bar</t>
  </si>
  <si>
    <t>Ice cream</t>
  </si>
  <si>
    <t>Apple malt</t>
  </si>
  <si>
    <t>Cola Carbonated Soft Drink</t>
  </si>
  <si>
    <t>Choco Chix</t>
  </si>
  <si>
    <t>85 ml</t>
  </si>
  <si>
    <t>Natti's</t>
  </si>
  <si>
    <t>Fursana Carbonated Soft Drink</t>
  </si>
  <si>
    <t>Apple and Malt Flavoured</t>
  </si>
  <si>
    <t>Malt drink</t>
  </si>
  <si>
    <t>Coffee</t>
  </si>
  <si>
    <t>Nice Coconut Flavoured Biscuits</t>
  </si>
  <si>
    <t>choco Vanila</t>
  </si>
  <si>
    <t>60g</t>
  </si>
  <si>
    <t>Non alcohol cofee</t>
  </si>
  <si>
    <t>string duo</t>
  </si>
  <si>
    <t>95 ml</t>
  </si>
  <si>
    <t>Azam Swiss</t>
  </si>
  <si>
    <t>Swiss</t>
  </si>
  <si>
    <t>Biskuti Milk Biscuits</t>
  </si>
  <si>
    <t>Azam Passion</t>
  </si>
  <si>
    <t>YESS Fruit Punch</t>
  </si>
  <si>
    <t>Maize drink</t>
  </si>
  <si>
    <t>Super Maheu</t>
  </si>
  <si>
    <t>Chocolate &amp; Milk Flavoured Maize Drink</t>
  </si>
  <si>
    <t>Fruity Milk</t>
  </si>
  <si>
    <t>Super Shake</t>
  </si>
  <si>
    <t>Dish Washing Liquid</t>
  </si>
  <si>
    <t>Boom Sparkle Plus</t>
  </si>
  <si>
    <t>Sparkle Plus Lemon Dishwashing Liquid</t>
  </si>
  <si>
    <t>Wildcat Energy Drink</t>
  </si>
  <si>
    <t>Bigtree</t>
  </si>
  <si>
    <t>Red Rock Cola, Big Tree Beverages</t>
  </si>
  <si>
    <t>Red Rock Cola</t>
  </si>
  <si>
    <t>Boom Force</t>
  </si>
  <si>
    <t>Appy Apple</t>
  </si>
  <si>
    <t>Appy Pine</t>
  </si>
  <si>
    <t>Hand Sanitizer</t>
  </si>
  <si>
    <t>Hygienix</t>
  </si>
  <si>
    <t>Maize Drink</t>
  </si>
  <si>
    <t>Mojo</t>
  </si>
  <si>
    <t>Mojo Orange</t>
  </si>
  <si>
    <t>Mojo Ginger</t>
  </si>
  <si>
    <t>Appy Grapo</t>
  </si>
  <si>
    <t>ManziValley</t>
  </si>
  <si>
    <t>Manzi Valley Limited</t>
  </si>
  <si>
    <t>Óleo Puro de Soja</t>
  </si>
  <si>
    <t>Óleo Dona</t>
  </si>
  <si>
    <t>Olam International Ltd</t>
  </si>
  <si>
    <t>Óleo puro de soja</t>
  </si>
  <si>
    <t>Fasorel</t>
  </si>
  <si>
    <t>Óleo puro de girassol</t>
  </si>
  <si>
    <t>Fasorel- Óleos e Sabões</t>
  </si>
  <si>
    <t>Oleo Puro</t>
  </si>
  <si>
    <t>Vumba</t>
  </si>
  <si>
    <t>Sociedade Águas Vumba, SA</t>
  </si>
  <si>
    <t>Vumba Mineral Water</t>
  </si>
  <si>
    <t>Aqua Max</t>
  </si>
  <si>
    <t>Californian</t>
  </si>
  <si>
    <t>Californian Beverages Limited</t>
  </si>
  <si>
    <t>Hubbly Bubbly</t>
  </si>
  <si>
    <t>Maracuja / Passion Fruit Dairy Blend Concentrate</t>
  </si>
  <si>
    <t>Fusion</t>
  </si>
  <si>
    <t>Shoprite Holdings Ltd</t>
  </si>
  <si>
    <t>Zan Aqua</t>
  </si>
  <si>
    <t>Zan Aqua Pure Drinking Water</t>
  </si>
  <si>
    <t>Fitch and leedes</t>
  </si>
  <si>
    <t>Chill Beverages International</t>
  </si>
  <si>
    <t>Indian Tonic</t>
  </si>
  <si>
    <t>Refresco Laranja</t>
  </si>
  <si>
    <t>Fiesta Limão</t>
  </si>
  <si>
    <t>Ananas/Pineapple Carbonated Soft Drink</t>
  </si>
  <si>
    <t>Grape - Carbonated Soft Drink</t>
  </si>
  <si>
    <t>Moisturising Sun Spray</t>
  </si>
  <si>
    <t>Yaourt</t>
  </si>
  <si>
    <t>Dolait</t>
  </si>
  <si>
    <t>SOTICO</t>
  </si>
  <si>
    <t>Zest Ananas</t>
  </si>
  <si>
    <t>Amigo Foods</t>
  </si>
  <si>
    <t>Clover Instant Yeast</t>
  </si>
  <si>
    <t>Lee Yeast Zambia Limited</t>
  </si>
  <si>
    <t>água</t>
  </si>
  <si>
    <t>Namaacha Mineral Water</t>
  </si>
  <si>
    <t>Aquavita</t>
  </si>
  <si>
    <t>Carribea Beverages Ltd</t>
  </si>
  <si>
    <t>Drinking Yoghurt</t>
  </si>
  <si>
    <t>ZamSip</t>
  </si>
  <si>
    <t>Água mineral natural da montanha de Namuli</t>
  </si>
  <si>
    <t>Água mineral natural da montanha Namuli</t>
  </si>
  <si>
    <t>NATURAL SPRING WATER</t>
  </si>
  <si>
    <t>Bené</t>
  </si>
  <si>
    <t>D3 1000</t>
  </si>
  <si>
    <t>120 g</t>
  </si>
  <si>
    <t>Metagenics</t>
  </si>
  <si>
    <t>Metagenics Inc.</t>
  </si>
  <si>
    <t>orange</t>
  </si>
  <si>
    <t>Suncrest Creameries</t>
  </si>
  <si>
    <t>Suncrest Creameries Ltd</t>
  </si>
  <si>
    <t>Maheu Traditional</t>
  </si>
  <si>
    <t>Maheu</t>
  </si>
  <si>
    <t>Lilongwe Dairy (2001) Ltd</t>
  </si>
  <si>
    <t>peach</t>
  </si>
  <si>
    <t>Enjoy</t>
  </si>
  <si>
    <t>Enjoy Tropical</t>
  </si>
  <si>
    <t>Lilongwe Dairy Ltd</t>
  </si>
  <si>
    <t>More Long Life Yorghurt Drink</t>
  </si>
  <si>
    <t>Zinc tablets</t>
  </si>
  <si>
    <t>SSA Supplements</t>
  </si>
  <si>
    <t>Premium Purified Still Water</t>
  </si>
  <si>
    <t>Rab Processors Ltd</t>
  </si>
  <si>
    <t>Thumbsup Lemon Carbonated Drink</t>
  </si>
  <si>
    <t>Thumbsup</t>
  </si>
  <si>
    <t>Rab processors ltd</t>
  </si>
  <si>
    <t>Pineapple Flavoured Carbonated Soft Drink</t>
  </si>
  <si>
    <t>Cocopine Flavour Carbonated Drink</t>
  </si>
  <si>
    <t>Carbonated Fruity Flavoured Soft Drink</t>
  </si>
  <si>
    <t>Mirinda Grape Soft Drink</t>
  </si>
  <si>
    <t>Mirinda Soft Drink</t>
  </si>
  <si>
    <t>Carbonated Drink</t>
  </si>
  <si>
    <t>Cape Aqua</t>
  </si>
  <si>
    <t>QA</t>
  </si>
  <si>
    <t>Quench</t>
  </si>
  <si>
    <t>Pineapple Squah</t>
  </si>
  <si>
    <t>Sobo</t>
  </si>
  <si>
    <t>Vanilla yoghurt</t>
  </si>
  <si>
    <t>Asas</t>
  </si>
  <si>
    <t>Kick Mineral Water</t>
  </si>
  <si>
    <t>Krazy kool beverage ltd</t>
  </si>
  <si>
    <t>Krazy Kool Beverages Ltd</t>
  </si>
  <si>
    <t>Oasis Water</t>
  </si>
  <si>
    <t>Oasis (ZA)</t>
  </si>
  <si>
    <t>Oasis Water (Pty) Ltd</t>
  </si>
  <si>
    <t>pineapple flavored soft drink</t>
  </si>
  <si>
    <t>Coo-ee</t>
  </si>
  <si>
    <t>Iron Brew Soft Drink</t>
  </si>
  <si>
    <t>Pineapple flavoured soft drink</t>
  </si>
  <si>
    <t>Refrigerante com aroma A IRON BREW</t>
  </si>
  <si>
    <t>Apple flavoured soft drink</t>
  </si>
  <si>
    <t>Mango flavoured soft drink</t>
  </si>
  <si>
    <t>Litchi Flavoured Soft Drink</t>
  </si>
  <si>
    <t>Vinegar</t>
  </si>
  <si>
    <t>Autopac</t>
  </si>
  <si>
    <t>Vinagre</t>
  </si>
  <si>
    <t>ÁGUA PURIFICADA</t>
  </si>
  <si>
    <t>AGUA PURIFICADA</t>
  </si>
  <si>
    <t>AquaLife</t>
  </si>
  <si>
    <t>PIneapple Flavoured Drink</t>
  </si>
  <si>
    <t>Kingsley</t>
  </si>
  <si>
    <t>Kingsley Beverages (Pty) Ltd.</t>
  </si>
  <si>
    <t>Cola Soft Drink</t>
  </si>
  <si>
    <t>Grape flavoured drink</t>
  </si>
  <si>
    <t>Apple Flavoured Drink</t>
  </si>
  <si>
    <t>Full Cream Milk Long Life</t>
  </si>
  <si>
    <t>Capital Daily Industries</t>
  </si>
  <si>
    <t>New Capital Dairy (Pvt) Ltd</t>
  </si>
  <si>
    <t>Mphamvu Orange Dairy Bread Juice</t>
  </si>
  <si>
    <t>Gel Fixateur</t>
  </si>
  <si>
    <t>125ml</t>
  </si>
  <si>
    <t>TOP HAIR</t>
  </si>
  <si>
    <t>Poudre Bébé</t>
  </si>
  <si>
    <t>DIDOU</t>
  </si>
  <si>
    <t>Shampooing aux Oeufs</t>
  </si>
  <si>
    <t>DOUX NACRE</t>
  </si>
  <si>
    <t>Poudre Parfum</t>
  </si>
  <si>
    <t>FLORIS</t>
  </si>
  <si>
    <t>Top Lemon</t>
  </si>
  <si>
    <t>Mojo Energy Drink</t>
  </si>
  <si>
    <t>Irish Kettle Fried Chips</t>
  </si>
  <si>
    <t>Flanagan's</t>
  </si>
  <si>
    <t>AVI Limited</t>
  </si>
  <si>
    <t>Chewy vites</t>
  </si>
  <si>
    <t>1.0ml</t>
  </si>
  <si>
    <t>vitamic c</t>
  </si>
  <si>
    <t>Good Morning Breakfast Biscuits</t>
  </si>
  <si>
    <t>Provita Wholewheat Crispbread</t>
  </si>
  <si>
    <t>Zamgold</t>
  </si>
  <si>
    <t>Parrogate</t>
  </si>
  <si>
    <t>Cooking Oil</t>
  </si>
  <si>
    <t>Pure Soyabean Oil</t>
  </si>
  <si>
    <t>Purola</t>
  </si>
  <si>
    <t>Yogurt Líquido Oohlala Chocolate</t>
  </si>
  <si>
    <t>Oohlala</t>
  </si>
  <si>
    <t>Sorvete Baunilha</t>
  </si>
  <si>
    <t>Double Cream plain yoghurt</t>
  </si>
  <si>
    <t>Lait Caille Banane</t>
  </si>
  <si>
    <t>Energie</t>
  </si>
  <si>
    <t>MAFRICOM</t>
  </si>
  <si>
    <t>Intimate Wash</t>
  </si>
  <si>
    <t>Betadine</t>
  </si>
  <si>
    <t>Mundipharma International Limited</t>
  </si>
  <si>
    <t>Appy Orange</t>
  </si>
  <si>
    <t>Toffee bar</t>
  </si>
  <si>
    <t>15 g</t>
  </si>
  <si>
    <t>Milkit</t>
  </si>
  <si>
    <t>Juice Drink</t>
  </si>
  <si>
    <t>430ml</t>
  </si>
  <si>
    <t>Fruiticana</t>
  </si>
  <si>
    <t>Fruticana Juice Drink</t>
  </si>
  <si>
    <t>430 ml</t>
  </si>
  <si>
    <t>Fruticana</t>
  </si>
  <si>
    <t>Vatra</t>
  </si>
  <si>
    <t>330</t>
  </si>
  <si>
    <t>Sun Dance</t>
  </si>
  <si>
    <t>Toilet Cleaner Gel</t>
  </si>
  <si>
    <t>Aloha</t>
  </si>
  <si>
    <t>Fruticana Juice Drink Guava</t>
  </si>
  <si>
    <t>DAIRY FRUIT BLEND</t>
  </si>
  <si>
    <t>Rice + Milk Drink</t>
  </si>
  <si>
    <t>55ml</t>
  </si>
  <si>
    <t>Trade Kings</t>
  </si>
  <si>
    <t>Light Spread</t>
  </si>
  <si>
    <t>Potato Chips Thai Sweet Chill Flavour</t>
  </si>
  <si>
    <t>Cheese Supreme Corn Chips</t>
  </si>
  <si>
    <t>Cheese Supreme Coen Chips</t>
  </si>
  <si>
    <t>Fruit &amp; Oats Crunch</t>
  </si>
  <si>
    <t>450g</t>
  </si>
  <si>
    <t>All-Bran</t>
  </si>
  <si>
    <t>Kellogg Company</t>
  </si>
  <si>
    <t>Brothers</t>
  </si>
  <si>
    <t>Big Daddy Energy Drink</t>
  </si>
  <si>
    <t>Boisson Énergétique</t>
  </si>
  <si>
    <t>Rasta Energy</t>
  </si>
  <si>
    <t>Rasta Lemon</t>
  </si>
  <si>
    <t>Rasta Orange</t>
  </si>
  <si>
    <t>Rasta Pineapple</t>
  </si>
  <si>
    <t>Rasta Cola</t>
  </si>
  <si>
    <t>Green Smoothie</t>
  </si>
  <si>
    <t>Pine Apple Boisson Gazeuse</t>
  </si>
  <si>
    <t>JUWISY</t>
  </si>
  <si>
    <t>Orange Boisson Gazeuse</t>
  </si>
  <si>
    <t>Mango Boisson Fruité</t>
  </si>
  <si>
    <t>XXTRA Boisson Énergétique</t>
  </si>
  <si>
    <t>Boisson Gazeuse Orange</t>
  </si>
  <si>
    <t>Jambo</t>
  </si>
  <si>
    <t>Jambo Group</t>
  </si>
  <si>
    <t>Dry Sprint</t>
  </si>
  <si>
    <t>Shield</t>
  </si>
  <si>
    <t>Yoza Maheu</t>
  </si>
  <si>
    <t>Tropical Smoothie Pineapple</t>
  </si>
  <si>
    <t>Turpentine</t>
  </si>
  <si>
    <t>B&amp;R</t>
  </si>
  <si>
    <t>B &amp; R Products (Pty) Ltd.</t>
  </si>
  <si>
    <t>AQUASAVANA</t>
  </si>
  <si>
    <t>Fairy Bottiling (Z)</t>
  </si>
  <si>
    <t>Fairy Bottling Zambia Limited</t>
  </si>
  <si>
    <t>Aquasavana</t>
  </si>
  <si>
    <t>345 ml</t>
  </si>
  <si>
    <t>Neymat</t>
  </si>
  <si>
    <t>745 ml</t>
  </si>
  <si>
    <t>Oleo Alimentar Puro de Soja</t>
  </si>
  <si>
    <t>Confiança</t>
  </si>
  <si>
    <t>COPROZMOL, Lda</t>
  </si>
  <si>
    <t>Hand Sanitiser 70%</t>
  </si>
  <si>
    <t>Dr. Strong's</t>
  </si>
  <si>
    <t>Fonte da Vida</t>
  </si>
  <si>
    <t>Fonte da Vida Lda</t>
  </si>
  <si>
    <t>Agua Natural</t>
  </si>
  <si>
    <t>Água Natural</t>
  </si>
  <si>
    <t>18.9 L</t>
  </si>
  <si>
    <t>Fonte Pura</t>
  </si>
  <si>
    <t>Refrigerantes Spar Lda</t>
  </si>
  <si>
    <t>Agua de Nascente / Spring Water</t>
  </si>
  <si>
    <t>Água pura da nascente</t>
  </si>
  <si>
    <t>Champion Milky Drink</t>
  </si>
  <si>
    <t>Waka Waka Passion Fruit</t>
  </si>
  <si>
    <t>Mother's Food Limited</t>
  </si>
  <si>
    <t>Waka Waka Ginger</t>
  </si>
  <si>
    <t>Mother's Food</t>
  </si>
  <si>
    <t>Mothers Holding Limited</t>
  </si>
  <si>
    <t>Waka Waka Orange Drink</t>
  </si>
  <si>
    <t>Waka Waka Grape</t>
  </si>
  <si>
    <t>Rica</t>
  </si>
  <si>
    <t>Mafuia Group</t>
  </si>
  <si>
    <t>Pure Soya Oil</t>
  </si>
  <si>
    <t>Flo</t>
  </si>
  <si>
    <t>Água Kool</t>
  </si>
  <si>
    <t>Kool</t>
  </si>
  <si>
    <t>Agua Natural Purificada</t>
  </si>
  <si>
    <t>Aquaclear</t>
  </si>
  <si>
    <t>Flaming Hot Chilli Sauce</t>
  </si>
  <si>
    <t>Osman Foods</t>
  </si>
  <si>
    <t>Peanut butter</t>
  </si>
  <si>
    <t>Estrella</t>
  </si>
  <si>
    <t>Omega Beverages</t>
  </si>
  <si>
    <t>Pepsi Carbonated Soft Drink</t>
  </si>
  <si>
    <t>Natural Food</t>
  </si>
  <si>
    <t>Jam Fruity Strawberry Flavoured Biscuits</t>
  </si>
  <si>
    <t>130 g</t>
  </si>
  <si>
    <t>Daisy</t>
  </si>
  <si>
    <t>LS</t>
  </si>
  <si>
    <t>Daisy Biscuits</t>
  </si>
  <si>
    <t>Saveur De Fruit Boisson Gazeuse</t>
  </si>
  <si>
    <t>Grenadine Boisson Gazeuse</t>
  </si>
  <si>
    <t>Sans Sucre Saveur Orange</t>
  </si>
  <si>
    <t>Ananas Boisson Gazeuse</t>
  </si>
  <si>
    <t>Sans Sucre</t>
  </si>
  <si>
    <t>Citron Boisson Gazeuse</t>
  </si>
  <si>
    <t>STING</t>
  </si>
  <si>
    <t>VARUM BEVERAGES RDC SAS</t>
  </si>
  <si>
    <t>cooking oil</t>
  </si>
  <si>
    <t>Mulawe</t>
  </si>
  <si>
    <t>Mazi</t>
  </si>
  <si>
    <t>Agua purificada</t>
  </si>
  <si>
    <t>600</t>
  </si>
  <si>
    <t>Água de mesa purificada</t>
  </si>
  <si>
    <t>Biscuits</t>
  </si>
  <si>
    <t>80g</t>
  </si>
  <si>
    <t>TANGY</t>
  </si>
  <si>
    <t>Tangy Drinks Limited</t>
  </si>
  <si>
    <t>Crazy Cola</t>
  </si>
  <si>
    <t>Lemon &amp; Lime</t>
  </si>
  <si>
    <t>Purified water</t>
  </si>
  <si>
    <t>H2Zero</t>
  </si>
  <si>
    <t>Coco Pine Soft Drink</t>
  </si>
  <si>
    <t>Refreshhh</t>
  </si>
  <si>
    <t>Grape flavoured carbonated soft drink</t>
  </si>
  <si>
    <t>Vengo</t>
  </si>
  <si>
    <t>Água Vengo</t>
  </si>
  <si>
    <t>agua vengo Manica</t>
  </si>
  <si>
    <t>Vengo Mineral Water</t>
  </si>
  <si>
    <t>Pure natural mineral water</t>
  </si>
  <si>
    <t>Kukoma</t>
  </si>
  <si>
    <t>Capital Oil Refining Industries Ltd</t>
  </si>
  <si>
    <t>Fizz orange</t>
  </si>
  <si>
    <t>Fizz</t>
  </si>
  <si>
    <t>Cola Drink</t>
  </si>
  <si>
    <t>Lemon / Limao</t>
  </si>
  <si>
    <t>Aquaplus Mineral Water</t>
  </si>
  <si>
    <t>Water Melon Melancia</t>
  </si>
  <si>
    <t>Cool Salsa</t>
  </si>
  <si>
    <t>Dry Lemon Limonada</t>
  </si>
  <si>
    <t>Apple and Mint Maca e Menta</t>
  </si>
  <si>
    <t>Cherry and Lemonade Limonada de Cereja</t>
  </si>
  <si>
    <t>Green apple</t>
  </si>
  <si>
    <t>Refresco Manga / Mango</t>
  </si>
  <si>
    <t>Laranja</t>
  </si>
  <si>
    <t>Frozy Coco Ananás</t>
  </si>
  <si>
    <t>Alpina</t>
  </si>
  <si>
    <t>Zest Banane</t>
  </si>
  <si>
    <t>Boisson sucré</t>
  </si>
  <si>
    <t>Zest Mangue</t>
  </si>
  <si>
    <t>360 ml</t>
  </si>
  <si>
    <t>Zest Orange</t>
  </si>
  <si>
    <t>Zest Grenadine</t>
  </si>
  <si>
    <t>360ml</t>
  </si>
  <si>
    <t>Zest Cola</t>
  </si>
  <si>
    <t>Boisson Gazeuse Grenadine</t>
  </si>
  <si>
    <t>Zest Maracuja</t>
  </si>
  <si>
    <t>Boisson Énergisante</t>
  </si>
  <si>
    <t>Zest Energy</t>
  </si>
  <si>
    <t>Boisson Energisante</t>
  </si>
  <si>
    <t>Izy Laranja</t>
  </si>
  <si>
    <t>Izy</t>
  </si>
  <si>
    <t>Moz Beverages Lda</t>
  </si>
  <si>
    <t>IZY Lemon Dew</t>
  </si>
  <si>
    <t>Litchi Drink</t>
  </si>
  <si>
    <t>Izy Coco Pine</t>
  </si>
  <si>
    <t>Coco Pine</t>
  </si>
  <si>
    <t>Apple / Maça Carbonated Soft Drink</t>
  </si>
  <si>
    <t>Mango / Manga</t>
  </si>
  <si>
    <t>Bovinto</t>
  </si>
  <si>
    <t>A melhor forma de refrescar</t>
  </si>
  <si>
    <t>Água natural</t>
  </si>
  <si>
    <t>Thirsti</t>
  </si>
  <si>
    <t>Normandien Farms (Pty) Ltd</t>
  </si>
  <si>
    <t>Nano Triple Refined Cooking Oil</t>
  </si>
  <si>
    <t>Oil</t>
  </si>
  <si>
    <t>alimo spaghetti</t>
  </si>
  <si>
    <t>Alimo</t>
  </si>
  <si>
    <t>Twizza</t>
  </si>
  <si>
    <t>Cool Fizz</t>
  </si>
  <si>
    <t>Zamm Investments</t>
  </si>
  <si>
    <t>Raspberry Drink</t>
  </si>
  <si>
    <t>Cool Drop</t>
  </si>
  <si>
    <t>Mango Coconut</t>
  </si>
  <si>
    <t>zuza</t>
  </si>
  <si>
    <t>Full cream milk</t>
  </si>
  <si>
    <t>Spring Meadow</t>
  </si>
  <si>
    <t>Spring Meadow Dairy Farm (PTY) LTD</t>
  </si>
  <si>
    <t>Low Fat Peach Apricot Yoghurt</t>
  </si>
  <si>
    <t>Granadilla yoghurt</t>
  </si>
  <si>
    <t>Tropical flavoured dairy fruit blend</t>
  </si>
  <si>
    <t>3 liter</t>
  </si>
  <si>
    <t>Soya Rich</t>
  </si>
  <si>
    <t>Soya Gold</t>
  </si>
  <si>
    <t>Sungold Food Processing Ltd</t>
  </si>
  <si>
    <t>Divine Power Kombucha Tea</t>
  </si>
  <si>
    <t>Limao Soft Drink</t>
  </si>
  <si>
    <t>Coco Ananas Cocopine</t>
  </si>
  <si>
    <t>Refrigerante Framboesa</t>
  </si>
  <si>
    <t>Litchi Carbonated Soft Drink</t>
  </si>
  <si>
    <t>Amaryllis Hotel</t>
  </si>
  <si>
    <t>yaourte</t>
  </si>
  <si>
    <t>YO-GO</t>
  </si>
  <si>
    <t>Pastis Apéritif Anise</t>
  </si>
  <si>
    <t>Valvita</t>
  </si>
  <si>
    <t>VALLEY SARL</t>
  </si>
  <si>
    <t>700ml</t>
  </si>
  <si>
    <t>Zita Jus</t>
  </si>
  <si>
    <t>Ets ALEKO</t>
  </si>
  <si>
    <t>Aqua Smooth</t>
  </si>
  <si>
    <t>Touch of Fruit Low Sugar Lemon &amp; Lime</t>
  </si>
  <si>
    <t>Zest</t>
  </si>
  <si>
    <t>Washing Powder</t>
  </si>
  <si>
    <t>MOK</t>
  </si>
  <si>
    <t>Konje Detergent &amp; Cleaning Products Ltd.</t>
  </si>
  <si>
    <t>2.5 kg</t>
  </si>
  <si>
    <t>GFJ</t>
  </si>
  <si>
    <t>KONJE Detergent &amp; Cleaning Products Ltd</t>
  </si>
  <si>
    <t>Nestle Cerelac</t>
  </si>
  <si>
    <t>Cerelac</t>
  </si>
  <si>
    <t>Nido</t>
  </si>
  <si>
    <t>Carnation tea creamer</t>
  </si>
  <si>
    <t>Nescafe 3 in1</t>
  </si>
  <si>
    <t>NESCAFÉ</t>
  </si>
  <si>
    <t>Chocolim</t>
  </si>
  <si>
    <t>Ideal Milk</t>
  </si>
  <si>
    <t>Malted Chocolate Drink</t>
  </si>
  <si>
    <t>37 g</t>
  </si>
  <si>
    <t>Milo Nestle</t>
  </si>
  <si>
    <t>KEY ADEPA MULTIPURPOSE SOAP</t>
  </si>
  <si>
    <t>Key</t>
  </si>
  <si>
    <t>Pepsodent Toothpaste</t>
  </si>
  <si>
    <t>12g</t>
  </si>
  <si>
    <t>Pepsodent</t>
  </si>
  <si>
    <t>Sunlight Multi-Purpose Soap</t>
  </si>
  <si>
    <t>Geisha Nourishing Shea Butter &amp; Honey Soap</t>
  </si>
  <si>
    <t>Geisha</t>
  </si>
  <si>
    <t>KEY SOAP</t>
  </si>
  <si>
    <t>Tomato sachet</t>
  </si>
  <si>
    <t>Tasty Tom</t>
  </si>
  <si>
    <t>King cracker</t>
  </si>
  <si>
    <t>King Cracker</t>
  </si>
  <si>
    <t>Olam Group</t>
  </si>
  <si>
    <t>NutriSnax Oats Digestive Biscuits</t>
  </si>
  <si>
    <t>Nutrisnax</t>
  </si>
  <si>
    <t>Royal Breakfast Banana Oat Biscuits</t>
  </si>
  <si>
    <t>Royal Breakfast Cereal Biscuits</t>
  </si>
  <si>
    <t>Cracker Biscuits</t>
  </si>
  <si>
    <t>57 g</t>
  </si>
  <si>
    <t>Tomato Mix</t>
  </si>
  <si>
    <t>1.2 L</t>
  </si>
  <si>
    <t>Enriched Tomato Mix</t>
  </si>
  <si>
    <t>Storm Energy Drink</t>
  </si>
  <si>
    <t>Kasapreko Company Limited</t>
  </si>
  <si>
    <t>Superstar multi fruit</t>
  </si>
  <si>
    <t>Multi Fruit Superstar</t>
  </si>
  <si>
    <t>Choco MALT</t>
  </si>
  <si>
    <t>Awake</t>
  </si>
  <si>
    <t>Multifruit juice drink</t>
  </si>
  <si>
    <t>Kiki</t>
  </si>
  <si>
    <t>Superstar Multi Fruit</t>
  </si>
  <si>
    <t>Chocho malt</t>
  </si>
  <si>
    <t>Storm energy drink</t>
  </si>
  <si>
    <t>Kasapreko lime cordial</t>
  </si>
  <si>
    <t>Carnival strawberry liqueur</t>
  </si>
  <si>
    <t>Carnival Strawberry</t>
  </si>
  <si>
    <t>Rambo Citrus flavour Drink</t>
  </si>
  <si>
    <t>Rambo</t>
  </si>
  <si>
    <t>Happy Delight Juice with Milk</t>
  </si>
  <si>
    <t>Healthilife</t>
  </si>
  <si>
    <t>Kina Group</t>
  </si>
  <si>
    <t>Royal Aroma</t>
  </si>
  <si>
    <t>Temasek Holdings (Private) Limited</t>
  </si>
  <si>
    <t>Rice</t>
  </si>
  <si>
    <t>4.5 kg</t>
  </si>
  <si>
    <t>Abena</t>
  </si>
  <si>
    <t>Abena Rice</t>
  </si>
  <si>
    <t>Digestive Biscuits</t>
  </si>
  <si>
    <t>London Shortbread Biscuit</t>
  </si>
  <si>
    <t>Pure Delight</t>
  </si>
  <si>
    <t>Bigoo Grape</t>
  </si>
  <si>
    <t>Rich Tea Classic</t>
  </si>
  <si>
    <t>12 g</t>
  </si>
  <si>
    <t>Hocho Bite</t>
  </si>
  <si>
    <t>30g</t>
  </si>
  <si>
    <t>Casandra apple drink</t>
  </si>
  <si>
    <t>Casandra Apple Drink</t>
  </si>
  <si>
    <t>Rich Tea Cream</t>
  </si>
  <si>
    <t>Pukka Xtra</t>
  </si>
  <si>
    <t>Pukka (GH)</t>
  </si>
  <si>
    <t>Squeeze grape</t>
  </si>
  <si>
    <t>Bel Squeeze</t>
  </si>
  <si>
    <t>Bel 7 star energy drink</t>
  </si>
  <si>
    <t>Bel 7 Star Energy</t>
  </si>
  <si>
    <t>Frytol</t>
  </si>
  <si>
    <t>0.85 L</t>
  </si>
  <si>
    <t>Crispy Peanut Snack</t>
  </si>
  <si>
    <t>Snappy</t>
  </si>
  <si>
    <t>Peanuts snack</t>
  </si>
  <si>
    <t>Nkatie Burger</t>
  </si>
  <si>
    <t>Frank Gyimah Industries</t>
  </si>
  <si>
    <t>Teem</t>
  </si>
  <si>
    <t>SevenUp Bottling Company Ltd.</t>
  </si>
  <si>
    <t>Mandingo Premium</t>
  </si>
  <si>
    <t>Mandingo Bitters</t>
  </si>
  <si>
    <t>Gihoc Distilleries CompanyLtd</t>
  </si>
  <si>
    <t>Castle Bridge London Gin</t>
  </si>
  <si>
    <t>Castle Bridge London Dry Gin</t>
  </si>
  <si>
    <t>Voltic</t>
  </si>
  <si>
    <t>GM</t>
  </si>
  <si>
    <t>Vim-oh energy drink</t>
  </si>
  <si>
    <t>Vim-oh</t>
  </si>
  <si>
    <t>Perfumed Mosquito Repellent</t>
  </si>
  <si>
    <t>3 ml</t>
  </si>
  <si>
    <t>Heaven</t>
  </si>
  <si>
    <t>Menkish Impex Limited</t>
  </si>
  <si>
    <t>Royal Cola</t>
  </si>
  <si>
    <t>Alomo Bitters</t>
  </si>
  <si>
    <t>Kasapreko</t>
  </si>
  <si>
    <t>ALOMBO BITTERS</t>
  </si>
  <si>
    <t>30 ml</t>
  </si>
  <si>
    <t>Alomo bitters</t>
  </si>
  <si>
    <t>Orijin Bitters</t>
  </si>
  <si>
    <t>U-FRESH Pineapple</t>
  </si>
  <si>
    <t>fanice</t>
  </si>
  <si>
    <t>fanice vanilla</t>
  </si>
  <si>
    <t>fanIce strawberry</t>
  </si>
  <si>
    <t>FanYogo</t>
  </si>
  <si>
    <t>Chocolate Flavoured Milk Drink</t>
  </si>
  <si>
    <t>FanChoco</t>
  </si>
  <si>
    <t>5000 g</t>
  </si>
  <si>
    <t>Ice Drop</t>
  </si>
  <si>
    <t>Ice Drop Co Ltd.</t>
  </si>
  <si>
    <t>Dada apple juice drink</t>
  </si>
  <si>
    <t>DADA</t>
  </si>
  <si>
    <t>Beta Malt</t>
  </si>
  <si>
    <t>17 L</t>
  </si>
  <si>
    <t>bottles water</t>
  </si>
  <si>
    <t>Classic Rice</t>
  </si>
  <si>
    <t>Fortune</t>
  </si>
  <si>
    <t>Fortune Margarine</t>
  </si>
  <si>
    <t>U-Fresh orange</t>
  </si>
  <si>
    <t>U fresh apple soft drink</t>
  </si>
  <si>
    <t>U fresh pineapple milk drink</t>
  </si>
  <si>
    <t>U fresh pineapple</t>
  </si>
  <si>
    <t>U Fresh</t>
  </si>
  <si>
    <t>Flavoured Drink</t>
  </si>
  <si>
    <t>130 ml</t>
  </si>
  <si>
    <t>U-FRESH Soy Milk</t>
  </si>
  <si>
    <t>U-FRESH soy milk</t>
  </si>
  <si>
    <t>Kaesar apple drink</t>
  </si>
  <si>
    <t>Kaesar Soft Drinks</t>
  </si>
  <si>
    <t>Chocho Malt</t>
  </si>
  <si>
    <t>Five Star</t>
  </si>
  <si>
    <t>5 star Malt</t>
  </si>
  <si>
    <t>Vanda Ananas/Pineapple Carbonated Soft Drink</t>
  </si>
  <si>
    <t>Kaesar cocktails</t>
  </si>
  <si>
    <t>Rush! Energy</t>
  </si>
  <si>
    <t>Rush Energy Drink</t>
  </si>
  <si>
    <t>Natural Purified Water</t>
  </si>
  <si>
    <t>Verna</t>
  </si>
  <si>
    <t>Nero Water</t>
  </si>
  <si>
    <t>Nero</t>
  </si>
  <si>
    <t>Sulu Investments</t>
  </si>
  <si>
    <t>Kleesoft 3in1</t>
  </si>
  <si>
    <t>Ann Natural Mineral Water</t>
  </si>
  <si>
    <t>Ann Water</t>
  </si>
  <si>
    <t>Bel Cola</t>
  </si>
  <si>
    <t>Bel Tropical Splash</t>
  </si>
  <si>
    <t>Tropical Splash</t>
  </si>
  <si>
    <t>Active Drink</t>
  </si>
  <si>
    <t>Chocolate Bel Malt Non Alcoholic Drink</t>
  </si>
  <si>
    <t>Bel Malt Chocolate</t>
  </si>
  <si>
    <t>Tamarinda drink</t>
  </si>
  <si>
    <t>Tamarinda</t>
  </si>
  <si>
    <t>Bel Breeze</t>
  </si>
  <si>
    <t>Bel Portello drink</t>
  </si>
  <si>
    <t>Bel Portobello</t>
  </si>
  <si>
    <t>Squeeze</t>
  </si>
  <si>
    <t>Bel ice vodka</t>
  </si>
  <si>
    <t>Bel Ice Lemon</t>
  </si>
  <si>
    <t>Bel ice alcoholic lemon flavoured drink</t>
  </si>
  <si>
    <t>Indomie Instant Noodles onion chicken flavour</t>
  </si>
  <si>
    <t>Indomie</t>
  </si>
  <si>
    <t>DUFIL Prima Foods Ltd</t>
  </si>
  <si>
    <t>Extra Berry Flavor Carbonated Soft Drink</t>
  </si>
  <si>
    <t>Indomie Istant Noodles</t>
  </si>
  <si>
    <t>Blue  Band Spread</t>
  </si>
  <si>
    <t>Blue Band</t>
  </si>
  <si>
    <t>Spread for Bread</t>
  </si>
  <si>
    <t>Blue band spread</t>
  </si>
  <si>
    <t>Chocolate wafer</t>
  </si>
  <si>
    <t>Slemfit</t>
  </si>
  <si>
    <t>London Oat Digestives</t>
  </si>
  <si>
    <t>Verna Purified Water</t>
  </si>
  <si>
    <t>0.75 L</t>
  </si>
  <si>
    <t>Slemfit water</t>
  </si>
  <si>
    <t>crumbs bourbon cream biscuit</t>
  </si>
  <si>
    <t>5 g</t>
  </si>
  <si>
    <t>Breakfast Cereal Biscuits</t>
  </si>
  <si>
    <t>MAYS Crystal Purified Drinking Water</t>
  </si>
  <si>
    <t>Mays Crystal</t>
  </si>
  <si>
    <t>Williemays Industries Limited</t>
  </si>
  <si>
    <t>Bonita GEM Biscuit</t>
  </si>
  <si>
    <t>Bonita</t>
  </si>
  <si>
    <t>Mass Industries Limited</t>
  </si>
  <si>
    <t>Chocho cola</t>
  </si>
  <si>
    <t>McBerry THE ORIGINAL London Oat Digestive</t>
  </si>
  <si>
    <t>Cocktail drink</t>
  </si>
  <si>
    <t>Lemon lite</t>
  </si>
  <si>
    <t>Bigoo orange</t>
  </si>
  <si>
    <t>Bottled water</t>
  </si>
  <si>
    <t>Special Ice</t>
  </si>
  <si>
    <t>Special Ice Company</t>
  </si>
  <si>
    <t>Kpoo Keke liquor</t>
  </si>
  <si>
    <t>Kpoo Keke</t>
  </si>
  <si>
    <t>Liberty Industries Ventures LTD</t>
  </si>
  <si>
    <t>Joy Dadi bitters</t>
  </si>
  <si>
    <t>Joy Dadi Bitters</t>
  </si>
  <si>
    <t>Joy Industries Limited</t>
  </si>
  <si>
    <t>Orion Blended Gin</t>
  </si>
  <si>
    <t>Darling Lemon Flavour</t>
  </si>
  <si>
    <t>Darling Lemon Alcoholic</t>
  </si>
  <si>
    <t>Sankofa Natural Spices</t>
  </si>
  <si>
    <t>Sanfoka Natural Spices</t>
  </si>
  <si>
    <t>Gold Coast Food Group</t>
  </si>
  <si>
    <t>Mont</t>
  </si>
  <si>
    <t>Non-Dairy cremer</t>
  </si>
  <si>
    <t>Balona</t>
  </si>
  <si>
    <t>APHRO PALM SPIRIT</t>
  </si>
  <si>
    <t>25 ml</t>
  </si>
  <si>
    <t>Chempe Rings</t>
  </si>
  <si>
    <t>Chempe Snacks</t>
  </si>
  <si>
    <t>Exeleos Company Limited</t>
  </si>
  <si>
    <t>Africa Fun</t>
  </si>
  <si>
    <t>IBC - Congo Beverage Industry</t>
  </si>
  <si>
    <t>Black Power</t>
  </si>
  <si>
    <t>Limonade</t>
  </si>
  <si>
    <t>eau minérale naturelle</t>
  </si>
  <si>
    <t>0.3 L</t>
  </si>
  <si>
    <t>Eden</t>
  </si>
  <si>
    <t>Industries des Boissons au Congo</t>
  </si>
  <si>
    <t>Eau De Source</t>
  </si>
  <si>
    <t>Eau Gazeuse Naturelle</t>
  </si>
  <si>
    <t>Eau Gazeuse Citron</t>
  </si>
  <si>
    <t>Boisson Gazeuse UCB</t>
  </si>
  <si>
    <t>Uhai Pure Drinking Water</t>
  </si>
  <si>
    <t>tomato source</t>
  </si>
  <si>
    <t>380 g</t>
  </si>
  <si>
    <t>Tund</t>
  </si>
  <si>
    <t>Vitalo Grenadine</t>
  </si>
  <si>
    <t>Cowbell coffee cafe</t>
  </si>
  <si>
    <t>Arizona Green Tea Ginseng</t>
  </si>
  <si>
    <t>Lalla Khedidja</t>
  </si>
  <si>
    <t>DZ</t>
  </si>
  <si>
    <t>Cevital</t>
  </si>
  <si>
    <t>Supa Komando</t>
  </si>
  <si>
    <t>TASTY TOM TOMATO MIX</t>
  </si>
  <si>
    <t>tasty tom tomato mix</t>
  </si>
  <si>
    <t>Bigi cola</t>
  </si>
  <si>
    <t>Rc cola</t>
  </si>
  <si>
    <t>RC Cola</t>
  </si>
  <si>
    <t>Refresco Group</t>
  </si>
  <si>
    <t>Wheat Flavoured Milk Drink</t>
  </si>
  <si>
    <t>Wheat</t>
  </si>
  <si>
    <t>Viju Industries Nigeria Limited</t>
  </si>
  <si>
    <t>Mr-V</t>
  </si>
  <si>
    <t>Hema</t>
  </si>
  <si>
    <t>Hema Beverges LTD</t>
  </si>
  <si>
    <t>Remie beef seasoning powder</t>
  </si>
  <si>
    <t>Remie Foods</t>
  </si>
  <si>
    <t>Olive Oild Hair Relaxer</t>
  </si>
  <si>
    <t>Miadi</t>
  </si>
  <si>
    <t>HACO Industries Kenya Ltd</t>
  </si>
  <si>
    <t>Olive Oil Hair Relaxer</t>
  </si>
  <si>
    <t>AMARA</t>
  </si>
  <si>
    <t>Amara</t>
  </si>
  <si>
    <t>Body product</t>
  </si>
  <si>
    <t>Antibacterial Sanitizer</t>
  </si>
  <si>
    <t>TOILET CLEANER</t>
  </si>
  <si>
    <t>Ace</t>
  </si>
  <si>
    <t>blow out relaxer</t>
  </si>
  <si>
    <t>Toilet cleaner</t>
  </si>
  <si>
    <t>Delite</t>
  </si>
  <si>
    <t>Kenya Co-operative Creameries Ltd</t>
  </si>
  <si>
    <t>Mala Original fermented milk</t>
  </si>
  <si>
    <t>KCC</t>
  </si>
  <si>
    <t>Mala Drink</t>
  </si>
  <si>
    <t>Margarie</t>
  </si>
  <si>
    <t>Lemon fresh Cleaner</t>
  </si>
  <si>
    <t>Margarine</t>
  </si>
  <si>
    <t>Petroleum Jelly</t>
  </si>
  <si>
    <t>Mchuzi mix</t>
  </si>
  <si>
    <t>Royco</t>
  </si>
  <si>
    <t>mchuzi mix</t>
  </si>
  <si>
    <t>Quest</t>
  </si>
  <si>
    <t>Good Water Co Limited</t>
  </si>
  <si>
    <t>Kabazi purified water</t>
  </si>
  <si>
    <t>Kabazi</t>
  </si>
  <si>
    <t>CARTUBOX INDUSTRIES (E A) LTD</t>
  </si>
  <si>
    <t>Aquamist</t>
  </si>
  <si>
    <t>Menengai Oil Refineries Ltd.</t>
  </si>
  <si>
    <t>Still water</t>
  </si>
  <si>
    <t>Oxyrich Mineral Water</t>
  </si>
  <si>
    <t>Qua Still Spring Water</t>
  </si>
  <si>
    <t>Oxyrich</t>
  </si>
  <si>
    <t>18.5 Litres</t>
  </si>
  <si>
    <t>Rosy</t>
  </si>
  <si>
    <t>Chandaria Industries Ltd</t>
  </si>
  <si>
    <t>Office Glue</t>
  </si>
  <si>
    <t>Chicken Masala Spice Seasoning</t>
  </si>
  <si>
    <t>Tropical Heat</t>
  </si>
  <si>
    <t>Tropical Heat Limited</t>
  </si>
  <si>
    <t>fish masala</t>
  </si>
  <si>
    <t>acid</t>
  </si>
  <si>
    <t>Power Plus</t>
  </si>
  <si>
    <t>Harpic</t>
  </si>
  <si>
    <t>Vanilla flavoured yoghurt</t>
  </si>
  <si>
    <t>Mixed Fruit Jam</t>
  </si>
  <si>
    <t>gausana glycérine</t>
  </si>
  <si>
    <t>Sulfo</t>
  </si>
  <si>
    <t>Sulfo Rwanda Industries</t>
  </si>
  <si>
    <t>Solai Aqua</t>
  </si>
  <si>
    <t>Kensalt Ltd</t>
  </si>
  <si>
    <t>Table vinegar</t>
  </si>
  <si>
    <t>Simba Table Vinegar</t>
  </si>
  <si>
    <t>CHEMICOTEX</t>
  </si>
  <si>
    <t>Blackcurrant flavoured drink</t>
  </si>
  <si>
    <t>Chemicola</t>
  </si>
  <si>
    <t>Baby Soft Pure Petroleum Jelly</t>
  </si>
  <si>
    <t>Chemicotex</t>
  </si>
  <si>
    <t>UGANDA WARAGI</t>
  </si>
  <si>
    <t>Uganda Breweries Limited.</t>
  </si>
  <si>
    <t>Uganda Breweries Ltd. (UBL)</t>
  </si>
  <si>
    <t>Don Spirit</t>
  </si>
  <si>
    <t>Bongo don</t>
  </si>
  <si>
    <t>Serengeti Breweries Ltd</t>
  </si>
  <si>
    <t>The gentle detergent</t>
  </si>
  <si>
    <t>Toss</t>
  </si>
  <si>
    <t>Kapa Oil Refineries Ltd</t>
  </si>
  <si>
    <t>Detergent</t>
  </si>
  <si>
    <t>sunflower oil</t>
  </si>
  <si>
    <t>Rinsun</t>
  </si>
  <si>
    <t>3L</t>
  </si>
  <si>
    <t>White Washing Powder</t>
  </si>
  <si>
    <t>the gentle detergent</t>
  </si>
  <si>
    <t>Tuzo</t>
  </si>
  <si>
    <t>Spot Scouring Powder</t>
  </si>
  <si>
    <t>Sousana Glycerine</t>
  </si>
  <si>
    <t>Poudre Talc</t>
  </si>
  <si>
    <t>Vague</t>
  </si>
  <si>
    <t>Orbit Entreprise SARL</t>
  </si>
  <si>
    <t>Canadian Pure</t>
  </si>
  <si>
    <t>Eau Pure</t>
  </si>
  <si>
    <t>Nil</t>
  </si>
  <si>
    <t>spot with lemon</t>
  </si>
  <si>
    <t>Drinking Wter</t>
  </si>
  <si>
    <t>Nil drinking water</t>
  </si>
  <si>
    <t>Canadian Orange</t>
  </si>
  <si>
    <t>200g</t>
  </si>
  <si>
    <t>Bébé Doux</t>
  </si>
  <si>
    <t>vague liquid wash</t>
  </si>
  <si>
    <t>Glycérine</t>
  </si>
  <si>
    <t>maman be`be`</t>
  </si>
  <si>
    <t>pure petroleum jelly</t>
  </si>
  <si>
    <t>Sante</t>
  </si>
  <si>
    <t>malaika</t>
  </si>
  <si>
    <t>boissons gazeuses</t>
  </si>
  <si>
    <t>Canadian coca</t>
  </si>
  <si>
    <t>Canadian Lemon</t>
  </si>
  <si>
    <t>Canadian Soft Drinks</t>
  </si>
  <si>
    <t>Canadian Ananas</t>
  </si>
  <si>
    <t>Boison Gazeuse</t>
  </si>
  <si>
    <t>Canadian Grenadine</t>
  </si>
  <si>
    <t>Canadian Ginger</t>
  </si>
  <si>
    <t>Blue Orange</t>
  </si>
  <si>
    <t>BLUE</t>
  </si>
  <si>
    <t>Olé</t>
  </si>
  <si>
    <t>Flamingo Hand wash</t>
  </si>
  <si>
    <t>PROSSOL</t>
  </si>
  <si>
    <t>PZ cussons International Ltd.</t>
  </si>
  <si>
    <t>Delightfully Refreshing Drinking Water</t>
  </si>
  <si>
    <t>Highlands</t>
  </si>
  <si>
    <t>HIGHLANDS DRINKS LIMITED</t>
  </si>
  <si>
    <t>club</t>
  </si>
  <si>
    <t>Lemon Soda</t>
  </si>
  <si>
    <t>Blackcurrant Flavour Soda</t>
  </si>
  <si>
    <t>pineapple</t>
  </si>
  <si>
    <t>Passion Fruit Soda</t>
  </si>
  <si>
    <t>Bazuu</t>
  </si>
  <si>
    <t>5ltr</t>
  </si>
  <si>
    <t>fruit flavoured drink</t>
  </si>
  <si>
    <t>tropical fruit drink</t>
  </si>
  <si>
    <t>Fruitville</t>
  </si>
  <si>
    <t>Jetlak Foods Ltd</t>
  </si>
  <si>
    <t>Sunseed (UG)</t>
  </si>
  <si>
    <t>Mukwano Industries Uganda Ltd</t>
  </si>
  <si>
    <t>sunseed</t>
  </si>
  <si>
    <t>A.K Oils &amp; Fats (U) Ltd</t>
  </si>
  <si>
    <t>A.K. OILS AND FATS UGANDA LIMITED</t>
  </si>
  <si>
    <t>Fortified Sunflower Cooking Oil</t>
  </si>
  <si>
    <t>Aqua Sipi</t>
  </si>
  <si>
    <t>Packaged Drinking Water</t>
  </si>
  <si>
    <t>drinkig water</t>
  </si>
  <si>
    <t>Orange Crunch Milk Chocolate</t>
  </si>
  <si>
    <t>Dairyland</t>
  </si>
  <si>
    <t>Glacier Products Ltd</t>
  </si>
  <si>
    <t>KOL</t>
  </si>
  <si>
    <t>njoro CANNING Factory (k) Ltd</t>
  </si>
  <si>
    <t>Drinking water</t>
  </si>
  <si>
    <t>Zoe</t>
  </si>
  <si>
    <t>Lemon treat flavoured drink</t>
  </si>
  <si>
    <t>Quencher Junior</t>
  </si>
  <si>
    <t>Premium Drinking Water</t>
  </si>
  <si>
    <t>Premium drinking water</t>
  </si>
  <si>
    <t>Fizto Mixed Flavour Fruit Drink</t>
  </si>
  <si>
    <t>700 ml</t>
  </si>
  <si>
    <t>iodised editable salt</t>
  </si>
  <si>
    <t>Malindi Salt Works Ltd</t>
  </si>
  <si>
    <t>passion drink</t>
  </si>
  <si>
    <t>Bomba Energy Drink</t>
  </si>
  <si>
    <t>Mango Drink</t>
  </si>
  <si>
    <t>Pride</t>
  </si>
  <si>
    <t>Rock Boom</t>
  </si>
  <si>
    <t>Harss international</t>
  </si>
  <si>
    <t>Oner</t>
  </si>
  <si>
    <t>Apple fruit drink</t>
  </si>
  <si>
    <t>Lavita Pineapple flavoured drink</t>
  </si>
  <si>
    <t>Carbonated Coffee &amp; Malt Flavoured Drink</t>
  </si>
  <si>
    <t>Pineaple fruit drink</t>
  </si>
  <si>
    <t>Krystal</t>
  </si>
  <si>
    <t>Exotic tamarind</t>
  </si>
  <si>
    <t>apple drink</t>
  </si>
  <si>
    <t>oner</t>
  </si>
  <si>
    <t>Natures cool limited</t>
  </si>
  <si>
    <t>Natures Cool Limited</t>
  </si>
  <si>
    <t>Inyange</t>
  </si>
  <si>
    <t>Inyange Industries Ltd</t>
  </si>
  <si>
    <t>VHT whole milk</t>
  </si>
  <si>
    <t>yoghurt</t>
  </si>
  <si>
    <t>Apple Fruit Drink</t>
  </si>
  <si>
    <t>strawberry flavoured yoghurt</t>
  </si>
  <si>
    <t>Masaka Farms</t>
  </si>
  <si>
    <t>Masaka Creamery Limited</t>
  </si>
  <si>
    <t>vanila yogurt</t>
  </si>
  <si>
    <t>MASAKA FARMS</t>
  </si>
  <si>
    <t>Farm fresh Maziwa Lala</t>
  </si>
  <si>
    <t>Brookside</t>
  </si>
  <si>
    <t>Farm Fresh Maziwa Lala</t>
  </si>
  <si>
    <t>forest berry</t>
  </si>
  <si>
    <t>500gm</t>
  </si>
  <si>
    <t>Farm Fresh</t>
  </si>
  <si>
    <t>BraidSpray</t>
  </si>
  <si>
    <t>Radiant</t>
  </si>
  <si>
    <t>Movit Products Ltd</t>
  </si>
  <si>
    <t>movit baby gel</t>
  </si>
  <si>
    <t>520 ml</t>
  </si>
  <si>
    <t>Movit</t>
  </si>
  <si>
    <t>Naivas</t>
  </si>
  <si>
    <t>Naivas Supermarket Limited</t>
  </si>
  <si>
    <t>Corn Cooking Oil</t>
  </si>
  <si>
    <t>Elianto</t>
  </si>
  <si>
    <t>BIDCO Africa Limited</t>
  </si>
  <si>
    <t>Pure sunflower seed oil</t>
  </si>
  <si>
    <t>Sun Gold Lite</t>
  </si>
  <si>
    <t>Fresh whole milk</t>
  </si>
  <si>
    <t>BIO</t>
  </si>
  <si>
    <t>Bio Food Products Ltd</t>
  </si>
  <si>
    <t>Lait en Poudre Nestle</t>
  </si>
  <si>
    <t>Energy Drink Tonto</t>
  </si>
  <si>
    <t>KDB Kyarenga Tonto</t>
  </si>
  <si>
    <t>Kdb Kyarenga Wines Smc Limited</t>
  </si>
  <si>
    <t>MAX</t>
  </si>
  <si>
    <t>REVIN SARL</t>
  </si>
  <si>
    <t>Cheers Eau de Table</t>
  </si>
  <si>
    <t>Cheers</t>
  </si>
  <si>
    <t>Revin tangawizi</t>
  </si>
  <si>
    <t>Revin Tangawizi</t>
  </si>
  <si>
    <t>Revin Zambia Limited</t>
  </si>
  <si>
    <t>Natural Power High Energy</t>
  </si>
  <si>
    <t>Power plus</t>
  </si>
  <si>
    <t>310ml</t>
  </si>
  <si>
    <t>POWER TANGAWIZI</t>
  </si>
  <si>
    <t>Jus Tangawisi</t>
  </si>
  <si>
    <t>JUICI</t>
  </si>
  <si>
    <t>REVIN</t>
  </si>
  <si>
    <t>Juicy Ginger</t>
  </si>
  <si>
    <t>Max Orange</t>
  </si>
  <si>
    <t>Max Grenadine</t>
  </si>
  <si>
    <t>Max Lemon</t>
  </si>
  <si>
    <t>Spark Enery Drink</t>
  </si>
  <si>
    <t>CHIRPY</t>
  </si>
  <si>
    <t>AVANTO COMPANY LIMITED</t>
  </si>
  <si>
    <t>Boissons gazeuses</t>
  </si>
  <si>
    <t>Appy Fizz</t>
  </si>
  <si>
    <t>Parle Agro Pvt. Ltd.</t>
  </si>
  <si>
    <t>Tangawisi</t>
  </si>
  <si>
    <t>Boisson Gazeuse Tamarind</t>
  </si>
  <si>
    <t>Eau de Table Purifiée</t>
  </si>
  <si>
    <t>Fresha</t>
  </si>
  <si>
    <t>Githunguri Dairy Farmers Co-Operative Society Ltd</t>
  </si>
  <si>
    <t>Mango Fruit Drinks</t>
  </si>
  <si>
    <t>Strawberry Banana Juice Blend</t>
  </si>
  <si>
    <t>TREE TOP</t>
  </si>
  <si>
    <t>Sky Foods LTD</t>
  </si>
  <si>
    <t>Boost Energy Drink</t>
  </si>
  <si>
    <t>kombucha</t>
  </si>
  <si>
    <t>gavi beverages</t>
  </si>
  <si>
    <t>Gavi Beverages Ltd.</t>
  </si>
  <si>
    <t>Drinking Chocolate</t>
  </si>
  <si>
    <t>Fudgville</t>
  </si>
  <si>
    <t>Kenafric Industries Limited</t>
  </si>
  <si>
    <t>pure water, perfect taste</t>
  </si>
  <si>
    <t>Steam</t>
  </si>
  <si>
    <t>Orange Flavoured</t>
  </si>
  <si>
    <t>Mr. Twista</t>
  </si>
  <si>
    <t>Body Wash</t>
  </si>
  <si>
    <t>yenbu</t>
  </si>
  <si>
    <t>Yenbu</t>
  </si>
  <si>
    <t>Tropical drinking water</t>
  </si>
  <si>
    <t>Jooz</t>
  </si>
  <si>
    <t>mixed berry</t>
  </si>
  <si>
    <t>Aqua Drinking Water</t>
  </si>
  <si>
    <t>Simba Energy drink</t>
  </si>
  <si>
    <t>Tropicale</t>
  </si>
  <si>
    <t>BLUE FOUNTAIN SARL</t>
  </si>
  <si>
    <t>zesta tomato sauce</t>
  </si>
  <si>
    <t>400gms</t>
  </si>
  <si>
    <t>Zesta</t>
  </si>
  <si>
    <t>Trufoods Ltd</t>
  </si>
  <si>
    <t>Cocoa</t>
  </si>
  <si>
    <t>Anti-dandruff Hair Cream</t>
  </si>
  <si>
    <t>Waragi Flavoured Gin</t>
  </si>
  <si>
    <t>Sanyuka</t>
  </si>
  <si>
    <t>Sanyuka Natural Living Products Ltd</t>
  </si>
  <si>
    <t>hillwater limited</t>
  </si>
  <si>
    <t>Antibacterial hand wash</t>
  </si>
  <si>
    <t>Fields of Africa</t>
  </si>
  <si>
    <t>Supersleek Ltd</t>
  </si>
  <si>
    <t>Purified Drinking water</t>
  </si>
  <si>
    <t>Zam-Zam</t>
  </si>
  <si>
    <t>Zam Zam</t>
  </si>
  <si>
    <t>Kristal drinking water</t>
  </si>
  <si>
    <t>Khetia's</t>
  </si>
  <si>
    <t>Khetia Drapers Limited</t>
  </si>
  <si>
    <t>Alpine</t>
  </si>
  <si>
    <t>Alpine Coolers Ltd</t>
  </si>
  <si>
    <t>Azur</t>
  </si>
  <si>
    <t>House of Eden</t>
  </si>
  <si>
    <t>Goal Cane Spirit</t>
  </si>
  <si>
    <t>Goal</t>
  </si>
  <si>
    <t>Prime Care Industries ltd</t>
  </si>
  <si>
    <t>Agashya Squash Strawberry</t>
  </si>
  <si>
    <t>Sina</t>
  </si>
  <si>
    <t>Entreprise Urwibutso</t>
  </si>
  <si>
    <t>Agashya Pineapple</t>
  </si>
  <si>
    <t>Anointing Water</t>
  </si>
  <si>
    <t>Agashya Strawberry Soft Drink</t>
  </si>
  <si>
    <t>Agashya Squash</t>
  </si>
  <si>
    <t>Akandi</t>
  </si>
  <si>
    <t>Agashya Sugar Cane Juice</t>
  </si>
  <si>
    <t>Sana</t>
  </si>
  <si>
    <t>Sana Drinks Africa</t>
  </si>
  <si>
    <t>Jus de orange</t>
  </si>
  <si>
    <t>JUS DE POMME / Apple Juice</t>
  </si>
  <si>
    <t>Nutriday Yoghurt</t>
  </si>
  <si>
    <t>baby jelly</t>
  </si>
  <si>
    <t>Anti Dandruff Hair Cream</t>
  </si>
  <si>
    <t>90g</t>
  </si>
  <si>
    <t>Hair Relaxer</t>
  </si>
  <si>
    <t>Body Milk</t>
  </si>
  <si>
    <t>Red Gold</t>
  </si>
  <si>
    <t>Red Gold Tomato Source</t>
  </si>
  <si>
    <t>Azania Marhaba Washing Powder</t>
  </si>
  <si>
    <t>Azania Marhaba</t>
  </si>
  <si>
    <t>Azania Group</t>
  </si>
  <si>
    <t>detergent powder</t>
  </si>
  <si>
    <t>Marhaba impex</t>
  </si>
  <si>
    <t>EG</t>
  </si>
  <si>
    <t>Marhaba Impex</t>
  </si>
  <si>
    <t>JAJJA Pineapple Wine</t>
  </si>
  <si>
    <t>Jajja</t>
  </si>
  <si>
    <t>High Five Investments Ltd</t>
  </si>
  <si>
    <t>Jajja Non-Alcoholic Kombucha Drink</t>
  </si>
  <si>
    <t>Nutricom (Uganda)</t>
  </si>
  <si>
    <t>Nutricom Food and Beverages Limited</t>
  </si>
  <si>
    <t>Gatorade Carbonated Sports Drink</t>
  </si>
  <si>
    <t>Carbonated Soft drink</t>
  </si>
  <si>
    <t>Carbonated Mixed Berry</t>
  </si>
  <si>
    <t>Carbonated Orange Drink</t>
  </si>
  <si>
    <t>mirinda orange</t>
  </si>
  <si>
    <t>Crown Beverages limited</t>
  </si>
  <si>
    <t>Nivana</t>
  </si>
  <si>
    <t>Apple Flavored Carbonated Soft Drink</t>
  </si>
  <si>
    <t>Green Apple Flavored Drink</t>
  </si>
  <si>
    <t>Carbonated oft Drink</t>
  </si>
  <si>
    <t>Carbonated Orange Flavour Soft Drink</t>
  </si>
  <si>
    <t>Pineapple Drink</t>
  </si>
  <si>
    <t>carbonated Green apple drink</t>
  </si>
  <si>
    <t>Sting energy drink</t>
  </si>
  <si>
    <t>Sting</t>
  </si>
  <si>
    <t>Fresh Oxy Rich Water</t>
  </si>
  <si>
    <t>Safari King</t>
  </si>
  <si>
    <t>Bounty Ltd</t>
  </si>
  <si>
    <t>VODKA</t>
  </si>
  <si>
    <t>Coffee Flavoured Spirit</t>
  </si>
  <si>
    <t>Premier Distillers Ltd</t>
  </si>
  <si>
    <t>The Real African Food Co.</t>
  </si>
  <si>
    <t>Mursik Original</t>
  </si>
  <si>
    <t>Banna font</t>
  </si>
  <si>
    <t>Asilia Water</t>
  </si>
  <si>
    <t>Asilia Enterprises Limited</t>
  </si>
  <si>
    <t>Wimssy</t>
  </si>
  <si>
    <t>Wimssy Limited</t>
  </si>
  <si>
    <t>Red Tonic</t>
  </si>
  <si>
    <t>Kazire</t>
  </si>
  <si>
    <t>Aloe Green Tea</t>
  </si>
  <si>
    <t>fanaka Guava</t>
  </si>
  <si>
    <t>Fruit dale</t>
  </si>
  <si>
    <t>Agri pro pak ltd</t>
  </si>
  <si>
    <t>Wetlands Springs</t>
  </si>
  <si>
    <t>Josmis Suppliers Limited</t>
  </si>
  <si>
    <t>Warda</t>
  </si>
  <si>
    <t>Warda Water Supplies</t>
  </si>
  <si>
    <t>1.50 L</t>
  </si>
  <si>
    <t>naturalsprie</t>
  </si>
  <si>
    <t>Misty Cool</t>
  </si>
  <si>
    <t>Deep Rock Aqua</t>
  </si>
  <si>
    <t>Danmar Entreprises Limited</t>
  </si>
  <si>
    <t>Purified Natural Drinking Water</t>
  </si>
  <si>
    <t>Royal Taste</t>
  </si>
  <si>
    <t>Imena</t>
  </si>
  <si>
    <t>Green Food Ltd</t>
  </si>
  <si>
    <t>Dairy Ice Cream</t>
  </si>
  <si>
    <t>yorghurt</t>
  </si>
  <si>
    <t>imena dairy ice cream</t>
  </si>
  <si>
    <t>1.0 l</t>
  </si>
  <si>
    <t>Kisima</t>
  </si>
  <si>
    <t>Aqua Cool Ltd</t>
  </si>
  <si>
    <t>Strawberry Flavoured Yoghurt</t>
  </si>
  <si>
    <t>Blessed</t>
  </si>
  <si>
    <t>Blessed Dairies Ltd</t>
  </si>
  <si>
    <t>strawberry yoghurt</t>
  </si>
  <si>
    <t>Vanilla Flavoured Yoghurt</t>
  </si>
  <si>
    <t>Salted Butter</t>
  </si>
  <si>
    <t>Active Sparkle</t>
  </si>
  <si>
    <t>Simple Life Trading Company Ltd</t>
  </si>
  <si>
    <t>Winners</t>
  </si>
  <si>
    <t>Ndumberi Dairy Farmers Co-operative Ltd</t>
  </si>
  <si>
    <t>mosafi</t>
  </si>
  <si>
    <t>Boost Energy Fast Drink</t>
  </si>
  <si>
    <t>Orange juice blend</t>
  </si>
  <si>
    <t>Dutch Water</t>
  </si>
  <si>
    <t>Dutch water limited</t>
  </si>
  <si>
    <t>Bamba</t>
  </si>
  <si>
    <t>Bamba Water</t>
  </si>
  <si>
    <t>Delight Yoghurt</t>
  </si>
  <si>
    <t>vanilla yoghurt</t>
  </si>
  <si>
    <t>Bahati Dairies</t>
  </si>
  <si>
    <t>Bahati Agro Processors Ltd</t>
  </si>
  <si>
    <t>Lemon Lime Carbonated Soft Drink</t>
  </si>
  <si>
    <t>Brava</t>
  </si>
  <si>
    <t>Brava Food Industries Ltd</t>
  </si>
  <si>
    <t>Bravado energy drink</t>
  </si>
  <si>
    <t>Brava Mango</t>
  </si>
  <si>
    <t>Malto Coffee Malt Non alcohol drink</t>
  </si>
  <si>
    <t>Mango fruit juice drink</t>
  </si>
  <si>
    <t>Carbonated Flavoured Drink</t>
  </si>
  <si>
    <t>Ahlan ice</t>
  </si>
  <si>
    <t>Ahlan Bottled Drinking Water Co LLC</t>
  </si>
  <si>
    <t>Rayan Ice</t>
  </si>
  <si>
    <t>Halal ice</t>
  </si>
  <si>
    <t>Halal Ice Water Company Limited</t>
  </si>
  <si>
    <t>Vio Water</t>
  </si>
  <si>
    <t>Kiri bottling</t>
  </si>
  <si>
    <t>Body Lotion</t>
  </si>
  <si>
    <t>Lemon Fresh</t>
  </si>
  <si>
    <t>Original Margarine</t>
  </si>
  <si>
    <t>Liqueur</t>
  </si>
  <si>
    <t>Torrero</t>
  </si>
  <si>
    <t>Yuti Breweriies</t>
  </si>
  <si>
    <t>flavoured drink</t>
  </si>
  <si>
    <t>Lucky flavoured drink</t>
  </si>
  <si>
    <t>Sunshare Investment Company Limited</t>
  </si>
  <si>
    <t>purified water</t>
  </si>
  <si>
    <t>Hana water</t>
  </si>
  <si>
    <t>SA</t>
  </si>
  <si>
    <t>Hana Food Industries Company</t>
  </si>
  <si>
    <t>Wavah Water</t>
  </si>
  <si>
    <t>Wavah Water Limited</t>
  </si>
  <si>
    <t>gold honey</t>
  </si>
  <si>
    <t>Tropical</t>
  </si>
  <si>
    <t>Aquadrops</t>
  </si>
  <si>
    <t>Hand Washing Soap</t>
  </si>
  <si>
    <t>Nasida</t>
  </si>
  <si>
    <t>spray sanitizer</t>
  </si>
  <si>
    <t>65 ml</t>
  </si>
  <si>
    <t>Star Brite</t>
  </si>
  <si>
    <t>Star Brite Chemicals</t>
  </si>
  <si>
    <t>Germiguard Liquid hand wash</t>
  </si>
  <si>
    <t>Prometal</t>
  </si>
  <si>
    <t>Top Grenadine</t>
  </si>
  <si>
    <t>Top pamplemousse</t>
  </si>
  <si>
    <t>Eau Minerale</t>
  </si>
  <si>
    <t>Tangui</t>
  </si>
  <si>
    <t>Planet Pamplemousse</t>
  </si>
  <si>
    <t>Boisson Sans alcool</t>
  </si>
  <si>
    <t>Madiba</t>
  </si>
  <si>
    <t>Opur</t>
  </si>
  <si>
    <t>Crème clarifiante</t>
  </si>
  <si>
    <t>Cocoderm</t>
  </si>
  <si>
    <t>SIVOP</t>
  </si>
  <si>
    <t>Skin Lightening Beauty Cream</t>
  </si>
  <si>
    <t>Perfect White</t>
  </si>
  <si>
    <t>CI</t>
  </si>
  <si>
    <t>Dream Cosmetics</t>
  </si>
  <si>
    <t>Belair</t>
  </si>
  <si>
    <t>950 g</t>
  </si>
  <si>
    <t>Altesse</t>
  </si>
  <si>
    <t>475 g</t>
  </si>
  <si>
    <t>Anti Transpirant</t>
  </si>
  <si>
    <t>RUSH</t>
  </si>
  <si>
    <t>Ghandour Cosmetics</t>
  </si>
  <si>
    <t>Eau de parfum</t>
  </si>
  <si>
    <t>SENS</t>
  </si>
  <si>
    <t>Anti-transpirant</t>
  </si>
  <si>
    <t>MAGICO</t>
  </si>
  <si>
    <t>S.A.R.C.I.S.A  Société Africaine de Raffinage en Côte d'Ivoire</t>
  </si>
  <si>
    <t>EauCiel</t>
  </si>
  <si>
    <t>EAUCIEL</t>
  </si>
  <si>
    <t>Yaket</t>
  </si>
  <si>
    <t>Yaket International Ltd</t>
  </si>
  <si>
    <t>Family care Powder</t>
  </si>
  <si>
    <t>TPPL</t>
  </si>
  <si>
    <t>vestine hair food</t>
  </si>
  <si>
    <t>240ml</t>
  </si>
  <si>
    <t>Coconut oil</t>
  </si>
  <si>
    <t>Halisi</t>
  </si>
  <si>
    <t>Multi purpose Oil</t>
  </si>
  <si>
    <t>Afrocare Petroleum Jelly</t>
  </si>
  <si>
    <t>Afrocare</t>
  </si>
  <si>
    <t>TANGA PHARMACEUTICAL &amp; PLASTICS LTD</t>
  </si>
  <si>
    <t>Bodyspray</t>
  </si>
  <si>
    <t>Skala</t>
  </si>
  <si>
    <t>Herbal Petroleum Jelly</t>
  </si>
  <si>
    <t>VESTLINE</t>
  </si>
  <si>
    <t>Active Body Spray</t>
  </si>
  <si>
    <t>MOISTURISING SKIN PROTECTION</t>
  </si>
  <si>
    <t>Lager</t>
  </si>
  <si>
    <t>375ml</t>
  </si>
  <si>
    <t>Castle Lite</t>
  </si>
  <si>
    <t>Redd's</t>
  </si>
  <si>
    <t>Kilimanjaro Premium Lager</t>
  </si>
  <si>
    <t>Grand Malt Non-alcohol can</t>
  </si>
  <si>
    <t>Fruit Flavoured Soft Drink</t>
  </si>
  <si>
    <t>Carbonated Beverage</t>
  </si>
  <si>
    <t>Fruity Flavoured Soft Drink</t>
  </si>
  <si>
    <t>pepsi diet</t>
  </si>
  <si>
    <t>Anjari</t>
  </si>
  <si>
    <t>Anjari Soda Factory Ltd</t>
  </si>
  <si>
    <t>Anjari Q Pure Drinking Water</t>
  </si>
  <si>
    <t>Premium Pure Drinking Water</t>
  </si>
  <si>
    <t>Tomato paste</t>
  </si>
  <si>
    <t>RED GOLD</t>
  </si>
  <si>
    <t>900g</t>
  </si>
  <si>
    <t>Ukwaju Ice lolly</t>
  </si>
  <si>
    <t>Superior White Rum</t>
  </si>
  <si>
    <t>1.14L</t>
  </si>
  <si>
    <t>Rev</t>
  </si>
  <si>
    <t>K-Vant Spirit</t>
  </si>
  <si>
    <t>K-Vant</t>
  </si>
  <si>
    <t>Mega Beverages Company Co Ltd.</t>
  </si>
  <si>
    <t>Coconut with pineapple</t>
  </si>
  <si>
    <t>Embe Dodo Fruit Juice Drink</t>
  </si>
  <si>
    <t>Embe Boribo Juice Drink</t>
  </si>
  <si>
    <t>Apple punch</t>
  </si>
  <si>
    <t>chipsy snacks kuku</t>
  </si>
  <si>
    <t>Chipsy</t>
  </si>
  <si>
    <t>Smart Industry ltd</t>
  </si>
  <si>
    <t>pineaple flavoured drink</t>
  </si>
  <si>
    <t>80ml</t>
  </si>
  <si>
    <t>180ml</t>
  </si>
  <si>
    <t>mon-lime Flavoured Drink</t>
  </si>
  <si>
    <t>pineapple flavor drink</t>
  </si>
  <si>
    <t>Mango fresh</t>
  </si>
  <si>
    <t>Mango Flavoured  Drink</t>
  </si>
  <si>
    <t>Passion fruit flavoured drink</t>
  </si>
  <si>
    <t>Cola Flavored drink</t>
  </si>
  <si>
    <t>Pineapple Flavoured Drink</t>
  </si>
  <si>
    <t>Mango Flavoured Drink</t>
  </si>
  <si>
    <t>U-Fresh Flavored drink with strawberry and milk</t>
  </si>
  <si>
    <t>U-Fresh power</t>
  </si>
  <si>
    <t>Apple U-Fresh</t>
  </si>
  <si>
    <t>Ukwaju flavoured drinks</t>
  </si>
  <si>
    <t>u-fresh ukwaju</t>
  </si>
  <si>
    <t>Afiya Orange Flavour</t>
  </si>
  <si>
    <t>Super Cola</t>
  </si>
  <si>
    <t>Jembe Drink</t>
  </si>
  <si>
    <t>Jembe</t>
  </si>
  <si>
    <t>Afiya Passion Flavour</t>
  </si>
  <si>
    <t>Afiya Berries Flavour</t>
  </si>
  <si>
    <t>Afiya Tangawizi</t>
  </si>
  <si>
    <t>Orange Flavoured Carbonated Soft drink</t>
  </si>
  <si>
    <t>Milk Com</t>
  </si>
  <si>
    <t>Passion Flavour Carbonated soft drink</t>
  </si>
  <si>
    <t>energy drink</t>
  </si>
  <si>
    <t>Afya Drink Water</t>
  </si>
  <si>
    <t>Fruit drink</t>
  </si>
  <si>
    <t>Embe / Mango Juice Drink</t>
  </si>
  <si>
    <t>Pemba Drinking Water</t>
  </si>
  <si>
    <t>Pemba</t>
  </si>
  <si>
    <t>870g</t>
  </si>
  <si>
    <t>Dabaga Vegetable &amp; Fruits Canning</t>
  </si>
  <si>
    <t>Twist Soft Drink</t>
  </si>
  <si>
    <t>Twist Spark</t>
  </si>
  <si>
    <t>Packaged Drinking water</t>
  </si>
  <si>
    <t>Valley</t>
  </si>
  <si>
    <t>Twist Lemon</t>
  </si>
  <si>
    <t>Sayona Twist</t>
  </si>
  <si>
    <t>Passion Fruit Flavoured Carbonated Soft Drink</t>
  </si>
  <si>
    <t>Carbonated Flavoured Soft Drink</t>
  </si>
  <si>
    <t>Tunda Embe / Mango Juice Drink</t>
  </si>
  <si>
    <t>Tunda Mix</t>
  </si>
  <si>
    <t>malto</t>
  </si>
  <si>
    <t>Furaha</t>
  </si>
  <si>
    <t>CARBONATED FLAVOURED DRINK</t>
  </si>
  <si>
    <t>Twist pineapple</t>
  </si>
  <si>
    <t>Ghndour Industriel Congo</t>
  </si>
  <si>
    <t>Yaourt Fraise</t>
  </si>
  <si>
    <t>Doux Lait</t>
  </si>
  <si>
    <t>Ghandour Foods</t>
  </si>
  <si>
    <t>Yaourt banane</t>
  </si>
  <si>
    <t>Mango Flavour</t>
  </si>
  <si>
    <t>Yogurt Mtindi</t>
  </si>
  <si>
    <t>Tanga Fresh Yogurt Mtindi</t>
  </si>
  <si>
    <t>Tanga Fresh Limited</t>
  </si>
  <si>
    <t>Alcoholic Drink</t>
  </si>
  <si>
    <t>Super Burudani</t>
  </si>
  <si>
    <t>HAKIKA BREWERIES LIMITED</t>
  </si>
  <si>
    <t>Fortified Wine</t>
  </si>
  <si>
    <t>pure drinking water</t>
  </si>
  <si>
    <t>16 L</t>
  </si>
  <si>
    <t>Bunena</t>
  </si>
  <si>
    <t>SHAMPOOING NEUTRALISANT</t>
  </si>
  <si>
    <t>UB Universal Basic</t>
  </si>
  <si>
    <t>BAUME DEMELANT</t>
  </si>
  <si>
    <t>Crème Défrisante</t>
  </si>
  <si>
    <t>Crème défrisante</t>
  </si>
  <si>
    <t>lait éclaircissant</t>
  </si>
  <si>
    <t>EXTRA CLAIR</t>
  </si>
  <si>
    <t>Yaourt à Boire</t>
  </si>
  <si>
    <t>Valeur Superior Brandy</t>
  </si>
  <si>
    <t>Valeur</t>
  </si>
  <si>
    <t>Fortified Sweet Wine. Red</t>
  </si>
  <si>
    <t>Imagi</t>
  </si>
  <si>
    <t>Maji Bora</t>
  </si>
  <si>
    <t>Saini Food Products ltd</t>
  </si>
  <si>
    <t>Rivella Vodka</t>
  </si>
  <si>
    <t>Rivella (TZ)</t>
  </si>
  <si>
    <t>Blue Nile Distilleries Ltd</t>
  </si>
  <si>
    <t>Uhuru Peak</t>
  </si>
  <si>
    <t>Pure Drinking Water Premier</t>
  </si>
  <si>
    <t>Sundrop</t>
  </si>
  <si>
    <t>Alaska Tanzania Industries</t>
  </si>
  <si>
    <t>3Ltr</t>
  </si>
  <si>
    <t>Spaghetti</t>
  </si>
  <si>
    <t>Eatalia</t>
  </si>
  <si>
    <t>Potable cane spirit</t>
  </si>
  <si>
    <t>Double Kick</t>
  </si>
  <si>
    <t>Kibo Breweries Ltd</t>
  </si>
  <si>
    <t>Pera fresh produce of Tanzania</t>
  </si>
  <si>
    <t>PERA Afrika Ltd</t>
  </si>
  <si>
    <t>Smart Gin</t>
  </si>
  <si>
    <t>Smart Gin Euromax Ltd</t>
  </si>
  <si>
    <t>Splash Ice Lolly</t>
  </si>
  <si>
    <t>Mango Fruit Juice Drink</t>
  </si>
  <si>
    <t>Embe Dodo Lolly</t>
  </si>
  <si>
    <t>Mango Fruit Juice Drink (Azam Embe)</t>
  </si>
  <si>
    <t>African Fruti</t>
  </si>
  <si>
    <t>Mini Ballccone Toffee</t>
  </si>
  <si>
    <t>Embe Fruit juice</t>
  </si>
  <si>
    <t>Fruit Juice Drink</t>
  </si>
  <si>
    <t>Mango Crush</t>
  </si>
  <si>
    <t>Ukwaju</t>
  </si>
  <si>
    <t>Fursana Berry Flavoured</t>
  </si>
  <si>
    <t>Swiss Carbonated Beverage</t>
  </si>
  <si>
    <t>Ginger Flauvoured</t>
  </si>
  <si>
    <t>Mini Ballcone Vanilia Flavoured Ice Cream</t>
  </si>
  <si>
    <t>Ukwaju Tamarind Juice Drink</t>
  </si>
  <si>
    <t>Ubuyu / Baobab Fruit Drink</t>
  </si>
  <si>
    <t>Strawberry Sherbet Milk Bar</t>
  </si>
  <si>
    <t>Embe Flavoured Drink</t>
  </si>
  <si>
    <t>StarBix Biscuit</t>
  </si>
  <si>
    <t>Coco Plus Soft  Drink</t>
  </si>
  <si>
    <t>kahawa milk bar</t>
  </si>
  <si>
    <t>Iodated editable table salt</t>
  </si>
  <si>
    <t>Neel Premium Salt</t>
  </si>
  <si>
    <t>Neelkanth Group Africa</t>
  </si>
  <si>
    <t>sky drops drinking water</t>
  </si>
  <si>
    <t>Sky Drops</t>
  </si>
  <si>
    <t>Sky Drop</t>
  </si>
  <si>
    <t>Drink Dance Gin</t>
  </si>
  <si>
    <t>Leader's Ananasi</t>
  </si>
  <si>
    <t>Prime Care Distilleries Ltd</t>
  </si>
  <si>
    <t>Masafi</t>
  </si>
  <si>
    <t>Chungwa</t>
  </si>
  <si>
    <t>Mo Portello</t>
  </si>
  <si>
    <t>1.7 L</t>
  </si>
  <si>
    <t>Maisha</t>
  </si>
  <si>
    <t>Pride Blackcurrant Flavored Drink</t>
  </si>
  <si>
    <t>Mo Pride</t>
  </si>
  <si>
    <t>Chungwa / Orange Carbonated Flavoured Soft Drink</t>
  </si>
  <si>
    <t>Portello Blackcurrant Flavoured Soft Drink</t>
  </si>
  <si>
    <t>Pineapple Flavoured Carbonated soft drink</t>
  </si>
  <si>
    <t>12 L</t>
  </si>
  <si>
    <t>Vanilla Cola</t>
  </si>
  <si>
    <t>Xtra Carbonated Drink</t>
  </si>
  <si>
    <t>Pride fresh</t>
  </si>
  <si>
    <t>Pride cocktail flavour drink</t>
  </si>
  <si>
    <t>Lemon Flavored Carbonated Soft Drink</t>
  </si>
  <si>
    <t>Malt Flavoured</t>
  </si>
  <si>
    <t>Axcella Engine Oil for Petrol Engines</t>
  </si>
  <si>
    <t>Oryx Energies</t>
  </si>
  <si>
    <t>The Addax &amp; Oryx Group Plc (AOG)</t>
  </si>
  <si>
    <t>kleesoft washing powder</t>
  </si>
  <si>
    <t>Doffi</t>
  </si>
  <si>
    <t>locksScent</t>
  </si>
  <si>
    <t>Best drinking water</t>
  </si>
  <si>
    <t>Fruit flavoured Carbonated soft Drink</t>
  </si>
  <si>
    <t>Pawa Plus</t>
  </si>
  <si>
    <t>Sayona Drink Limited</t>
  </si>
  <si>
    <t>Apple Malto Soft Drink</t>
  </si>
  <si>
    <t>Hill Defender Energy drink</t>
  </si>
  <si>
    <t>Hill Defender Energy Drink</t>
  </si>
  <si>
    <t>Potable Spirit with Pineapple flavour</t>
  </si>
  <si>
    <t>Diamond Rock</t>
  </si>
  <si>
    <t>East African Spirits (T) Ltd</t>
  </si>
  <si>
    <t>Zanzibar Pure Life</t>
  </si>
  <si>
    <t>Zanzibar Overseas Services Ltd</t>
  </si>
  <si>
    <t>Zanzibar Pure Drinking Water</t>
  </si>
  <si>
    <t>Mtindi</t>
  </si>
  <si>
    <t>Cuca Vodka</t>
  </si>
  <si>
    <t>John Beverages (T) Limited</t>
  </si>
  <si>
    <t>mtindi Pasteurized &amp; Homogenized</t>
  </si>
  <si>
    <t>Yoghurt strawberry flavour</t>
  </si>
  <si>
    <t>Yoghurt pineapple flavour</t>
  </si>
  <si>
    <t>Vanilla yoghurt drink</t>
  </si>
  <si>
    <t>Natural Spring Drinking Water</t>
  </si>
  <si>
    <t>Chemichemi Maji Njombe</t>
  </si>
  <si>
    <t>JHALULA NOLE</t>
  </si>
  <si>
    <t>Hand Care Liquid Soap</t>
  </si>
  <si>
    <t>Pure Tanganyika</t>
  </si>
  <si>
    <t>Tanganyika Maendeleo Sarl</t>
  </si>
  <si>
    <t>Canadian Drinking Water</t>
  </si>
  <si>
    <t>Canada Pure Water Company Ltd</t>
  </si>
  <si>
    <t>Malto Malt &amp; Pineapple Flavor</t>
  </si>
  <si>
    <t>Mo Xtra Energy</t>
  </si>
  <si>
    <t>Berry-Flavoured Carbonated Soft Drink</t>
  </si>
  <si>
    <t>Black Cararant Flavored Cabonated soft Drink</t>
  </si>
  <si>
    <t>300</t>
  </si>
  <si>
    <t>Pinapple Flavoured Carbonated soft drink</t>
  </si>
  <si>
    <t>Malta &amp; pineapple flavour carbonated soft drink</t>
  </si>
  <si>
    <t>Niceone 2× Power Smart Clean</t>
  </si>
  <si>
    <t>NiceOne</t>
  </si>
  <si>
    <t>Washing Powder 2 × Power Clean</t>
  </si>
  <si>
    <t>Washing Powder 2×Power Clean</t>
  </si>
  <si>
    <t>2x Power smart Clean</t>
  </si>
  <si>
    <t>nyanyua Ushindi</t>
  </si>
  <si>
    <t>Ishi</t>
  </si>
  <si>
    <t>Ishi Pure drinking water</t>
  </si>
  <si>
    <t>1.1 L</t>
  </si>
  <si>
    <t>Maji ya Furaha</t>
  </si>
  <si>
    <t>1100 ml</t>
  </si>
  <si>
    <t>MAJI HALISI</t>
  </si>
  <si>
    <t>Dar Water</t>
  </si>
  <si>
    <t>Alliance Investment (T) Ltd</t>
  </si>
  <si>
    <t>Tuliza Nafsi Water</t>
  </si>
  <si>
    <t>1200 ml</t>
  </si>
  <si>
    <t>Swahili Water</t>
  </si>
  <si>
    <t>Hopaje Ltd</t>
  </si>
  <si>
    <t>Jumbo Water</t>
  </si>
  <si>
    <t>Pangani</t>
  </si>
  <si>
    <t>Agro Fresh Ltd</t>
  </si>
  <si>
    <t>Pure Drinking water</t>
  </si>
  <si>
    <t>Bagamoyo Sugar</t>
  </si>
  <si>
    <t>1Kg</t>
  </si>
  <si>
    <t>Lukuga Mineral Water</t>
  </si>
  <si>
    <t>Premium Spirit</t>
  </si>
  <si>
    <t>SeQua</t>
  </si>
  <si>
    <t>Zenjy Finest Drinking water</t>
  </si>
  <si>
    <t>Zenjy</t>
  </si>
  <si>
    <t>Sky Cola Company Limited</t>
  </si>
  <si>
    <t>Finest Drinking Water</t>
  </si>
  <si>
    <t>Gin African Choice</t>
  </si>
  <si>
    <t>Highlife</t>
  </si>
  <si>
    <t>Derick Global Trading Co.</t>
  </si>
  <si>
    <t>Precious</t>
  </si>
  <si>
    <t>Precious Drinking Water Ltd</t>
  </si>
  <si>
    <t>Bottle Green Ginger &amp; Lemongrass</t>
  </si>
  <si>
    <t>Água Crystalina</t>
  </si>
  <si>
    <t>Cholestrol Flush</t>
  </si>
  <si>
    <t>Crystal Peaks Nutrition</t>
  </si>
  <si>
    <t>Nature's Best Herbal</t>
  </si>
  <si>
    <t>3000 ml</t>
  </si>
  <si>
    <t>Crystal</t>
  </si>
  <si>
    <t>Arma Group</t>
  </si>
  <si>
    <t>Cooking oil</t>
  </si>
  <si>
    <t>soua bean oil</t>
  </si>
  <si>
    <t>This way chocolate drink</t>
  </si>
  <si>
    <t>This Way Chocolate Drink</t>
  </si>
  <si>
    <t>Despite Group of Companies</t>
  </si>
  <si>
    <t>Oscar Sunflower Oil</t>
  </si>
  <si>
    <t>Oscar</t>
  </si>
  <si>
    <t>kalisimbi(Sun flower oil)</t>
  </si>
  <si>
    <t>shaza Pure Sunflower Oil</t>
  </si>
  <si>
    <t>Shaza</t>
  </si>
  <si>
    <t>SAVCO Vegetable oils</t>
  </si>
  <si>
    <t>Soy Milk</t>
  </si>
  <si>
    <t>Lan T</t>
  </si>
  <si>
    <t>Lan Tianyi Company Limited</t>
  </si>
  <si>
    <t>Javex</t>
  </si>
  <si>
    <t>Pure Alkaline Water</t>
  </si>
  <si>
    <t>AlkaLive</t>
  </si>
  <si>
    <t>Frutelli</t>
  </si>
  <si>
    <t>Frutelli Ghana Limited</t>
  </si>
  <si>
    <t>Pot water</t>
  </si>
  <si>
    <t>Harmony</t>
  </si>
  <si>
    <t>HARMONY POT WATER LIMITED</t>
  </si>
  <si>
    <t>Oasis</t>
  </si>
  <si>
    <t>Oasis Pure Water</t>
  </si>
  <si>
    <t>gear oil</t>
  </si>
  <si>
    <t>ADNOC</t>
  </si>
  <si>
    <t>ADNOC Distribution</t>
  </si>
  <si>
    <t>CREAM SODA</t>
  </si>
  <si>
    <t>345ml</t>
  </si>
  <si>
    <t>NINJA</t>
  </si>
  <si>
    <t>Vitana</t>
  </si>
  <si>
    <t>Mango boissons fruité</t>
  </si>
  <si>
    <t>Flying Insect Killer</t>
  </si>
  <si>
    <t>Klitzz</t>
  </si>
  <si>
    <t>Guangdong Dream Fine Daily Chemical Co., Ltd.</t>
  </si>
  <si>
    <t>shinex window cleaner</t>
  </si>
  <si>
    <t>Shinex</t>
  </si>
  <si>
    <t>BD</t>
  </si>
  <si>
    <t>ACI Limited</t>
  </si>
  <si>
    <t>Window Cleaner</t>
  </si>
  <si>
    <t>Drop</t>
  </si>
  <si>
    <t>Universal Manufacture Rwanda Ltd</t>
  </si>
  <si>
    <t>Wafer Chocolate Flavored Cream</t>
  </si>
  <si>
    <t>Fiji</t>
  </si>
  <si>
    <t>The Wonderful Company</t>
  </si>
  <si>
    <t>Sierra Fria</t>
  </si>
  <si>
    <t>Peach Smoothie</t>
  </si>
  <si>
    <t>207 ml</t>
  </si>
  <si>
    <t>Uzima</t>
  </si>
  <si>
    <t>AquaPlus</t>
  </si>
  <si>
    <t>4l</t>
  </si>
  <si>
    <t>Natural Spring Watee</t>
  </si>
  <si>
    <t>mogwa springs</t>
  </si>
  <si>
    <t>Pure drinking Water</t>
  </si>
  <si>
    <t>Nestle Nido</t>
  </si>
  <si>
    <t>Flavoured Gin</t>
  </si>
  <si>
    <t>Musawo</t>
  </si>
  <si>
    <t>Mwanzan Beverages Ltd</t>
  </si>
  <si>
    <t>Albertine</t>
  </si>
  <si>
    <t>Shampoo</t>
  </si>
  <si>
    <t>Longrich</t>
  </si>
  <si>
    <t>Jowell Global Ltd</t>
  </si>
  <si>
    <t>Natural Water</t>
  </si>
  <si>
    <t>Brinto sunflower oil</t>
  </si>
  <si>
    <t>Brinto</t>
  </si>
  <si>
    <t>Kadooglu Yag</t>
  </si>
  <si>
    <t>Honey Drink</t>
  </si>
  <si>
    <t>Master Kong</t>
  </si>
  <si>
    <t>White Board Cleaner</t>
  </si>
  <si>
    <t>Dentifrice</t>
  </si>
  <si>
    <t>Vigor Doctor</t>
  </si>
  <si>
    <t>Zhang Gan</t>
  </si>
  <si>
    <t>Nongfu Spring</t>
  </si>
  <si>
    <t>Nongfu spring</t>
  </si>
  <si>
    <t>ABC</t>
  </si>
  <si>
    <t>KW</t>
  </si>
  <si>
    <t>Arabian Beverage Company</t>
  </si>
  <si>
    <t>Daily C</t>
  </si>
  <si>
    <t>papier mouchoir</t>
  </si>
  <si>
    <t>Confort</t>
  </si>
  <si>
    <t>GLOBAL ENTREPRISES SARL</t>
  </si>
  <si>
    <t>blue wave Beverages limited</t>
  </si>
  <si>
    <t>Blue Wave</t>
  </si>
  <si>
    <t>Blue Wave Beverages Ltd</t>
  </si>
  <si>
    <t>Royale Vie</t>
  </si>
  <si>
    <t>SOCIETE DEHUI SARL</t>
  </si>
  <si>
    <t>Gelinho Banana</t>
  </si>
  <si>
    <t>Refresco Abacaxi</t>
  </si>
  <si>
    <t>Uva Deliciosa</t>
  </si>
  <si>
    <t>Bebida Maça / Apple Drink</t>
  </si>
  <si>
    <t>Gelinho Abacaxí</t>
  </si>
  <si>
    <t>Leite Pessego</t>
  </si>
  <si>
    <t>Quibom de Leite</t>
  </si>
  <si>
    <t>ICE Springs</t>
  </si>
  <si>
    <t>ICE LOVE CO. LTD</t>
  </si>
  <si>
    <t>Grown leather</t>
  </si>
  <si>
    <t>BIKI</t>
  </si>
  <si>
    <t>Zhongshan Biaoqi Houseware Co. Ltd</t>
  </si>
  <si>
    <t>soda milk salt crackers</t>
  </si>
  <si>
    <t>Milk Salt Soda Cracker</t>
  </si>
  <si>
    <t>Jiaxing Meidan Food Co. Ltd</t>
  </si>
  <si>
    <t>Rich In Calcium Milk Soda Cracker</t>
  </si>
  <si>
    <t>Garlic and Coconut oil</t>
  </si>
  <si>
    <t>Nutra Shine Professional</t>
  </si>
  <si>
    <t>T-GUARD Toothpaste</t>
  </si>
  <si>
    <t>T-Guard</t>
  </si>
  <si>
    <t>ideal for Chinese and Japanese Foods</t>
  </si>
  <si>
    <t>SOY SAUCE</t>
  </si>
  <si>
    <t>Sumo maçã</t>
  </si>
  <si>
    <t>350</t>
  </si>
  <si>
    <t>Remie jollof rice seasoning</t>
  </si>
  <si>
    <t>Lightening Glycerin</t>
  </si>
  <si>
    <t>Naomi</t>
  </si>
  <si>
    <t>2005961 Ontario Inc.</t>
  </si>
  <si>
    <t>água purificada</t>
  </si>
  <si>
    <t>Aguavilhosa</t>
  </si>
  <si>
    <t>Lihuan Group (SU) LDA</t>
  </si>
  <si>
    <t>Lavonce</t>
  </si>
  <si>
    <t>Happy Sunshine Company Ltd</t>
  </si>
  <si>
    <t>body and hand cream</t>
  </si>
  <si>
    <t>Rinju</t>
  </si>
  <si>
    <t>R &amp; R Cosmetics LLC</t>
  </si>
  <si>
    <t>SPORTS DRINK Energade</t>
  </si>
  <si>
    <t>snickers duo</t>
  </si>
  <si>
    <t>09 g</t>
  </si>
  <si>
    <t>Apple &amp; Malti Flavored</t>
  </si>
  <si>
    <t>Quavers - Cheese</t>
  </si>
  <si>
    <t>Mango Flavored Drink</t>
  </si>
  <si>
    <t>Smooth orange with no bit</t>
  </si>
  <si>
    <t>U FRESH</t>
  </si>
  <si>
    <t>Verna Purified Drinking Water</t>
  </si>
  <si>
    <t>Ice pearl</t>
  </si>
  <si>
    <t>RU</t>
  </si>
  <si>
    <t>Narzan</t>
  </si>
  <si>
    <t>aloes verra</t>
  </si>
  <si>
    <t>ARODERME</t>
  </si>
  <si>
    <t>ARAUPHAR PRODUCTION</t>
  </si>
  <si>
    <t>Antiseptic Desinfectant</t>
  </si>
  <si>
    <t>Aqua sure</t>
  </si>
  <si>
    <t>vegetable oil</t>
  </si>
  <si>
    <t>strawberry</t>
  </si>
  <si>
    <t>vanilla dairy</t>
  </si>
  <si>
    <t>vanilla yorgurt</t>
  </si>
  <si>
    <t>Carrent</t>
  </si>
  <si>
    <t>CLAMAC ENTERPRISES</t>
  </si>
  <si>
    <t>KDF</t>
  </si>
  <si>
    <t>Kenya Ordnance Factories Corporation</t>
  </si>
  <si>
    <t>Drink it love it</t>
  </si>
  <si>
    <t>SkyDots</t>
  </si>
  <si>
    <t>Drinking it love it</t>
  </si>
  <si>
    <t>Glass Cleaner</t>
  </si>
  <si>
    <t>King Klear</t>
  </si>
  <si>
    <t>Pommade</t>
  </si>
  <si>
    <t>1.500 ml</t>
  </si>
  <si>
    <t>Chibuku Super</t>
  </si>
  <si>
    <t>Chibuku Products LTD</t>
  </si>
  <si>
    <t>Chibuku Products Ltd</t>
  </si>
  <si>
    <t>Health Drink</t>
  </si>
  <si>
    <t>Kambucha</t>
  </si>
  <si>
    <t>Amalfi</t>
  </si>
  <si>
    <t>Hawaiian silky</t>
  </si>
  <si>
    <t>474 ml</t>
  </si>
  <si>
    <t>Hawaiian Silky</t>
  </si>
  <si>
    <t>Tumaqua</t>
  </si>
  <si>
    <t>TUMEL (Technical University of Mombasa Enterprises Limited)</t>
  </si>
  <si>
    <t>Aero</t>
  </si>
  <si>
    <t>Hot chocolate drink</t>
  </si>
  <si>
    <t>whispa</t>
  </si>
  <si>
    <t>36 g</t>
  </si>
  <si>
    <t>Chocolate</t>
  </si>
  <si>
    <t>Toblerone</t>
  </si>
  <si>
    <t>Starbar Duo</t>
  </si>
  <si>
    <t>74 g</t>
  </si>
  <si>
    <t>Time out Chocolate</t>
  </si>
  <si>
    <t>108 g</t>
  </si>
  <si>
    <t>Dairy Milk Fruit and Nut</t>
  </si>
  <si>
    <t>110 g</t>
  </si>
  <si>
    <t>Cadbury Dairy Milk</t>
  </si>
  <si>
    <t>Agua pura tratada</t>
  </si>
  <si>
    <t>Cristal</t>
  </si>
  <si>
    <t>Organización Ardila Lülle</t>
  </si>
  <si>
    <t>Bebida hidratante energética Maracuya</t>
  </si>
  <si>
    <t>Bebida hidratante energética</t>
  </si>
  <si>
    <t>Bebida hidratante y energetica</t>
  </si>
  <si>
    <t>Bebida gasosa</t>
  </si>
  <si>
    <t>Bebida gaseosa</t>
  </si>
  <si>
    <t>3</t>
  </si>
  <si>
    <t>Manantial (CO)</t>
  </si>
  <si>
    <t>hill water</t>
  </si>
  <si>
    <t>swissta</t>
  </si>
  <si>
    <t>Agua Mineral Natural de las Sierras</t>
  </si>
  <si>
    <t>Sierra de los Padres</t>
  </si>
  <si>
    <t>AR</t>
  </si>
  <si>
    <t>Nutreco Alimentos S.A</t>
  </si>
  <si>
    <t>CL</t>
  </si>
  <si>
    <t>Refrigerante de maçà / Apple Drink</t>
  </si>
  <si>
    <t>Apple / Maçã</t>
  </si>
  <si>
    <t>Açai</t>
  </si>
  <si>
    <t>Fiesta Laranja</t>
  </si>
  <si>
    <t>Fiesta Cola</t>
  </si>
  <si>
    <t>Pêssego / Peach</t>
  </si>
  <si>
    <t>Detergent multi-usages</t>
  </si>
  <si>
    <t>SUMAMOUSSE</t>
  </si>
  <si>
    <t>Crème Hydratante Bébé</t>
  </si>
  <si>
    <t>Monganga Bébé Crème Hydratante</t>
  </si>
  <si>
    <t>Monganga Bébé Poudre</t>
  </si>
  <si>
    <t>Acai Blueberry Pomegranate</t>
  </si>
  <si>
    <t>Vitamin Water mega c</t>
  </si>
  <si>
    <t>SmartWater</t>
  </si>
  <si>
    <t>smartwater</t>
  </si>
  <si>
    <t>Vida (CD)</t>
  </si>
  <si>
    <t>Plax Ice Infinity</t>
  </si>
  <si>
    <t>BR</t>
  </si>
  <si>
    <t>Bolinho Chocolate</t>
  </si>
  <si>
    <t>Bauducco</t>
  </si>
  <si>
    <t>Chocolate Wafer</t>
  </si>
  <si>
    <t>Sadia Chicken Frank's</t>
  </si>
  <si>
    <t>Sadia</t>
  </si>
  <si>
    <t>BRF s.a.</t>
  </si>
  <si>
    <t>Chicken Frankfurters</t>
  </si>
  <si>
    <t>Seara</t>
  </si>
  <si>
    <t>Seara Global</t>
  </si>
  <si>
    <t>6.3 L</t>
  </si>
  <si>
    <t>Oleo De Amendoa Com Flor De Cerejeira – Pele Hidratada e Perfumada</t>
  </si>
  <si>
    <t>Muriel</t>
  </si>
  <si>
    <t>BEAUTY LAB DO BRASIL LTDA</t>
  </si>
  <si>
    <t>Cha Mate</t>
  </si>
  <si>
    <t>1.35 L</t>
  </si>
  <si>
    <t>Campo Largo</t>
  </si>
  <si>
    <t>Zanlorenzi Bebidas Ltda</t>
  </si>
  <si>
    <t>LAVA LOUCAS CONCENTRADO</t>
  </si>
  <si>
    <t>650ml</t>
  </si>
  <si>
    <t>Biowash</t>
  </si>
  <si>
    <t>ciclo farma</t>
  </si>
  <si>
    <t>industria Quimica</t>
  </si>
  <si>
    <t>Apple and Blueberry Fruit Juice Blend</t>
  </si>
  <si>
    <t>Feel Luxurious Concentrate Softener</t>
  </si>
  <si>
    <t>Downy</t>
  </si>
  <si>
    <t>Concentrated Fabric Softener</t>
  </si>
  <si>
    <t>luxury perfume</t>
  </si>
  <si>
    <t>880ml</t>
  </si>
  <si>
    <t>Miracle Moist Shampoo</t>
  </si>
  <si>
    <t>90ml</t>
  </si>
  <si>
    <t>Aussie</t>
  </si>
  <si>
    <t>Miracle Moist Conditioner</t>
  </si>
  <si>
    <t>725 ml</t>
  </si>
  <si>
    <t>Champu Anticaspa Recarga</t>
  </si>
  <si>
    <t>480 ml</t>
  </si>
  <si>
    <t>Head &amp; Shoulders</t>
  </si>
  <si>
    <t>Organic Extra Virgin Olive Oil</t>
  </si>
  <si>
    <t>Filippo Berio</t>
  </si>
  <si>
    <t>FilippoBerio</t>
  </si>
  <si>
    <t>Fairy Ultra Poder</t>
  </si>
  <si>
    <t>Fairy Maxi Poder</t>
  </si>
  <si>
    <t>540ml</t>
  </si>
  <si>
    <t>Flovered Carbonated Soft drink</t>
  </si>
  <si>
    <t>Chocolate Bar</t>
  </si>
  <si>
    <t>21 g</t>
  </si>
  <si>
    <t>Kinder</t>
  </si>
  <si>
    <t>Ferrero</t>
  </si>
  <si>
    <t>Agua Vumba</t>
  </si>
  <si>
    <t>Blue Raspberry</t>
  </si>
  <si>
    <t>Prime Hydration Drink</t>
  </si>
  <si>
    <t>Chocolate chip cookies</t>
  </si>
  <si>
    <t>Tate's Bake Shop</t>
  </si>
  <si>
    <t>High Protein Milkshake - Strawberry Banana</t>
  </si>
  <si>
    <t>Core Power</t>
  </si>
  <si>
    <t>Fairlife</t>
  </si>
  <si>
    <t>Défrisant</t>
  </si>
  <si>
    <t>Kids Clear Line</t>
  </si>
  <si>
    <t>Hand Gel</t>
  </si>
  <si>
    <t>Halo</t>
  </si>
  <si>
    <t>Nourishing conditioner</t>
  </si>
  <si>
    <t>237ml</t>
  </si>
  <si>
    <t>Cantu</t>
  </si>
  <si>
    <t>PDC Brands</t>
  </si>
  <si>
    <t>French Lavender Plant-based hand wash</t>
  </si>
  <si>
    <t>354 ml</t>
  </si>
  <si>
    <t>non-toxic surface cleaner</t>
  </si>
  <si>
    <t>Bigoo cocktail Drink</t>
  </si>
  <si>
    <t>pot water</t>
  </si>
  <si>
    <t>mulondo extra</t>
  </si>
  <si>
    <t>kazi booster</t>
  </si>
  <si>
    <t>Kirungi</t>
  </si>
  <si>
    <t>Zero Lemon Lime</t>
  </si>
  <si>
    <t>G-Zero Grape</t>
  </si>
  <si>
    <t>Fontvella</t>
  </si>
  <si>
    <t>Font Vella</t>
  </si>
  <si>
    <t>Mineral</t>
  </si>
  <si>
    <t>6.25 L</t>
  </si>
  <si>
    <t>Bezoya</t>
  </si>
  <si>
    <t>Calidad Pascual, S.A.U.</t>
  </si>
  <si>
    <t>Agua del Manantial Trescass</t>
  </si>
  <si>
    <t>Cloudy AppleJuice</t>
  </si>
  <si>
    <t>DON SIMON Multifrutas</t>
  </si>
  <si>
    <t>Don Simon</t>
  </si>
  <si>
    <t>J. García Carrión S.A.</t>
  </si>
  <si>
    <t>Naranja Simon life</t>
  </si>
  <si>
    <t>Limon</t>
  </si>
  <si>
    <t>Gino</t>
  </si>
  <si>
    <t>GBFoods</t>
  </si>
  <si>
    <t>Gino Tomato Mix</t>
  </si>
  <si>
    <t>Gino Tomato Seasoning Mix</t>
  </si>
  <si>
    <t>Curry Powder</t>
  </si>
  <si>
    <t>13 g</t>
  </si>
  <si>
    <t>Lanjaron Sport</t>
  </si>
  <si>
    <t>Lanjarón</t>
  </si>
  <si>
    <t>Agua de Sierra Nevada</t>
  </si>
  <si>
    <t>Font d'Or</t>
  </si>
  <si>
    <t>Vichy Catalan Corporation</t>
  </si>
  <si>
    <t>Mineral Natural</t>
  </si>
  <si>
    <t>Fontecelta</t>
  </si>
  <si>
    <t>Fontecelta S.A.</t>
  </si>
  <si>
    <t>Água mineral natural. Montseny</t>
  </si>
  <si>
    <t>Viladrau</t>
  </si>
  <si>
    <t>Liquid Soap</t>
  </si>
  <si>
    <t>Gel citronela</t>
  </si>
  <si>
    <t>Citronela</t>
  </si>
  <si>
    <t>Amahogar</t>
  </si>
  <si>
    <t>Tarta de Queso</t>
  </si>
  <si>
    <t>Leche Fresca Semidesnatada</t>
  </si>
  <si>
    <t>Yogur Líquido Fresa y Plátano</t>
  </si>
  <si>
    <t>1250 ml</t>
  </si>
  <si>
    <t>Planet Pamplemousse Soft drink</t>
  </si>
  <si>
    <t>Agua</t>
  </si>
  <si>
    <t>Fondetal</t>
  </si>
  <si>
    <t>Agua Mineral Natural con gas</t>
  </si>
  <si>
    <t>Aguadoy</t>
  </si>
  <si>
    <t>Importaco S.A.</t>
  </si>
  <si>
    <t>Zumo de Naranja</t>
  </si>
  <si>
    <t>Mercadona</t>
  </si>
  <si>
    <t>MERCADONA, S.A.</t>
  </si>
  <si>
    <t>Gazpacho Fresco</t>
  </si>
  <si>
    <t>Lejía Detergente Desinfectante</t>
  </si>
  <si>
    <t>Gel WC desinfectante</t>
  </si>
  <si>
    <t>Baños Casa de Banho</t>
  </si>
  <si>
    <t>Gel WC Lejía</t>
  </si>
  <si>
    <t>Gel Limpiador Baños</t>
  </si>
  <si>
    <t>Desinfectante Multiusos</t>
  </si>
  <si>
    <t>Limpiarhogar desinfectante</t>
  </si>
  <si>
    <t>Gel shampoo</t>
  </si>
  <si>
    <t>Aloe Vera Loción</t>
  </si>
  <si>
    <t>Agua Destilada</t>
  </si>
  <si>
    <t>Ice Pop</t>
  </si>
  <si>
    <t>Kiwi Essence Anti-Bacterial Hand Soap</t>
  </si>
  <si>
    <t>Therapy Levels</t>
  </si>
  <si>
    <t>Tonic</t>
  </si>
  <si>
    <t>Eau minérale</t>
  </si>
  <si>
    <t>Bouteille gazeuse</t>
  </si>
  <si>
    <t>eau minérale</t>
  </si>
  <si>
    <t>Aqua winner</t>
  </si>
  <si>
    <t>WB&amp;F</t>
  </si>
  <si>
    <t>eau de pure</t>
  </si>
  <si>
    <t>Oba Makarna Pasta</t>
  </si>
  <si>
    <t>Goat Milk Extract Hand Soap</t>
  </si>
  <si>
    <t>Voi</t>
  </si>
  <si>
    <t>Smile Diş Ticaret Anonim Şirketi</t>
  </si>
  <si>
    <t>Olive Oil Hand Soap</t>
  </si>
  <si>
    <t>Hand Soap Lemon Extract</t>
  </si>
  <si>
    <t>Antiseptic 70% Alcohol Spray</t>
  </si>
  <si>
    <t>jambo</t>
  </si>
  <si>
    <t>Eri Rwanda ltd</t>
  </si>
  <si>
    <t>Eri Rwanda Ltd</t>
  </si>
  <si>
    <t>natural herbal soap</t>
  </si>
  <si>
    <t>Duru</t>
  </si>
  <si>
    <t>Evyap America, Inc.</t>
  </si>
  <si>
    <t>Papier Mouchoirs</t>
  </si>
  <si>
    <t>Papia</t>
  </si>
  <si>
    <t>HAYAT</t>
  </si>
  <si>
    <t>OBA Makarna</t>
  </si>
  <si>
    <t>HOBBY</t>
  </si>
  <si>
    <t>Hobi Kozmetik</t>
  </si>
  <si>
    <t>Orkide sunflower oil</t>
  </si>
  <si>
    <t>Orkide</t>
  </si>
  <si>
    <t>Kucukbay Oil and Detergent Inc.</t>
  </si>
  <si>
    <t>Yonca</t>
  </si>
  <si>
    <t>Yonca Sunflower Oil</t>
  </si>
  <si>
    <t>Papilion</t>
  </si>
  <si>
    <t>Liquid Soap Vanilla</t>
  </si>
  <si>
    <t>Sunflower seed oil</t>
  </si>
  <si>
    <t>cotanak</t>
  </si>
  <si>
    <t>Cotanak Sunflower Oil</t>
  </si>
  <si>
    <t>Hayat</t>
  </si>
  <si>
    <t>Antibacterial Wet Wipes</t>
  </si>
  <si>
    <t>Ultra Compact</t>
  </si>
  <si>
    <t>Arsan Kimya</t>
  </si>
  <si>
    <t>Premium Quality Wet Wipes</t>
  </si>
  <si>
    <t>100 pc</t>
  </si>
  <si>
    <t>Golden pineapple flavoured instant drink</t>
  </si>
  <si>
    <t>Golden Cup</t>
  </si>
  <si>
    <t>Beşem Gıda Sanayi Ve Ticaret Limited Sirketi</t>
  </si>
  <si>
    <t>Golden Cup Lemon Flavoured Instant Drink</t>
  </si>
  <si>
    <t>Golden Cup Banana Flavoured Instant Drink</t>
  </si>
  <si>
    <t>Golden Cup Coconut Flavoured Instant Drink</t>
  </si>
  <si>
    <t>Golden Cup Ginger Flavoured Instant Drink</t>
  </si>
  <si>
    <t>Hand Sanitizer Gel</t>
  </si>
  <si>
    <t>AquaVera</t>
  </si>
  <si>
    <t>Gel de Banho</t>
  </si>
  <si>
    <t>315 ml</t>
  </si>
  <si>
    <t>body lotion</t>
  </si>
  <si>
    <t>Limao Ice Tea</t>
  </si>
  <si>
    <t>Cream</t>
  </si>
  <si>
    <t>Heineken</t>
  </si>
  <si>
    <t>Aromat</t>
  </si>
  <si>
    <t>88 g</t>
  </si>
  <si>
    <t>Knorr</t>
  </si>
  <si>
    <t>Pistachio &amp; Magnolia Cream</t>
  </si>
  <si>
    <t>Deeply Nourishing Body Wash</t>
  </si>
  <si>
    <t>55 ml</t>
  </si>
  <si>
    <t>Foam Bath karite e vaniglia</t>
  </si>
  <si>
    <t>709 ml</t>
  </si>
  <si>
    <t>Coca cola</t>
  </si>
  <si>
    <t>Shower Gel Dry Skin</t>
  </si>
  <si>
    <t>Sanex</t>
  </si>
  <si>
    <t>Bavaria Flavoured Malt Drink</t>
  </si>
  <si>
    <t>bavaria</t>
  </si>
  <si>
    <t>boisson non alcoolisée</t>
  </si>
  <si>
    <t>Kikkoman Naturally Brewed Soy Sauce</t>
  </si>
  <si>
    <t>Kikkoman</t>
  </si>
  <si>
    <t>Fine Salt</t>
  </si>
  <si>
    <t>Nezo</t>
  </si>
  <si>
    <t>Hengelo Salt Specialities B.V.</t>
  </si>
  <si>
    <t>Mineral Water Still</t>
  </si>
  <si>
    <t>Sun D'or Aqua</t>
  </si>
  <si>
    <t>Global Drink Service</t>
  </si>
  <si>
    <t>mineral water classic</t>
  </si>
  <si>
    <t>Sensation White</t>
  </si>
  <si>
    <t>75ml</t>
  </si>
  <si>
    <t>Asia Noodles Duck Taste</t>
  </si>
  <si>
    <t>61 g</t>
  </si>
  <si>
    <t>Bio Plus Coco</t>
  </si>
  <si>
    <t>lotion</t>
  </si>
  <si>
    <t>Dove Cosmetic LTD</t>
  </si>
  <si>
    <t>Bébé Rico</t>
  </si>
  <si>
    <t>Eau naturelle</t>
  </si>
  <si>
    <t>jus d'orange</t>
  </si>
  <si>
    <t>jus cola</t>
  </si>
  <si>
    <t>Gel</t>
  </si>
  <si>
    <t>Hand Sanitizer Rose</t>
  </si>
  <si>
    <t>SPARKLING PEACH Melocoton</t>
  </si>
  <si>
    <t>OKF</t>
  </si>
  <si>
    <t>Cranberry Vodka</t>
  </si>
  <si>
    <t>Blackfly Rum Punch</t>
  </si>
  <si>
    <t>Grapefruit Vodka</t>
  </si>
  <si>
    <t>Bio Steel Rainbow Twist</t>
  </si>
  <si>
    <t>BioSteel</t>
  </si>
  <si>
    <t>Fish oil</t>
  </si>
  <si>
    <t>Mega We care</t>
  </si>
  <si>
    <t>TH</t>
  </si>
  <si>
    <t>Mega Lifesciences Public Company Limited</t>
  </si>
  <si>
    <t>VitaMilk champ</t>
  </si>
  <si>
    <t>VitaMilk Champ</t>
  </si>
  <si>
    <t>Green Spot Co. ltd</t>
  </si>
  <si>
    <t>LeLe</t>
  </si>
  <si>
    <t>5 kg</t>
  </si>
  <si>
    <t>Lele</t>
  </si>
  <si>
    <t>Coconut Oil</t>
  </si>
  <si>
    <t>Parachute</t>
  </si>
  <si>
    <t>Marico Ltd.</t>
  </si>
  <si>
    <t>PARLE Ginger Snap Cookies</t>
  </si>
  <si>
    <t>Nutricrunch</t>
  </si>
  <si>
    <t>PARLE Malty Biscuits</t>
  </si>
  <si>
    <t>Malty Biscuits</t>
  </si>
  <si>
    <t>Simply Good Cream Cracker Original</t>
  </si>
  <si>
    <t>africa's choice</t>
  </si>
  <si>
    <t>0.025 g</t>
  </si>
  <si>
    <t>Beltexco</t>
  </si>
  <si>
    <t>Beltexco S.A.R.L.</t>
  </si>
  <si>
    <t>Chocolate Flavour Sandwich Biscuits</t>
  </si>
  <si>
    <t>TREFF</t>
  </si>
  <si>
    <t>RAVI FOODS PVT. LTD</t>
  </si>
  <si>
    <t>Afri bull</t>
  </si>
  <si>
    <t>Grain blended whisky</t>
  </si>
  <si>
    <t>8PM</t>
  </si>
  <si>
    <t>Radico Khaitan</t>
  </si>
  <si>
    <t>Bora</t>
  </si>
  <si>
    <t>KABECO</t>
  </si>
  <si>
    <t>Chips</t>
  </si>
  <si>
    <t>16 g</t>
  </si>
  <si>
    <t>Chuppy Naks</t>
  </si>
  <si>
    <t>Africa Snacks</t>
  </si>
  <si>
    <t>Bonito</t>
  </si>
  <si>
    <t>Pomme</t>
  </si>
  <si>
    <t>laranza</t>
  </si>
  <si>
    <t>Anas</t>
  </si>
  <si>
    <t>Grena</t>
  </si>
  <si>
    <t>limona</t>
  </si>
  <si>
    <t>Boisson Energissante</t>
  </si>
  <si>
    <t>Boom Energy Drink</t>
  </si>
  <si>
    <t>eau pureté garantie</t>
  </si>
  <si>
    <t>Azzur</t>
  </si>
  <si>
    <t>eau  pureté garantie</t>
  </si>
  <si>
    <t>Limona</t>
  </si>
  <si>
    <t>Vegetable instant noodles</t>
  </si>
  <si>
    <t>wai wai</t>
  </si>
  <si>
    <t>Thai Preserved Food Factory Company Limited</t>
  </si>
  <si>
    <t>Diana Lotion</t>
  </si>
  <si>
    <t>FunTop Carbonated Soft Drink</t>
  </si>
  <si>
    <t>Kadat</t>
  </si>
  <si>
    <t>SL</t>
  </si>
  <si>
    <t>Kadat Foods &amp; Beverages Pvt. Ltd.</t>
  </si>
  <si>
    <t>Zen</t>
  </si>
  <si>
    <t>African Foods and Beverages</t>
  </si>
  <si>
    <t>Paani</t>
  </si>
  <si>
    <t>Boisson Gaseuse</t>
  </si>
  <si>
    <t>Zen Tangawisi</t>
  </si>
  <si>
    <t>Zen Orange</t>
  </si>
  <si>
    <t>Zen Energy Drink</t>
  </si>
  <si>
    <t>Zen Energy</t>
  </si>
  <si>
    <t>Zenufa group of companies</t>
  </si>
  <si>
    <t>Tamarind Juice Drink</t>
  </si>
  <si>
    <t>Panie</t>
  </si>
  <si>
    <t>Viet International Co., Ltd.</t>
  </si>
  <si>
    <t>Lubricant</t>
  </si>
  <si>
    <t>Yasaki</t>
  </si>
  <si>
    <t>AXCL GULF FZC</t>
  </si>
  <si>
    <t>boncabe</t>
  </si>
  <si>
    <t>Boncabe Original</t>
  </si>
  <si>
    <t>Cappuccino Instant Powder</t>
  </si>
  <si>
    <t>Tora Bika</t>
  </si>
  <si>
    <t>ID</t>
  </si>
  <si>
    <t>Mayora Group</t>
  </si>
  <si>
    <t>orange water</t>
  </si>
  <si>
    <t>Reload</t>
  </si>
  <si>
    <t>Toothpaste</t>
  </si>
  <si>
    <t>Diet Carbonated drink</t>
  </si>
  <si>
    <t>Fanta Orange Flavoured Drink</t>
  </si>
  <si>
    <t>Pineapple Carbonated Drink</t>
  </si>
  <si>
    <t>Morango Soft Drink</t>
  </si>
  <si>
    <t>Delight tropical</t>
  </si>
  <si>
    <t>Orange Fruit Drink</t>
  </si>
  <si>
    <t>Tangawizi / Ginger Beer</t>
  </si>
  <si>
    <t>Delight Orange</t>
  </si>
  <si>
    <t>Delight Mango</t>
  </si>
  <si>
    <t>Sports Drink</t>
  </si>
  <si>
    <t>Altruist SPF30 Sunscren</t>
  </si>
  <si>
    <t>Mango Fravoured Drink</t>
  </si>
  <si>
    <t>Aqua</t>
  </si>
  <si>
    <t>Hayat natural spring water</t>
  </si>
  <si>
    <t>Vitale (CM)</t>
  </si>
  <si>
    <t>Sobo Drink</t>
  </si>
  <si>
    <t>Cherry Plum</t>
  </si>
  <si>
    <t>SOBO ginger</t>
  </si>
  <si>
    <t>Crème pour  homme</t>
  </si>
  <si>
    <t>CLAIRMEN</t>
  </si>
  <si>
    <t>Angel Cosmetics</t>
  </si>
  <si>
    <t>Crème pour homme</t>
  </si>
  <si>
    <t>Cocopulp</t>
  </si>
  <si>
    <t>Détergent liquide</t>
  </si>
  <si>
    <t>Génie Nettoyeur Citron</t>
  </si>
  <si>
    <t>Day by Day</t>
  </si>
  <si>
    <t>Désodorisant</t>
  </si>
  <si>
    <t>Bel-Air Textiles</t>
  </si>
  <si>
    <t>Désodorisants</t>
  </si>
  <si>
    <t>Gel mains désinfectant</t>
  </si>
  <si>
    <t>Bactigel</t>
  </si>
  <si>
    <t>Lotion Lait Clarifiant</t>
  </si>
  <si>
    <t>Infini Clear</t>
  </si>
  <si>
    <t>Gel Douche Clarifiant</t>
  </si>
  <si>
    <t>Paw Paw</t>
  </si>
  <si>
    <t>Hit Hero</t>
  </si>
  <si>
    <t>Vinaigre</t>
  </si>
  <si>
    <t>HC Gel Fixateur</t>
  </si>
  <si>
    <t>3000ml</t>
  </si>
  <si>
    <t>Oleo Alimentar Ativa</t>
  </si>
  <si>
    <t>oleo</t>
  </si>
  <si>
    <t>Agua Mineral Diamante Liquido</t>
  </si>
  <si>
    <t>Glaciar</t>
  </si>
  <si>
    <t>Glaciar Industria e Comercio</t>
  </si>
  <si>
    <t>Água Pura</t>
  </si>
  <si>
    <t>Détergent en poudre floral</t>
  </si>
  <si>
    <t>SABA</t>
  </si>
  <si>
    <t>PALMENTAR</t>
  </si>
  <si>
    <t>Vegetable cooking oil</t>
  </si>
  <si>
    <t>Dyanas</t>
  </si>
  <si>
    <t>WYN Foods Pte Ltd</t>
  </si>
  <si>
    <t>Huile végétale</t>
  </si>
  <si>
    <t>20litre</t>
  </si>
  <si>
    <t>Cool</t>
  </si>
  <si>
    <t>625 g</t>
  </si>
  <si>
    <t>Summer</t>
  </si>
  <si>
    <t>Lemon Lime Drink</t>
  </si>
  <si>
    <t>515 ml</t>
  </si>
  <si>
    <t>oba makarna</t>
  </si>
  <si>
    <t>Fruit Shoot Orange</t>
  </si>
  <si>
    <t>Uhai Drinking Water</t>
  </si>
  <si>
    <t>Tunda Mango Juice Drink</t>
  </si>
  <si>
    <t>Nevada</t>
  </si>
  <si>
    <t>Nevada General Supplies Co, Lda</t>
  </si>
  <si>
    <t>Ma Vie</t>
  </si>
  <si>
    <t>SOGEMIL sarl</t>
  </si>
  <si>
    <t>Swastika water</t>
  </si>
  <si>
    <t>Ets SAIKI KRIPA</t>
  </si>
  <si>
    <t>Water Bottle</t>
  </si>
  <si>
    <t>Água pura</t>
  </si>
  <si>
    <t>Eau pure source de santé</t>
  </si>
  <si>
    <t>MS Mayi Safi</t>
  </si>
  <si>
    <t>product_barcode</t>
  </si>
  <si>
    <t>product_label</t>
  </si>
  <si>
    <t>product_size</t>
  </si>
  <si>
    <t>brand_name</t>
  </si>
  <si>
    <t>manufacturer_country</t>
  </si>
  <si>
    <t>manufacturer_name</t>
  </si>
  <si>
    <t>scan_country</t>
  </si>
  <si>
    <t>data_url</t>
  </si>
  <si>
    <t>bottle_weight</t>
  </si>
  <si>
    <t>bottle_count</t>
  </si>
  <si>
    <t>https://wastebase.org/#/o/f434a282-c578-461d-b773-307feb39c462</t>
  </si>
  <si>
    <t>https://wastebase.org/#/o/c3710738-2999-4396-a284-6b70bf737fe6</t>
  </si>
  <si>
    <t>https://wastebase.org/#/o/3642cf76-4a7b-4304-a535-e96ae4a83c79</t>
  </si>
  <si>
    <t>https://wastebase.org/#/o/08d08755-55fa-4b19-aed1-dfe64a79e8f1</t>
  </si>
  <si>
    <t>https://wastebase.org/#/o/5fcf39bd-870f-4cee-bc8f-16e2c93077c0</t>
  </si>
  <si>
    <t>https://wastebase.org/#/o/75ad3034-3ad3-4b2e-ac7b-33399e7f9922</t>
  </si>
  <si>
    <t>https://wastebase.org/#/o/3626e7ac-e6c3-4269-a399-0c0421135c28</t>
  </si>
  <si>
    <t>https://wastebase.org/#/o/8e95169e-b45a-4c9c-b37f-fdde51861730</t>
  </si>
  <si>
    <t>https://wastebase.org/#/o/a7deffed-62b3-4bff-99bb-6b6087d6abe3</t>
  </si>
  <si>
    <t>https://wastebase.org/#/o/fa6fbb15-8b61-4e1d-867f-db43d9d31fd3</t>
  </si>
  <si>
    <t>https://wastebase.org/#/o/7c77eeb9-6b2e-4554-a985-1596ef7cf811</t>
  </si>
  <si>
    <t>https://wastebase.org/#/o/9564612d-8467-47d1-b730-d07b25946cc6</t>
  </si>
  <si>
    <t>https://wastebase.org/#/o/be33c175-2d38-4871-8575-a2b775cadf76</t>
  </si>
  <si>
    <t>https://wastebase.org/#/o/59163cd7-c4b7-4834-b8f5-a5113e2084db</t>
  </si>
  <si>
    <t>https://wastebase.org/#/o/45c04382-9034-4d6b-abbb-92daff751d13</t>
  </si>
  <si>
    <t>https://wastebase.org/#/o/ead953e7-a526-4ced-970d-f403daaf9c7a</t>
  </si>
  <si>
    <t>https://wastebase.org/#/o/8e4048b3-bc1b-49f8-9e88-de3175861133</t>
  </si>
  <si>
    <t>https://wastebase.org/#/o/01f01c18-6923-440e-854a-8f4419300790</t>
  </si>
  <si>
    <t>https://wastebase.org/#/o/c26da86f-d00c-4887-b26c-a1e448ac7cc7</t>
  </si>
  <si>
    <t>https://wastebase.org/#/o/ef561c00-c23e-4ca2-a1aa-2e850fe2f53c</t>
  </si>
  <si>
    <t>https://wastebase.org/#/o/5f838907-d73e-4fb2-b6f9-952d19ce1105</t>
  </si>
  <si>
    <t>https://wastebase.org/#/o/8305d106-053b-4ddb-9b5f-567daded9fe1</t>
  </si>
  <si>
    <t>https://wastebase.org/#/o/a4e2ac23-2e88-4f21-9538-b903394496f5</t>
  </si>
  <si>
    <t>https://wastebase.org/#/o/90f7b2fc-631d-4912-ab12-1bf2056b0301</t>
  </si>
  <si>
    <t>https://wastebase.org/#/o/12ad4551-65b8-42cc-8804-34417ef51906</t>
  </si>
  <si>
    <t>https://wastebase.org/#/o/5856be1e-075e-4642-be6d-b0fc646e41d0</t>
  </si>
  <si>
    <t>https://wastebase.org/#/o/3229db68-ab05-4966-8085-873953919b27</t>
  </si>
  <si>
    <t>https://wastebase.org/#/o/53e840cc-46c6-4abd-9a2b-a997c3379828</t>
  </si>
  <si>
    <t>https://wastebase.org/#/o/0982ccb0-2b89-48dd-b204-7160cb373080</t>
  </si>
  <si>
    <t>https://wastebase.org/#/o/a50bb239-3db4-4bbc-a42a-5107dcf79f54</t>
  </si>
  <si>
    <t>https://wastebase.org/#/o/6a7f1fdc-95ba-4800-a9da-d9b4fd538a05</t>
  </si>
  <si>
    <t>https://wastebase.org/#/o/ad2567fb-874b-4658-b9cf-5c2394618222</t>
  </si>
  <si>
    <t>https://wastebase.org/#/o/833c3669-9353-4c41-9948-a1d8cfeec1b6</t>
  </si>
  <si>
    <t>https://wastebase.org/#/o/2899d6fa-8426-4c6a-b081-a62a4382cc1d</t>
  </si>
  <si>
    <t>https://wastebase.org/#/o/e54b2c50-a7be-4ac1-8f64-063cbfd8098f</t>
  </si>
  <si>
    <t>https://wastebase.org/#/o/f9a29ebc-5255-4e9a-a17b-0d4060f9819e</t>
  </si>
  <si>
    <t>https://wastebase.org/#/o/8b9245f6-ce90-4ad8-a299-4bf06cbba547</t>
  </si>
  <si>
    <t>https://wastebase.org/#/o/cc71dd06-654d-4010-b3e0-87e4c26bc300</t>
  </si>
  <si>
    <t>https://wastebase.org/#/o/a8f14ebf-6855-4123-8e55-5fb3e01a6481</t>
  </si>
  <si>
    <t>https://wastebase.org/#/o/a45c2942-e989-423a-8910-8f81ee7d02e9</t>
  </si>
  <si>
    <t>https://wastebase.org/#/o/6c7040ad-ffbc-482d-8593-735a2da5971c</t>
  </si>
  <si>
    <t>https://wastebase.org/#/o/00000000-0000-0000-0000-000000000001</t>
  </si>
  <si>
    <t>https://wastebase.org/#/o/1398692e-a9f6-485c-9a7a-fb3b2e2426ac</t>
  </si>
  <si>
    <t>https://wastebase.org/#/o/e072cc5d-03b1-4573-bde7-abe1bfbd668c</t>
  </si>
  <si>
    <t>https://wastebase.org/#/o/35e95de5-c909-47fd-9974-4768ac8a8cc9</t>
  </si>
  <si>
    <t>https://wastebase.org/#/o/359bffc0-5baa-44dc-9548-60e400943c13</t>
  </si>
  <si>
    <t>https://wastebase.org/#/o/c1b440e0-2566-42b0-95cc-65409d7d4df1</t>
  </si>
  <si>
    <t>https://wastebase.org/#/o/12d1b14a-1408-4be1-80bf-18ac56f537a6</t>
  </si>
  <si>
    <t>https://wastebase.org/#/o/9ba06c89-d3ce-4164-91f5-59f9c032a7d4</t>
  </si>
  <si>
    <t>https://wastebase.org/#/o/82542c71-e5b8-433b-a1ed-81e08e14b67f</t>
  </si>
  <si>
    <t>https://wastebase.org/#/o/6cae578e-a5de-4480-b591-38e57a826b21</t>
  </si>
  <si>
    <t>https://wastebase.org/#/o/909d4d9f-4537-4a18-bb1b-cf8f3c8304bc</t>
  </si>
  <si>
    <t>https://wastebase.org/#/o/888420e1-1259-4c47-adfe-30740e9afa49</t>
  </si>
  <si>
    <t>https://wastebase.org/#/o/eb8a9dc5-ad0f-4ca1-bfc3-b450b586cac7</t>
  </si>
  <si>
    <t>https://wastebase.org/#/o/0ebd85d3-3a25-4f6b-a568-9d5cd18b2d63</t>
  </si>
  <si>
    <t>https://wastebase.org/#/o/b229ec67-455b-4ead-8a3c-a5e5df3e5225</t>
  </si>
  <si>
    <t>https://wastebase.org/#/o/25e0b5dd-a8c2-45eb-9c34-1b167deea46a</t>
  </si>
  <si>
    <t>https://wastebase.org/#/o/bc9cc996-9c5b-455d-b385-4cb7d6461f93</t>
  </si>
  <si>
    <t>https://wastebase.org/#/o/897a9b8a-e69c-4910-bf6c-533e34f04925</t>
  </si>
  <si>
    <t>https://wastebase.org/#/o/0bc71ff1-8ea3-465c-a56a-b9b9496b84d2</t>
  </si>
  <si>
    <t>https://wastebase.org/#/o/b122e0c5-b565-4c7f-98c9-c7456ac735e6</t>
  </si>
  <si>
    <t>https://wastebase.org/#/o/bd4f2b11-425f-4423-a549-89741c8c5318</t>
  </si>
  <si>
    <t>https://wastebase.org/#/o/7513edeb-3054-4478-86b1-7fe375abb7f0</t>
  </si>
  <si>
    <t>https://wastebase.org/#/o/9fca3aa4-e021-4b06-acff-6b8ebf36dd38</t>
  </si>
  <si>
    <t>https://wastebase.org/#/o/f2b39812-2bb3-41fa-b7ac-e35c5c932722</t>
  </si>
  <si>
    <t>https://wastebase.org/#/o/8fc955b3-5588-4f33-8412-bc3a4d44c144</t>
  </si>
  <si>
    <t>https://wastebase.org/#/o/ed1ea69c-519a-43c6-8bfa-72d34c987d5d</t>
  </si>
  <si>
    <t>https://wastebase.org/#/o/655a09ab-4437-4d4e-bf31-033aadbeea45</t>
  </si>
  <si>
    <t>https://wastebase.org/#/o/031c9965-4ef1-4628-b15c-07943b735ad6</t>
  </si>
  <si>
    <t>https://wastebase.org/#/o/d1f802b7-7340-498b-a720-6fc8dd64850f</t>
  </si>
  <si>
    <t>https://wastebase.org/#/o/7656508c-79ed-4576-a5eb-c35175b84f29</t>
  </si>
  <si>
    <t>https://wastebase.org/#/o/b8136b94-ca62-4ed4-b7de-b53c5b9e38ad</t>
  </si>
  <si>
    <t>https://wastebase.org/#/o/0c6f8836-e3e7-4e82-8168-4d21fe362943</t>
  </si>
  <si>
    <t>https://wastebase.org/#/o/9947f84f-6e15-44a3-9e51-8d9f13d71d9d</t>
  </si>
  <si>
    <t>https://wastebase.org/#/o/5eb7d977-0702-465a-99b8-3d118bdffc65</t>
  </si>
  <si>
    <t>https://wastebase.org/#/o/de81ec8b-41a9-493a-9345-ca1cc44a0e80</t>
  </si>
  <si>
    <t>https://wastebase.org/#/o/179c246a-f0ee-4574-8b7c-e75ea7f6796a</t>
  </si>
  <si>
    <t>https://wastebase.org/#/o/39e7ad3a-ffcf-4df3-bc42-9098b52f7fc3</t>
  </si>
  <si>
    <t>https://wastebase.org/#/o/dab4148f-9874-4c3c-9e37-5705a6ddb254</t>
  </si>
  <si>
    <t>https://wastebase.org/#/o/d943b94a-eb9e-4037-93bc-0639f8f5058d</t>
  </si>
  <si>
    <t>https://wastebase.org/#/o/85022289-591b-4e34-907f-4c54a87c522f</t>
  </si>
  <si>
    <t>https://wastebase.org/#/o/adc8c7a5-eb2d-4c11-8588-794fa25edf32</t>
  </si>
  <si>
    <t>https://wastebase.org/#/o/57a72091-d108-42e3-a5e4-6fb28a00b036</t>
  </si>
  <si>
    <t>https://wastebase.org/#/o/56800464-b4d1-41d4-9630-c71c979864f6</t>
  </si>
  <si>
    <t>https://wastebase.org/#/o/7bf0a16d-52c7-446a-862f-f79d11512b92</t>
  </si>
  <si>
    <t>https://wastebase.org/#/o/bf872fcb-0240-4890-bba5-5bc09c32fca8</t>
  </si>
  <si>
    <t>https://wastebase.org/#/o/c01e0a8d-611a-4573-853a-b6d8f3a8beae</t>
  </si>
  <si>
    <t>https://wastebase.org/#/o/9e459dd2-e6f5-4f5c-a59a-4b5e7f11d350</t>
  </si>
  <si>
    <t>https://wastebase.org/#/o/bdf398af-363d-4f2a-8cf4-9cf40245a90f</t>
  </si>
  <si>
    <t>https://wastebase.org/#/o/2c0e7a71-086f-4287-a69c-268f11a75f1d</t>
  </si>
  <si>
    <t>https://wastebase.org/#/o/7dc106a1-5cf0-4f45-aaf3-a55dd437fcc9</t>
  </si>
  <si>
    <t>https://wastebase.org/#/o/39cf108a-33c8-47c2-8180-96ff828a5b17</t>
  </si>
  <si>
    <t>https://wastebase.org/#/o/65530923-8272-4d21-b295-b848c508165a</t>
  </si>
  <si>
    <t>https://wastebase.org/#/o/d6c26670-8939-41e3-a7cb-7b0b0c99edaa</t>
  </si>
  <si>
    <t>https://wastebase.org/#/o/5221b0fe-17ff-4f97-93c4-2e449c26bfef</t>
  </si>
  <si>
    <t>https://wastebase.org/#/o/3ff05ee7-f22a-410f-9f5c-3e6ce3c8a8c8</t>
  </si>
  <si>
    <t>https://wastebase.org/#/o/461264a1-31ba-42f0-8d7b-30178d5b5629</t>
  </si>
  <si>
    <t>https://wastebase.org/#/o/a1a98869-fb3f-44b0-b1d5-5c5c417ac0a5</t>
  </si>
  <si>
    <t>https://wastebase.org/#/o/152c193e-c980-4372-a97a-84ed193aac9d</t>
  </si>
  <si>
    <t>https://wastebase.org/#/o/b6245e3a-475d-44b9-bb70-15bb212f4fbd</t>
  </si>
  <si>
    <t>https://wastebase.org/#/o/556552a3-17fc-415b-aaf0-c8071cec6eb9</t>
  </si>
  <si>
    <t>https://wastebase.org/#/o/6d5ce77e-86d4-44b9-b576-ffad655fb1db</t>
  </si>
  <si>
    <t>https://wastebase.org/#/o/2b26fa38-c55f-4352-a3d4-5ce1c230b636</t>
  </si>
  <si>
    <t>https://wastebase.org/#/o/271e5b00-d163-48f2-a75a-1488c9223357</t>
  </si>
  <si>
    <t>https://wastebase.org/#/o/5acb7d68-e7c2-45c7-985e-c91bb47fec8e</t>
  </si>
  <si>
    <t>https://wastebase.org/#/o/1618770c-6516-4b16-af98-4928dd725cf5</t>
  </si>
  <si>
    <t>https://wastebase.org/#/o/349e692e-a7a4-49b7-a20c-a7fa76a8d723</t>
  </si>
  <si>
    <t>https://wastebase.org/#/o/a19ea28d-5bc8-4f70-89fe-1dd3b7a4b75e</t>
  </si>
  <si>
    <t>https://wastebase.org/#/o/b75d2194-2623-471d-bf4e-acf9634b8931</t>
  </si>
  <si>
    <t>https://wastebase.org/#/o/999b86da-80f8-4f1e-9113-1c7f67c236db</t>
  </si>
  <si>
    <t>https://wastebase.org/#/o/3c5a74ee-5738-453a-8bf6-e5a95674c168</t>
  </si>
  <si>
    <t>https://wastebase.org/#/o/63d6a425-df22-45c8-a816-60a0ecbe5779</t>
  </si>
  <si>
    <t>https://wastebase.org/#/o/541b7ac7-da0d-409e-9177-c34a6c4fa6d7</t>
  </si>
  <si>
    <t>https://wastebase.org/#/o/844c2ffa-8e9c-4420-8fd5-86a5c2b0efc4</t>
  </si>
  <si>
    <t>https://wastebase.org/#/o/7f6839fe-d3d0-46ff-8209-c5b48b85b894</t>
  </si>
  <si>
    <t>https://wastebase.org/#/o/5f42fb12-cd93-4c7c-bad1-7b28c1f0e7b3</t>
  </si>
  <si>
    <t>https://wastebase.org/#/o/a786797c-b133-4b59-b673-c6628d2f9296</t>
  </si>
  <si>
    <t>https://wastebase.org/#/o/ed2bad11-b592-46c8-a25d-72260e78b126</t>
  </si>
  <si>
    <t>https://wastebase.org/#/o/57c1556b-e8ce-4861-b7f9-e545401d25d4</t>
  </si>
  <si>
    <t>https://wastebase.org/#/o/74114966-2d54-47e1-8313-d88d940c5bd8</t>
  </si>
  <si>
    <t>https://wastebase.org/#/o/0fec559f-28ef-4ff5-9e43-389959cc59a1</t>
  </si>
  <si>
    <t>https://wastebase.org/#/o/f0a2cb19-aac8-4c56-80e9-6de1c9fa662d</t>
  </si>
  <si>
    <t>https://wastebase.org/#/o/f296a079-6f8d-46bb-b372-1bf59db9d555</t>
  </si>
  <si>
    <t>https://wastebase.org/#/o/6b26efbe-7e27-463f-9c31-1becf508b169</t>
  </si>
  <si>
    <t>https://wastebase.org/#/o/cbfe78e1-fc22-4fef-bc10-bf55cdbbd23d</t>
  </si>
  <si>
    <t>https://wastebase.org/#/o/15ee8055-e751-44b5-a9ea-bd893efa41b6</t>
  </si>
  <si>
    <t>https://wastebase.org/#/o/117a6462-3578-4330-bdc4-8565a58daa8e</t>
  </si>
  <si>
    <t>https://wastebase.org/#/o/782ac067-ee0b-4c6e-bf63-8c6fcb9834fa</t>
  </si>
  <si>
    <t>https://wastebase.org/#/o/043c2fe2-cd73-4390-9ee7-18c62e527322</t>
  </si>
  <si>
    <t>https://wastebase.org/#/o/d84d6ed1-7ebd-41e4-bc21-bcf8eb07b910</t>
  </si>
  <si>
    <t>https://wastebase.org/#/o/28b91534-f80a-4c42-ae01-999e39872122</t>
  </si>
  <si>
    <t>https://wastebase.org/#/o/170b0d23-ae71-4c64-a78b-ad709fe94d75</t>
  </si>
  <si>
    <t>https://wastebase.org/#/o/ed9a8c45-6cdf-4d2c-b14b-73f8cd28578c</t>
  </si>
  <si>
    <t>https://wastebase.org/#/o/a96cdc48-1f91-4d16-a280-853365b2e382</t>
  </si>
  <si>
    <t>https://wastebase.org/#/o/622073c4-2822-4cdc-9a1e-b831fa805141</t>
  </si>
  <si>
    <t>https://wastebase.org/#/o/5946528c-b9be-41c0-ac85-8eef567f7948</t>
  </si>
  <si>
    <t>https://wastebase.org/#/o/ecaba28a-5b70-40e7-8978-dcba7d9606c1</t>
  </si>
  <si>
    <t>https://wastebase.org/#/o/bfaedda5-b03c-4c72-97da-0e5e4c4be9be</t>
  </si>
  <si>
    <t>https://wastebase.org/#/o/86551870-e293-4d58-b016-1a0af3fb8032</t>
  </si>
  <si>
    <t>https://wastebase.org/#/o/79dd9a3b-0e51-42d5-9957-fb8d6a1fb09c</t>
  </si>
  <si>
    <t>https://wastebase.org/#/o/455f732d-7f51-4859-8e8d-23e4efdaf06a</t>
  </si>
  <si>
    <t>https://wastebase.org/#/o/5e009a56-1546-4a1f-be3f-976e5f0ceaee</t>
  </si>
  <si>
    <t>https://wastebase.org/#/o/431babe2-210e-470f-9a70-0f3ed1d9611e</t>
  </si>
  <si>
    <t>https://wastebase.org/#/o/48c42ca2-3580-48b6-8f0a-d6be1dd66c6d</t>
  </si>
  <si>
    <t>https://wastebase.org/#/o/d03e5191-6a24-4f8a-8857-8c0d206cbac4</t>
  </si>
  <si>
    <t>https://wastebase.org/#/o/cb2a0f45-314c-4fd0-9d92-3b774edf019e</t>
  </si>
  <si>
    <t>https://wastebase.org/#/o/834981e8-a605-4427-a8ac-4498959fc818</t>
  </si>
  <si>
    <t>https://wastebase.org/#/o/3078a5e6-bd14-4399-9919-1ececc57ee9e</t>
  </si>
  <si>
    <t>https://wastebase.org/#/o/e4846f78-dd4b-45a8-9160-2d0426d5bca4</t>
  </si>
  <si>
    <t>https://wastebase.org/#/o/0a6a8128-4fa6-4533-8d5b-f648309258e7</t>
  </si>
  <si>
    <t>https://wastebase.org/#/o/2b877505-0572-49e9-a831-105cb0bf5e87</t>
  </si>
  <si>
    <t>https://wastebase.org/#/o/9873343d-2855-423c-bf77-79a58418a907</t>
  </si>
  <si>
    <t>https://wastebase.org/#/o/c75939aa-3796-43eb-b217-617079828729</t>
  </si>
  <si>
    <t>https://wastebase.org/#/o/5f00dc59-2d72-4a29-b3ea-5cbcdef6a0bb</t>
  </si>
  <si>
    <t>https://wastebase.org/#/o/007eca32-c9c6-4503-932a-784673e4c6f3</t>
  </si>
  <si>
    <t>https://wastebase.org/#/o/3373ced9-5f71-4966-a12c-c8b683b50269</t>
  </si>
  <si>
    <t>https://wastebase.org/#/o/0c76efb4-4008-4677-aba1-e10a6e3ef026</t>
  </si>
  <si>
    <t>https://wastebase.org/#/o/85f69aa3-c489-4cb2-b0f1-3c7e46c17cf9</t>
  </si>
  <si>
    <t>https://wastebase.org/#/o/b5390f65-0892-448b-8fe6-dc103cf4174c</t>
  </si>
  <si>
    <t>https://wastebase.org/#/o/7a4a5d60-a55e-419e-8fd7-b46e9b4db2db</t>
  </si>
  <si>
    <t>https://wastebase.org/#/o/a9a2ecc8-5b2f-4ece-9485-5557895831a5</t>
  </si>
  <si>
    <t>https://wastebase.org/#/o/312690a0-2f44-4004-b2c9-7cc6c337a6f9</t>
  </si>
  <si>
    <t>https://wastebase.org/#/o/2f52aa15-7758-4286-ba2c-f683e92553a7</t>
  </si>
  <si>
    <t>https://wastebase.org/#/o/49591a3d-b208-408e-88d3-d6025968b560</t>
  </si>
  <si>
    <t>https://wastebase.org/#/o/81df74c6-4116-41c9-b96f-0b4943e6411d</t>
  </si>
  <si>
    <t>https://wastebase.org/#/o/861543d8-2fdf-4bda-99f3-501a83364c8a</t>
  </si>
  <si>
    <t>https://wastebase.org/#/o/7122ebde-75dd-41c4-ac0c-93bdd08f28d2</t>
  </si>
  <si>
    <t>https://wastebase.org/#/o/96afbe28-26b4-478a-9d33-a9a0177ab281</t>
  </si>
  <si>
    <t>https://wastebase.org/#/o/90c9868b-d408-490e-b3ec-15d784b5947c</t>
  </si>
  <si>
    <t>https://wastebase.org/#/o/36d10a95-7528-4ee9-9095-c7e75b0cfa66</t>
  </si>
  <si>
    <t>https://wastebase.org/#/o/5aedf662-d82c-4060-8132-0248e2cf18d9</t>
  </si>
  <si>
    <t>https://wastebase.org/#/o/4da1c668-c184-4320-b470-69f20bbdd0eb</t>
  </si>
  <si>
    <t>https://wastebase.org/#/o/d085a391-c4b0-4605-843a-28788c216c4e</t>
  </si>
  <si>
    <t>https://wastebase.org/#/o/4142bea8-2da3-4e7e-a036-4646308779db</t>
  </si>
  <si>
    <t>https://wastebase.org/#/o/9bdfd30b-7c3f-4683-b73f-f732fa402a12</t>
  </si>
  <si>
    <t>https://wastebase.org/#/o/b93246c4-e1e4-4722-b477-9928a73d4984</t>
  </si>
  <si>
    <t>https://wastebase.org/#/o/a1c18cc0-c6b4-4670-9424-d1afd4cec336</t>
  </si>
  <si>
    <t>https://wastebase.org/#/o/bc319f04-9f57-49e5-8cd6-38d9887368b8</t>
  </si>
  <si>
    <t>https://wastebase.org/#/o/e3dbf1db-9914-45d9-8efe-509a6ecefffa</t>
  </si>
  <si>
    <t>https://wastebase.org/#/o/7b653d61-fce9-48c4-997c-c8234cdf2e21</t>
  </si>
  <si>
    <t>https://wastebase.org/#/o/94a82a92-f117-400d-9266-7c021a88e7aa</t>
  </si>
  <si>
    <t>https://wastebase.org/#/o/e331440f-bddf-4ddd-b549-9730cc41743a</t>
  </si>
  <si>
    <t>https://wastebase.org/#/o/73d9e9e4-5c5c-4121-958f-6581402b1250</t>
  </si>
  <si>
    <t>https://wastebase.org/#/o/bd8a2a33-ee1e-4c6b-8242-5c6a14529139</t>
  </si>
  <si>
    <t>https://wastebase.org/#/o/6db5308a-7ffa-4bed-9abb-09dfc0ece19c</t>
  </si>
  <si>
    <t>https://wastebase.org/#/o/4660beec-fd67-4925-a487-9bd23ceedb48</t>
  </si>
  <si>
    <t>https://wastebase.org/#/o/c03f3db6-9425-4fae-a809-20ae281ff84f</t>
  </si>
  <si>
    <t>https://wastebase.org/#/o/6e0bdcda-6064-4ded-865a-d90a788cd309</t>
  </si>
  <si>
    <t>https://wastebase.org/#/o/10527472-0a1c-4a50-b908-a9183aa077a6</t>
  </si>
  <si>
    <t>https://wastebase.org/#/o/c2124ac7-4ff3-43e8-b997-98aa3d850ef7</t>
  </si>
  <si>
    <t>https://wastebase.org/#/o/83cc41fd-6c26-44bf-b943-7f259ec884cd</t>
  </si>
  <si>
    <t>https://wastebase.org/#/o/5fd3274f-6907-4e39-8ce1-da6fee9c39e8</t>
  </si>
  <si>
    <t>https://wastebase.org/#/o/4347f5eb-db06-413a-805a-b406c73734d2</t>
  </si>
  <si>
    <t>https://wastebase.org/#/o/ae9e219d-c99f-4bd2-8552-d961bc0e8cd1</t>
  </si>
  <si>
    <t>https://wastebase.org/#/o/d42dbf62-2cdb-4d7c-b226-b2c443191c42</t>
  </si>
  <si>
    <t>https://wastebase.org/#/o/bcdf1b83-8073-423c-9971-3953d0392ecf</t>
  </si>
  <si>
    <t>https://wastebase.org/#/o/8dc9cee3-3cdd-4758-a39f-f9693bd8d28b</t>
  </si>
  <si>
    <t>https://wastebase.org/#/o/f91e7fb7-6b35-4a6b-8be5-05318c948a50</t>
  </si>
  <si>
    <t>https://wastebase.org/#/o/d4c8237b-9caf-44a7-9e18-062d26e3e3a3</t>
  </si>
  <si>
    <t>https://wastebase.org/#/o/e82dbf21-3d02-4e9d-942d-376e2b015c60</t>
  </si>
  <si>
    <t>https://wastebase.org/#/o/6a9970c5-4727-4163-bf3c-f00d07094e03</t>
  </si>
  <si>
    <t>https://wastebase.org/#/o/9be24a87-7dd5-4461-9236-30b36a754a7e</t>
  </si>
  <si>
    <t>https://wastebase.org/#/o/25a15ccc-5134-4d56-be26-cb81f416134e</t>
  </si>
  <si>
    <t>https://wastebase.org/#/o/a1161c75-7002-4731-9a3c-e3ee2f9778ad</t>
  </si>
  <si>
    <t>https://wastebase.org/#/o/77d478ae-a324-404e-ab86-baedae968630</t>
  </si>
  <si>
    <t>https://wastebase.org/#/o/9b860562-6792-415d-ae92-2877ec50154a</t>
  </si>
  <si>
    <t>https://wastebase.org/#/o/b908e811-3522-4eb4-a080-e69ab41bd34e</t>
  </si>
  <si>
    <t>https://wastebase.org/#/o/f6fa5a0b-5341-42ab-b3d0-af811c23eac4</t>
  </si>
  <si>
    <t>https://wastebase.org/#/o/48ef08e6-434d-418c-9dab-5bfa9824e751</t>
  </si>
  <si>
    <t>https://wastebase.org/#/o/631006d4-3ea0-4eed-ac34-6a4fc94065a6</t>
  </si>
  <si>
    <t>https://wastebase.org/#/o/745bf45b-c66b-4c6b-8b6e-5725b33de313</t>
  </si>
  <si>
    <t>https://wastebase.org/#/o/5ccd9441-6f45-4933-bb81-3846a49aba68</t>
  </si>
  <si>
    <t>https://wastebase.org/#/o/59e1b4f2-776f-4c60-8f22-a59a506ce7b6</t>
  </si>
  <si>
    <t>https://wastebase.org/#/o/61bb3203-728e-4c91-84d1-535eec280735</t>
  </si>
  <si>
    <t>https://wastebase.org/#/o/6bcb6810-520e-423b-a1b2-389f38369c57</t>
  </si>
  <si>
    <t>https://wastebase.org/#/o/c0cdfabc-c803-41ed-8e0a-2a4a1268d8f7</t>
  </si>
  <si>
    <t>https://wastebase.org/#/o/74f7c1d5-bf03-4d59-b442-5d84589a3b32</t>
  </si>
  <si>
    <t>https://wastebase.org/#/o/079350e1-b3c7-48e4-871a-3101a9ab3ad2</t>
  </si>
  <si>
    <t>https://wastebase.org/#/o/f59874cc-60eb-4b83-95d3-0521069fdf61</t>
  </si>
  <si>
    <t>https://wastebase.org/#/o/524b0971-2bfa-4e9b-a9c2-271840ad5d72</t>
  </si>
  <si>
    <t>https://wastebase.org/#/o/e3587230-e44f-4034-afc3-e484b263bb9b</t>
  </si>
  <si>
    <t>https://wastebase.org/#/o/ef29ea27-91e6-4f7a-8a95-d177ebb4eb4c</t>
  </si>
  <si>
    <t>https://wastebase.org/#/o/d4b42820-af9a-40db-a2c4-fea2a9bfaa67</t>
  </si>
  <si>
    <t>https://wastebase.org/#/o/158e077b-b6e1-4dd5-b8d4-48c1626dd451</t>
  </si>
  <si>
    <t>https://wastebase.org/#/o/5f04d2bd-8f1f-4307-8209-fe66f425d3c5</t>
  </si>
  <si>
    <t>https://wastebase.org/#/o/e337a15d-32e2-4f32-a4e3-5e674cc21dcb</t>
  </si>
  <si>
    <t>https://wastebase.org/#/o/12b195cd-ce2f-42b0-ac02-239d1f38a476</t>
  </si>
  <si>
    <t>https://wastebase.org/#/o/cbaea1e3-7c03-4a27-a893-cf5df11a035e</t>
  </si>
  <si>
    <t>https://wastebase.org/#/o/2c684abe-a537-48d5-9d33-591f9e45c14a</t>
  </si>
  <si>
    <t>https://wastebase.org/#/o/4fe8e464-b0ab-4f32-8ac2-699b39ef2390</t>
  </si>
  <si>
    <t>https://wastebase.org/#/o/e4d3e979-991b-4a3c-b98b-58232a915acd</t>
  </si>
  <si>
    <t>https://wastebase.org/#/o/0eec08bf-0c78-414f-91b1-df91499b8e83</t>
  </si>
  <si>
    <t>https://wastebase.org/#/o/23c82b4b-cea9-4d1d-bc69-255f14a33489</t>
  </si>
  <si>
    <t>https://wastebase.org/#/o/3d31f4d6-cf5e-428a-bca1-6b570d6efa8d</t>
  </si>
  <si>
    <t>https://wastebase.org/#/o/28bb1600-6deb-4387-a412-b3d6445b382a</t>
  </si>
  <si>
    <t>https://wastebase.org/#/o/e8f904f1-d21a-4eac-9ce0-d875332587b9</t>
  </si>
  <si>
    <t>https://wastebase.org/#/o/ff654767-cd02-452b-9a3a-55f7e7dbe2d1</t>
  </si>
  <si>
    <t>https://wastebase.org/#/o/15558f7e-a324-4e3e-a363-3a60acbdd6b1</t>
  </si>
  <si>
    <t>https://wastebase.org/#/o/f1bbfebe-a4bd-46e0-81d5-ab1e952ecc26</t>
  </si>
  <si>
    <t>https://wastebase.org/#/o/2d63564c-c2dd-4c2a-95d7-ce3ef6818691</t>
  </si>
  <si>
    <t>https://wastebase.org/#/o/aba2d8dd-cf09-4e32-a48a-7adc9014b902</t>
  </si>
  <si>
    <t>https://wastebase.org/#/o/6919b7d6-a936-4bc3-90c4-5bb7bd4a3f6d</t>
  </si>
  <si>
    <t>https://wastebase.org/#/o/a78ca2af-870c-4571-b8cf-f2311da0722f</t>
  </si>
  <si>
    <t>https://wastebase.org/#/o/10a4cb3c-80ff-41e4-8d9f-7b28e6af2d0d</t>
  </si>
  <si>
    <t>https://wastebase.org/#/o/4da98872-a1d5-4c93-b28a-2c9a563c5ad2</t>
  </si>
  <si>
    <t>https://wastebase.org/#/o/e4c31dea-df18-49c4-971f-29c044e5469d</t>
  </si>
  <si>
    <t>https://wastebase.org/#/o/12414724-d744-4084-90f7-4fe5b069cc26</t>
  </si>
  <si>
    <t>https://wastebase.org/#/o/e8c44e08-c2f7-4457-b30c-1632455108f9</t>
  </si>
  <si>
    <t>https://wastebase.org/#/o/eab3ebae-bcf3-4636-af44-126f25372efc</t>
  </si>
  <si>
    <t>https://wastebase.org/#/o/e04f17af-7127-4364-8804-a364df27e690</t>
  </si>
  <si>
    <t>https://wastebase.org/#/o/6acbec90-e79a-47e2-9201-e62192db6e18</t>
  </si>
  <si>
    <t>https://wastebase.org/#/o/95220542-1ba0-4089-afce-0f674d2d1d35</t>
  </si>
  <si>
    <t>https://wastebase.org/#/o/d5bb173e-d516-4ce9-8928-527fc3915415</t>
  </si>
  <si>
    <t>https://wastebase.org/#/o/6e05264e-5883-4458-a054-570e906be105</t>
  </si>
  <si>
    <t>https://wastebase.org/#/o/b22c98ab-208e-49b4-ad8d-5264da74d651</t>
  </si>
  <si>
    <t>https://wastebase.org/#/o/3786336a-d9be-4aa4-ba15-4cf6497622e7</t>
  </si>
  <si>
    <t>https://wastebase.org/#/o/94c589a1-6089-4693-9193-1ab386cb68fd</t>
  </si>
  <si>
    <t>https://wastebase.org/#/o/754c219b-ba38-453c-8616-08b9c55ab10e</t>
  </si>
  <si>
    <t>https://wastebase.org/#/o/378f1b25-eea2-41f5-8ba3-58da2e6259ba</t>
  </si>
  <si>
    <t>https://wastebase.org/#/o/64984ec1-817d-4b40-b233-4ec4badc4883</t>
  </si>
  <si>
    <t>https://wastebase.org/#/o/70e741c8-6fea-44f5-ab1b-e03456af71f6</t>
  </si>
  <si>
    <t>https://wastebase.org/#/o/d54cec79-4126-4214-9111-e54ff2fdfbb5</t>
  </si>
  <si>
    <t>https://wastebase.org/#/o/464b984b-57c0-44ed-94b7-29054a9969b4</t>
  </si>
  <si>
    <t>https://wastebase.org/#/o/49153fc3-a31c-4f8f-9265-65135ade5dfe</t>
  </si>
  <si>
    <t>https://wastebase.org/#/o/84dcae9a-3e0d-4800-906e-d794a8c9f2d2</t>
  </si>
  <si>
    <t>https://wastebase.org/#/o/4a879ee8-03cf-4482-a0a9-0677b3343188</t>
  </si>
  <si>
    <t>https://wastebase.org/#/o/5361bbeb-4e72-42eb-b58e-20a2e1b63db2</t>
  </si>
  <si>
    <t>https://wastebase.org/#/o/b4adec35-60ea-4ec6-94e2-3adeb393c421</t>
  </si>
  <si>
    <t>https://wastebase.org/#/o/c1879f26-dd74-40dc-9c9a-501ad2847166</t>
  </si>
  <si>
    <t>https://wastebase.org/#/o/3aa64228-74ce-407c-9f6b-c1feafab7bcf</t>
  </si>
  <si>
    <t>https://wastebase.org/#/o/7aeb1e28-56bf-4b5b-8252-d8e7b18e5921</t>
  </si>
  <si>
    <t>https://wastebase.org/#/o/e50f6cbb-5c25-4a78-a42a-c20c5b9eb15f</t>
  </si>
  <si>
    <t>https://wastebase.org/#/o/7929e20d-5398-4c43-af96-e4e890707131</t>
  </si>
  <si>
    <t>https://wastebase.org/#/o/bfb563d2-a9c3-41d4-902e-67859e40efe5</t>
  </si>
  <si>
    <t>https://wastebase.org/#/o/14fc773c-8cd7-42e6-8856-007f34830ce2</t>
  </si>
  <si>
    <t>https://wastebase.org/#/o/05cbb283-7645-40a7-8b14-f6bd1242526d</t>
  </si>
  <si>
    <t>https://wastebase.org/#/o/ccdbfe40-f83e-478a-87d0-6c06ef5ff0fd</t>
  </si>
  <si>
    <t>https://wastebase.org/#/o/eeda84ab-c055-4477-9752-9d1e644ba1db</t>
  </si>
  <si>
    <t>https://wastebase.org/#/o/85d3ef50-825a-4c03-8f4b-588794b4d6ec</t>
  </si>
  <si>
    <t>https://wastebase.org/#/o/a3456495-9623-4dea-9af6-fb4cbe37bbcb</t>
  </si>
  <si>
    <t>https://wastebase.org/#/o/cb94d9c2-2f62-4ad8-ad86-a189701b370c</t>
  </si>
  <si>
    <t>https://wastebase.org/#/o/5ef08ed1-65c4-430f-be66-38dd25ba8eb7</t>
  </si>
  <si>
    <t>https://wastebase.org/#/o/73465d37-3534-4ada-8a1a-f95b31b0d498</t>
  </si>
  <si>
    <t>https://wastebase.org/#/o/10cbf702-cae5-4996-bf74-7096e57ecf00</t>
  </si>
  <si>
    <t>https://wastebase.org/#/o/090db9e9-9a11-483a-9616-e02d0cab46c6</t>
  </si>
  <si>
    <t>https://wastebase.org/#/o/a3ed268c-9aaa-4686-b674-9970dfbd17ef</t>
  </si>
  <si>
    <t>https://wastebase.org/#/o/70fdfecd-0cf2-478a-bfa0-2ff2aac3d589</t>
  </si>
  <si>
    <t>https://wastebase.org/#/o/a79b023a-9a0b-4764-81bb-e3e05ffd6141</t>
  </si>
  <si>
    <t>https://wastebase.org/#/o/911209be-6549-4e38-baa1-da5c9615f5fd</t>
  </si>
  <si>
    <t>https://wastebase.org/#/o/8df1b9c4-0267-4a5a-979f-9b9d9e48ecf0</t>
  </si>
  <si>
    <t>https://wastebase.org/#/o/4d807269-db16-4aaf-a454-934634c8c319</t>
  </si>
  <si>
    <t>https://wastebase.org/#/o/d406924f-80af-4f39-91f6-27507610eb02</t>
  </si>
  <si>
    <t>https://wastebase.org/#/o/96165ac8-8230-4459-ae62-bbc21d0bfbfb</t>
  </si>
  <si>
    <t>https://wastebase.org/#/o/0c371df1-a248-4f3e-85a0-62a9aa50644f</t>
  </si>
  <si>
    <t>https://wastebase.org/#/o/337001d0-c565-46fc-84f1-7e96e5577615</t>
  </si>
  <si>
    <t>https://wastebase.org/#/o/e6843b83-8b05-4c90-8ca2-a71689aa7e12</t>
  </si>
  <si>
    <t>https://wastebase.org/#/o/c2762f71-f80f-414d-a221-f2d6d46d083a</t>
  </si>
  <si>
    <t>https://wastebase.org/#/o/988c8307-c778-474b-ade6-c71ebbe358f1</t>
  </si>
  <si>
    <t>https://wastebase.org/#/o/099ed3ef-1988-4978-867b-20aa5117cd66</t>
  </si>
  <si>
    <t>https://wastebase.org/#/o/3162db41-87cf-4f04-bf64-d6a590c98dab</t>
  </si>
  <si>
    <t>https://wastebase.org/#/o/2bc198e3-f2bc-48cf-8b84-e7ddfa38ac3e</t>
  </si>
  <si>
    <t>https://wastebase.org/#/o/52e58568-1f2f-4e5d-bb06-639d5f3ab407</t>
  </si>
  <si>
    <t>https://wastebase.org/#/o/cb79e185-7aac-479a-830b-4a5e20ebb370</t>
  </si>
  <si>
    <t>https://wastebase.org/#/o/365fcb09-44d8-488a-b861-40ed8eb93d09</t>
  </si>
  <si>
    <t>https://wastebase.org/#/o/e3c3c78e-74ba-4f45-a2ec-1461b3f6d295</t>
  </si>
  <si>
    <t>https://wastebase.org/#/o/ad6f2cec-c03f-41da-851c-40b487053540</t>
  </si>
  <si>
    <t>https://wastebase.org/#/o/f7988e73-152f-4f80-abba-364697b7f767</t>
  </si>
  <si>
    <t>https://wastebase.org/#/o/1c46bfe1-a735-464a-b1d6-6ddb03500cc4</t>
  </si>
  <si>
    <t>https://wastebase.org/#/o/a34f6bbf-55f1-46c7-82db-d13b2a8d65b8</t>
  </si>
  <si>
    <t>https://wastebase.org/#/o/c5ff4416-4817-441a-b3cd-6857c5acbafc</t>
  </si>
  <si>
    <t>https://wastebase.org/#/o/1f53dc4c-bcd7-47ca-88cc-d948749f94f0</t>
  </si>
  <si>
    <t>https://wastebase.org/#/o/353536ad-6526-4e7b-a281-de27bfaf2f84</t>
  </si>
  <si>
    <t>https://wastebase.org/#/o/33293717-6a4e-4ca8-b1c5-574c87a13f5c</t>
  </si>
  <si>
    <t>https://wastebase.org/#/o/81f3dd8f-a4e5-4f31-a586-e072eede2e5c</t>
  </si>
  <si>
    <t>https://wastebase.org/#/o/6754262b-5b6c-4fd2-bb74-fa3798a498b4</t>
  </si>
  <si>
    <t>https://wastebase.org/#/o/61f57f57-efe7-40c6-a777-6ad20799ed51</t>
  </si>
  <si>
    <t>https://wastebase.org/#/o/187f5c4f-0a1b-4e34-be8d-c930d4cf8935</t>
  </si>
  <si>
    <t>https://wastebase.org/#/o/4a94c819-4fb6-4ca4-8efd-812df3479c61</t>
  </si>
  <si>
    <t>https://wastebase.org/#/o/57800e41-056c-4975-bb11-e35ac977d883</t>
  </si>
  <si>
    <t>https://wastebase.org/#/o/627f92f4-bc21-413d-b310-5fe077b466c6</t>
  </si>
  <si>
    <t>https://wastebase.org/#/o/7e3e82c9-dcc1-4eb6-8ff6-be01c2481dc4</t>
  </si>
  <si>
    <t>https://wastebase.org/#/o/e2aa2582-e9dd-480b-9346-cad5507418fa</t>
  </si>
  <si>
    <t>https://wastebase.org/#/o/3b2dbe02-26ea-4c8d-acdb-f0718562cebc</t>
  </si>
  <si>
    <t>https://wastebase.org/#/o/8c916c83-8e15-4fab-bc38-6e331ae33d6e</t>
  </si>
  <si>
    <t>https://wastebase.org/#/o/027e8655-81cd-44c9-b14e-b15181f61a8f</t>
  </si>
  <si>
    <t>https://wastebase.org/#/o/91564c9d-940c-41ac-9f16-a3ab73961b2a</t>
  </si>
  <si>
    <t>https://wastebase.org/#/o/cc831b58-f0d1-47bf-ba8c-6c5bda375d22</t>
  </si>
  <si>
    <t>https://wastebase.org/#/o/72f6a8ff-d8d5-47e8-8f6f-8604320c0e22</t>
  </si>
  <si>
    <t>https://wastebase.org/#/o/5553fd6d-f244-45d2-859f-8b9a7ed4032c</t>
  </si>
  <si>
    <t>https://wastebase.org/#/o/cd0b21e2-cce0-4b30-bbd9-232786e00207</t>
  </si>
  <si>
    <t>https://wastebase.org/#/o/1a42026d-f08b-407e-8188-8098f1bd70f8</t>
  </si>
  <si>
    <t>https://wastebase.org/#/o/c85399aa-048d-43a5-b4b5-57a0a17d7d7e</t>
  </si>
  <si>
    <t>https://wastebase.org/#/o/1d05d32a-6e7f-4a37-b821-19e8374dd00d</t>
  </si>
  <si>
    <t>https://wastebase.org/#/o/27e89170-ae7c-47ca-9ae1-7acc1acb459c</t>
  </si>
  <si>
    <t>https://wastebase.org/#/o/6968d4b9-c909-4690-b3cf-aa74c9f46207</t>
  </si>
  <si>
    <t>https://wastebase.org/#/o/8fd5ae37-d277-4dbb-8fb2-8b933b77a4b5</t>
  </si>
  <si>
    <t>https://wastebase.org/#/o/79517583-7ae3-44b1-8426-d70dd5b05c05</t>
  </si>
  <si>
    <t>https://wastebase.org/#/o/343141d9-d38b-4419-82f5-d5c1446a3c6b</t>
  </si>
  <si>
    <t>https://wastebase.org/#/o/661ea473-75c8-4ed6-a795-bba6fbaf3483</t>
  </si>
  <si>
    <t>https://wastebase.org/#/o/e4a6561b-29d4-4438-b23a-552f83cb1188</t>
  </si>
  <si>
    <t>https://wastebase.org/#/o/b0a2c71e-fcd8-46e9-8aca-f239df624c03</t>
  </si>
  <si>
    <t>https://wastebase.org/#/o/de3a83e6-a534-4345-8d60-c6b34e9d95ce</t>
  </si>
  <si>
    <t>https://wastebase.org/#/o/177c63d5-139e-4dc7-9d29-e0544c99ba26</t>
  </si>
  <si>
    <t>https://wastebase.org/#/o/82b8e919-ed34-42d4-ae6f-92be6c919c2c</t>
  </si>
  <si>
    <t>https://wastebase.org/#/o/d0c13634-caaa-4ed9-ba59-6b9623088dd0</t>
  </si>
  <si>
    <t>https://wastebase.org/#/o/b618091d-5516-4b33-ba92-6863a86bfd28</t>
  </si>
  <si>
    <t>https://wastebase.org/#/o/09c1eeaf-fc7c-426b-b381-effdea28a658</t>
  </si>
  <si>
    <t>https://wastebase.org/#/o/b8379625-5917-4fe5-87ad-b823a361bdb6</t>
  </si>
  <si>
    <t>https://wastebase.org/#/o/a9a0b37b-4876-4fd7-b33e-a5635b06a4e6</t>
  </si>
  <si>
    <t>https://wastebase.org/#/o/061ec0c6-8f2b-4eaa-b7f7-3380c2dbcc30</t>
  </si>
  <si>
    <t>https://wastebase.org/#/o/ed2e5d1f-2782-4291-9b11-cfa9f3548928</t>
  </si>
  <si>
    <t>https://wastebase.org/#/o/3f827fa3-1a74-4313-a7e1-f9628b6e745e</t>
  </si>
  <si>
    <t>https://wastebase.org/#/o/27702b12-dfeb-4d22-b2f1-4d7c76ef8639</t>
  </si>
  <si>
    <t>https://wastebase.org/#/o/5227e2a0-2e5d-4503-b271-d08134118c5a</t>
  </si>
  <si>
    <t>https://wastebase.org/#/o/ce664121-4a94-406a-ae40-0292289dc29c</t>
  </si>
  <si>
    <t>https://wastebase.org/#/o/8275e371-9c4e-48f2-82e4-81993264adfe</t>
  </si>
  <si>
    <t>https://wastebase.org/#/o/ce9e9895-b25a-4157-81e3-74012e9a4fcb</t>
  </si>
  <si>
    <t>https://wastebase.org/#/o/e1f7d737-4880-4237-9358-e9fca78fc41a</t>
  </si>
  <si>
    <t>https://wastebase.org/#/o/b1da09b2-f714-4bce-9a40-09ed4a4a3cf4</t>
  </si>
  <si>
    <t>https://wastebase.org/#/o/341b98a9-77c5-46f6-874d-6cc972ef077e</t>
  </si>
  <si>
    <t>https://wastebase.org/#/o/7109e962-43e0-4645-9dd5-8c458d6e01f5</t>
  </si>
  <si>
    <t>https://wastebase.org/#/o/f66aacf8-5f3f-4a41-8240-376962c3aaff</t>
  </si>
  <si>
    <t>https://wastebase.org/#/o/938b7871-486a-4d04-9ef0-be2cb860bc1b</t>
  </si>
  <si>
    <t>https://wastebase.org/#/o/41dc3a38-f9a8-4f03-8cb2-85dd23d97be1</t>
  </si>
  <si>
    <t>https://wastebase.org/#/o/1480cb1b-d1af-429a-b0c6-afc818c04809</t>
  </si>
  <si>
    <t>https://wastebase.org/#/o/18d147f2-0cf9-4a34-b54a-a9273ed14e4d</t>
  </si>
  <si>
    <t>https://wastebase.org/#/o/77bb279b-afb8-47a6-8825-66eb7da3e5de</t>
  </si>
  <si>
    <t>https://wastebase.org/#/o/136e5c9e-2c18-49c9-8d3c-b8ffad7761e8</t>
  </si>
  <si>
    <t>https://wastebase.org/#/o/bfb22311-05e1-4c3a-bf52-867c74a24e87</t>
  </si>
  <si>
    <t>https://wastebase.org/#/o/ddc0510d-fc6f-44aa-a65a-6de9d95202f4</t>
  </si>
  <si>
    <t>https://wastebase.org/#/o/791ee5c1-a220-4de8-a180-ed7851b4ec60</t>
  </si>
  <si>
    <t>https://wastebase.org/#/o/fafd6998-ea82-43b1-8ee3-28732df02cac</t>
  </si>
  <si>
    <t>https://wastebase.org/#/o/2f20b39a-fcb2-4a3e-a1ae-5d25cd7c23e5</t>
  </si>
  <si>
    <t>https://wastebase.org/#/o/524241f0-ce6f-4f03-8e41-89df0691058a</t>
  </si>
  <si>
    <t>https://wastebase.org/#/o/ea00edf7-a906-4c33-b13e-4a5caa993237</t>
  </si>
  <si>
    <t>https://wastebase.org/#/o/8b8e3637-fa8e-41d0-b2e1-08a6d8df81cd</t>
  </si>
  <si>
    <t>https://wastebase.org/#/o/6ed754cb-07ef-4199-804c-70b7aebf03f1</t>
  </si>
  <si>
    <t>https://wastebase.org/#/o/52b90068-386f-4287-9935-5deff459ae23</t>
  </si>
  <si>
    <t>https://wastebase.org/#/o/80592a5b-b47a-487b-b6a5-ac64a6fa7c42</t>
  </si>
  <si>
    <t>https://wastebase.org/#/o/b622799c-2803-4c61-85e0-e05beab60241</t>
  </si>
  <si>
    <t>https://wastebase.org/#/o/3e64ce4f-c045-4b27-8250-9a36f777c7a2</t>
  </si>
  <si>
    <t>https://wastebase.org/#/o/4972346b-5b87-42a7-bc17-d2303e2f094b</t>
  </si>
  <si>
    <t>https://wastebase.org/#/o/ac4d7f18-2fcc-4d70-be44-2fb27c91d8bd</t>
  </si>
  <si>
    <t>https://wastebase.org/#/o/e8765a50-f2f1-404a-9522-e2d7f62826f1</t>
  </si>
  <si>
    <t>https://wastebase.org/#/o/e3c5f4dd-ee20-4462-8932-451c9590199d</t>
  </si>
  <si>
    <t>https://wastebase.org/#/o/0f93978f-1cfc-4cbd-93e8-59414749b495</t>
  </si>
  <si>
    <t>https://wastebase.org/#/o/10dbdc5a-f908-486e-b0d1-6d56eac0f4a9</t>
  </si>
  <si>
    <t>https://wastebase.org/#/o/4652addd-8d34-4835-be09-1df857405b68</t>
  </si>
  <si>
    <t>https://wastebase.org/#/o/b8e17f98-2cdd-43af-8f24-e166ee762f61</t>
  </si>
  <si>
    <t>https://wastebase.org/#/o/36115ea2-d5cb-4f67-86a8-cf99f849e775</t>
  </si>
  <si>
    <t>https://wastebase.org/#/o/8a6dd083-146b-41b4-9b0a-26ed4bf0971b</t>
  </si>
  <si>
    <t>https://wastebase.org/#/o/6b40f0d7-94eb-409a-91c1-a1d74dc104e3</t>
  </si>
  <si>
    <t>https://wastebase.org/#/o/e188704d-fa33-4e8f-82ce-d799af22a62e</t>
  </si>
  <si>
    <t>https://wastebase.org/#/o/74cad771-81c8-47c5-bce7-04dcc7dc46f9</t>
  </si>
  <si>
    <t>https://wastebase.org/#/o/0865787f-3d79-4dff-9c02-b4de08cf1441</t>
  </si>
  <si>
    <t>https://wastebase.org/#/o/cac6eab8-dba7-455f-8c12-5d1963602fbd</t>
  </si>
  <si>
    <t>https://wastebase.org/#/o/d628bc60-d72d-4bba-a817-484b1b6131e0</t>
  </si>
  <si>
    <t>https://wastebase.org/#/o/bf3eb718-3373-43b3-b688-6132c1d70147</t>
  </si>
  <si>
    <t>https://wastebase.org/#/o/737460e9-1431-4b27-9ee0-5b991139623a</t>
  </si>
  <si>
    <t>https://wastebase.org/#/o/d409e0b9-198f-4a18-b980-9e49f204264c</t>
  </si>
  <si>
    <t>https://wastebase.org/#/o/06239c56-34f2-4d54-90b9-9952c0213582</t>
  </si>
  <si>
    <t>https://wastebase.org/#/o/e1fef203-f71c-478d-b623-1d81735676c0</t>
  </si>
  <si>
    <t>https://wastebase.org/#/o/cf153a5c-cade-40bf-ac29-b1e37a4f311e</t>
  </si>
  <si>
    <t>https://wastebase.org/#/o/e3dcecb8-d7ee-4580-98c9-604c0e965925</t>
  </si>
  <si>
    <t>https://wastebase.org/#/o/3e3488e6-c0e7-4b8e-92a9-ca6ff32eaed7</t>
  </si>
  <si>
    <t>https://wastebase.org/#/o/19ffd82e-39f4-4bd0-b2d7-a9e94983f6d5</t>
  </si>
  <si>
    <t>https://wastebase.org/#/o/dc371342-d65a-4655-931f-01d94e60daf9</t>
  </si>
  <si>
    <t>https://wastebase.org/#/o/e4482d9c-4392-49fe-9070-60073ff6c694</t>
  </si>
  <si>
    <t>https://wastebase.org/#/o/22992dd8-7c91-4254-b323-6ec59d61b95d</t>
  </si>
  <si>
    <t>https://wastebase.org/#/o/e4ebdc0e-da34-4e2c-bd59-9096df338616</t>
  </si>
  <si>
    <t>https://wastebase.org/#/o/76be056d-71d3-41d5-84b2-8a32b89a4345</t>
  </si>
  <si>
    <t>https://wastebase.org/#/o/d18b0853-1b6f-4d74-bed2-52c33296dca7</t>
  </si>
  <si>
    <t>https://wastebase.org/#/o/e6f55d75-28cb-45c4-8ab6-ae76e354e6ac</t>
  </si>
  <si>
    <t>https://wastebase.org/#/o/c7f6b7bf-f1a7-4ccf-b202-52d82158dd23</t>
  </si>
  <si>
    <t>https://wastebase.org/#/o/bc58c2ff-fed2-4236-9c4f-d595c568ecc1</t>
  </si>
  <si>
    <t>https://wastebase.org/#/o/f823e121-8e27-4d78-940e-3e4338b886a1</t>
  </si>
  <si>
    <t>https://wastebase.org/#/o/1fb64e45-9e47-4f98-b9b3-2ad5b112d2ab</t>
  </si>
  <si>
    <t>https://wastebase.org/#/o/b0e0402b-880b-4d0a-a762-00be5460395b</t>
  </si>
  <si>
    <t>https://wastebase.org/#/o/bd613c61-f61f-4498-8637-029a544bb9f1</t>
  </si>
  <si>
    <t>https://wastebase.org/#/o/75be8852-3b97-4d9a-a38b-cd106c58d77a</t>
  </si>
  <si>
    <t>https://wastebase.org/#/o/5f64a0b3-730a-4731-8e0d-b28741ce287c</t>
  </si>
  <si>
    <t>https://wastebase.org/#/o/e69892be-c75c-4067-bf09-4a620c6c0a59</t>
  </si>
  <si>
    <t>https://wastebase.org/#/o/0dfe002f-1488-404d-89d1-76b6859f7274</t>
  </si>
  <si>
    <t>https://wastebase.org/#/o/3f5106a2-9560-45d2-aa16-f76e0e9a1306</t>
  </si>
  <si>
    <t>https://wastebase.org/#/o/3dddaed8-f80f-4f49-9faa-d0ada0847267</t>
  </si>
  <si>
    <t>https://wastebase.org/#/o/3f5c635b-cc6d-45a6-905e-b4b461c1d8a0</t>
  </si>
  <si>
    <t>https://wastebase.org/#/o/94253702-723f-49bf-ad7e-3b4f00a9f534</t>
  </si>
  <si>
    <t>https://wastebase.org/#/o/5cdd6b2a-d4b9-454f-8787-574bf8e49a15</t>
  </si>
  <si>
    <t>https://wastebase.org/#/o/b65b4478-8b7d-40b0-b550-7afd477d9ea2</t>
  </si>
  <si>
    <t>https://wastebase.org/#/o/dac000bc-c7ad-4a56-864f-7b79e5850a3d</t>
  </si>
  <si>
    <t>https://wastebase.org/#/o/9513fa9b-a9ce-4fb9-815c-83d67cb2a2d8</t>
  </si>
  <si>
    <t>https://wastebase.org/#/o/2f2cbd4f-6833-4c51-9ecf-640f5ebdbc4f</t>
  </si>
  <si>
    <t>https://wastebase.org/#/o/425ce136-c417-4084-8414-98f4ff36b1d5</t>
  </si>
  <si>
    <t>https://wastebase.org/#/o/142a99ee-e376-4678-b2f4-ea225fb9c4ec</t>
  </si>
  <si>
    <t>https://wastebase.org/#/o/c96927a4-7262-4df3-ac71-59f4b2ae233d</t>
  </si>
  <si>
    <t>https://wastebase.org/#/o/ce8fc163-fb8b-429d-b7ab-72157d11c123</t>
  </si>
  <si>
    <t>https://wastebase.org/#/o/e2e5e70b-f833-4091-bf05-a8ec2407ac40</t>
  </si>
  <si>
    <t>https://wastebase.org/#/o/efe25314-99ef-450f-9be9-94ea64b498a5</t>
  </si>
  <si>
    <t>https://wastebase.org/#/o/9b2a5f09-06db-4a07-a05a-f79d2208faa3</t>
  </si>
  <si>
    <t>https://wastebase.org/#/o/cfabf2a4-e611-48a6-a84c-a7624bdf8bf2</t>
  </si>
  <si>
    <t>https://wastebase.org/#/o/aabdf052-350d-4fa9-9b31-7950f6cdac96</t>
  </si>
  <si>
    <t>https://wastebase.org/#/o/02939516-5896-4812-9628-426082210f33</t>
  </si>
  <si>
    <t>https://wastebase.org/#/o/309cccb2-324d-44fe-b710-5dac60d46ae6</t>
  </si>
  <si>
    <t>https://wastebase.org/#/o/d4f5a822-d754-4689-8331-0cf389806950</t>
  </si>
  <si>
    <t>https://wastebase.org/#/o/d7c0eb75-5ce0-44af-91d3-3ec928eee49d</t>
  </si>
  <si>
    <t>https://wastebase.org/#/o/153b37f2-190d-411a-95fe-ddbd49be640e</t>
  </si>
  <si>
    <t>https://wastebase.org/#/o/13abfbb6-c758-42e9-a103-02d6abba916a</t>
  </si>
  <si>
    <t>https://wastebase.org/#/o/5cb8e617-e63e-4548-be6f-1d3607d52f92</t>
  </si>
  <si>
    <t>https://wastebase.org/#/o/87b9f02d-0170-4da9-a485-620af3b887f8</t>
  </si>
  <si>
    <t>https://wastebase.org/#/o/7ce9defc-f89a-4577-bca5-08a0f6432674</t>
  </si>
  <si>
    <t>https://wastebase.org/#/o/dbd2b200-e57c-423d-8e7a-a2493af75b88</t>
  </si>
  <si>
    <t>https://wastebase.org/#/o/5306710a-58c1-4b4e-8841-c3e381d92218</t>
  </si>
  <si>
    <t>https://wastebase.org/#/o/46825c4a-e416-4316-8cd4-f65b9648a14d</t>
  </si>
  <si>
    <t>https://wastebase.org/#/o/30fc13cb-2668-40a4-bda5-baa973bb4482</t>
  </si>
  <si>
    <t>https://wastebase.org/#/o/ee322de4-2183-4fb8-b16a-04066b689727</t>
  </si>
  <si>
    <t>https://wastebase.org/#/o/88a27c17-59a8-4805-ae0e-9b24f93a87a3</t>
  </si>
  <si>
    <t>https://wastebase.org/#/o/7258c5c1-0a55-44dd-b59b-69388ff1d01c</t>
  </si>
  <si>
    <t>https://wastebase.org/#/o/3eda1feb-95d4-4eea-b151-0accd028458b</t>
  </si>
  <si>
    <t>https://wastebase.org/#/o/70e8d3de-c619-4e6f-8c80-7572000d7ac3</t>
  </si>
  <si>
    <t>https://wastebase.org/#/o/12129199-cb38-40ee-b8f1-56e3fcb49d35</t>
  </si>
  <si>
    <t>https://wastebase.org/#/o/d029ef42-aa9d-4604-be97-12bff82bdb96</t>
  </si>
  <si>
    <t>https://wastebase.org/#/o/48af7461-278d-460c-a06c-6e78a2ddf20a</t>
  </si>
  <si>
    <t>https://wastebase.org/#/o/1cfa711f-5d35-438e-b557-3878551ea2d4</t>
  </si>
  <si>
    <t>https://wastebase.org/#/o/e9c72bf5-1bb1-45e8-aba1-b2cb1e2e8c93</t>
  </si>
  <si>
    <t>https://wastebase.org/#/o/d6dce7b3-1e81-4e27-965d-35bd708fecc1</t>
  </si>
  <si>
    <t>https://wastebase.org/#/o/20d290ac-90c3-437b-b57a-ffa4327973a3</t>
  </si>
  <si>
    <t>https://wastebase.org/#/o/8b4cad3c-5181-48c6-bb41-56e495642ac9</t>
  </si>
  <si>
    <t>https://wastebase.org/#/o/50dadaac-984e-49cf-a3c9-6a958b6d0374</t>
  </si>
  <si>
    <t>https://wastebase.org/#/o/f8b32bd2-4603-41cf-ab8d-361a91315876</t>
  </si>
  <si>
    <t>https://wastebase.org/#/o/fbe196e9-610a-4847-a620-58ceaa41c90b</t>
  </si>
  <si>
    <t>https://wastebase.org/#/o/d3df3cc3-bcec-4f1e-a55c-ea6b01136b4e</t>
  </si>
  <si>
    <t>https://wastebase.org/#/o/ef60b9aa-1871-4288-8f0a-eb5a3e3e7c0a</t>
  </si>
  <si>
    <t>https://wastebase.org/#/o/7cae9039-2698-4150-a07d-42df403b3fbc</t>
  </si>
  <si>
    <t>https://wastebase.org/#/o/e13b9eb0-67f8-4a8d-ba13-b2120605c860</t>
  </si>
  <si>
    <t>https://wastebase.org/#/o/1affa468-0bc6-428e-a921-c848a89ff979</t>
  </si>
  <si>
    <t>https://wastebase.org/#/o/1a39025f-cb56-46b0-8111-017f5ceaedf7</t>
  </si>
  <si>
    <t>https://wastebase.org/#/o/a0f694aa-5758-4583-b3bf-263c760fa250</t>
  </si>
  <si>
    <t>https://wastebase.org/#/o/5d6b0e3a-d980-4c35-a49d-98b10e7803cc</t>
  </si>
  <si>
    <t>https://wastebase.org/#/o/83c7a374-c2d1-4279-9989-62ace40636ab</t>
  </si>
  <si>
    <t>https://wastebase.org/#/o/cc2d91e4-f260-4608-a064-d9a39701bdd5</t>
  </si>
  <si>
    <t>https://wastebase.org/#/o/8a247e17-b496-48ac-868c-4995a5d8f0a1</t>
  </si>
  <si>
    <t>https://wastebase.org/#/o/61740f02-c159-4e55-8e96-ac3df7b64912</t>
  </si>
  <si>
    <t>https://wastebase.org/#/o/cc1f1100-6ea8-4ada-90a1-e0bdfcec2d95</t>
  </si>
  <si>
    <t>https://wastebase.org/#/o/5c85d90e-19a9-4858-bd8e-dd6a2aa564aa</t>
  </si>
  <si>
    <t>https://wastebase.org/#/o/66ae0dd3-c056-4767-b9fb-deec4d28674f</t>
  </si>
  <si>
    <t>https://wastebase.org/#/o/ef16135a-1e2a-405e-81a6-3bfbe5a905eb</t>
  </si>
  <si>
    <t>https://wastebase.org/#/o/5bfedbac-f95d-49e9-81dd-936e6d0cc685</t>
  </si>
  <si>
    <t>https://wastebase.org/#/o/adde1b3d-87b6-4c9a-9c45-c3fffb99da19</t>
  </si>
  <si>
    <t>https://wastebase.org/#/o/90a407ff-0340-46f7-a276-e231fc991e21</t>
  </si>
  <si>
    <t>https://wastebase.org/#/o/267732df-b7f7-4b48-8a15-da146a3c5228</t>
  </si>
  <si>
    <t>https://wastebase.org/#/o/6b236b90-f876-4f4e-bb17-65ecf3f8b6e8</t>
  </si>
  <si>
    <t>https://wastebase.org/#/o/6239068b-f169-454d-aad3-04bf8e298022</t>
  </si>
  <si>
    <t>https://wastebase.org/#/o/2f51d004-b23c-459d-a54d-9d484687e9b5</t>
  </si>
  <si>
    <t>https://wastebase.org/#/o/60867a75-3973-4e6a-98af-c1bbe234b6cb</t>
  </si>
  <si>
    <t>https://wastebase.org/#/o/6c9706c2-2edf-4594-8755-f91c1d6d67a1</t>
  </si>
  <si>
    <t>https://wastebase.org/#/o/f8fb0594-8883-434f-92ae-e2efddd5f4f4</t>
  </si>
  <si>
    <t>https://wastebase.org/#/o/59369b55-9a65-437f-abad-e0590ae20a8c</t>
  </si>
  <si>
    <t>https://wastebase.org/#/o/e7779196-d15e-424a-bf8f-69d6b13f18be</t>
  </si>
  <si>
    <t>https://wastebase.org/#/o/e6414996-f60d-44ae-8c90-620627c36332</t>
  </si>
  <si>
    <t>https://wastebase.org/#/o/74690431-47a3-4563-984e-6f7df01c233f</t>
  </si>
  <si>
    <t>https://wastebase.org/#/o/ecfa97f4-9c11-4c86-9f85-11abffa3f51d</t>
  </si>
  <si>
    <t>https://wastebase.org/#/o/6a130eea-bb86-4ca7-a360-e2b5930495a7</t>
  </si>
  <si>
    <t>https://wastebase.org/#/o/945bd7d5-a2fe-49e2-a02d-0102f581802f</t>
  </si>
  <si>
    <t>https://wastebase.org/#/o/b1e8f6d7-87a3-4435-a8e8-24ce78f02e43</t>
  </si>
  <si>
    <t>https://wastebase.org/#/o/1a66eaca-3084-4637-bd5d-30564d7b81ce</t>
  </si>
  <si>
    <t>https://wastebase.org/#/o/5e240ced-2b15-40b8-a529-4aef49d14a2d</t>
  </si>
  <si>
    <t>https://wastebase.org/#/o/f3a3eedb-a7ee-400d-961d-a1d33afc7816</t>
  </si>
  <si>
    <t>https://wastebase.org/#/o/494cee76-3821-4d43-9633-8d1620e63c40</t>
  </si>
  <si>
    <t>https://wastebase.org/#/o/6d0a1e6b-677e-4466-9db9-d4abd9fc8e40</t>
  </si>
  <si>
    <t>https://wastebase.org/#/o/e561f34c-9af4-4bb7-a60c-4075a2f5ecb7</t>
  </si>
  <si>
    <t>https://wastebase.org/#/o/9b661648-2e07-48a6-a52f-795f32964678</t>
  </si>
  <si>
    <t>https://wastebase.org/#/o/29f51231-57bf-479a-81ea-756c7ee6c887</t>
  </si>
  <si>
    <t>https://wastebase.org/#/o/4c02c891-0619-4d23-b94d-9d9c5954bea4</t>
  </si>
  <si>
    <t>https://wastebase.org/#/o/4350dffc-3821-47fa-9746-573dd0ec1eaf</t>
  </si>
  <si>
    <t>https://wastebase.org/#/o/053b0b31-25e4-4c37-bdd7-35ba71d9a518</t>
  </si>
  <si>
    <t>https://wastebase.org/#/o/b8351c6d-0fda-4b36-9516-63898cbefe5d</t>
  </si>
  <si>
    <t>https://wastebase.org/#/o/63a4ef02-6d4f-426e-8ef1-68b46685ede6</t>
  </si>
  <si>
    <t>https://wastebase.org/#/o/58545777-bef2-42f4-bca1-d90da449da53</t>
  </si>
  <si>
    <t>https://wastebase.org/#/o/729dae3a-514a-48c4-9684-3389db85375b</t>
  </si>
  <si>
    <t>https://wastebase.org/#/o/a0f0f3fe-114b-4e46-b1c2-5693ba31d8bc</t>
  </si>
  <si>
    <t>https://wastebase.org/#/o/6701804e-f099-4e02-bcc3-f18c9cc85cf5</t>
  </si>
  <si>
    <t>https://wastebase.org/#/o/b6ad022e-8f5d-435e-bcca-c2e06eef3d3f</t>
  </si>
  <si>
    <t>https://wastebase.org/#/o/e0a7b1cf-1330-49f7-aa06-f675c55d3ab7</t>
  </si>
  <si>
    <t>https://wastebase.org/#/o/94df953b-9272-4ef6-8abd-4cf296094a1b</t>
  </si>
  <si>
    <t>https://wastebase.org/#/o/7f42f14a-5ac5-4d5d-b6b8-bf4cd667819c</t>
  </si>
  <si>
    <t>https://wastebase.org/#/o/9ccc3d63-3ab9-4290-bdf5-183986a0b0ea</t>
  </si>
  <si>
    <t>https://wastebase.org/#/o/bbda2289-427b-438a-9a83-b33f533475ac</t>
  </si>
  <si>
    <t>https://wastebase.org/#/o/6f811475-e3cc-4a64-a216-b41e1553971f</t>
  </si>
  <si>
    <t>https://wastebase.org/#/o/b0415556-abc8-45c1-86c4-84899447f08b</t>
  </si>
  <si>
    <t>https://wastebase.org/#/o/2d4bdfa8-d94e-4cca-afac-738e9d2759a4</t>
  </si>
  <si>
    <t>https://wastebase.org/#/o/4e9fed56-2e9e-4792-84bd-b480688547f8</t>
  </si>
  <si>
    <t>https://wastebase.org/#/o/9a1308d8-c012-43d1-b8cd-0966429de0cc</t>
  </si>
  <si>
    <t>https://wastebase.org/#/o/2de78d96-45ce-429f-a2e2-aac57a207734</t>
  </si>
  <si>
    <t>https://wastebase.org/#/o/f4e03d38-cd1d-447d-808a-eb3ccc3a9096</t>
  </si>
  <si>
    <t>https://wastebase.org/#/o/bbbe75f8-5da3-415a-950a-d3eb7b5270a6</t>
  </si>
  <si>
    <t>https://wastebase.org/#/o/3ee8289c-5dfa-4243-a6a1-d97ce63ec43f</t>
  </si>
  <si>
    <t>https://wastebase.org/#/o/f71b2d88-5443-458e-9137-fa0b2aba9198</t>
  </si>
  <si>
    <t>https://wastebase.org/#/o/1a2a2ab3-0d41-47e6-a07a-b3b9b778814c</t>
  </si>
  <si>
    <t>https://wastebase.org/#/o/f0cecb9e-c11b-4168-9148-9f0723363d80</t>
  </si>
  <si>
    <t>https://wastebase.org/#/o/fe13232b-c295-4479-9326-7727c9ec0546</t>
  </si>
  <si>
    <t>https://wastebase.org/#/o/b299c154-9384-44d1-a133-a7ea83f71b82</t>
  </si>
  <si>
    <t>https://wastebase.org/#/o/3b5b6a4a-c4b4-4a68-918d-f6e3a6e89492</t>
  </si>
  <si>
    <t>https://wastebase.org/#/o/94683c2a-80be-4692-8275-fb54b5938e76</t>
  </si>
  <si>
    <t>https://wastebase.org/#/o/fddd63fe-8cc8-4ba3-b918-45dac007e415</t>
  </si>
  <si>
    <t>https://wastebase.org/#/o/aabc6ff7-4eb1-4ea1-a7dd-22efb4cbea5e</t>
  </si>
  <si>
    <t>https://wastebase.org/#/o/c253a591-3e9b-4589-ab8a-cd850ada06a7</t>
  </si>
  <si>
    <t>https://wastebase.org/#/o/def61e35-3101-463c-a1e0-8f42a33aa839</t>
  </si>
  <si>
    <t>https://wastebase.org/#/o/d837f2ff-9af5-4fac-ae30-e54f98732787</t>
  </si>
  <si>
    <t>https://wastebase.org/#/o/e65fbdb0-652a-4ab7-bd35-031838d9d426</t>
  </si>
  <si>
    <t>https://wastebase.org/#/o/22287b6c-9ee9-4a17-891c-67e86d799cde</t>
  </si>
  <si>
    <t>https://wastebase.org/#/o/cc195432-61c5-40de-9f01-9a8fe54194f8</t>
  </si>
  <si>
    <t>https://wastebase.org/#/o/39b15f35-939f-4b11-83db-e03cd8c31e7c</t>
  </si>
  <si>
    <t>https://wastebase.org/#/o/9fe17bbd-2ced-4153-929a-c4e71677dc23</t>
  </si>
  <si>
    <t>https://wastebase.org/#/o/5930d3b7-8ded-4ce8-bfa3-34dc4b38a835</t>
  </si>
  <si>
    <t>https://wastebase.org/#/o/19761338-adbd-4ced-a504-c3da22cdc098</t>
  </si>
  <si>
    <t>https://wastebase.org/#/o/3b7022b2-3cba-4a46-a93b-98aa315f3877</t>
  </si>
  <si>
    <t>https://wastebase.org/#/o/a42f54c3-f0f4-44bc-8d73-df3b2a0e46d3</t>
  </si>
  <si>
    <t>https://wastebase.org/#/o/b080c871-3786-43fa-8524-82b8889d0109</t>
  </si>
  <si>
    <t>https://wastebase.org/#/o/3441996c-6915-41b2-904b-f3b4170d562a</t>
  </si>
  <si>
    <t>https://wastebase.org/#/o/a720bdbf-32f6-4be6-a4ae-51f056557b9c</t>
  </si>
  <si>
    <t>https://wastebase.org/#/o/4eafceed-b6f5-46a6-a2fb-3ecf4f447b70</t>
  </si>
  <si>
    <t>https://wastebase.org/#/o/4973696b-3ee3-4ae1-be00-6ce3313d38cd</t>
  </si>
  <si>
    <t>https://wastebase.org/#/o/c006da10-d4ec-4a30-a5b0-9501c8684a65</t>
  </si>
  <si>
    <t>https://wastebase.org/#/o/e3a6d73b-2405-46ae-afca-f904da691a50</t>
  </si>
  <si>
    <t>https://wastebase.org/#/o/8a86c77d-fdf9-4617-8693-d5cc76ac2a79</t>
  </si>
  <si>
    <t>https://wastebase.org/#/o/2356dc68-189b-48ed-8a88-feb0efa296ea</t>
  </si>
  <si>
    <t>https://wastebase.org/#/o/083a0592-07d6-4e27-80ea-8a8dc0557d25</t>
  </si>
  <si>
    <t>https://wastebase.org/#/o/6972056e-eaf4-4ee4-af19-60441bbd418a</t>
  </si>
  <si>
    <t>https://wastebase.org/#/o/dd4c230f-5083-4aca-bd3b-3a5b2a826be5</t>
  </si>
  <si>
    <t>https://wastebase.org/#/o/9dfaa5a4-d168-4ebb-89db-46ff5ca80fdb</t>
  </si>
  <si>
    <t>https://wastebase.org/#/o/adc1d0e4-3f20-4828-a52b-63be1a0b49a4</t>
  </si>
  <si>
    <t>https://wastebase.org/#/o/e9bc3949-c24e-46ef-87f1-649facdd1ae9</t>
  </si>
  <si>
    <t>https://wastebase.org/#/o/171ffda2-3467-4e83-86c3-5c4d4b09c26e</t>
  </si>
  <si>
    <t>https://wastebase.org/#/o/b04c5c87-3fb2-4d0e-9bb1-07bc05c0e951</t>
  </si>
  <si>
    <t>https://wastebase.org/#/o/b5382dae-625f-4ea4-a9cb-717cd3703cf1</t>
  </si>
  <si>
    <t>https://wastebase.org/#/o/6e4066f9-70f8-4ce6-bd9e-fb1c8f052a33</t>
  </si>
  <si>
    <t>https://wastebase.org/#/o/86070cba-84ac-455b-b24b-be696a5b0c8f</t>
  </si>
  <si>
    <t>https://wastebase.org/#/o/b6e5169c-41bd-4f31-a644-f39e98098e11</t>
  </si>
  <si>
    <t>https://wastebase.org/#/o/4a231b86-94ff-49a4-820a-36cbe3f35195</t>
  </si>
  <si>
    <t>https://wastebase.org/#/o/26d2464d-4ca7-4da6-9d31-121276a5fe56</t>
  </si>
  <si>
    <t>https://wastebase.org/#/o/684d7357-6f5e-484f-b5e2-a3a3eab0af6d</t>
  </si>
  <si>
    <t>https://wastebase.org/#/o/e4782990-d96e-47c7-8543-8dfe061f2ac0</t>
  </si>
  <si>
    <t>https://wastebase.org/#/o/4ff327f9-f56d-410d-97b6-f79c2cc6cf9c</t>
  </si>
  <si>
    <t>https://wastebase.org/#/o/40298d92-ab95-4bd3-b273-0c0f4fdfeb54</t>
  </si>
  <si>
    <t>https://wastebase.org/#/o/42bedb2b-c507-4406-8b0c-ad03ed8ecf85</t>
  </si>
  <si>
    <t>https://wastebase.org/#/o/3ac2ef75-8f14-45b1-8d21-509e9b3c523f</t>
  </si>
  <si>
    <t>https://wastebase.org/#/o/3757b990-63ca-4126-b6a1-3ccca173766e</t>
  </si>
  <si>
    <t>https://wastebase.org/#/o/2ba0ed6b-502f-4849-b8cd-36fbd53b5940</t>
  </si>
  <si>
    <t>https://wastebase.org/#/o/7f6eda54-2970-48cd-9ffd-d708c5f62034</t>
  </si>
  <si>
    <t>https://wastebase.org/#/o/b0477603-f077-4d2d-89d9-abffe81118dd</t>
  </si>
  <si>
    <t>https://wastebase.org/#/o/dd059a99-9b25-41c3-af16-a28ccbc8d298</t>
  </si>
  <si>
    <t>https://wastebase.org/#/o/2bc467dd-fa77-4a56-8615-293d98a5dee7</t>
  </si>
  <si>
    <t>https://wastebase.org/#/o/20045a19-7538-4ce1-920d-5a3fd1a082e1</t>
  </si>
  <si>
    <t>https://wastebase.org/#/o/27929a23-0f79-42d7-b0c6-49c7a7ff89b6</t>
  </si>
  <si>
    <t>https://wastebase.org/#/o/4b92f60d-45cf-48b0-b019-1ac45dba8809</t>
  </si>
  <si>
    <t>https://wastebase.org/#/o/0e51faa6-cbce-4e6c-a1ad-cf77784dcc2d</t>
  </si>
  <si>
    <t>https://wastebase.org/#/o/32cf5450-4097-4b71-b805-43d5aad9f370</t>
  </si>
  <si>
    <t>https://wastebase.org/#/o/7c9be0b2-de70-4d71-a5a1-bb6ee9d22147</t>
  </si>
  <si>
    <t>https://wastebase.org/#/o/0d4adecb-eec9-41d4-b2ab-b3500061b5bb</t>
  </si>
  <si>
    <t>https://wastebase.org/#/o/987a12a5-cebb-41a7-82fd-a18a04f9fffd</t>
  </si>
  <si>
    <t>https://wastebase.org/#/o/50c4dcc4-59f9-4e3d-8361-ea2366cf426d</t>
  </si>
  <si>
    <t>https://wastebase.org/#/o/dd241782-fd94-4a13-9d32-bc9871355dd2</t>
  </si>
  <si>
    <t>https://wastebase.org/#/o/088a248d-4115-4a19-9849-6d388f0dfe9c</t>
  </si>
  <si>
    <t>https://wastebase.org/#/o/56bbb912-16f4-4d6a-ad06-4fbb410f30e5</t>
  </si>
  <si>
    <t>Total Bottles Scanned</t>
  </si>
  <si>
    <t>Number of Unique Brands</t>
  </si>
  <si>
    <t>Number of Manufacturers</t>
  </si>
  <si>
    <t>Number of Scan Countries</t>
  </si>
  <si>
    <t>Row Labels</t>
  </si>
  <si>
    <t>Grand Total</t>
  </si>
  <si>
    <t>Sum of Bottle Count</t>
  </si>
  <si>
    <t>Top Brand by Bottle Count</t>
  </si>
  <si>
    <t>Top 10 Brands’ Share of Total Waste</t>
  </si>
  <si>
    <t>Most Common product Size</t>
  </si>
  <si>
    <t>Count of Product Name</t>
  </si>
  <si>
    <t>KPIs</t>
  </si>
  <si>
    <t>PLASTIC BOTTLE WASTE ANALYSIS</t>
  </si>
  <si>
    <t>PLASTIC BOTTLE WASTE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</si>
</sst>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7" tint="-0.249977111117893"/>
      <name val="Cascadia Code"/>
      <family val="3"/>
    </font>
    <font>
      <sz val="22"/>
      <color theme="0"/>
      <name val="Cascadia Code"/>
      <family val="3"/>
    </font>
    <font>
      <b/>
      <sz val="24"/>
      <color theme="7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/>
      <right/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 style="medium">
        <color theme="7" tint="-0.249977111117893"/>
      </left>
      <right/>
      <top/>
      <bottom/>
      <diagonal/>
    </border>
    <border>
      <left/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9" fontId="0" fillId="0" borderId="2" xfId="2" applyFont="1" applyBorder="1"/>
    <xf numFmtId="0" fontId="0" fillId="0" borderId="3" xfId="0" applyBorder="1"/>
    <xf numFmtId="164" fontId="0" fillId="0" borderId="2" xfId="1" applyNumberFormat="1" applyFont="1" applyBorder="1"/>
    <xf numFmtId="164" fontId="0" fillId="0" borderId="2" xfId="1" applyNumberFormat="1" applyFont="1" applyBorder="1" applyAlignment="1">
      <alignment horizontal="right"/>
    </xf>
    <xf numFmtId="164" fontId="0" fillId="0" borderId="4" xfId="1" applyNumberFormat="1" applyFon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0" borderId="0" xfId="0" applyFont="1"/>
    <xf numFmtId="0" fontId="0" fillId="0" borderId="7" xfId="0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Fill="1" applyBorder="1"/>
    <xf numFmtId="0" fontId="0" fillId="0" borderId="11" xfId="0" applyBorder="1"/>
    <xf numFmtId="0" fontId="0" fillId="0" borderId="10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0" fillId="0" borderId="0" xfId="0" applyNumberFormat="1"/>
    <xf numFmtId="3" fontId="5" fillId="0" borderId="0" xfId="1" applyNumberFormat="1" applyFont="1" applyFill="1" applyBorder="1" applyAlignment="1">
      <alignment horizontal="center" vertical="center"/>
    </xf>
    <xf numFmtId="3" fontId="5" fillId="0" borderId="15" xfId="1" applyNumberFormat="1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3" fontId="5" fillId="0" borderId="15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9" fontId="5" fillId="0" borderId="15" xfId="0" applyNumberFormat="1" applyFont="1" applyFill="1" applyBorder="1" applyAlignment="1">
      <alignment horizontal="center" vertical="center"/>
    </xf>
    <xf numFmtId="9" fontId="5" fillId="0" borderId="0" xfId="0" applyNumberFormat="1" applyFont="1" applyFill="1" applyBorder="1" applyAlignment="1">
      <alignment horizontal="center" vertical="center"/>
    </xf>
    <xf numFmtId="0" fontId="0" fillId="0" borderId="9" xfId="0" applyFill="1" applyBorder="1"/>
    <xf numFmtId="0" fontId="0" fillId="0" borderId="11" xfId="0" applyFill="1" applyBorder="1"/>
  </cellXfs>
  <cellStyles count="3">
    <cellStyle name="Comma" xfId="1" builtinId="3"/>
    <cellStyle name="Normal" xfId="0" builtinId="0"/>
    <cellStyle name="Percent" xfId="2" builtinId="5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Brands by Bottle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282878147340587"/>
          <c:y val="0.17502036383383113"/>
          <c:w val="0.77446302624494212"/>
          <c:h val="0.7113854812035642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Tables'!$E$3:$E$12</c:f>
              <c:strCache>
                <c:ptCount val="10"/>
                <c:pt idx="0">
                  <c:v>Bel Aqua</c:v>
                </c:pt>
                <c:pt idx="1">
                  <c:v>Mo</c:v>
                </c:pt>
                <c:pt idx="2">
                  <c:v>Fanta</c:v>
                </c:pt>
                <c:pt idx="3">
                  <c:v>Aquaplus</c:v>
                </c:pt>
                <c:pt idx="4">
                  <c:v>Azam</c:v>
                </c:pt>
                <c:pt idx="5">
                  <c:v>Frozy</c:v>
                </c:pt>
                <c:pt idx="6">
                  <c:v>Vumba</c:v>
                </c:pt>
                <c:pt idx="7">
                  <c:v>Coca-Cola</c:v>
                </c:pt>
                <c:pt idx="8">
                  <c:v>Água de Namaacha</c:v>
                </c:pt>
                <c:pt idx="9">
                  <c:v>Fizz</c:v>
                </c:pt>
              </c:strCache>
            </c:strRef>
          </c:cat>
          <c:val>
            <c:numRef>
              <c:f>'Pivot Tables'!$F$3:$F$12</c:f>
              <c:numCache>
                <c:formatCode>General</c:formatCode>
                <c:ptCount val="10"/>
                <c:pt idx="0">
                  <c:v>8941</c:v>
                </c:pt>
                <c:pt idx="1">
                  <c:v>9970</c:v>
                </c:pt>
                <c:pt idx="2">
                  <c:v>10110</c:v>
                </c:pt>
                <c:pt idx="3">
                  <c:v>13351</c:v>
                </c:pt>
                <c:pt idx="4">
                  <c:v>17815</c:v>
                </c:pt>
                <c:pt idx="5">
                  <c:v>24855</c:v>
                </c:pt>
                <c:pt idx="6">
                  <c:v>26236</c:v>
                </c:pt>
                <c:pt idx="7">
                  <c:v>27470</c:v>
                </c:pt>
                <c:pt idx="8">
                  <c:v>44608</c:v>
                </c:pt>
                <c:pt idx="9">
                  <c:v>49615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1-4568-A3A4-B76AE4094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5229423"/>
        <c:axId val="745231343"/>
      </c:barChart>
      <c:catAx>
        <c:axId val="7452294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31343"/>
        <c:crosses val="autoZero"/>
        <c:auto val="1"/>
        <c:lblAlgn val="ctr"/>
        <c:lblOffset val="100"/>
        <c:noMultiLvlLbl val="0"/>
      </c:catAx>
      <c:valAx>
        <c:axId val="745231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2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Size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9781277340333"/>
          <c:y val="0.11615740740740743"/>
          <c:w val="0.83461329833770781"/>
          <c:h val="0.7768135753864100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Tables'!$E$17:$E$26</c:f>
              <c:strCache>
                <c:ptCount val="10"/>
                <c:pt idx="0">
                  <c:v>591 ml</c:v>
                </c:pt>
                <c:pt idx="1">
                  <c:v>750 ml</c:v>
                </c:pt>
                <c:pt idx="2">
                  <c:v>330 ml</c:v>
                </c:pt>
                <c:pt idx="3">
                  <c:v>400 ml</c:v>
                </c:pt>
                <c:pt idx="4">
                  <c:v>2.0 L</c:v>
                </c:pt>
                <c:pt idx="5">
                  <c:v>300 ml</c:v>
                </c:pt>
                <c:pt idx="6">
                  <c:v>1.5 L</c:v>
                </c:pt>
                <c:pt idx="7">
                  <c:v>1.0 L</c:v>
                </c:pt>
                <c:pt idx="8">
                  <c:v>350 ml</c:v>
                </c:pt>
                <c:pt idx="9">
                  <c:v>500 ml</c:v>
                </c:pt>
              </c:strCache>
            </c:strRef>
          </c:cat>
          <c:val>
            <c:numRef>
              <c:f>'Pivot Tables'!$F$17:$F$26</c:f>
              <c:numCache>
                <c:formatCode>General</c:formatCode>
                <c:ptCount val="10"/>
                <c:pt idx="0">
                  <c:v>89</c:v>
                </c:pt>
                <c:pt idx="1">
                  <c:v>94</c:v>
                </c:pt>
                <c:pt idx="2">
                  <c:v>136</c:v>
                </c:pt>
                <c:pt idx="3">
                  <c:v>140</c:v>
                </c:pt>
                <c:pt idx="4">
                  <c:v>169</c:v>
                </c:pt>
                <c:pt idx="5">
                  <c:v>176</c:v>
                </c:pt>
                <c:pt idx="6">
                  <c:v>207</c:v>
                </c:pt>
                <c:pt idx="7">
                  <c:v>208</c:v>
                </c:pt>
                <c:pt idx="8">
                  <c:v>228</c:v>
                </c:pt>
                <c:pt idx="9">
                  <c:v>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3-4405-9FDC-C5ADB827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3796703"/>
        <c:axId val="893799583"/>
      </c:barChart>
      <c:catAx>
        <c:axId val="893796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99583"/>
        <c:crosses val="autoZero"/>
        <c:auto val="1"/>
        <c:lblAlgn val="ctr"/>
        <c:lblOffset val="100"/>
        <c:noMultiLvlLbl val="0"/>
      </c:catAx>
      <c:valAx>
        <c:axId val="89379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9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Waste</a:t>
            </a:r>
            <a:r>
              <a:rPr lang="en-US" baseline="0"/>
              <a:t>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Tables'!$E$31:$E$70</c:f>
              <c:strCache>
                <c:ptCount val="40"/>
                <c:pt idx="0">
                  <c:v>AO</c:v>
                </c:pt>
                <c:pt idx="1">
                  <c:v>BD</c:v>
                </c:pt>
                <c:pt idx="2">
                  <c:v>BE</c:v>
                </c:pt>
                <c:pt idx="3">
                  <c:v>BR</c:v>
                </c:pt>
                <c:pt idx="4">
                  <c:v>CA</c:v>
                </c:pt>
                <c:pt idx="5">
                  <c:v>CD</c:v>
                </c:pt>
                <c:pt idx="6">
                  <c:v>CH</c:v>
                </c:pt>
                <c:pt idx="7">
                  <c:v>CL</c:v>
                </c:pt>
                <c:pt idx="8">
                  <c:v>CM</c:v>
                </c:pt>
                <c:pt idx="9">
                  <c:v>CO</c:v>
                </c:pt>
                <c:pt idx="10">
                  <c:v>DE</c:v>
                </c:pt>
                <c:pt idx="11">
                  <c:v>DZ</c:v>
                </c:pt>
                <c:pt idx="12">
                  <c:v>EG</c:v>
                </c:pt>
                <c:pt idx="13">
                  <c:v>ES</c:v>
                </c:pt>
                <c:pt idx="14">
                  <c:v>FR</c:v>
                </c:pt>
                <c:pt idx="15">
                  <c:v>GB</c:v>
                </c:pt>
                <c:pt idx="16">
                  <c:v>GH</c:v>
                </c:pt>
                <c:pt idx="17">
                  <c:v>GM</c:v>
                </c:pt>
                <c:pt idx="18">
                  <c:v>HU</c:v>
                </c:pt>
                <c:pt idx="19">
                  <c:v>ID</c:v>
                </c:pt>
                <c:pt idx="20">
                  <c:v>IE</c:v>
                </c:pt>
                <c:pt idx="21">
                  <c:v>IN</c:v>
                </c:pt>
                <c:pt idx="22">
                  <c:v>KE</c:v>
                </c:pt>
                <c:pt idx="23">
                  <c:v>KR</c:v>
                </c:pt>
                <c:pt idx="24">
                  <c:v>LR</c:v>
                </c:pt>
                <c:pt idx="25">
                  <c:v>MW</c:v>
                </c:pt>
                <c:pt idx="26">
                  <c:v>MZ</c:v>
                </c:pt>
                <c:pt idx="27">
                  <c:v>NG</c:v>
                </c:pt>
                <c:pt idx="28">
                  <c:v>NL</c:v>
                </c:pt>
                <c:pt idx="29">
                  <c:v>PH</c:v>
                </c:pt>
                <c:pt idx="30">
                  <c:v>PT</c:v>
                </c:pt>
                <c:pt idx="31">
                  <c:v>QA</c:v>
                </c:pt>
                <c:pt idx="32">
                  <c:v>RW</c:v>
                </c:pt>
                <c:pt idx="33">
                  <c:v>SL</c:v>
                </c:pt>
                <c:pt idx="34">
                  <c:v>SZ</c:v>
                </c:pt>
                <c:pt idx="35">
                  <c:v>TZ</c:v>
                </c:pt>
                <c:pt idx="36">
                  <c:v>UG</c:v>
                </c:pt>
                <c:pt idx="37">
                  <c:v>US</c:v>
                </c:pt>
                <c:pt idx="38">
                  <c:v>ZA</c:v>
                </c:pt>
                <c:pt idx="39">
                  <c:v>ZM</c:v>
                </c:pt>
              </c:strCache>
            </c:strRef>
          </c:cat>
          <c:val>
            <c:numRef>
              <c:f>'Pivot Tables'!$F$31:$F$70</c:f>
              <c:numCache>
                <c:formatCode>General</c:formatCode>
                <c:ptCount val="40"/>
                <c:pt idx="0">
                  <c:v>60</c:v>
                </c:pt>
                <c:pt idx="1">
                  <c:v>1</c:v>
                </c:pt>
                <c:pt idx="2">
                  <c:v>7</c:v>
                </c:pt>
                <c:pt idx="3">
                  <c:v>3</c:v>
                </c:pt>
                <c:pt idx="4">
                  <c:v>2415</c:v>
                </c:pt>
                <c:pt idx="5">
                  <c:v>20748</c:v>
                </c:pt>
                <c:pt idx="6">
                  <c:v>1</c:v>
                </c:pt>
                <c:pt idx="7">
                  <c:v>1</c:v>
                </c:pt>
                <c:pt idx="8">
                  <c:v>1944</c:v>
                </c:pt>
                <c:pt idx="9">
                  <c:v>19</c:v>
                </c:pt>
                <c:pt idx="10">
                  <c:v>9</c:v>
                </c:pt>
                <c:pt idx="11">
                  <c:v>1</c:v>
                </c:pt>
                <c:pt idx="12">
                  <c:v>7</c:v>
                </c:pt>
                <c:pt idx="13">
                  <c:v>130</c:v>
                </c:pt>
                <c:pt idx="14">
                  <c:v>4</c:v>
                </c:pt>
                <c:pt idx="15">
                  <c:v>991</c:v>
                </c:pt>
                <c:pt idx="16">
                  <c:v>63893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3</c:v>
                </c:pt>
                <c:pt idx="22">
                  <c:v>10924</c:v>
                </c:pt>
                <c:pt idx="23">
                  <c:v>20</c:v>
                </c:pt>
                <c:pt idx="24">
                  <c:v>57</c:v>
                </c:pt>
                <c:pt idx="25">
                  <c:v>25612</c:v>
                </c:pt>
                <c:pt idx="26">
                  <c:v>248160</c:v>
                </c:pt>
                <c:pt idx="27">
                  <c:v>224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8</c:v>
                </c:pt>
                <c:pt idx="32">
                  <c:v>12900</c:v>
                </c:pt>
                <c:pt idx="33">
                  <c:v>1</c:v>
                </c:pt>
                <c:pt idx="34">
                  <c:v>2</c:v>
                </c:pt>
                <c:pt idx="35">
                  <c:v>47591</c:v>
                </c:pt>
                <c:pt idx="36">
                  <c:v>7902</c:v>
                </c:pt>
                <c:pt idx="37">
                  <c:v>11</c:v>
                </c:pt>
                <c:pt idx="38">
                  <c:v>551</c:v>
                </c:pt>
                <c:pt idx="39">
                  <c:v>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0-49D1-A147-38E3D5C0B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811103"/>
        <c:axId val="893811583"/>
      </c:barChart>
      <c:catAx>
        <c:axId val="89381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811583"/>
        <c:crosses val="autoZero"/>
        <c:auto val="1"/>
        <c:lblAlgn val="ctr"/>
        <c:lblOffset val="100"/>
        <c:noMultiLvlLbl val="0"/>
      </c:catAx>
      <c:valAx>
        <c:axId val="89381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81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Brands by Bottle Count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612416341794785"/>
          <c:y val="0.11057661722776743"/>
          <c:w val="0.69696546894483302"/>
          <c:h val="0.8029423652660941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Tables'!$E$3:$E$12</c:f>
              <c:strCache>
                <c:ptCount val="10"/>
                <c:pt idx="0">
                  <c:v>Bel Aqua</c:v>
                </c:pt>
                <c:pt idx="1">
                  <c:v>Mo</c:v>
                </c:pt>
                <c:pt idx="2">
                  <c:v>Fanta</c:v>
                </c:pt>
                <c:pt idx="3">
                  <c:v>Aquaplus</c:v>
                </c:pt>
                <c:pt idx="4">
                  <c:v>Azam</c:v>
                </c:pt>
                <c:pt idx="5">
                  <c:v>Frozy</c:v>
                </c:pt>
                <c:pt idx="6">
                  <c:v>Vumba</c:v>
                </c:pt>
                <c:pt idx="7">
                  <c:v>Coca-Cola</c:v>
                </c:pt>
                <c:pt idx="8">
                  <c:v>Água de Namaacha</c:v>
                </c:pt>
                <c:pt idx="9">
                  <c:v>Fizz</c:v>
                </c:pt>
              </c:strCache>
            </c:strRef>
          </c:cat>
          <c:val>
            <c:numRef>
              <c:f>'Pivot Tables'!$F$3:$F$12</c:f>
              <c:numCache>
                <c:formatCode>General</c:formatCode>
                <c:ptCount val="10"/>
                <c:pt idx="0">
                  <c:v>8941</c:v>
                </c:pt>
                <c:pt idx="1">
                  <c:v>9970</c:v>
                </c:pt>
                <c:pt idx="2">
                  <c:v>10110</c:v>
                </c:pt>
                <c:pt idx="3">
                  <c:v>13351</c:v>
                </c:pt>
                <c:pt idx="4">
                  <c:v>17815</c:v>
                </c:pt>
                <c:pt idx="5">
                  <c:v>24855</c:v>
                </c:pt>
                <c:pt idx="6">
                  <c:v>26236</c:v>
                </c:pt>
                <c:pt idx="7">
                  <c:v>27470</c:v>
                </c:pt>
                <c:pt idx="8">
                  <c:v>44608</c:v>
                </c:pt>
                <c:pt idx="9">
                  <c:v>49615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8-406B-9F2F-A6443E0CD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5229423"/>
        <c:axId val="745231343"/>
      </c:barChart>
      <c:catAx>
        <c:axId val="7452294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31343"/>
        <c:crosses val="autoZero"/>
        <c:auto val="1"/>
        <c:lblAlgn val="ctr"/>
        <c:lblOffset val="100"/>
        <c:noMultiLvlLbl val="0"/>
      </c:catAx>
      <c:valAx>
        <c:axId val="745231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2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</a:t>
            </a:r>
            <a:r>
              <a:rPr lang="en-US" b="1" baseline="0"/>
              <a:t> Size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9781277340333"/>
          <c:y val="0.11615740740740743"/>
          <c:w val="0.83461329833770781"/>
          <c:h val="0.7768135753864100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Tables'!$E$17:$E$26</c:f>
              <c:strCache>
                <c:ptCount val="10"/>
                <c:pt idx="0">
                  <c:v>591 ml</c:v>
                </c:pt>
                <c:pt idx="1">
                  <c:v>750 ml</c:v>
                </c:pt>
                <c:pt idx="2">
                  <c:v>330 ml</c:v>
                </c:pt>
                <c:pt idx="3">
                  <c:v>400 ml</c:v>
                </c:pt>
                <c:pt idx="4">
                  <c:v>2.0 L</c:v>
                </c:pt>
                <c:pt idx="5">
                  <c:v>300 ml</c:v>
                </c:pt>
                <c:pt idx="6">
                  <c:v>1.5 L</c:v>
                </c:pt>
                <c:pt idx="7">
                  <c:v>1.0 L</c:v>
                </c:pt>
                <c:pt idx="8">
                  <c:v>350 ml</c:v>
                </c:pt>
                <c:pt idx="9">
                  <c:v>500 ml</c:v>
                </c:pt>
              </c:strCache>
            </c:strRef>
          </c:cat>
          <c:val>
            <c:numRef>
              <c:f>'Pivot Tables'!$F$17:$F$26</c:f>
              <c:numCache>
                <c:formatCode>General</c:formatCode>
                <c:ptCount val="10"/>
                <c:pt idx="0">
                  <c:v>89</c:v>
                </c:pt>
                <c:pt idx="1">
                  <c:v>94</c:v>
                </c:pt>
                <c:pt idx="2">
                  <c:v>136</c:v>
                </c:pt>
                <c:pt idx="3">
                  <c:v>140</c:v>
                </c:pt>
                <c:pt idx="4">
                  <c:v>169</c:v>
                </c:pt>
                <c:pt idx="5">
                  <c:v>176</c:v>
                </c:pt>
                <c:pt idx="6">
                  <c:v>207</c:v>
                </c:pt>
                <c:pt idx="7">
                  <c:v>208</c:v>
                </c:pt>
                <c:pt idx="8">
                  <c:v>228</c:v>
                </c:pt>
                <c:pt idx="9">
                  <c:v>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4-4A30-8959-621481DD5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3796703"/>
        <c:axId val="893799583"/>
      </c:barChart>
      <c:catAx>
        <c:axId val="893796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99583"/>
        <c:crosses val="autoZero"/>
        <c:auto val="1"/>
        <c:lblAlgn val="ctr"/>
        <c:lblOffset val="100"/>
        <c:noMultiLvlLbl val="0"/>
      </c:catAx>
      <c:valAx>
        <c:axId val="89379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9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Waste</a:t>
            </a:r>
            <a:r>
              <a:rPr lang="en-US" b="1" baseline="0"/>
              <a:t>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07104164042136"/>
          <c:y val="0.13467592592592595"/>
          <c:w val="0.83769645476350385"/>
          <c:h val="0.758295056867891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Tables'!$E$31:$E$70</c:f>
              <c:strCache>
                <c:ptCount val="40"/>
                <c:pt idx="0">
                  <c:v>AO</c:v>
                </c:pt>
                <c:pt idx="1">
                  <c:v>BD</c:v>
                </c:pt>
                <c:pt idx="2">
                  <c:v>BE</c:v>
                </c:pt>
                <c:pt idx="3">
                  <c:v>BR</c:v>
                </c:pt>
                <c:pt idx="4">
                  <c:v>CA</c:v>
                </c:pt>
                <c:pt idx="5">
                  <c:v>CD</c:v>
                </c:pt>
                <c:pt idx="6">
                  <c:v>CH</c:v>
                </c:pt>
                <c:pt idx="7">
                  <c:v>CL</c:v>
                </c:pt>
                <c:pt idx="8">
                  <c:v>CM</c:v>
                </c:pt>
                <c:pt idx="9">
                  <c:v>CO</c:v>
                </c:pt>
                <c:pt idx="10">
                  <c:v>DE</c:v>
                </c:pt>
                <c:pt idx="11">
                  <c:v>DZ</c:v>
                </c:pt>
                <c:pt idx="12">
                  <c:v>EG</c:v>
                </c:pt>
                <c:pt idx="13">
                  <c:v>ES</c:v>
                </c:pt>
                <c:pt idx="14">
                  <c:v>FR</c:v>
                </c:pt>
                <c:pt idx="15">
                  <c:v>GB</c:v>
                </c:pt>
                <c:pt idx="16">
                  <c:v>GH</c:v>
                </c:pt>
                <c:pt idx="17">
                  <c:v>GM</c:v>
                </c:pt>
                <c:pt idx="18">
                  <c:v>HU</c:v>
                </c:pt>
                <c:pt idx="19">
                  <c:v>ID</c:v>
                </c:pt>
                <c:pt idx="20">
                  <c:v>IE</c:v>
                </c:pt>
                <c:pt idx="21">
                  <c:v>IN</c:v>
                </c:pt>
                <c:pt idx="22">
                  <c:v>KE</c:v>
                </c:pt>
                <c:pt idx="23">
                  <c:v>KR</c:v>
                </c:pt>
                <c:pt idx="24">
                  <c:v>LR</c:v>
                </c:pt>
                <c:pt idx="25">
                  <c:v>MW</c:v>
                </c:pt>
                <c:pt idx="26">
                  <c:v>MZ</c:v>
                </c:pt>
                <c:pt idx="27">
                  <c:v>NG</c:v>
                </c:pt>
                <c:pt idx="28">
                  <c:v>NL</c:v>
                </c:pt>
                <c:pt idx="29">
                  <c:v>PH</c:v>
                </c:pt>
                <c:pt idx="30">
                  <c:v>PT</c:v>
                </c:pt>
                <c:pt idx="31">
                  <c:v>QA</c:v>
                </c:pt>
                <c:pt idx="32">
                  <c:v>RW</c:v>
                </c:pt>
                <c:pt idx="33">
                  <c:v>SL</c:v>
                </c:pt>
                <c:pt idx="34">
                  <c:v>SZ</c:v>
                </c:pt>
                <c:pt idx="35">
                  <c:v>TZ</c:v>
                </c:pt>
                <c:pt idx="36">
                  <c:v>UG</c:v>
                </c:pt>
                <c:pt idx="37">
                  <c:v>US</c:v>
                </c:pt>
                <c:pt idx="38">
                  <c:v>ZA</c:v>
                </c:pt>
                <c:pt idx="39">
                  <c:v>ZM</c:v>
                </c:pt>
              </c:strCache>
            </c:strRef>
          </c:cat>
          <c:val>
            <c:numRef>
              <c:f>'Pivot Tables'!$F$31:$F$70</c:f>
              <c:numCache>
                <c:formatCode>General</c:formatCode>
                <c:ptCount val="40"/>
                <c:pt idx="0">
                  <c:v>60</c:v>
                </c:pt>
                <c:pt idx="1">
                  <c:v>1</c:v>
                </c:pt>
                <c:pt idx="2">
                  <c:v>7</c:v>
                </c:pt>
                <c:pt idx="3">
                  <c:v>3</c:v>
                </c:pt>
                <c:pt idx="4">
                  <c:v>2415</c:v>
                </c:pt>
                <c:pt idx="5">
                  <c:v>20748</c:v>
                </c:pt>
                <c:pt idx="6">
                  <c:v>1</c:v>
                </c:pt>
                <c:pt idx="7">
                  <c:v>1</c:v>
                </c:pt>
                <c:pt idx="8">
                  <c:v>1944</c:v>
                </c:pt>
                <c:pt idx="9">
                  <c:v>19</c:v>
                </c:pt>
                <c:pt idx="10">
                  <c:v>9</c:v>
                </c:pt>
                <c:pt idx="11">
                  <c:v>1</c:v>
                </c:pt>
                <c:pt idx="12">
                  <c:v>7</c:v>
                </c:pt>
                <c:pt idx="13">
                  <c:v>130</c:v>
                </c:pt>
                <c:pt idx="14">
                  <c:v>4</c:v>
                </c:pt>
                <c:pt idx="15">
                  <c:v>991</c:v>
                </c:pt>
                <c:pt idx="16">
                  <c:v>63893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3</c:v>
                </c:pt>
                <c:pt idx="22">
                  <c:v>10924</c:v>
                </c:pt>
                <c:pt idx="23">
                  <c:v>20</c:v>
                </c:pt>
                <c:pt idx="24">
                  <c:v>57</c:v>
                </c:pt>
                <c:pt idx="25">
                  <c:v>25612</c:v>
                </c:pt>
                <c:pt idx="26">
                  <c:v>248160</c:v>
                </c:pt>
                <c:pt idx="27">
                  <c:v>224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8</c:v>
                </c:pt>
                <c:pt idx="32">
                  <c:v>12900</c:v>
                </c:pt>
                <c:pt idx="33">
                  <c:v>1</c:v>
                </c:pt>
                <c:pt idx="34">
                  <c:v>2</c:v>
                </c:pt>
                <c:pt idx="35">
                  <c:v>47591</c:v>
                </c:pt>
                <c:pt idx="36">
                  <c:v>7902</c:v>
                </c:pt>
                <c:pt idx="37">
                  <c:v>11</c:v>
                </c:pt>
                <c:pt idx="38">
                  <c:v>551</c:v>
                </c:pt>
                <c:pt idx="39">
                  <c:v>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9-4683-AC2A-944C17149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811103"/>
        <c:axId val="893811583"/>
      </c:barChart>
      <c:catAx>
        <c:axId val="89381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811583"/>
        <c:crosses val="autoZero"/>
        <c:auto val="1"/>
        <c:lblAlgn val="ctr"/>
        <c:lblOffset val="100"/>
        <c:noMultiLvlLbl val="0"/>
      </c:catAx>
      <c:valAx>
        <c:axId val="893811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81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469901</xdr:colOff>
      <xdr:row>1</xdr:row>
      <xdr:rowOff>171450</xdr:rowOff>
    </xdr:from>
    <xdr:to>
      <xdr:col>13</xdr:col>
      <xdr:colOff>520701</xdr:colOff>
      <xdr:row>12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00BAEF-6328-79C5-385A-315DFC84D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581025</xdr:colOff>
      <xdr:row>13</xdr:row>
      <xdr:rowOff>114300</xdr:rowOff>
    </xdr:from>
    <xdr:to>
      <xdr:col>14</xdr:col>
      <xdr:colOff>260350</xdr:colOff>
      <xdr:row>26</xdr:row>
      <xdr:rowOff>146050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AC554A6-24BC-0368-D1FE-4AE5E3AE4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15875</xdr:colOff>
      <xdr:row>29</xdr:row>
      <xdr:rowOff>101600</xdr:rowOff>
    </xdr:from>
    <xdr:to>
      <xdr:col>14</xdr:col>
      <xdr:colOff>320675</xdr:colOff>
      <xdr:row>44</xdr:row>
      <xdr:rowOff>82550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AA15D17-B1B8-72F8-AD4F-0D288142C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CA27C50-39FE-8125-FA2E-BD2A57FF7B28}"/>
            </a:ext>
          </a:extLst>
        </xdr:cNvPr>
        <xdr:cNvSpPr/>
      </xdr:nvSpPr>
      <xdr:spPr>
        <a:xfrm>
          <a:off x="706549" y="831761"/>
          <a:ext cx="2110705" cy="83176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49388</xdr:colOff>
      <xdr:row>5</xdr:row>
      <xdr:rowOff>56445</xdr:rowOff>
    </xdr:from>
    <xdr:to>
      <xdr:col>4</xdr:col>
      <xdr:colOff>571500</xdr:colOff>
      <xdr:row>6</xdr:row>
      <xdr:rowOff>165783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D0ADBA-C541-3634-D75A-3A4276FA430C}"/>
            </a:ext>
          </a:extLst>
        </xdr:cNvPr>
        <xdr:cNvSpPr txBox="1"/>
      </xdr:nvSpPr>
      <xdr:spPr>
        <a:xfrm>
          <a:off x="754944" y="867834"/>
          <a:ext cx="1735667" cy="2927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Total</a:t>
          </a:r>
          <a:r>
            <a:rPr lang="en-US" sz="1600" b="1" baseline="0"/>
            <a:t> Bottles Scanned</a:t>
          </a:r>
          <a:endParaRPr lang="en-US" sz="1600" b="1"/>
        </a:p>
      </xdr:txBody>
    </xdr:sp>
    <xdr:clientData/>
  </xdr:twoCellAnchor>
  <xdr:twoCellAnchor>
    <xdr:from>
      <xdr:col>6</xdr:col>
      <xdr:colOff>14111</xdr:colOff>
      <xdr:row>5</xdr:row>
      <xdr:rowOff>0</xdr:rowOff>
    </xdr:from>
    <xdr:to>
      <xdr:col>9</xdr:col>
      <xdr:colOff>0</xdr:colOff>
      <xdr:row>9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AB70F1D-7E58-4180-9DE3-B81233640357}"/>
            </a:ext>
          </a:extLst>
        </xdr:cNvPr>
        <xdr:cNvSpPr/>
      </xdr:nvSpPr>
      <xdr:spPr>
        <a:xfrm>
          <a:off x="3146778" y="811389"/>
          <a:ext cx="1820333" cy="733778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608168</xdr:colOff>
      <xdr:row>5</xdr:row>
      <xdr:rowOff>0</xdr:rowOff>
    </xdr:from>
    <xdr:to>
      <xdr:col>17</xdr:col>
      <xdr:colOff>0</xdr:colOff>
      <xdr:row>9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A3CE64A-AB63-4F13-93B9-B2CD099051E3}"/>
            </a:ext>
          </a:extLst>
        </xdr:cNvPr>
        <xdr:cNvSpPr/>
      </xdr:nvSpPr>
      <xdr:spPr>
        <a:xfrm>
          <a:off x="8737957" y="831761"/>
          <a:ext cx="2039156" cy="83176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</xdr:colOff>
      <xdr:row>5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3598D81-CE3B-4BD6-8505-14F44B1969DF}"/>
            </a:ext>
          </a:extLst>
        </xdr:cNvPr>
        <xdr:cNvSpPr/>
      </xdr:nvSpPr>
      <xdr:spPr>
        <a:xfrm>
          <a:off x="5938593" y="831761"/>
          <a:ext cx="2191196" cy="83176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5</xdr:row>
      <xdr:rowOff>0</xdr:rowOff>
    </xdr:from>
    <xdr:to>
      <xdr:col>21</xdr:col>
      <xdr:colOff>0</xdr:colOff>
      <xdr:row>9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A1B4D93-934B-42B9-B72F-8642BF11C0BB}"/>
            </a:ext>
          </a:extLst>
        </xdr:cNvPr>
        <xdr:cNvSpPr/>
      </xdr:nvSpPr>
      <xdr:spPr>
        <a:xfrm>
          <a:off x="11385282" y="831761"/>
          <a:ext cx="2083873" cy="83176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63500</xdr:colOff>
      <xdr:row>5</xdr:row>
      <xdr:rowOff>46568</xdr:rowOff>
    </xdr:from>
    <xdr:to>
      <xdr:col>8</xdr:col>
      <xdr:colOff>550333</xdr:colOff>
      <xdr:row>6</xdr:row>
      <xdr:rowOff>155906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AB4AF4-70BA-4EAC-ADA7-68802B0D8DEA}"/>
            </a:ext>
          </a:extLst>
        </xdr:cNvPr>
        <xdr:cNvSpPr txBox="1"/>
      </xdr:nvSpPr>
      <xdr:spPr>
        <a:xfrm>
          <a:off x="3485444" y="857957"/>
          <a:ext cx="1714500" cy="2927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Number</a:t>
          </a:r>
          <a:r>
            <a:rPr lang="en-US" sz="1600" b="1" baseline="0"/>
            <a:t> of Brands</a:t>
          </a:r>
          <a:endParaRPr lang="en-US" sz="1600" b="1"/>
        </a:p>
      </xdr:txBody>
    </xdr:sp>
    <xdr:clientData/>
  </xdr:twoCellAnchor>
  <xdr:twoCellAnchor>
    <xdr:from>
      <xdr:col>10</xdr:col>
      <xdr:colOff>78994</xdr:colOff>
      <xdr:row>5</xdr:row>
      <xdr:rowOff>80494</xdr:rowOff>
    </xdr:from>
    <xdr:to>
      <xdr:col>12</xdr:col>
      <xdr:colOff>715495</xdr:colOff>
      <xdr:row>6</xdr:row>
      <xdr:rowOff>98382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78AEE22-FE2C-4067-BF82-82A1B681E01E}"/>
            </a:ext>
          </a:extLst>
        </xdr:cNvPr>
        <xdr:cNvSpPr txBox="1"/>
      </xdr:nvSpPr>
      <xdr:spPr>
        <a:xfrm>
          <a:off x="6017586" y="912255"/>
          <a:ext cx="2040655" cy="2057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Number</a:t>
          </a:r>
          <a:r>
            <a:rPr lang="en-US" sz="1400" b="1" baseline="0"/>
            <a:t> of Manfacturers</a:t>
          </a:r>
          <a:endParaRPr lang="en-US" sz="1400" b="1"/>
        </a:p>
      </xdr:txBody>
    </xdr:sp>
    <xdr:clientData/>
  </xdr:twoCellAnchor>
  <xdr:twoCellAnchor>
    <xdr:from>
      <xdr:col>14</xdr:col>
      <xdr:colOff>46309</xdr:colOff>
      <xdr:row>5</xdr:row>
      <xdr:rowOff>89436</xdr:rowOff>
    </xdr:from>
    <xdr:to>
      <xdr:col>16</xdr:col>
      <xdr:colOff>787042</xdr:colOff>
      <xdr:row>6</xdr:row>
      <xdr:rowOff>158500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1E370B8-C90D-4200-934B-70F6CF00D708}"/>
            </a:ext>
          </a:extLst>
        </xdr:cNvPr>
        <xdr:cNvSpPr txBox="1"/>
      </xdr:nvSpPr>
      <xdr:spPr>
        <a:xfrm>
          <a:off x="8784267" y="921197"/>
          <a:ext cx="1957071" cy="256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Number</a:t>
          </a:r>
          <a:r>
            <a:rPr lang="en-US" sz="1600" b="1" baseline="0"/>
            <a:t> of Countries</a:t>
          </a:r>
          <a:endParaRPr lang="en-US" sz="1600" b="1"/>
        </a:p>
      </xdr:txBody>
    </xdr:sp>
    <xdr:clientData/>
  </xdr:twoCellAnchor>
  <xdr:twoCellAnchor>
    <xdr:from>
      <xdr:col>17</xdr:col>
      <xdr:colOff>574410</xdr:colOff>
      <xdr:row>5</xdr:row>
      <xdr:rowOff>123902</xdr:rowOff>
    </xdr:from>
    <xdr:to>
      <xdr:col>21</xdr:col>
      <xdr:colOff>46463</xdr:colOff>
      <xdr:row>6</xdr:row>
      <xdr:rowOff>73949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2669BB2-7229-4D68-97AC-BD57F54CC062}"/>
            </a:ext>
          </a:extLst>
        </xdr:cNvPr>
        <xdr:cNvSpPr txBox="1"/>
      </xdr:nvSpPr>
      <xdr:spPr>
        <a:xfrm>
          <a:off x="11400386" y="944756"/>
          <a:ext cx="2236626" cy="13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Top</a:t>
          </a:r>
          <a:r>
            <a:rPr lang="en-US" sz="1400" b="1" baseline="0"/>
            <a:t> 10 Brands' Contribution</a:t>
          </a:r>
          <a:endParaRPr lang="en-US" sz="1400" b="1"/>
        </a:p>
      </xdr:txBody>
    </xdr:sp>
    <xdr:clientData/>
  </xdr:twoCellAnchor>
  <xdr:twoCellAnchor>
    <xdr:from>
      <xdr:col>0</xdr:col>
      <xdr:colOff>98379</xdr:colOff>
      <xdr:row>10</xdr:row>
      <xdr:rowOff>0</xdr:rowOff>
    </xdr:from>
    <xdr:to>
      <xdr:col>9</xdr:col>
      <xdr:colOff>0</xdr:colOff>
      <xdr:row>26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CF08C4F-BE17-4992-A4FD-4B0483B7F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10</xdr:row>
      <xdr:rowOff>0</xdr:rowOff>
    </xdr:from>
    <xdr:to>
      <xdr:col>22</xdr:col>
      <xdr:colOff>0</xdr:colOff>
      <xdr:row>26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858A1D4-0978-4A2D-BE1E-1AE768923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0B2DB4F-307C-4DE2-9B5E-64A1ACECF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4.730939583336" createdVersion="8" refreshedVersion="8" minRefreshableVersion="3" recordCount="4254" xr:uid="{426E55C0-3965-4E21-8662-BB3736BB2EC1}">
  <cacheSource type="worksheet">
    <worksheetSource name="CleanDataTable"/>
  </cacheSource>
  <cacheFields count="8">
    <cacheField name="Product Barcode" numFmtId="0">
      <sharedItems containsSemiMixedTypes="0" containsString="0" containsNumber="1" containsInteger="1" minValue="0" maxValue="60340000510744"/>
    </cacheField>
    <cacheField name="Product Name" numFmtId="0">
      <sharedItems/>
    </cacheField>
    <cacheField name="Product Size" numFmtId="0">
      <sharedItems count="391">
        <s v="500 ml"/>
        <s v="750 g"/>
        <s v="200 ml"/>
        <s v="300 ml"/>
        <s v="500 g"/>
        <s v="503ml"/>
        <s v="710ml"/>
        <s v="591 ml"/>
        <s v="473ml"/>
        <s v="50 ml"/>
        <s v="250 g"/>
        <s v="5.0 L"/>
        <s v="2.0 L"/>
        <s v="1.0 L"/>
        <s v="400 ml"/>
        <s v="5.0 g"/>
        <s v="28 g"/>
        <s v="100 g"/>
        <s v="1.89 L"/>
        <s v="1.77 L"/>
        <s v="340 g"/>
        <s v="42 g"/>
        <s v="1 L"/>
        <s v="600 ml"/>
        <s v="375 ml"/>
        <s v="240 ml"/>
        <s v="828 ml"/>
        <s v="710 ml"/>
        <s v="591ml"/>
        <s v="1L"/>
        <s v="900 g"/>
        <s v="266 ml"/>
        <s v="200ml"/>
        <s v="591"/>
        <s v="355ml"/>
        <s v="1.5 L"/>
        <s v="1.54 L"/>
        <s v="7000 g"/>
        <s v="1.89l"/>
        <s v="2 L"/>
        <s v="750mL"/>
        <s v="473 ml"/>
        <s v="4 L"/>
        <s v="450 ml"/>
        <s v="220 ml"/>
        <s v="450ml"/>
        <s v="945 ml"/>
        <s v="568 ml"/>
        <s v="250 ml"/>
        <s v="335 ml"/>
        <s v="355 ml"/>
        <s v="547 ml"/>
        <s v="142 g"/>
        <s v="1.600ml"/>
        <s v="290 ml"/>
        <s v="750 ml"/>
        <s v="325 g"/>
        <s v="500g"/>
        <s v="503 ml"/>
        <s v="500"/>
        <s v="2.272 L"/>
        <s v="150 ml"/>
        <s v="887 ml"/>
        <s v="502 ml"/>
        <s v="200 g"/>
        <s v="739 ml"/>
        <s v="400 g"/>
        <s v="600 g"/>
        <s v="2.0 kg"/>
        <s v="180 g"/>
        <s v="800 g"/>
        <s v="600ml"/>
        <s v="40 g"/>
        <s v="10 g"/>
        <s v="8.0 L"/>
        <s v="213 g"/>
        <s v="350 ml"/>
        <s v="1.36 L"/>
        <s v="325 ml"/>
        <s v="21g"/>
        <s v="950 ml"/>
        <s v="950ml"/>
        <s v="5000ml"/>
        <s v="590 ml"/>
        <s v="828ml"/>
        <s v="340 ml"/>
        <s v="0.5 L"/>
        <s v="360 g"/>
        <s v="60 g"/>
        <s v="80 g"/>
        <s v="90 g"/>
        <s v="175 g"/>
        <s v="350ml"/>
        <s v="330 ml"/>
        <s v="95g"/>
        <s v="25 g"/>
        <s v="550 ml"/>
        <s v="150ml"/>
        <s v="100ml"/>
        <s v="40g"/>
        <s v="1.75L"/>
        <s v="20 g"/>
        <s v="35 g"/>
        <s v="4.0 L"/>
        <s v="7.5l"/>
        <s v="10 L"/>
        <s v="459 ml"/>
        <s v="960 ml"/>
        <s v="100 ml"/>
        <s v="24 g"/>
        <s v="1000 ml"/>
        <s v="400ml"/>
        <s v="1.25 L"/>
        <s v="1500 ml"/>
        <s v="380 ml"/>
        <s v="700 g"/>
        <s v="5000 ml"/>
        <s v="50ml"/>
        <s v="6.5L"/>
        <s v="0.5"/>
        <s v="300ml"/>
        <s v="125 g"/>
        <s v="50 g"/>
        <s v="5ltrs"/>
        <s v="20 L"/>
        <s v="01 L"/>
        <s v="1.5litres"/>
        <s v="10ltrs"/>
        <s v="30 g"/>
        <s v="700g"/>
        <s v="1.14 L"/>
        <s v="420 ml"/>
        <s v="1.20 L"/>
        <s v="0.5L"/>
        <s v="414 ml"/>
        <s v="242 ml"/>
        <s v="399 g"/>
        <s v="1.0 kg"/>
        <s v="48 g"/>
        <s v="13 L"/>
        <s v="150cl"/>
        <s v="320ml"/>
        <s v="225ml"/>
        <s v="1.6 L"/>
        <s v="2.3 l"/>
        <s v="250ml"/>
        <s v="300 g"/>
        <s v="1000 g"/>
        <s v="780 g"/>
        <s v="65 g"/>
        <s v="272 g"/>
        <s v="70 g"/>
        <s v="320 ml"/>
        <s v="50cl"/>
        <s v="1600 ml"/>
        <s v="150 g"/>
        <s v="1000ml"/>
        <s v="5 pc"/>
        <s v="330ml"/>
        <s v="420 g"/>
        <s v="58 g"/>
        <s v="54 g"/>
        <s v="45 g"/>
        <s v="33 g"/>
        <s v="285 mg"/>
        <s v="29 g"/>
        <s v="3.0 L"/>
        <s v="2.25 L"/>
        <s v="150g"/>
        <s v="270 ml"/>
        <s v="780ml"/>
        <s v="133g"/>
        <s v="280 ml"/>
        <s v="280ml"/>
        <s v="0.6"/>
        <s v="145 ml"/>
        <s v="1.5L"/>
        <s v="450 g"/>
        <s v="2000 ml"/>
        <s v="1.75 L"/>
        <s v="83 g"/>
        <s v="470 g"/>
        <s v="1.136 L"/>
        <s v="38 g"/>
        <s v="75 g"/>
        <s v="350 g"/>
        <s v="550g"/>
        <s v="22 g"/>
        <s v="34 g"/>
        <s v="275 ml"/>
        <s v="4000 ml"/>
        <s v="1360 g"/>
        <s v="3X340g"/>
        <s v="1.0l"/>
        <s v="140 g"/>
        <s v="160g"/>
        <s v="160 g"/>
        <s v="75 mg"/>
        <s v="55 g"/>
        <s v="33cl"/>
        <s v="192 g"/>
        <s v="485 mg"/>
        <s v="605 ml"/>
        <s v="78 g"/>
        <s v="104 g"/>
        <s v="900 ml"/>
        <s v="1450 ml"/>
        <s v="888 ml"/>
        <s v="320 g"/>
        <s v="650 ml"/>
        <s v="376 ml"/>
        <s v="240 g"/>
        <s v="35cl"/>
        <s v="120ml"/>
        <s v="75 ml"/>
        <s v="60 ml"/>
        <s v="433 ml"/>
        <s v="0.33L"/>
        <s v="1.25L"/>
        <s v="1.5 ml"/>
        <s v="2.5 L"/>
        <s v="5"/>
        <s v="1 litre"/>
        <s v="850 ml"/>
        <s v="440 ml"/>
        <s v="425 ml"/>
        <s v="2"/>
        <s v="155 g"/>
        <s v="220 g"/>
        <s v="1.5"/>
        <s v="340g"/>
        <s v="5 L"/>
        <s v="125 ml"/>
        <s v="560 ml"/>
        <s v="135ml"/>
        <s v="336 ml"/>
        <s v="70g"/>
        <s v="375"/>
        <s v="1 kg"/>
        <s v="100g"/>
        <s v="1kg"/>
        <s v="6 x 1 L"/>
        <s v="2000ml"/>
        <s v="5L"/>
        <s v="40 ml"/>
        <s v="180 ml"/>
        <s v="2L"/>
        <s v="115 g"/>
        <s v="2.0l"/>
        <s v="185 g"/>
        <s v="390 g"/>
        <s v="385 g"/>
        <s v="14 g"/>
        <s v="570"/>
        <s v="250g"/>
        <s v="375 g"/>
        <s v="850 g"/>
        <s v="145 g"/>
        <s v="35 ml"/>
        <s v="6.0 L"/>
        <s v="23 g"/>
        <s v="105 g"/>
        <s v="470 ml"/>
        <s v="18 L"/>
        <s v="70ml"/>
        <s v="70 ml"/>
        <s v="120 ml"/>
        <s v="80 ml"/>
        <s v="85 ml"/>
        <s v="60g"/>
        <s v="95 ml"/>
        <s v="120 g"/>
        <s v="125ml"/>
        <s v="1.0ml"/>
        <s v="15 g"/>
        <s v="430ml"/>
        <s v="430 ml"/>
        <s v="330"/>
        <s v="55ml"/>
        <s v="450g"/>
        <s v="345 ml"/>
        <s v="745 ml"/>
        <s v="18.9 L"/>
        <s v="130 g"/>
        <s v="600"/>
        <s v="80g"/>
        <s v="360 ml"/>
        <s v="360ml"/>
        <s v="3 liter"/>
        <s v="700ml"/>
        <s v="2.5 kg"/>
        <s v="37 g"/>
        <s v="12g"/>
        <s v="57 g"/>
        <s v="1.2 L"/>
        <s v="4.5 kg"/>
        <s v="12 g"/>
        <s v="30g"/>
        <s v="0.85 L"/>
        <s v="3 ml"/>
        <s v="30 ml"/>
        <s v="5000 g"/>
        <s v="17 L"/>
        <s v="130 ml"/>
        <s v="0.75 L"/>
        <s v="5 g"/>
        <s v="25 ml"/>
        <s v="0.3 L"/>
        <s v="380 g"/>
        <s v="18.5 Litres"/>
        <s v="3L"/>
        <s v="200g"/>
        <s v="5ltr"/>
        <s v="700 ml"/>
        <s v="500gm"/>
        <s v="520 ml"/>
        <s v="310ml"/>
        <s v="400gms"/>
        <s v="90g"/>
        <s v="1.50 L"/>
        <s v="65 ml"/>
        <s v="950 g"/>
        <s v="475 g"/>
        <s v="240ml"/>
        <s v="375ml"/>
        <s v="900g"/>
        <s v="1.14L"/>
        <s v="80ml"/>
        <s v="180ml"/>
        <s v="870g"/>
        <s v="16 L"/>
        <s v="3Ltr"/>
        <s v="1.7 L"/>
        <s v="12 L"/>
        <s v="300"/>
        <s v="1.1 L"/>
        <s v="1100 ml"/>
        <s v="1200 ml"/>
        <s v="3000 ml"/>
        <s v="345ml"/>
        <s v="207 ml"/>
        <s v="4l"/>
        <s v="350"/>
        <s v="09 g"/>
        <s v="1.500 ml"/>
        <s v="474 ml"/>
        <s v="36 g"/>
        <s v="74 g"/>
        <s v="108 g"/>
        <s v="110 g"/>
        <s v="3"/>
        <s v="6.3 L"/>
        <s v="1.35 L"/>
        <s v="650ml"/>
        <s v="880ml"/>
        <s v="90ml"/>
        <s v="725 ml"/>
        <s v="480 ml"/>
        <s v="540ml"/>
        <s v="21 g"/>
        <s v="237ml"/>
        <s v="354 ml"/>
        <s v="6.25 L"/>
        <s v="13 g"/>
        <s v="1250 ml"/>
        <s v="100 pc"/>
        <s v="315 ml"/>
        <s v="88 g"/>
        <s v="55 ml"/>
        <s v="709 ml"/>
        <s v="75ml"/>
        <s v="61 g"/>
        <s v="5 kg"/>
        <s v="0.025 g"/>
        <s v="16 g"/>
        <s v="3000ml"/>
        <s v="20litre"/>
        <s v="625 g"/>
        <s v="515 ml"/>
        <s v="500mL" u="1"/>
        <s v="1500ml" u="1"/>
        <s v="1.600 ml" u="1"/>
        <s v="2.272.0 L" u="1"/>
        <s v="01.0 L" u="1"/>
        <s v="1.5 Litres" u="1"/>
        <s v="1.0 Litre" u="1"/>
        <s v="6 x 1.0 L" u="1"/>
        <s v="1.2.0 L" u="1"/>
        <s v="500 gm" u="1"/>
        <s v="12.0 L" u="1"/>
        <s v="1.1.0 L" u="1"/>
      </sharedItems>
    </cacheField>
    <cacheField name="Brand Name" numFmtId="0">
      <sharedItems count="1136">
        <s v="Rehaan ice"/>
        <s v="Coca-Cola"/>
        <s v="Aldi"/>
        <s v="7UP"/>
        <s v="big8"/>
        <s v="Kabisa"/>
        <s v="Tampico"/>
        <s v="M&amp;S Food"/>
        <s v="Sparkling Ice"/>
        <s v="Schweppes"/>
        <s v="Gatorade"/>
        <s v="American Garden"/>
        <s v="Tesco Finest"/>
        <s v="Striker Gin"/>
        <s v="Nestlé"/>
        <s v="San drop"/>
        <s v="Mo Xtra"/>
        <s v="Swisher"/>
        <s v="Cheetos"/>
        <s v="Ocean Spray"/>
        <s v="Badia Seasoning"/>
        <s v="Reese's"/>
        <s v="Sainsbury's"/>
        <s v="Agua da Montanha"/>
        <s v="Ballygowan"/>
        <s v="Perla (GH)"/>
        <s v="Polar Ice"/>
        <s v="SunnyD"/>
        <s v="Arrowhead"/>
        <s v="Dr. Pepper"/>
        <s v="Pine-Sol"/>
        <s v="Compliments"/>
        <s v="Primo"/>
        <s v="Crush"/>
        <s v="Yoplait"/>
        <s v="Naya"/>
        <s v="President's Choice"/>
        <s v="no name"/>
        <s v="Evian"/>
        <s v="Pure Life"/>
        <s v="Scotsburn"/>
        <s v="Tim Horton's"/>
        <s v="Dole"/>
        <s v="Propel"/>
        <s v="Fanta"/>
        <s v="BODYARMOR"/>
        <s v="Barq's"/>
        <s v="Oasis (CA)"/>
        <s v="Graves"/>
        <s v="Farmers"/>
        <s v="Milk2Go"/>
        <s v="Pepsi"/>
        <s v="Brisk"/>
        <s v="Mug Root Beer"/>
        <s v="Mountain Dew"/>
        <s v="Aquafina"/>
        <s v="Pure Leaf"/>
        <s v="Middleton's"/>
        <s v="Monster"/>
        <s v="Bolthouse Farms"/>
        <s v="Entenmann's"/>
        <s v="Solaray Dietary supplement"/>
        <s v="APPLE&amp;EVE"/>
        <s v="Lidl"/>
        <s v="Sauza"/>
        <s v="Molton Brown"/>
        <s v="Cerebos"/>
        <s v="Captain Morgan"/>
        <s v="Smirnoff"/>
        <s v="Nestea"/>
        <s v="Waitrose"/>
        <s v="Red Tassel"/>
        <s v="Fireball"/>
        <s v="Southern Comfort"/>
        <s v="Tampico Irresistible"/>
        <s v="Kirkland Signature"/>
        <s v="Joy"/>
        <s v="Axe"/>
        <s v="Afiya"/>
        <s v="Afya"/>
        <s v="Fantasia"/>
        <s v="Cucina"/>
        <s v="Festa"/>
        <s v="Swissta"/>
        <s v="Aden"/>
        <s v="Supermont"/>
        <s v="Red Bull"/>
        <s v="Fruit2O"/>
        <s v="Zirakamwa Dairy"/>
        <s v="Circle K"/>
        <s v="Mo"/>
        <s v="Dew Drop"/>
        <s v="Hill Water"/>
        <s v="World Cola"/>
        <s v="Co-op"/>
        <s v="Tesco"/>
        <s v="Jaffa"/>
        <s v="Absolut"/>
        <s v="USA"/>
        <s v="Sparletta"/>
        <s v="Kilimanjaro"/>
        <s v="McBerry"/>
        <s v="Oreo"/>
        <s v="Monssalus"/>
        <s v="Hollywood Beauty Products"/>
        <s v="Bigoo"/>
        <s v="Tropicana"/>
        <s v="gold emblem"/>
        <s v="Serra da Pehna"/>
        <s v="REGINA"/>
        <s v="Canada Dry"/>
        <s v="Black Fly"/>
        <s v="Minute Maid"/>
        <s v="Simply"/>
        <s v="Aqualife"/>
        <s v="Real Canadian"/>
        <s v="Lay's"/>
        <s v="Doritos"/>
        <s v="MUNCHIES"/>
        <s v="Great Value"/>
        <s v="Yess"/>
        <s v="Flamingo"/>
        <s v="Recheio"/>
        <s v="Rocky"/>
        <s v="Beloxxi"/>
        <s v="Razzl"/>
        <s v="Spécial"/>
        <s v="Vimto"/>
        <s v="Big Bottle General Dealers"/>
        <s v="Cadbury"/>
        <s v="Arizona Beverages"/>
        <s v="West Lake"/>
        <s v="Ngambi Fresh"/>
        <s v="Canadian Springs"/>
        <s v="Runix"/>
        <s v="Bacardi"/>
        <s v="Crystalina"/>
        <s v="Buxton"/>
        <s v="Super Pure"/>
        <s v="Iceberg Vodka"/>
        <s v="KIVO"/>
        <s v="Royal"/>
        <s v="Boost"/>
        <s v="AQ"/>
        <s v="JD Shore"/>
        <s v="Liberté"/>
        <s v="American Juice"/>
        <s v="Fiesta"/>
        <s v="Sprite"/>
        <s v="Powerade"/>
        <s v="Dasani"/>
        <s v="Eska"/>
        <s v="Oba Makarna"/>
        <s v="REGAL"/>
        <s v="Splash Blast"/>
        <s v="Ice River Green Bottle"/>
        <s v="Kombucha"/>
        <s v="Champion"/>
        <s v="Postobon"/>
        <s v="Big"/>
        <s v="Mzuri"/>
        <s v="Island Beverages ltd"/>
        <s v="Matisana"/>
        <s v="Spa"/>
        <s v="Aquina"/>
        <s v="Klori-Pure"/>
        <s v="Bib's COLA"/>
        <s v="Faith in Nature"/>
        <s v="American Water"/>
        <s v="Chibuku"/>
        <s v="Monte Gurue"/>
        <s v="Kisskids"/>
        <s v="Amour"/>
        <s v="la vie"/>
        <s v="Hi2O"/>
        <s v="Orbit"/>
        <s v="Aqualina"/>
        <s v="Perle"/>
        <s v="Ice Valley"/>
        <s v="Icy Cool"/>
        <s v="Aidine water"/>
        <s v="GoFresh"/>
        <s v="drinking water"/>
        <s v="Langine"/>
        <s v="Safi"/>
        <s v="Nawaal Ice"/>
        <s v="Madar"/>
        <s v="Allen"/>
        <s v="Lulu"/>
        <s v="Unique"/>
        <s v="Aber Drips"/>
        <s v="Total Quartz"/>
        <s v="ROMI'S"/>
        <s v="American Cola"/>
        <s v="Yonse Bo"/>
        <s v="MELLET ENTERPRISES"/>
        <s v="big blend"/>
        <s v="Kombeza Foods"/>
        <s v="Vitale"/>
        <s v="Pure Water"/>
        <s v="Água da Bela Vista"/>
        <s v="Appolo Wine Limited"/>
        <s v="Glaçeau Smartwater"/>
        <s v="Glaçeau vitaminwater"/>
        <s v="Perla"/>
        <s v="Ingabo Dairy"/>
        <s v="Mbaruk Springs"/>
        <s v="Karigen"/>
        <s v="Oceanic"/>
        <s v="Royal Quench"/>
        <s v="Eden Springs"/>
        <s v="Brook Fresh"/>
        <s v="Brooks"/>
        <s v="el-mist"/>
        <s v="Spring Montagne"/>
        <s v="Madini"/>
        <s v="AquaSplash"/>
        <s v="Aqua Splash"/>
        <s v="Salama Ice"/>
        <s v="Rayaan Ice"/>
        <s v="Marie"/>
        <s v="SOMO Mousse"/>
        <s v="Blue Ribbon"/>
        <s v="Frost"/>
        <s v="99 Bananas"/>
        <s v="Prime"/>
        <s v="Method"/>
        <s v="Naked"/>
        <s v="Orangina"/>
        <s v="Reaktor"/>
        <s v="Planet"/>
        <s v="Bubble Up"/>
        <s v="Feastables"/>
        <s v="Drop of Zanzibar"/>
        <s v="Haribo"/>
        <s v="Pure Silk"/>
        <s v="Sour Puss"/>
        <s v="Goldschlager"/>
        <s v="Aloe Vera King"/>
        <s v="Kleesoft"/>
        <s v="Mirinda"/>
        <s v="Lucozade"/>
        <s v="Walkers"/>
        <s v="Top"/>
        <s v="Volvic"/>
        <s v="Afya Bora"/>
        <s v="Uhai"/>
        <s v="Nutricom"/>
        <s v="Flash"/>
        <s v="eva"/>
        <s v="Riham"/>
        <s v="Bel Aqua"/>
        <s v="Bio Plus Carrot"/>
        <s v="Woolworths"/>
        <s v="Dairy Manor"/>
        <s v="MANIA"/>
        <s v="Woolworthfoods"/>
        <s v="Spar"/>
        <s v="Hulla Hoops"/>
        <s v="Alesto"/>
        <s v="The Sun Valley Nut Co"/>
        <s v="Água de Namaacha"/>
        <s v="Fonte Fresca"/>
        <s v="Asda"/>
        <s v="Mayor"/>
        <s v="Golden Water"/>
        <s v="hurya"/>
        <s v="Sayona"/>
        <s v="Azam"/>
        <s v="Kettle"/>
        <s v="Bic"/>
        <s v="Desperados Original Tequila"/>
        <s v="Picard"/>
        <s v="Motul Moto"/>
        <s v="Asas Diaries"/>
        <s v="Quartz"/>
        <s v="HI-PERF"/>
        <s v="KONKORD"/>
        <s v="Wrigley's"/>
        <s v="Carrefour"/>
        <s v="Mixa"/>
        <s v="Aquarel"/>
        <s v="U-Fresh"/>
        <s v="Simply Good"/>
        <s v="Clover"/>
        <s v="NIVEA"/>
        <s v="Skittles"/>
        <s v="Milky Way"/>
        <s v="Bounty"/>
        <s v="Pril"/>
        <s v="Frijj"/>
        <s v="CHOCHO CREME"/>
        <s v="Cool Rivers"/>
        <s v="Vemondo"/>
        <s v="Naturis"/>
        <s v="Lindhouse"/>
        <s v="Lipton"/>
        <s v="Bonaqua"/>
        <s v="Pantene"/>
        <s v="Fairy"/>
        <s v="Brooklea"/>
        <s v="Aqua Vale"/>
        <s v="Peperami"/>
        <s v="Novida"/>
        <s v="5Star Drinks"/>
        <s v="Limpo"/>
        <s v="Afro American Industries"/>
        <s v="FanMilk"/>
        <s v="La Casera"/>
        <s v="Aleo"/>
        <s v="Bonlife"/>
        <s v="Orion"/>
        <s v="thirllz"/>
        <s v="Carex"/>
        <s v="Cussons"/>
        <s v="Imperial Leather"/>
        <s v="HP Sauce"/>
        <s v="Oasis (UK)"/>
        <s v="Robinsons"/>
        <s v="Mars"/>
        <s v="Maltesers"/>
        <s v="Celebrations"/>
        <s v="E45"/>
        <s v="Mc Vities"/>
        <s v="Euro Shopper"/>
        <s v="Emerge"/>
        <s v="Domestos"/>
        <s v="Guinness"/>
        <s v="Alvaro"/>
        <s v="Flora"/>
        <s v="Discos"/>
        <s v="McCoys"/>
        <s v="Space Raiders"/>
        <s v="Yeo Valley Organic"/>
        <s v="Cathedral City"/>
        <s v="Fox's"/>
        <s v="Quavers"/>
        <s v="Monster Munch"/>
        <s v="Simply Fruity"/>
        <s v="Barr"/>
        <s v="Irn-Bru"/>
        <s v="Rubicon"/>
        <s v="JPS"/>
        <s v="Dove"/>
        <s v="Warburtons"/>
        <s v="Drench"/>
        <s v="Tango"/>
        <s v="Fruit Shoot"/>
        <s v="Morrisons"/>
        <s v="Glenfiddich"/>
        <s v="Pedigree"/>
        <s v="Highland Spring"/>
        <s v="Deep River Rock"/>
        <s v="Rowse"/>
        <s v="Finish"/>
        <s v="Dettol"/>
        <s v="shell"/>
        <s v="Fabulosa"/>
        <s v="Maoam"/>
        <s v="Strathmore"/>
        <s v="Right Guard"/>
        <s v="KTC"/>
        <s v="Heinz"/>
        <s v="Calypso"/>
        <s v="Müller"/>
        <s v="Keringet"/>
        <s v="MacB"/>
        <s v="westland"/>
        <s v="Zodiac"/>
        <s v="Dispersible Aspirin 75mg Tablets 100's pot"/>
        <s v="Princes Gate"/>
        <s v="Oh So...Scrummy"/>
        <s v="Maltina"/>
        <s v="Radnor"/>
        <s v="The Body Shop"/>
        <s v="Bio-D"/>
        <s v="Freshways"/>
        <s v="innocent"/>
        <s v="Blue Skies"/>
        <s v="best-one"/>
        <s v="Ribena"/>
        <s v="Boost Sport"/>
        <s v="Aqua Pura"/>
        <s v="Galaxy"/>
        <s v="My Protein"/>
        <s v="Harrogate"/>
        <s v="Tyrrell's"/>
        <s v="Astonish"/>
        <s v="PhD"/>
        <s v="Crosta and Mollica"/>
        <s v="Dear Body"/>
        <s v="Liz Earle"/>
        <s v="Just Drink"/>
        <s v="The King"/>
        <s v="Power Play"/>
        <s v="Shalimar"/>
        <s v="Predator Energy"/>
        <s v="Gruum"/>
        <s v="Zongo"/>
        <s v="Dr. Aloe"/>
        <s v="Zatopi"/>
        <s v="Vikos"/>
        <s v="Djino"/>
        <s v="Seven Powers 7777777"/>
        <s v="Cyprina"/>
        <s v="VIDA"/>
        <s v="Banana Boat"/>
        <s v="Boni Selection"/>
        <s v="Cappy"/>
        <s v="Krest"/>
        <s v="Youzou"/>
        <s v="SPA Reine"/>
        <s v="Yazoo"/>
        <s v="Ecover"/>
        <s v="Oasis (MZ)"/>
        <s v="Kitulo"/>
        <s v="Twist"/>
        <s v="Valpre"/>
        <s v="aquaBona"/>
        <s v="Stoney"/>
        <s v="Mazoe"/>
        <s v="Delight. manga"/>
        <s v="Rwenzori"/>
        <s v="Atlantis"/>
        <s v="nutro"/>
        <s v="Levita"/>
        <s v="Caramulo"/>
        <s v="Fula"/>
        <s v="Serra da Estrela"/>
        <s v="Guaraná Antartica"/>
        <s v="Activia"/>
        <s v="Delta"/>
        <s v="Galp"/>
        <s v="Compal"/>
        <s v="Luso"/>
        <s v="Continente"/>
        <s v="Vitalis"/>
        <s v="Carvalhelhos"/>
        <s v="Serra"/>
        <s v="Alcafaz"/>
        <s v="Fontes de La"/>
        <s v="Mistolin"/>
        <s v="ACTY"/>
        <s v="CEM PORCENTO"/>
        <s v="Montes Libombos"/>
        <s v="Gourmet"/>
        <s v="Pura"/>
        <s v="Speed"/>
        <s v="Gorilla"/>
        <s v="Maeva"/>
        <s v="Starbucks"/>
        <s v="BeBidaláctea"/>
        <s v="Tymbark"/>
        <s v="Van Pur Malt Drink"/>
        <s v="cotex"/>
        <s v="SaveMor"/>
        <s v="Safari"/>
        <s v="Wellington's"/>
        <s v="Robertsons"/>
        <s v="Parmalat"/>
        <s v="Bakers"/>
        <s v="All Gold"/>
        <s v="Colgate"/>
        <s v="Milo"/>
        <s v="Sunlight"/>
        <s v="Omo"/>
        <s v="Vim"/>
        <s v="Vaseline"/>
        <s v="Handy Andy"/>
        <s v="Dawn"/>
        <s v="Organics"/>
        <s v="Windolene"/>
        <s v="Jik"/>
        <s v="Vanish"/>
        <s v="Savanna"/>
        <s v="Iron Brew"/>
        <s v="Listerine"/>
        <s v="Ceres"/>
        <s v="Duck"/>
        <s v="Tropika"/>
        <s v="Oros"/>
        <s v="Energade"/>
        <s v="Engen"/>
        <s v="Satiskin"/>
        <s v="Clere"/>
        <s v="Sunseed"/>
        <s v="Drostdy Hof"/>
        <s v="Tal"/>
        <s v="d'lite"/>
        <s v="Somol"/>
        <s v="Castrol"/>
        <s v="Excella"/>
        <s v="Vital'O"/>
        <s v="Boston"/>
        <s v="Windhoek"/>
        <s v="Air Scents"/>
        <s v="African Blessing"/>
        <s v="Danone"/>
        <s v="Junglevites"/>
        <s v="Kick0"/>
        <s v="Jive"/>
        <s v="Frozy"/>
        <s v="Top Brown"/>
        <s v="Top Sauces"/>
        <s v="Rhodes Quality"/>
        <s v="Kuche Kuche"/>
        <s v="Darling"/>
        <s v="Cape Herb &amp; Spice"/>
        <s v="Royal Lubricants"/>
        <s v="Zanzibar Kool"/>
        <s v="Nyika"/>
        <s v="Frooty"/>
        <s v="Kazinga Cooking Oil"/>
        <s v="Sun Smooth"/>
        <s v="Sun"/>
        <s v="Lowveld Favourites"/>
        <s v="Moyo"/>
        <s v="Barbie"/>
        <s v="Cowbell"/>
        <s v="Miksi Chocolate"/>
        <s v="Onga"/>
        <s v="Afia"/>
        <s v="Mt. Kenyan"/>
        <s v="PEPTANG"/>
        <s v="Lepo"/>
        <s v="Super"/>
        <s v="KitKat"/>
        <s v="Aquaplus"/>
        <s v="SIMBA"/>
        <s v="Simba Crisps"/>
        <s v="Bamaru"/>
        <s v="Black Cat"/>
        <s v="Ingram's"/>
        <s v="ZAMHA"/>
        <s v="Shake n Sip"/>
        <s v="Ama Sipsip"/>
        <s v="Água de Goba"/>
        <s v="stone"/>
        <s v="CIM"/>
        <s v="JAM"/>
        <s v="Ideal Glycerin"/>
        <s v="aQuellé"/>
        <s v="Aqua Azul"/>
        <s v="Health Connection Whole Foods"/>
        <s v="Nutriday"/>
        <s v="Lancewood"/>
        <s v="Quencher"/>
        <s v="Ilara"/>
        <s v="Montemor"/>
        <s v="Malt drink"/>
        <s v="Swiss"/>
        <s v="Super Maheu"/>
        <s v="Super Shake"/>
        <s v="Boom Sparkle Plus"/>
        <s v="Bigtree"/>
        <s v="Red Rock Cola"/>
        <s v="Boom Force"/>
        <s v="Hygienix"/>
        <s v="Chibwantu"/>
        <s v="Mojo"/>
        <s v="ManziValley"/>
        <s v="Óleo Dona"/>
        <s v="Óleo puro de girassol"/>
        <s v="Vumba"/>
        <s v="Californian"/>
        <s v="Fusion"/>
        <s v="Zan Aqua"/>
        <s v="Fitch and leedes"/>
        <s v="Dolait"/>
        <s v="Zest Ananas"/>
        <s v="Lee Yeast Zambia Limited"/>
        <s v="Aquavita"/>
        <s v="ZamSip"/>
        <s v="Bené"/>
        <s v="Metagenics"/>
        <s v="Suncrest Creameries"/>
        <s v="Maheu"/>
        <s v="Enjoy"/>
        <s v="Lilongwe Dairy Ltd"/>
        <s v="SSA Supplements"/>
        <s v="Vital"/>
        <s v="Thumbsup"/>
        <s v="Cape Aqua"/>
        <s v="Quench"/>
        <s v="Sobo"/>
        <s v="Asas"/>
        <s v="Krazy kool beverage ltd"/>
        <s v="Oasis (ZA)"/>
        <s v="Coo-ee"/>
        <s v="Autopac"/>
        <s v="Kingsley"/>
        <s v="Capital Daily Industries"/>
        <s v="TOP HAIR"/>
        <s v="DIDOU"/>
        <s v="DOUX NACRE"/>
        <s v="FLORIS"/>
        <s v="Top Lemon"/>
        <s v="Flanagan's"/>
        <s v="vitamic c"/>
        <s v="Zamgold"/>
        <s v="Purola"/>
        <s v="Oohlala"/>
        <s v="Energie"/>
        <s v="Betadine"/>
        <s v="Milkit"/>
        <s v="Fruiticana"/>
        <s v="Vatra"/>
        <s v="Sun Dance"/>
        <s v="Aloha"/>
        <s v="Trade Kings"/>
        <s v="All-Bran"/>
        <s v="Brothers"/>
        <s v="Rasta Energy"/>
        <s v="Rasta Lemon"/>
        <s v="Rasta Orange"/>
        <s v="Rasta Pineapple"/>
        <s v="Rasta Cola"/>
        <s v="JUWISY"/>
        <s v="Jambo"/>
        <s v="Shield"/>
        <s v="B&amp;R"/>
        <s v="Fairy Bottiling (Z)"/>
        <s v="Aquasavana"/>
        <s v="Neymat"/>
        <s v="Confiança"/>
        <s v="Dr. Strong's"/>
        <s v="Fonte da Vida"/>
        <s v="Fonte Pura"/>
        <s v="Champion Milky Drink"/>
        <s v="Mother's Food Limited"/>
        <s v="Mother's Food"/>
        <s v="Rica"/>
        <s v="Flo"/>
        <s v="Kool"/>
        <s v="Aquaclear"/>
        <s v="Osman Foods"/>
        <s v="Estrella"/>
        <s v="Omega Beverages"/>
        <s v="Milk Maheu"/>
        <s v="Daisy"/>
        <s v="STING"/>
        <s v="Mulawe"/>
        <s v="Mazi"/>
        <s v="Tangy Drinks Limited"/>
        <s v="H2Zero"/>
        <s v="Refreshhh"/>
        <s v="Vengo"/>
        <s v="Kukoma"/>
        <s v="Fizz"/>
        <s v="Cool Salsa"/>
        <s v="Alpina"/>
        <s v="Zest Banane"/>
        <s v="Zest Mangue"/>
        <s v="Zest Orange"/>
        <s v="Zest Grenadine"/>
        <s v="Zest Cola"/>
        <s v="Zest Maracuja"/>
        <s v="Zest Energy"/>
        <s v="Izy"/>
        <s v="Thirsti"/>
        <s v="Alimo"/>
        <s v="Twizza"/>
        <s v="Cool Fizz"/>
        <s v="Cool Drop"/>
        <s v="Spring Meadow"/>
        <s v="Soya Gold"/>
        <s v="YO-GO"/>
        <s v="Valvita"/>
        <s v="Zita Jus"/>
        <s v="Aqua Smooth"/>
        <s v="MOK"/>
        <s v="GFJ"/>
        <s v="Cerelac"/>
        <s v="NESCAFÉ"/>
        <s v="Key"/>
        <s v="Pepsodent"/>
        <s v="Geisha"/>
        <s v="Tasty Tom"/>
        <s v="King Cracker"/>
        <s v="Nutrisnax"/>
        <s v="Royal Breakfast Cereal Biscuits"/>
        <s v="Storm Energy Drink"/>
        <s v="Multi Fruit Superstar"/>
        <s v="Choco MALT"/>
        <s v="Awake"/>
        <s v="Kiki"/>
        <s v="Lime Cordial"/>
        <s v="Carnival Strawberry"/>
        <s v="Rambo"/>
        <s v="Healthilife"/>
        <s v="Royal Aroma"/>
        <s v="Abena"/>
        <s v="London Shortbread Biscuit"/>
        <s v="Casandra Apple Drink"/>
        <s v="Pukka (GH)"/>
        <s v="Bel Squeeze"/>
        <s v="Bel 7 Star Energy"/>
        <s v="Frytol"/>
        <s v="Snappy"/>
        <s v="Nkatie Burger"/>
        <s v="Teem"/>
        <s v="Mandingo Bitters"/>
        <s v="Castle Bridge London Dry Gin"/>
        <s v="Voltic"/>
        <s v="Vim-oh"/>
        <s v="Heaven"/>
        <s v="Royal Cola"/>
        <s v="Kasapreko"/>
        <s v="Alomo bitters"/>
        <s v="Orijin Bitters"/>
        <s v="FanIce"/>
        <s v="FanYogo"/>
        <s v="FanChoco"/>
        <s v="Ice Drop"/>
        <s v="DADA"/>
        <s v="Beta Malt"/>
        <s v="Fortune"/>
        <s v="U Fresh"/>
        <s v="Kaesar Soft Drinks"/>
        <s v="Five Star"/>
        <s v="Rush Energy Drink"/>
        <s v="Verna"/>
        <s v="Nero"/>
        <s v="Ann Water"/>
        <s v="Bel Cola"/>
        <s v="Tropical Splash"/>
        <s v="Bel Malt Chocolate"/>
        <s v="Tamarinda"/>
        <s v="Bel Breeze"/>
        <s v="Bel Portobello"/>
        <s v="Bel Ice Lemon"/>
        <s v="Indomie"/>
        <s v="Blue Band"/>
        <s v="Slemfit"/>
        <s v="London Oat Digestives"/>
        <s v="Mays Crystal"/>
        <s v="Bonita"/>
        <s v="Special Ice"/>
        <s v="Kpoo Keke"/>
        <s v="Joy Dadi Bitters"/>
        <s v="Darling Lemon Alcoholic"/>
        <s v="Sanfoka Natural Spices"/>
        <s v="Mont"/>
        <s v="Balona"/>
        <s v="APHRO PALM SPIRIT"/>
        <s v="Chempe Snacks"/>
        <s v="Africa Fun"/>
        <s v="Black Power"/>
        <s v="Eden"/>
        <s v="Tund"/>
        <s v="Vitalo Grenadine"/>
        <s v="Lalla Khedidja"/>
        <s v="Supa Komando"/>
        <s v="RC Cola"/>
        <s v="Wheat"/>
        <s v="Mr-V"/>
        <s v="Hema"/>
        <s v="Remie Foods"/>
        <s v="Miadi"/>
        <s v="Amara"/>
        <s v="Ace"/>
        <s v="Delite"/>
        <s v="KCC"/>
        <s v="Royco"/>
        <s v="Quest"/>
        <s v="Kabazi"/>
        <s v="Aquamist"/>
        <s v="Rosy"/>
        <s v="Tropical Heat"/>
        <s v="Harpic"/>
        <s v="Sulfo"/>
        <s v="Solai Aqua"/>
        <s v="Simba Table Vinegar"/>
        <s v="Chemicola"/>
        <s v="Chemicotex"/>
        <s v="Uganda Breweries Limited."/>
        <s v="Bongo don"/>
        <s v="Toss"/>
        <s v="Rinsun"/>
        <s v="Tuzo"/>
        <s v="Vague"/>
        <s v="Canadian Pure"/>
        <s v="Nil"/>
        <s v="Canadian Orange"/>
        <s v="Bébé Doux"/>
        <s v="Sante"/>
        <s v="Canadian coca"/>
        <s v="Canadian Soft Drinks"/>
        <s v="Canadian Ananas"/>
        <s v="Canadian Grenadine"/>
        <s v="BLUE"/>
        <s v="Olé"/>
        <s v="PZ cussons International Ltd."/>
        <s v="Highlands"/>
        <s v="club"/>
        <s v="Bazuu"/>
        <s v="Fruitville"/>
        <s v="Sunseed (UG)"/>
        <s v="A.K Oils &amp; Fats (U) Ltd"/>
        <s v="Aqua Sipi"/>
        <s v="Dairyland"/>
        <s v="KOL"/>
        <s v="Zoe"/>
        <s v="Malindi Salt Works Ltd"/>
        <s v="Pride"/>
        <s v="Rock Boom"/>
        <s v="Oner"/>
        <s v="Krystal"/>
        <s v="Natures cool limited"/>
        <s v="Inyange"/>
        <s v="Masaka Farms"/>
        <s v="Brookside"/>
        <s v="Radiant"/>
        <s v="Movit"/>
        <s v="Naivas"/>
        <s v="Elianto"/>
        <s v="Sun Gold Lite"/>
        <s v="BIO"/>
        <s v="Nido"/>
        <s v="KDB Kyarenga Tonto"/>
        <s v="MAX"/>
        <s v="Cheers"/>
        <s v="Revin Tangawizi"/>
        <s v="Revin Zambia Limited"/>
        <s v="POWER TANGAWIZI"/>
        <s v="JUICI"/>
        <s v="Juicy Ginger"/>
        <s v="Max Orange"/>
        <s v="Max Grenadine"/>
        <s v="Max Lemon"/>
        <s v="Spark Enery Drink"/>
        <s v="CHIRPY"/>
        <s v="Appy Fizz"/>
        <s v="Fresha"/>
        <s v="TREE TOP"/>
        <s v="gavi beverages"/>
        <s v="Fudgville"/>
        <s v="Steam"/>
        <s v="Mr. Twista"/>
        <s v="yenbu"/>
        <s v="Jooz"/>
        <s v="Tropicale"/>
        <s v="Zesta"/>
        <s v="Sanyuka"/>
        <s v="Fields of Africa"/>
        <s v="Zam-Zam"/>
        <s v="Khetia's"/>
        <s v="Alpine"/>
        <s v="Azur"/>
        <s v="Goal"/>
        <s v="Sina"/>
        <s v="Akandi"/>
        <s v="Sana"/>
        <s v="Red Gold"/>
        <s v="Azania Marhaba"/>
        <s v="Marhaba impex"/>
        <s v="Jajja"/>
        <s v="Nutricom (Uganda)"/>
        <s v="Crown Beverages limited"/>
        <s v="Nivana"/>
        <s v="Safari King"/>
        <s v="Coffee Flavoured Spirit"/>
        <s v="The Real African Food Co."/>
        <s v="Banna font"/>
        <s v="Asilia Water"/>
        <s v="Wimssy"/>
        <s v="Kazire"/>
        <s v="Fruit dale"/>
        <s v="Wetlands Springs"/>
        <s v="Warda"/>
        <s v="Misty Cool"/>
        <s v="Deep Rock Aqua"/>
        <s v="Royal Taste"/>
        <s v="Imena"/>
        <s v="Kisima"/>
        <s v="Blessed"/>
        <s v="Active Sparkle"/>
        <s v="Winners"/>
        <s v="Dutch Water"/>
        <s v="Bamba"/>
        <s v="Bahati Dairies"/>
        <s v="Brava"/>
        <s v="Ahlan ice"/>
        <s v="Rayan Ice"/>
        <s v="Halal ice"/>
        <s v="Vio Water"/>
        <s v="Torrero"/>
        <s v="Lucky flavoured drink"/>
        <s v="Hana water"/>
        <s v="Wavah Water"/>
        <s v="Tropical"/>
        <s v="Aquadrops"/>
        <s v="Nasida"/>
        <s v="Star Brite"/>
        <s v="Oleo"/>
        <s v="Top Grenadine"/>
        <s v="Tangui"/>
        <s v="Madiba"/>
        <s v="Opur"/>
        <s v="Cocoderm"/>
        <s v="Perfect White"/>
        <s v="Dream Cosmetics"/>
        <s v="Altesse"/>
        <s v="RUSH"/>
        <s v="SENS"/>
        <s v="MAGICO"/>
        <s v="EauCiel"/>
        <s v="Yaket"/>
        <s v="TPPL"/>
        <s v="Halisi"/>
        <s v="Afrocare"/>
        <s v="Skala"/>
        <s v="VESTLINE"/>
        <s v="Castle Lite"/>
        <s v="Redd's"/>
        <s v="Anjari"/>
        <s v="TOMATO SAUCE"/>
        <s v="Rev"/>
        <s v="K-Vant"/>
        <s v="Chipsy"/>
        <s v="Jembe"/>
        <s v="Milk Com"/>
        <s v="Pemba"/>
        <s v="Dabaga Vegetable &amp; Fruits Canning"/>
        <s v="Valley"/>
        <s v="Sayona Twist"/>
        <s v="Furaha"/>
        <s v="Doux Lait"/>
        <s v="Tanga Fresh Yogurt Mtindi"/>
        <s v="Super Burudani"/>
        <s v="Bunena"/>
        <s v="UB Universal Basic"/>
        <s v="EXTRA CLAIR"/>
        <s v="Valeur"/>
        <s v="Imagi"/>
        <s v="Maji Bora"/>
        <s v="Rivella (TZ)"/>
        <s v="Uhuru Peak"/>
        <s v="Sundrop"/>
        <s v="Eatalia"/>
        <s v="Double Kick"/>
        <s v="Pera fresh produce of Tanzania"/>
        <s v="Smart Gin"/>
        <s v="African Fruti"/>
        <s v="Mango Crush"/>
        <s v="Neel Premium Salt"/>
        <s v="Sky Drops"/>
        <s v="Leader's Ananasi"/>
        <s v="Masafi"/>
        <s v="Mo Portello"/>
        <s v="Maisha"/>
        <s v="Mo Pride"/>
        <s v="Oryx Energies"/>
        <s v="Doffi"/>
        <s v="Pawa Plus"/>
        <s v="Hill Defender Energy Drink"/>
        <s v="Diamond Rock"/>
        <s v="Zanzibar Pure Life"/>
        <s v="Cuca Vodka"/>
        <s v="Chemichemi Maji Njombe"/>
        <s v="Pure Tanganyika"/>
        <s v="Canadian Drinking Water"/>
        <s v="NiceOne"/>
        <s v="Ishi"/>
        <s v="Dar Water"/>
        <s v="Swahili Water"/>
        <s v="Pangani"/>
        <s v="Lukuga Mineral Water"/>
        <s v="SeQua"/>
        <s v="Zenjy"/>
        <s v="Highlife"/>
        <s v="Precious"/>
        <s v="Crystal Peaks Nutrition"/>
        <s v="Crystal"/>
        <s v="This Way Chocolate Drink"/>
        <s v="Oscar"/>
        <s v="Shaza"/>
        <s v="Lan T"/>
        <s v="Javex"/>
        <s v="AlkaLive"/>
        <s v="Frutelli"/>
        <s v="Harmony"/>
        <s v="Oasis"/>
        <s v="ADNOC"/>
        <s v="NINJA"/>
        <s v="Vitana"/>
        <s v="Klitzz"/>
        <s v="Shinex"/>
        <s v="Drop"/>
        <s v="Fiji"/>
        <s v="Sierra Fria"/>
        <s v="Uzima"/>
        <s v="Musawo"/>
        <s v="Albertine"/>
        <s v="Longrich"/>
        <s v="Brinto"/>
        <s v="Master Kong"/>
        <s v="Vigor Doctor"/>
        <s v="Nongfu Spring"/>
        <s v="ABC"/>
        <s v="Confort"/>
        <s v="Blue Wave"/>
        <s v="Royale Vie"/>
        <s v="ICE Springs"/>
        <s v="BIKI"/>
        <s v="Milk Salt Soda Cracker"/>
        <s v="Nutra Shine Professional"/>
        <s v="T-Guard"/>
        <s v="SOY SAUCE"/>
        <s v="Naomi"/>
        <s v="Aguavilhosa"/>
        <s v="Lavonce"/>
        <s v="Rinju"/>
        <s v="Ice pearl"/>
        <s v="ARODERME"/>
        <s v="Carrent"/>
        <s v="KDF"/>
        <s v="SkyDots"/>
        <s v="King Klear"/>
        <s v="Chibuku Products LTD"/>
        <s v="Kambucha"/>
        <s v="Amalfi"/>
        <s v="Hawaiian Silky"/>
        <s v="Tumaqua"/>
        <s v="Toblerone"/>
        <s v="Cristal"/>
        <s v="Manantial (CO)"/>
        <s v="Sierra de los Padres"/>
        <s v="SUMAMOUSSE"/>
        <s v="Monganga Bébé Crème Hydratante"/>
        <s v="Monganga Bébé Poudre"/>
        <s v="Vida (CD)"/>
        <s v="Bauducco"/>
        <s v="Sadia"/>
        <s v="Seara"/>
        <s v="Muriel"/>
        <s v="Campo Largo"/>
        <s v="Biowash"/>
        <s v="industria Quimica"/>
        <s v="Downy"/>
        <s v="Aussie"/>
        <s v="Head &amp; Shoulders"/>
        <s v="Filippo Berio"/>
        <s v="Kinder"/>
        <s v="Tate's Bake Shop"/>
        <s v="Core Power"/>
        <s v="Fairlife"/>
        <s v="Kids Clear Line"/>
        <s v="Halo"/>
        <s v="Cantu"/>
        <s v="kazi booster"/>
        <s v="Font Vella"/>
        <s v="Bezoya"/>
        <s v="Don Simon"/>
        <s v="Gino"/>
        <s v="Lanjarón"/>
        <s v="Font d'Or"/>
        <s v="Fontecelta"/>
        <s v="Viladrau"/>
        <s v="Citronela"/>
        <s v="Fondetal"/>
        <s v="Aguadoy"/>
        <s v="Mercadona"/>
        <s v="Therapy Levels"/>
        <s v="Aqua winner"/>
        <s v="Voi"/>
        <s v="Eri Rwanda ltd"/>
        <s v="Duru"/>
        <s v="Papia"/>
        <s v="HOBBY"/>
        <s v="Orkide"/>
        <s v="Yonca"/>
        <s v="Papilion"/>
        <s v="cotanak"/>
        <s v="Ultra Compact"/>
        <s v="Golden Cup"/>
        <s v="AquaVera"/>
        <s v="Heineken"/>
        <s v="Knorr"/>
        <s v="Sanex"/>
        <s v="bavaria"/>
        <s v="Kikkoman"/>
        <s v="Nezo"/>
        <s v="Sun D'or Aqua"/>
        <s v="Bio Plus Coco"/>
        <s v="Bébé Rico"/>
        <s v="Hand Sanitizer Rose"/>
        <s v="OKF"/>
        <s v="BioSteel"/>
        <s v="Mega We care"/>
        <s v="VitaMilk Champ"/>
        <s v="Lele"/>
        <s v="Parachute"/>
        <s v="Nutricrunch"/>
        <s v="Malty Biscuits"/>
        <s v="Beltexco"/>
        <s v="TREFF"/>
        <s v="Afri bull"/>
        <s v="8PM"/>
        <s v="Bora"/>
        <s v="Chuppy Naks"/>
        <s v="Boom Energy Drink"/>
        <s v="Azzur"/>
        <s v="wai wai"/>
        <s v="Diana Lotion"/>
        <s v="Kadat"/>
        <s v="Zen"/>
        <s v="Paani"/>
        <s v="Zen Tangawisi"/>
        <s v="Zen Orange"/>
        <s v="Zen Energy"/>
        <s v="Panie"/>
        <s v="Yasaki"/>
        <s v="Boncabe Original"/>
        <s v="Tora Bika"/>
        <s v="Reload"/>
        <s v="Vitale (CM)"/>
        <s v="Cherry Plum"/>
        <s v="CLAIRMEN"/>
        <s v="Cocopulp"/>
        <s v="Génie Nettoyeur Citron"/>
        <s v="Day by Day"/>
        <s v="Bel-Air Textiles"/>
        <s v="Bactigel"/>
        <s v="Infini Clear"/>
        <s v="Paw Paw"/>
        <s v="Hit Hero"/>
        <s v="HC Gel Fixateur"/>
        <s v="Glaciar"/>
        <s v="SABA"/>
        <s v="Dyanas"/>
        <s v="Summer"/>
        <s v="Nevada"/>
        <s v="Ma Vie"/>
        <s v="Swastika water"/>
        <s v="MS Mayi Safi"/>
      </sharedItems>
    </cacheField>
    <cacheField name="Manufacturer Country" numFmtId="0">
      <sharedItems/>
    </cacheField>
    <cacheField name="Manufacturer Name" numFmtId="0">
      <sharedItems/>
    </cacheField>
    <cacheField name="Scan Country" numFmtId="0">
      <sharedItems count="40">
        <s v="KE"/>
        <s v="CA"/>
        <s v="GB"/>
        <s v="MW"/>
        <s v="MZ"/>
        <s v="UG"/>
        <s v="GH"/>
        <s v="TZ"/>
        <s v="ZA"/>
        <s v="US"/>
        <s v="CD"/>
        <s v="IE"/>
        <s v="RW"/>
        <s v="CM"/>
        <s v="LR"/>
        <s v="ZM"/>
        <s v="NG"/>
        <s v="AO"/>
        <s v="DE"/>
        <s v="ES"/>
        <s v="CO"/>
        <s v="PH"/>
        <s v="BE"/>
        <s v="HU"/>
        <s v="FR"/>
        <s v="SZ"/>
        <s v="CH"/>
        <s v="QA"/>
        <s v="IN"/>
        <s v="GM"/>
        <s v="DZ"/>
        <s v="NL"/>
        <s v="EG"/>
        <s v="CL"/>
        <s v="BR"/>
        <s v="PT"/>
        <s v="KR"/>
        <s v="BD"/>
        <s v="SL"/>
        <s v="ID"/>
      </sharedItems>
    </cacheField>
    <cacheField name="Bottle Count" numFmtId="0">
      <sharedItems containsSemiMixedTypes="0" containsString="0" containsNumber="1" containsInteger="1" minValue="1" maxValue="281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4">
  <r>
    <n v="0"/>
    <s v="Purified drinking water"/>
    <x v="0"/>
    <x v="0"/>
    <s v="KE"/>
    <s v="Al Hatim Traders"/>
    <x v="0"/>
    <n v="113"/>
  </r>
  <r>
    <n v="86"/>
    <s v="Original"/>
    <x v="0"/>
    <x v="1"/>
    <s v="US"/>
    <s v="Coca-Cola"/>
    <x v="1"/>
    <n v="1"/>
  </r>
  <r>
    <n v="23015364"/>
    <s v="Tomatoes"/>
    <x v="1"/>
    <x v="2"/>
    <s v="DE"/>
    <s v="ALDI Einkauf SE &amp; Co. oHG"/>
    <x v="2"/>
    <n v="1"/>
  </r>
  <r>
    <n v="2148012112"/>
    <s v="7up"/>
    <x v="0"/>
    <x v="3"/>
    <s v="US"/>
    <s v="Keurig Dr Pepper Inc."/>
    <x v="2"/>
    <n v="1"/>
  </r>
  <r>
    <n v="54676"/>
    <s v="Big8"/>
    <x v="0"/>
    <x v="4"/>
    <s v="CA"/>
    <s v="Empire Company Limited"/>
    <x v="1"/>
    <n v="2"/>
  </r>
  <r>
    <n v="1234003331"/>
    <s v="Kumbucha Alcoholic Drink"/>
    <x v="0"/>
    <x v="5"/>
    <s v="UG"/>
    <s v="Oyoma General stores LTD"/>
    <x v="3"/>
    <n v="28"/>
  </r>
  <r>
    <n v="1234003331"/>
    <s v="Kumbucha Alcoholic Drink"/>
    <x v="0"/>
    <x v="5"/>
    <s v="UG"/>
    <s v="Oyoma General stores LTD"/>
    <x v="4"/>
    <n v="10"/>
  </r>
  <r>
    <n v="1234003331"/>
    <s v="Kumbucha Alcoholic Drink"/>
    <x v="0"/>
    <x v="5"/>
    <s v="UG"/>
    <s v="Oyoma General stores LTD"/>
    <x v="5"/>
    <n v="2"/>
  </r>
  <r>
    <n v="1234003348"/>
    <s v="Alcoholic Kombucha Drink"/>
    <x v="2"/>
    <x v="5"/>
    <s v="UG"/>
    <s v="Oyoma General stores LTD"/>
    <x v="5"/>
    <n v="1"/>
  </r>
  <r>
    <n v="14188991012"/>
    <s v="Tampico Drink"/>
    <x v="3"/>
    <x v="6"/>
    <s v="US"/>
    <s v="Houchens Industries Inc."/>
    <x v="6"/>
    <n v="50"/>
  </r>
  <r>
    <n v="151917"/>
    <s v="Madagascan Vanilla Custard"/>
    <x v="4"/>
    <x v="7"/>
    <s v="GB"/>
    <s v="Marks and Spencer plc"/>
    <x v="2"/>
    <n v="1"/>
  </r>
  <r>
    <n v="16571957711"/>
    <s v="Peach"/>
    <x v="5"/>
    <x v="8"/>
    <s v="US"/>
    <s v="TALKING RAIN BEVERAGE COMPANY, INC."/>
    <x v="1"/>
    <n v="2"/>
  </r>
  <r>
    <n v="16600000760"/>
    <s v="Schweppes Gingerale"/>
    <x v="6"/>
    <x v="9"/>
    <s v="US"/>
    <s v="Coca-Cola"/>
    <x v="1"/>
    <n v="1"/>
  </r>
  <r>
    <n v="16600010240"/>
    <s v="Schweppes Gingerale"/>
    <x v="7"/>
    <x v="9"/>
    <s v="US"/>
    <s v="Coca-Cola"/>
    <x v="1"/>
    <n v="2"/>
  </r>
  <r>
    <n v="17211182562"/>
    <s v="G-Zero"/>
    <x v="7"/>
    <x v="10"/>
    <s v="US"/>
    <s v="Pepsico, Inc"/>
    <x v="1"/>
    <n v="1"/>
  </r>
  <r>
    <n v="17273504494"/>
    <s v="Real Mayonnaise"/>
    <x v="8"/>
    <x v="11"/>
    <s v="US"/>
    <s v="Global Export Marketing Co. Ltd."/>
    <x v="7"/>
    <n v="1"/>
  </r>
  <r>
    <n v="18112317305"/>
    <s v="Custard"/>
    <x v="4"/>
    <x v="12"/>
    <s v="GB"/>
    <s v="Tesco PLC"/>
    <x v="2"/>
    <n v="1"/>
  </r>
  <r>
    <n v="21041001634"/>
    <s v="Striker Gin"/>
    <x v="9"/>
    <x v="13"/>
    <s v="GH"/>
    <s v="1 Africa Industries Limited"/>
    <x v="6"/>
    <n v="112"/>
  </r>
  <r>
    <n v="21468375004"/>
    <s v="Chocolate Drink"/>
    <x v="10"/>
    <x v="14"/>
    <s v="CH"/>
    <s v="Nestlé S.A."/>
    <x v="8"/>
    <n v="1"/>
  </r>
  <r>
    <n v="25833820458"/>
    <s v="Óleo de soja refinado"/>
    <x v="11"/>
    <x v="15"/>
    <s v="MZ"/>
    <s v="Gein Group"/>
    <x v="4"/>
    <n v="22"/>
  </r>
  <r>
    <n v="25833821028"/>
    <s v="Óleo de soja refinado"/>
    <x v="12"/>
    <x v="15"/>
    <s v="MZ"/>
    <s v="Gein Group"/>
    <x v="4"/>
    <n v="150"/>
  </r>
  <r>
    <n v="25833821059"/>
    <s v="Óleo de girassol refinado"/>
    <x v="11"/>
    <x v="15"/>
    <s v="MZ"/>
    <s v="Gein Group"/>
    <x v="4"/>
    <n v="72"/>
  </r>
  <r>
    <n v="25833821219"/>
    <s v="Óleo da Cozinha"/>
    <x v="13"/>
    <x v="15"/>
    <s v="MZ"/>
    <s v="Gein Group"/>
    <x v="4"/>
    <n v="5"/>
  </r>
  <r>
    <n v="258388"/>
    <s v="mo energy"/>
    <x v="14"/>
    <x v="16"/>
    <s v="TZ"/>
    <s v="METL Group"/>
    <x v="7"/>
    <n v="1"/>
  </r>
  <r>
    <n v="25900227333"/>
    <s v="Cigar"/>
    <x v="15"/>
    <x v="17"/>
    <s v="US"/>
    <s v="Swisher International Inc."/>
    <x v="9"/>
    <n v="1"/>
  </r>
  <r>
    <n v="28400040112"/>
    <s v="Cheese flavored snack"/>
    <x v="16"/>
    <x v="18"/>
    <s v="US"/>
    <s v="Pepsico, Inc"/>
    <x v="2"/>
    <n v="2"/>
  </r>
  <r>
    <n v="28400040112"/>
    <s v="Cheese flavored snack"/>
    <x v="16"/>
    <x v="18"/>
    <s v="US"/>
    <s v="Pepsico, Inc"/>
    <x v="9"/>
    <n v="1"/>
  </r>
  <r>
    <n v="300551"/>
    <s v="Eat now, eat later hass avocados"/>
    <x v="17"/>
    <x v="7"/>
    <s v="GB"/>
    <s v="Marks and Spencer plc"/>
    <x v="2"/>
    <n v="1"/>
  </r>
  <r>
    <n v="31200025753"/>
    <s v="Cran-Pineapple"/>
    <x v="18"/>
    <x v="19"/>
    <s v="US"/>
    <s v="Ocean Spray Cranberries, Inc."/>
    <x v="1"/>
    <n v="1"/>
  </r>
  <r>
    <n v="31200046086"/>
    <s v="100% Juice Blend Cranberry"/>
    <x v="19"/>
    <x v="19"/>
    <s v="US"/>
    <s v="Ocean Spray Cranberries, Inc."/>
    <x v="1"/>
    <n v="7"/>
  </r>
  <r>
    <n v="33844001193"/>
    <s v="The Original Badia"/>
    <x v="20"/>
    <x v="20"/>
    <s v="GB"/>
    <s v="Badia Spices"/>
    <x v="6"/>
    <n v="13"/>
  </r>
  <r>
    <n v="34000939572"/>
    <s v="Reese's peanut butter cups"/>
    <x v="21"/>
    <x v="21"/>
    <s v="US"/>
    <s v="Hershey's"/>
    <x v="2"/>
    <n v="2"/>
  </r>
  <r>
    <n v="358767"/>
    <s v="Vegetable oil"/>
    <x v="22"/>
    <x v="22"/>
    <s v="GB"/>
    <s v="J Sainsbury plc"/>
    <x v="2"/>
    <n v="1"/>
  </r>
  <r>
    <n v="40232647048"/>
    <s v="Vida Em Cada Gota"/>
    <x v="23"/>
    <x v="23"/>
    <s v="MZ"/>
    <s v="Montana Namaacha"/>
    <x v="10"/>
    <n v="1"/>
  </r>
  <r>
    <n v="415668"/>
    <s v="Extra Virgin Olive Oil"/>
    <x v="13"/>
    <x v="22"/>
    <s v="GB"/>
    <s v="J Sainsbury plc"/>
    <x v="2"/>
    <n v="1"/>
  </r>
  <r>
    <n v="415668"/>
    <s v="Extra Virgin Olive Oil"/>
    <x v="13"/>
    <x v="22"/>
    <s v="GB"/>
    <s v="J Sainsbury plc"/>
    <x v="4"/>
    <n v="3"/>
  </r>
  <r>
    <n v="41990050019"/>
    <s v="Still Natural Mineral Water"/>
    <x v="0"/>
    <x v="24"/>
    <s v="GB"/>
    <s v="Britvic plc"/>
    <x v="11"/>
    <n v="2"/>
  </r>
  <r>
    <n v="433662"/>
    <s v="Sparkling Strawberry and Kiwi"/>
    <x v="13"/>
    <x v="22"/>
    <s v="GB"/>
    <s v="J Sainsbury plc"/>
    <x v="2"/>
    <n v="1"/>
  </r>
  <r>
    <n v="43800245189"/>
    <s v="Perla"/>
    <x v="0"/>
    <x v="25"/>
    <s v="GH"/>
    <s v="Multi Pac ltd"/>
    <x v="6"/>
    <n v="1"/>
  </r>
  <r>
    <n v="48415411301"/>
    <s v="Vodka"/>
    <x v="24"/>
    <x v="26"/>
    <s v="FR"/>
    <s v="Pernod Richard"/>
    <x v="1"/>
    <n v="5"/>
  </r>
  <r>
    <n v="50200013218"/>
    <s v="Sunny D"/>
    <x v="25"/>
    <x v="27"/>
    <s v="US"/>
    <s v="Harvest Hill Beverage Company"/>
    <x v="1"/>
    <n v="2"/>
  </r>
  <r>
    <n v="519779"/>
    <s v="Mountain Spring Water"/>
    <x v="0"/>
    <x v="28"/>
    <s v="US"/>
    <s v="BlueTriton Inc."/>
    <x v="9"/>
    <n v="1"/>
  </r>
  <r>
    <n v="54900000608"/>
    <s v="Drink"/>
    <x v="12"/>
    <x v="29"/>
    <s v="US"/>
    <s v="Keurig Dr Pepper Inc."/>
    <x v="1"/>
    <n v="2"/>
  </r>
  <r>
    <n v="55477420271"/>
    <s v="Cool Blue"/>
    <x v="7"/>
    <x v="10"/>
    <s v="US"/>
    <s v="Pepsico, Inc"/>
    <x v="1"/>
    <n v="1"/>
  </r>
  <r>
    <n v="55500402946"/>
    <s v="Pine-Sol"/>
    <x v="26"/>
    <x v="30"/>
    <s v="US"/>
    <s v="The Clorox Company"/>
    <x v="1"/>
    <n v="3"/>
  </r>
  <r>
    <n v="55511221024"/>
    <s v="Cool Blue Carbonated Drink"/>
    <x v="27"/>
    <x v="10"/>
    <s v="US"/>
    <s v="Pepsico, Inc"/>
    <x v="1"/>
    <n v="1"/>
  </r>
  <r>
    <n v="55577420232"/>
    <s v="Lime"/>
    <x v="7"/>
    <x v="10"/>
    <s v="US"/>
    <s v="Pepsico, Inc"/>
    <x v="1"/>
    <n v="5"/>
  </r>
  <r>
    <n v="55577420263"/>
    <s v="Fruit Punch"/>
    <x v="7"/>
    <x v="10"/>
    <s v="US"/>
    <s v="Pepsico, Inc"/>
    <x v="1"/>
    <n v="3"/>
  </r>
  <r>
    <n v="55577420515"/>
    <s v="Blue Cool Carbonated Sports Drink"/>
    <x v="7"/>
    <x v="10"/>
    <s v="US"/>
    <s v="Pepsico, Inc"/>
    <x v="1"/>
    <n v="5"/>
  </r>
  <r>
    <n v="55577420515"/>
    <s v="Blue Cool Carbonated Sports Drink"/>
    <x v="7"/>
    <x v="10"/>
    <s v="US"/>
    <s v="Pepsico, Inc"/>
    <x v="12"/>
    <n v="4"/>
  </r>
  <r>
    <n v="55577420751"/>
    <s v="Gatorade"/>
    <x v="28"/>
    <x v="10"/>
    <s v="US"/>
    <s v="Pepsico, Inc"/>
    <x v="1"/>
    <n v="2"/>
  </r>
  <r>
    <n v="55577420928"/>
    <s v="Orange Half the Sugar"/>
    <x v="7"/>
    <x v="10"/>
    <s v="US"/>
    <s v="Pepsico, Inc"/>
    <x v="1"/>
    <n v="5"/>
  </r>
  <r>
    <n v="55577420935"/>
    <s v="G2 Fruit Punch Half the Sugar"/>
    <x v="7"/>
    <x v="10"/>
    <s v="US"/>
    <s v="Pepsico, Inc"/>
    <x v="1"/>
    <n v="7"/>
  </r>
  <r>
    <n v="55577420942"/>
    <s v="G2 Half The Sugar Grape"/>
    <x v="7"/>
    <x v="10"/>
    <s v="US"/>
    <s v="Pepsico, Inc"/>
    <x v="1"/>
    <n v="3"/>
  </r>
  <r>
    <n v="55577420959"/>
    <s v="G2 Blueberry Pomegranate"/>
    <x v="7"/>
    <x v="10"/>
    <s v="US"/>
    <s v="Pepsico, Inc"/>
    <x v="1"/>
    <n v="3"/>
  </r>
  <r>
    <n v="55577421000"/>
    <s v="Fruit Punch"/>
    <x v="27"/>
    <x v="10"/>
    <s v="US"/>
    <s v="Pepsico, Inc"/>
    <x v="1"/>
    <n v="1"/>
  </r>
  <r>
    <n v="55577421017"/>
    <s v="Lemon Lime"/>
    <x v="27"/>
    <x v="10"/>
    <s v="US"/>
    <s v="Pepsico, Inc"/>
    <x v="1"/>
    <n v="2"/>
  </r>
  <r>
    <n v="55577421024"/>
    <s v="G Cool Blue"/>
    <x v="27"/>
    <x v="10"/>
    <s v="US"/>
    <s v="Pepsico, Inc"/>
    <x v="1"/>
    <n v="6"/>
  </r>
  <r>
    <n v="55742534375"/>
    <s v="Compliments Lemon Lime Sparkling Water"/>
    <x v="29"/>
    <x v="31"/>
    <s v="CA"/>
    <s v="Empire Company Limited"/>
    <x v="1"/>
    <n v="1"/>
  </r>
  <r>
    <n v="55742550184"/>
    <s v="compliments Mandarin Orange Sparkling Water"/>
    <x v="29"/>
    <x v="31"/>
    <s v="CA"/>
    <s v="Empire Company Limited"/>
    <x v="1"/>
    <n v="1"/>
  </r>
  <r>
    <n v="55742550221"/>
    <s v="Orange Mango"/>
    <x v="5"/>
    <x v="31"/>
    <s v="CA"/>
    <s v="Empire Company Limited"/>
    <x v="1"/>
    <n v="1"/>
  </r>
  <r>
    <n v="55900001411"/>
    <s v="Primo Spaghetti"/>
    <x v="30"/>
    <x v="32"/>
    <s v="CA"/>
    <s v="Primo Foods Inc."/>
    <x v="6"/>
    <n v="50"/>
  </r>
  <r>
    <n v="56000004609"/>
    <s v="Orange"/>
    <x v="27"/>
    <x v="33"/>
    <s v="US"/>
    <s v="Keurig Dr Pepper Inc."/>
    <x v="1"/>
    <n v="1"/>
  </r>
  <r>
    <n v="56920012012"/>
    <s v="Yop"/>
    <x v="31"/>
    <x v="34"/>
    <s v="US"/>
    <s v="General Mills, Inc"/>
    <x v="1"/>
    <n v="5"/>
  </r>
  <r>
    <n v="56920012258"/>
    <s v="Yop"/>
    <x v="32"/>
    <x v="34"/>
    <s v="US"/>
    <s v="General Mills, Inc"/>
    <x v="1"/>
    <n v="1"/>
  </r>
  <r>
    <n v="56920012272"/>
    <s v="Vanilla Yop"/>
    <x v="2"/>
    <x v="34"/>
    <s v="US"/>
    <s v="General Mills, Inc"/>
    <x v="1"/>
    <n v="7"/>
  </r>
  <r>
    <n v="57271160025"/>
    <s v="Frost Carbonated Sports Drink"/>
    <x v="7"/>
    <x v="10"/>
    <s v="US"/>
    <s v="Pepsico, Inc"/>
    <x v="1"/>
    <n v="3"/>
  </r>
  <r>
    <n v="57271160278"/>
    <s v="Frost"/>
    <x v="33"/>
    <x v="10"/>
    <s v="US"/>
    <s v="Pepsico, Inc"/>
    <x v="1"/>
    <n v="1"/>
  </r>
  <r>
    <n v="57271162562"/>
    <s v="G Zero Orange"/>
    <x v="7"/>
    <x v="10"/>
    <s v="US"/>
    <s v="Pepsico, Inc"/>
    <x v="1"/>
    <n v="6"/>
  </r>
  <r>
    <n v="57271162586"/>
    <s v="G-Zero Lemon Lime"/>
    <x v="7"/>
    <x v="10"/>
    <s v="US"/>
    <s v="Pepsico, Inc"/>
    <x v="1"/>
    <n v="3"/>
  </r>
  <r>
    <n v="57271162609"/>
    <s v="G-Zero Berry"/>
    <x v="7"/>
    <x v="10"/>
    <s v="US"/>
    <s v="Pepsico, Inc"/>
    <x v="1"/>
    <n v="2"/>
  </r>
  <r>
    <n v="57271162746"/>
    <s v="Orange"/>
    <x v="34"/>
    <x v="10"/>
    <s v="US"/>
    <s v="Pepsico, Inc"/>
    <x v="1"/>
    <n v="1"/>
  </r>
  <r>
    <n v="57271163095"/>
    <s v="Gatorade"/>
    <x v="27"/>
    <x v="10"/>
    <s v="US"/>
    <s v="Pepsico, Inc"/>
    <x v="1"/>
    <n v="2"/>
  </r>
  <r>
    <n v="57271163415"/>
    <s v="Gatorlyte"/>
    <x v="7"/>
    <x v="10"/>
    <s v="US"/>
    <s v="Pepsico, Inc"/>
    <x v="1"/>
    <n v="1"/>
  </r>
  <r>
    <n v="57271164108"/>
    <s v="G Zero"/>
    <x v="7"/>
    <x v="10"/>
    <s v="US"/>
    <s v="Pepsico, Inc"/>
    <x v="1"/>
    <n v="2"/>
  </r>
  <r>
    <n v="57271164139"/>
    <s v="Propel Electrolytes Zero Sugar"/>
    <x v="7"/>
    <x v="10"/>
    <s v="US"/>
    <s v="Pepsico, Inc"/>
    <x v="1"/>
    <n v="3"/>
  </r>
  <r>
    <n v="57271164269"/>
    <s v="G Zero"/>
    <x v="7"/>
    <x v="10"/>
    <s v="US"/>
    <s v="Pepsico, Inc"/>
    <x v="1"/>
    <n v="7"/>
  </r>
  <r>
    <n v="57271164498"/>
    <s v="Cool Blue"/>
    <x v="26"/>
    <x v="10"/>
    <s v="US"/>
    <s v="Pepsico, Inc"/>
    <x v="1"/>
    <n v="2"/>
  </r>
  <r>
    <n v="57271164535"/>
    <s v="Frost Iceberg"/>
    <x v="26"/>
    <x v="10"/>
    <s v="US"/>
    <s v="Pepsico, Inc"/>
    <x v="1"/>
    <n v="3"/>
  </r>
  <r>
    <n v="57271164672"/>
    <s v="G-Zero"/>
    <x v="7"/>
    <x v="10"/>
    <s v="US"/>
    <s v="Pepsico, Inc"/>
    <x v="1"/>
    <n v="1"/>
  </r>
  <r>
    <n v="57271555432"/>
    <s v="Green Apple"/>
    <x v="27"/>
    <x v="10"/>
    <s v="US"/>
    <s v="Pepsico, Inc"/>
    <x v="1"/>
    <n v="1"/>
  </r>
  <r>
    <n v="57379105010"/>
    <s v="Naya Natural Spring Water"/>
    <x v="0"/>
    <x v="35"/>
    <s v="CA"/>
    <s v="Naya Waters Inc"/>
    <x v="1"/>
    <n v="2"/>
  </r>
  <r>
    <n v="57379121058"/>
    <s v="Naya Water"/>
    <x v="35"/>
    <x v="35"/>
    <s v="CA"/>
    <s v="Naya Waters Inc"/>
    <x v="1"/>
    <n v="3"/>
  </r>
  <r>
    <n v="57379121058"/>
    <s v="Naya Water"/>
    <x v="35"/>
    <x v="35"/>
    <s v="CA"/>
    <s v="Naya Waters Inc"/>
    <x v="10"/>
    <n v="2"/>
  </r>
  <r>
    <n v="60383027728"/>
    <s v="Peach Mango"/>
    <x v="22"/>
    <x v="36"/>
    <s v="CA"/>
    <s v="Loblaw Companies Ltd"/>
    <x v="1"/>
    <n v="1"/>
  </r>
  <r>
    <n v="60383029616"/>
    <s v="Apple Juice"/>
    <x v="18"/>
    <x v="36"/>
    <s v="CA"/>
    <s v="Loblaw Companies Ltd"/>
    <x v="1"/>
    <n v="4"/>
  </r>
  <r>
    <n v="60383040208"/>
    <s v="Pomgranate"/>
    <x v="18"/>
    <x v="36"/>
    <s v="CA"/>
    <s v="Loblaw Companies Ltd"/>
    <x v="1"/>
    <n v="3"/>
  </r>
  <r>
    <n v="60383048051"/>
    <s v="Diet Cola"/>
    <x v="12"/>
    <x v="36"/>
    <s v="CA"/>
    <s v="Loblaw Companies Ltd"/>
    <x v="1"/>
    <n v="1"/>
  </r>
  <r>
    <n v="60383048365"/>
    <s v="Strawberry Lemonade"/>
    <x v="36"/>
    <x v="36"/>
    <s v="CA"/>
    <s v="Loblaw Companies Ltd"/>
    <x v="1"/>
    <n v="1"/>
  </r>
  <r>
    <n v="60383048372"/>
    <s v="Lemonade"/>
    <x v="36"/>
    <x v="36"/>
    <s v="CA"/>
    <s v="Loblaw Companies Ltd"/>
    <x v="1"/>
    <n v="6"/>
  </r>
  <r>
    <n v="60383097103"/>
    <s v="Free Clear Black Cherry"/>
    <x v="22"/>
    <x v="36"/>
    <s v="CA"/>
    <s v="Loblaw Companies Ltd"/>
    <x v="1"/>
    <n v="1"/>
  </r>
  <r>
    <n v="60383103316"/>
    <s v="unscented scoopable cat litter"/>
    <x v="37"/>
    <x v="37"/>
    <s v="CA"/>
    <s v="Loblaw Companies Ltd"/>
    <x v="1"/>
    <n v="1"/>
  </r>
  <r>
    <n v="60383104177"/>
    <s v="Sparkling Water Mandarin Orange"/>
    <x v="13"/>
    <x v="36"/>
    <s v="CA"/>
    <s v="Loblaw Companies Ltd"/>
    <x v="1"/>
    <n v="1"/>
  </r>
  <r>
    <n v="60383132002"/>
    <s v="original lemonade"/>
    <x v="18"/>
    <x v="36"/>
    <s v="CA"/>
    <s v="Loblaw Companies Ltd"/>
    <x v="1"/>
    <n v="3"/>
  </r>
  <r>
    <n v="60383140328"/>
    <s v="peach mist"/>
    <x v="0"/>
    <x v="36"/>
    <s v="CA"/>
    <s v="Loblaw Companies Ltd"/>
    <x v="1"/>
    <n v="4"/>
  </r>
  <r>
    <n v="60383140335"/>
    <s v="Strawberry Mist"/>
    <x v="0"/>
    <x v="36"/>
    <s v="CA"/>
    <s v="Loblaw Companies Ltd"/>
    <x v="1"/>
    <n v="2"/>
  </r>
  <r>
    <n v="60383185251"/>
    <s v="Mango Lemonade"/>
    <x v="38"/>
    <x v="36"/>
    <s v="CA"/>
    <s v="Loblaw Companies Ltd"/>
    <x v="1"/>
    <n v="1"/>
  </r>
  <r>
    <n v="60383653293"/>
    <s v="Natural Spring Water"/>
    <x v="0"/>
    <x v="36"/>
    <s v="CA"/>
    <s v="Loblaw Companies Ltd"/>
    <x v="1"/>
    <n v="39"/>
  </r>
  <r>
    <n v="60383655952"/>
    <s v="Grape"/>
    <x v="39"/>
    <x v="36"/>
    <s v="CA"/>
    <s v="Loblaw Companies Ltd"/>
    <x v="1"/>
    <n v="1"/>
  </r>
  <r>
    <n v="60383782931"/>
    <s v="Free &amp; Clear Tangerine Lime"/>
    <x v="22"/>
    <x v="36"/>
    <s v="CA"/>
    <s v="Loblaw Companies Ltd"/>
    <x v="1"/>
    <n v="1"/>
  </r>
  <r>
    <n v="60383863449"/>
    <s v="Cranberry Gingerale"/>
    <x v="12"/>
    <x v="36"/>
    <s v="CA"/>
    <s v="Loblaw Companies Ltd"/>
    <x v="1"/>
    <n v="2"/>
  </r>
  <r>
    <n v="61314000292"/>
    <s v="Evian Spring Water"/>
    <x v="40"/>
    <x v="38"/>
    <s v="FR"/>
    <s v="Danone S.A."/>
    <x v="1"/>
    <n v="1"/>
  </r>
  <r>
    <n v="62214000818"/>
    <s v="Pure Life Water"/>
    <x v="0"/>
    <x v="39"/>
    <s v="CH"/>
    <s v="Nestlé S.A."/>
    <x v="1"/>
    <n v="1"/>
  </r>
  <r>
    <n v="63124005443"/>
    <s v="1% Chocolate Milk"/>
    <x v="0"/>
    <x v="40"/>
    <s v="CA"/>
    <s v="Saputo Inc"/>
    <x v="1"/>
    <n v="8"/>
  </r>
  <r>
    <n v="63209155513"/>
    <s v="Orange Juice"/>
    <x v="3"/>
    <x v="41"/>
    <s v="CA"/>
    <s v="Restaurant Brands International, Inc"/>
    <x v="1"/>
    <n v="4"/>
  </r>
  <r>
    <n v="63209168162"/>
    <s v="Peach Passion"/>
    <x v="41"/>
    <x v="41"/>
    <s v="CA"/>
    <s v="Restaurant Brands International, Inc"/>
    <x v="1"/>
    <n v="6"/>
  </r>
  <r>
    <n v="643740"/>
    <s v="M &amp; S Sparkling Mountain Water"/>
    <x v="0"/>
    <x v="7"/>
    <s v="GB"/>
    <s v="Marks and Spencer plc"/>
    <x v="2"/>
    <n v="1"/>
  </r>
  <r>
    <n v="643764"/>
    <s v="Still Mountain Water from Scotland"/>
    <x v="0"/>
    <x v="7"/>
    <s v="GB"/>
    <s v="Marks and Spencer plc"/>
    <x v="2"/>
    <n v="2"/>
  </r>
  <r>
    <n v="643764"/>
    <s v="Still Mountain Water from Scotland"/>
    <x v="0"/>
    <x v="7"/>
    <s v="GB"/>
    <s v="Marks and Spencer plc"/>
    <x v="12"/>
    <n v="1"/>
  </r>
  <r>
    <n v="64480000226"/>
    <s v="Big8 Pineapple"/>
    <x v="39"/>
    <x v="4"/>
    <s v="CA"/>
    <s v="Empire Company Limited"/>
    <x v="1"/>
    <n v="1"/>
  </r>
  <r>
    <n v="64480001056"/>
    <s v="Big8 Grape"/>
    <x v="39"/>
    <x v="4"/>
    <s v="CA"/>
    <s v="Empire Company Limited"/>
    <x v="1"/>
    <n v="1"/>
  </r>
  <r>
    <n v="64480006013"/>
    <s v="Spring Water"/>
    <x v="0"/>
    <x v="4"/>
    <s v="CA"/>
    <s v="Empire Company Limited"/>
    <x v="1"/>
    <n v="228"/>
  </r>
  <r>
    <n v="64480006150"/>
    <s v="Spring Water"/>
    <x v="42"/>
    <x v="4"/>
    <s v="CA"/>
    <s v="Empire Company Limited"/>
    <x v="1"/>
    <n v="3"/>
  </r>
  <r>
    <n v="64480006259"/>
    <s v="Spring Water"/>
    <x v="13"/>
    <x v="4"/>
    <s v="CA"/>
    <s v="Empire Company Limited"/>
    <x v="1"/>
    <n v="4"/>
  </r>
  <r>
    <n v="65400000968"/>
    <s v="Lemon Lime"/>
    <x v="27"/>
    <x v="3"/>
    <s v="US"/>
    <s v="Keurig Dr Pepper Inc."/>
    <x v="1"/>
    <n v="16"/>
  </r>
  <r>
    <n v="65400001019"/>
    <s v="7UP"/>
    <x v="28"/>
    <x v="3"/>
    <s v="US"/>
    <s v="Keurig Dr Pepper Inc."/>
    <x v="1"/>
    <n v="3"/>
  </r>
  <r>
    <n v="65400005239"/>
    <s v="7up Zero"/>
    <x v="27"/>
    <x v="3"/>
    <s v="US"/>
    <s v="Keurig Dr Pepper Inc."/>
    <x v="1"/>
    <n v="2"/>
  </r>
  <r>
    <n v="65400010981"/>
    <s v="Orange Juice 100%"/>
    <x v="43"/>
    <x v="42"/>
    <s v="US"/>
    <s v="Pepsico, Inc"/>
    <x v="1"/>
    <n v="1"/>
  </r>
  <r>
    <n v="65400010998"/>
    <s v="Apple Juice"/>
    <x v="44"/>
    <x v="42"/>
    <s v="US"/>
    <s v="Pepsico, Inc"/>
    <x v="1"/>
    <n v="1"/>
  </r>
  <r>
    <n v="65400011001"/>
    <s v="Strawberry Kiwi"/>
    <x v="43"/>
    <x v="43"/>
    <s v="US"/>
    <s v="Pepsico, Inc"/>
    <x v="1"/>
    <n v="2"/>
  </r>
  <r>
    <n v="65400011254"/>
    <s v="Juice Cocktail"/>
    <x v="45"/>
    <x v="42"/>
    <s v="US"/>
    <s v="Pepsico, Inc"/>
    <x v="1"/>
    <n v="1"/>
  </r>
  <r>
    <n v="67000011641"/>
    <s v="Orange"/>
    <x v="39"/>
    <x v="44"/>
    <s v="US"/>
    <s v="Coca-Cola"/>
    <x v="1"/>
    <n v="1"/>
  </r>
  <r>
    <n v="67000012280"/>
    <s v="Tropical Punch"/>
    <x v="41"/>
    <x v="45"/>
    <s v="US"/>
    <s v="Coca-Cola"/>
    <x v="1"/>
    <n v="1"/>
  </r>
  <r>
    <n v="67000104022"/>
    <s v="Original Taste"/>
    <x v="27"/>
    <x v="1"/>
    <s v="US"/>
    <s v="Coca-Cola"/>
    <x v="1"/>
    <n v="32"/>
  </r>
  <r>
    <n v="67000104039"/>
    <s v="Diet Coke"/>
    <x v="27"/>
    <x v="1"/>
    <s v="US"/>
    <s v="Coca-Cola"/>
    <x v="1"/>
    <n v="4"/>
  </r>
  <r>
    <n v="67000107467"/>
    <s v="Coca-cola Zero Sugar"/>
    <x v="27"/>
    <x v="1"/>
    <s v="US"/>
    <s v="Coca-Cola"/>
    <x v="1"/>
    <n v="5"/>
  </r>
  <r>
    <n v="67000111648"/>
    <s v="Root Beer"/>
    <x v="0"/>
    <x v="46"/>
    <s v="US"/>
    <s v="Coca-Cola"/>
    <x v="1"/>
    <n v="1"/>
  </r>
  <r>
    <n v="67000111648"/>
    <s v="Root Beer"/>
    <x v="0"/>
    <x v="46"/>
    <s v="US"/>
    <s v="Coca-Cola"/>
    <x v="5"/>
    <n v="10"/>
  </r>
  <r>
    <n v="67311020110"/>
    <s v="Orange"/>
    <x v="3"/>
    <x v="47"/>
    <s v="CA"/>
    <s v="Industries Lassonde Inc."/>
    <x v="1"/>
    <n v="11"/>
  </r>
  <r>
    <n v="67311723103"/>
    <s v="Apple Juice"/>
    <x v="46"/>
    <x v="48"/>
    <s v="CA"/>
    <s v="Industries Lassonde Inc."/>
    <x v="1"/>
    <n v="1"/>
  </r>
  <r>
    <n v="67997020534"/>
    <s v="Farmers Chocolate Milk"/>
    <x v="42"/>
    <x v="49"/>
    <s v="CA"/>
    <s v="Agropur Cooperative"/>
    <x v="1"/>
    <n v="1"/>
  </r>
  <r>
    <n v="67997020558"/>
    <s v="Farmers Chocolate Milk"/>
    <x v="22"/>
    <x v="49"/>
    <s v="CA"/>
    <s v="Agropur Cooperative"/>
    <x v="1"/>
    <n v="1"/>
  </r>
  <r>
    <n v="67997720199"/>
    <s v="1% Chocolate Milk"/>
    <x v="41"/>
    <x v="49"/>
    <s v="CA"/>
    <s v="Agropur Cooperative"/>
    <x v="1"/>
    <n v="9"/>
  </r>
  <r>
    <n v="68274000072"/>
    <s v="Drinking Water"/>
    <x v="27"/>
    <x v="39"/>
    <s v="CH"/>
    <s v="Nestlé S.A."/>
    <x v="1"/>
    <n v="1"/>
  </r>
  <r>
    <n v="68274000218"/>
    <s v="Drinking Water"/>
    <x v="0"/>
    <x v="39"/>
    <s v="CH"/>
    <s v="Nestlé S.A."/>
    <x v="1"/>
    <n v="31"/>
  </r>
  <r>
    <n v="68274193996"/>
    <s v="Splash Lemon"/>
    <x v="0"/>
    <x v="14"/>
    <s v="CH"/>
    <s v="Nestlé S.A."/>
    <x v="1"/>
    <n v="7"/>
  </r>
  <r>
    <n v="68274194665"/>
    <s v="Splash Raspberry"/>
    <x v="0"/>
    <x v="14"/>
    <s v="CH"/>
    <s v="Nestlé S.A."/>
    <x v="1"/>
    <n v="29"/>
  </r>
  <r>
    <n v="68274264450"/>
    <s v="Splash Wildberry"/>
    <x v="0"/>
    <x v="14"/>
    <s v="CH"/>
    <s v="Nestlé S.A."/>
    <x v="1"/>
    <n v="20"/>
  </r>
  <r>
    <n v="68274264498"/>
    <s v="Splash Acai Grape"/>
    <x v="0"/>
    <x v="14"/>
    <s v="CH"/>
    <s v="Nestlé S.A."/>
    <x v="1"/>
    <n v="8"/>
  </r>
  <r>
    <n v="68274311406"/>
    <s v="Drinking Water"/>
    <x v="13"/>
    <x v="39"/>
    <s v="CH"/>
    <s v="Nestlé S.A."/>
    <x v="1"/>
    <n v="1"/>
  </r>
  <r>
    <n v="68274311437"/>
    <s v="Drinking Water"/>
    <x v="0"/>
    <x v="39"/>
    <s v="CH"/>
    <s v="Nestlé S.A."/>
    <x v="1"/>
    <n v="3"/>
  </r>
  <r>
    <n v="684514"/>
    <s v="Scottish Whole Milk"/>
    <x v="47"/>
    <x v="7"/>
    <s v="GB"/>
    <s v="Marks and Spencer plc"/>
    <x v="2"/>
    <n v="1"/>
  </r>
  <r>
    <n v="68700100208"/>
    <s v="Chocolate Milk"/>
    <x v="41"/>
    <x v="50"/>
    <s v="CA"/>
    <s v="Saputo Inc"/>
    <x v="1"/>
    <n v="1"/>
  </r>
  <r>
    <n v="68700104039"/>
    <s v="Milk2Go"/>
    <x v="2"/>
    <x v="50"/>
    <s v="CA"/>
    <s v="Saputo Inc"/>
    <x v="1"/>
    <n v="1"/>
  </r>
  <r>
    <n v="68700302565"/>
    <s v="Chocolate Shake"/>
    <x v="48"/>
    <x v="50"/>
    <s v="CA"/>
    <s v="Saputo Inc"/>
    <x v="1"/>
    <n v="1"/>
  </r>
  <r>
    <n v="69000009826"/>
    <s v="Pepsi"/>
    <x v="13"/>
    <x v="51"/>
    <s v="US"/>
    <s v="Pepsico, Inc"/>
    <x v="1"/>
    <n v="3"/>
  </r>
  <r>
    <n v="69000009840"/>
    <s v="Pepsi"/>
    <x v="27"/>
    <x v="51"/>
    <s v="US"/>
    <s v="Pepsico, Inc"/>
    <x v="1"/>
    <n v="14"/>
  </r>
  <r>
    <n v="69000009918"/>
    <s v="Pepsi"/>
    <x v="7"/>
    <x v="51"/>
    <s v="US"/>
    <s v="Pepsico, Inc"/>
    <x v="1"/>
    <n v="22"/>
  </r>
  <r>
    <n v="69000010020"/>
    <s v="Pepsi"/>
    <x v="49"/>
    <x v="51"/>
    <s v="US"/>
    <s v="Pepsico, Inc"/>
    <x v="1"/>
    <n v="1"/>
  </r>
  <r>
    <n v="69000010631"/>
    <s v="Diet Pepsi"/>
    <x v="29"/>
    <x v="51"/>
    <s v="US"/>
    <s v="Pepsico, Inc"/>
    <x v="1"/>
    <n v="1"/>
  </r>
  <r>
    <n v="69000010662"/>
    <s v="Diet Pepsi"/>
    <x v="27"/>
    <x v="51"/>
    <s v="US"/>
    <s v="Pepsico, Inc"/>
    <x v="1"/>
    <n v="13"/>
  </r>
  <r>
    <n v="69000012611"/>
    <s v="Diet Pepsi"/>
    <x v="12"/>
    <x v="51"/>
    <s v="US"/>
    <s v="Pepsico, Inc"/>
    <x v="1"/>
    <n v="1"/>
  </r>
  <r>
    <n v="69000013748"/>
    <s v="Pepsi Zero"/>
    <x v="7"/>
    <x v="51"/>
    <s v="US"/>
    <s v="Pepsico, Inc"/>
    <x v="1"/>
    <n v="4"/>
  </r>
  <r>
    <n v="69000013762"/>
    <s v="zero sugar"/>
    <x v="39"/>
    <x v="51"/>
    <s v="US"/>
    <s v="Pepsico, Inc"/>
    <x v="1"/>
    <n v="1"/>
  </r>
  <r>
    <n v="69000014257"/>
    <s v="Diet Pepsi"/>
    <x v="50"/>
    <x v="51"/>
    <s v="US"/>
    <s v="Pepsico, Inc"/>
    <x v="1"/>
    <n v="3"/>
  </r>
  <r>
    <n v="69000015629"/>
    <s v="Brisk Lemon Iced Tea"/>
    <x v="22"/>
    <x v="52"/>
    <s v="US"/>
    <s v="Pepsico, Inc"/>
    <x v="1"/>
    <n v="1"/>
  </r>
  <r>
    <n v="69000016213"/>
    <s v="Brisk Iced Tea"/>
    <x v="33"/>
    <x v="52"/>
    <s v="US"/>
    <s v="Pepsico, Inc"/>
    <x v="1"/>
    <n v="2"/>
  </r>
  <r>
    <n v="69000019832"/>
    <s v="Diet Pepsi"/>
    <x v="7"/>
    <x v="51"/>
    <s v="US"/>
    <s v="Pepsico, Inc"/>
    <x v="1"/>
    <n v="11"/>
  </r>
  <r>
    <n v="69000040607"/>
    <s v="Root Beer"/>
    <x v="7"/>
    <x v="53"/>
    <s v="US"/>
    <s v="Pepsico, Inc"/>
    <x v="1"/>
    <n v="8"/>
  </r>
  <r>
    <n v="69000050569"/>
    <s v="Mountain Dew"/>
    <x v="7"/>
    <x v="54"/>
    <s v="US"/>
    <s v="Pepsico, Inc"/>
    <x v="1"/>
    <n v="1"/>
  </r>
  <r>
    <n v="69000052273"/>
    <s v="Plus Vitamins Orange Tangerine"/>
    <x v="7"/>
    <x v="55"/>
    <s v="US"/>
    <s v="Pepsico, Inc"/>
    <x v="1"/>
    <n v="3"/>
  </r>
  <r>
    <n v="69000061008"/>
    <s v="Pure Water Perfect Taste"/>
    <x v="0"/>
    <x v="55"/>
    <s v="US"/>
    <s v="Pepsico, Inc"/>
    <x v="1"/>
    <n v="11"/>
  </r>
  <r>
    <n v="69000061015"/>
    <s v="Pure Water Perfect Taste"/>
    <x v="7"/>
    <x v="55"/>
    <s v="US"/>
    <s v="Pepsico, Inc"/>
    <x v="1"/>
    <n v="25"/>
  </r>
  <r>
    <n v="69000061015"/>
    <s v="Pure Water Perfect Taste"/>
    <x v="7"/>
    <x v="55"/>
    <s v="US"/>
    <s v="Pepsico, Inc"/>
    <x v="5"/>
    <n v="15"/>
  </r>
  <r>
    <n v="69000147344"/>
    <s v="Mountain Dew Voltage"/>
    <x v="28"/>
    <x v="54"/>
    <s v="US"/>
    <s v="Pepsico, Inc"/>
    <x v="1"/>
    <n v="2"/>
  </r>
  <r>
    <n v="69000147870"/>
    <s v="Lemon"/>
    <x v="51"/>
    <x v="56"/>
    <s v="US"/>
    <s v="Pepsico, Inc"/>
    <x v="1"/>
    <n v="5"/>
  </r>
  <r>
    <n v="69000148846"/>
    <s v="Peach"/>
    <x v="51"/>
    <x v="56"/>
    <s v="US"/>
    <s v="Pepsico, Inc"/>
    <x v="1"/>
    <n v="1"/>
  </r>
  <r>
    <n v="69000154939"/>
    <s v="Mountain Dew Baja Blast"/>
    <x v="7"/>
    <x v="54"/>
    <s v="US"/>
    <s v="Pepsico, Inc"/>
    <x v="1"/>
    <n v="2"/>
  </r>
  <r>
    <n v="69000159286"/>
    <s v="Rasberry Lemonade"/>
    <x v="28"/>
    <x v="54"/>
    <s v="US"/>
    <s v="Pepsico, Inc"/>
    <x v="1"/>
    <n v="1"/>
  </r>
  <r>
    <n v="69001002918"/>
    <s v="Pepsi"/>
    <x v="7"/>
    <x v="51"/>
    <s v="US"/>
    <s v="Pepsico, Inc"/>
    <x v="1"/>
    <n v="2"/>
  </r>
  <r>
    <n v="70137111214"/>
    <s v="Cigar"/>
    <x v="15"/>
    <x v="57"/>
    <s v="US"/>
    <s v="John Middleton Inc."/>
    <x v="9"/>
    <n v="1"/>
  </r>
  <r>
    <n v="70847811190"/>
    <s v="Energy Drink"/>
    <x v="41"/>
    <x v="58"/>
    <s v="US"/>
    <s v="Monster Beverage Corporation"/>
    <x v="1"/>
    <n v="1"/>
  </r>
  <r>
    <n v="70847811190"/>
    <s v="Energy Drink"/>
    <x v="41"/>
    <x v="58"/>
    <s v="US"/>
    <s v="Monster Beverage Corporation"/>
    <x v="5"/>
    <n v="5"/>
  </r>
  <r>
    <n v="71464240400"/>
    <s v="Fruit juice smoothie"/>
    <x v="43"/>
    <x v="59"/>
    <s v="US"/>
    <s v="Boltehouse Juice LLC"/>
    <x v="9"/>
    <n v="1"/>
  </r>
  <r>
    <n v="72030023014"/>
    <s v="Cheese Danish"/>
    <x v="52"/>
    <x v="60"/>
    <s v="US"/>
    <s v="Bimbo Bakeries"/>
    <x v="9"/>
    <n v="1"/>
  </r>
  <r>
    <n v="76280045314"/>
    <s v="Calcium and Magnesium"/>
    <x v="53"/>
    <x v="61"/>
    <s v="UK"/>
    <s v="UNKNOWN_ORG"/>
    <x v="7"/>
    <n v="1"/>
  </r>
  <r>
    <n v="76301590052"/>
    <s v="APPLE &amp; EVE apple juice"/>
    <x v="54"/>
    <x v="62"/>
    <s v="CA"/>
    <s v="Industries Lassonde Inc."/>
    <x v="6"/>
    <n v="100"/>
  </r>
  <r>
    <n v="76412480044"/>
    <s v="Gorgeous Green Lentils"/>
    <x v="10"/>
    <x v="63"/>
    <s v="DE"/>
    <s v="Schwarz Group"/>
    <x v="2"/>
    <n v="1"/>
  </r>
  <r>
    <n v="80686832133"/>
    <s v="Sauza Tequila"/>
    <x v="24"/>
    <x v="64"/>
    <s v="JP"/>
    <s v="Suntory Holdings Limited"/>
    <x v="1"/>
    <n v="3"/>
  </r>
  <r>
    <n v="8080150059"/>
    <s v="Fiery Pink Pepper Body Lotion"/>
    <x v="3"/>
    <x v="65"/>
    <s v="UK"/>
    <s v="UNKNOWN_ORG"/>
    <x v="2"/>
    <n v="1"/>
  </r>
  <r>
    <n v="81821021023"/>
    <s v="Iodated table salt"/>
    <x v="4"/>
    <x v="66"/>
    <s v="ZA"/>
    <s v="The Bud Group"/>
    <x v="3"/>
    <n v="1"/>
  </r>
  <r>
    <n v="82000749981"/>
    <s v="East Coast White Rum"/>
    <x v="55"/>
    <x v="67"/>
    <s v="GB"/>
    <s v="Diageo Plc"/>
    <x v="1"/>
    <n v="1"/>
  </r>
  <r>
    <n v="82000763581"/>
    <s v="Smirnoff Ice Org."/>
    <x v="22"/>
    <x v="68"/>
    <s v="GB"/>
    <s v="Diageo Plc"/>
    <x v="1"/>
    <n v="3"/>
  </r>
  <r>
    <n v="82000795254"/>
    <s v="Vodka"/>
    <x v="55"/>
    <x v="68"/>
    <s v="GB"/>
    <s v="Diageo Plc"/>
    <x v="1"/>
    <n v="3"/>
  </r>
  <r>
    <n v="83900006266"/>
    <s v="Lemon Ice Tea"/>
    <x v="0"/>
    <x v="69"/>
    <s v="CH"/>
    <s v="Nestlé S.A."/>
    <x v="1"/>
    <n v="2"/>
  </r>
  <r>
    <n v="848503"/>
    <s v="Broccoli Crown"/>
    <x v="56"/>
    <x v="7"/>
    <s v="GB"/>
    <s v="Marks and Spencer plc"/>
    <x v="2"/>
    <n v="1"/>
  </r>
  <r>
    <n v="86169046332"/>
    <s v="Arborio Risotto Rice"/>
    <x v="57"/>
    <x v="70"/>
    <s v="GB"/>
    <s v="John Lewis Partnership Plc"/>
    <x v="2"/>
    <n v="1"/>
  </r>
  <r>
    <n v="87000007888"/>
    <s v="White Rum"/>
    <x v="2"/>
    <x v="67"/>
    <s v="GB"/>
    <s v="Diageo Plc"/>
    <x v="1"/>
    <n v="1"/>
  </r>
  <r>
    <n v="87000007895"/>
    <s v="White Rum"/>
    <x v="24"/>
    <x v="67"/>
    <s v="GB"/>
    <s v="Diageo Plc"/>
    <x v="1"/>
    <n v="7"/>
  </r>
  <r>
    <n v="88004400453"/>
    <s v="Vodka"/>
    <x v="24"/>
    <x v="71"/>
    <s v="UK"/>
    <s v="UNKNOWN_ORG"/>
    <x v="1"/>
    <n v="3"/>
  </r>
  <r>
    <n v="88004400712"/>
    <s v="Cinnamon Whisky"/>
    <x v="24"/>
    <x v="72"/>
    <s v="US"/>
    <s v="Sazerac Company, Inc."/>
    <x v="1"/>
    <n v="5"/>
  </r>
  <r>
    <n v="88004400729"/>
    <s v="Cinnamon Whisky"/>
    <x v="2"/>
    <x v="72"/>
    <s v="US"/>
    <s v="Sazerac Company, Inc."/>
    <x v="1"/>
    <n v="3"/>
  </r>
  <r>
    <n v="88544016794"/>
    <s v="Southern Comfort"/>
    <x v="2"/>
    <x v="73"/>
    <s v="US"/>
    <s v="Sazerac Company, Inc."/>
    <x v="1"/>
    <n v="4"/>
  </r>
  <r>
    <n v="943888"/>
    <s v="White Chocolate Milkshake"/>
    <x v="3"/>
    <x v="7"/>
    <s v="GB"/>
    <s v="Marks and Spencer plc"/>
    <x v="2"/>
    <n v="1"/>
  </r>
  <r>
    <n v="95188003189"/>
    <s v="Mango Fruit Drink"/>
    <x v="3"/>
    <x v="74"/>
    <s v="US"/>
    <s v="Tampico Beverages INC"/>
    <x v="6"/>
    <n v="22"/>
  </r>
  <r>
    <n v="95188990342"/>
    <s v="Tampico Drink"/>
    <x v="13"/>
    <x v="6"/>
    <s v="US"/>
    <s v="Houchens Industries Inc."/>
    <x v="6"/>
    <n v="83"/>
  </r>
  <r>
    <n v="95188993008"/>
    <s v="Fruit Drink"/>
    <x v="3"/>
    <x v="6"/>
    <s v="US"/>
    <s v="Houchens Industries Inc."/>
    <x v="6"/>
    <n v="134"/>
  </r>
  <r>
    <n v="95188995002"/>
    <s v="Tampico"/>
    <x v="0"/>
    <x v="6"/>
    <s v="US"/>
    <s v="Houchens Industries Inc."/>
    <x v="6"/>
    <n v="274"/>
  </r>
  <r>
    <n v="96619224319"/>
    <s v="Omega-3"/>
    <x v="29"/>
    <x v="75"/>
    <s v="US"/>
    <s v="Costco Wholesale Corporation"/>
    <x v="1"/>
    <n v="1"/>
  </r>
  <r>
    <n v="96619228539"/>
    <s v="Sparkling Black Raspberry"/>
    <x v="58"/>
    <x v="75"/>
    <s v="US"/>
    <s v="Costco Wholesale Corporation"/>
    <x v="1"/>
    <n v="1"/>
  </r>
  <r>
    <n v="96619321841"/>
    <s v="Natural Spring Water"/>
    <x v="0"/>
    <x v="75"/>
    <s v="US"/>
    <s v="Costco Wholesale Corporation"/>
    <x v="1"/>
    <n v="41"/>
  </r>
  <r>
    <n v="96619381784"/>
    <s v="Spring Water"/>
    <x v="0"/>
    <x v="75"/>
    <s v="US"/>
    <s v="Costco Wholesale Corporation"/>
    <x v="1"/>
    <n v="12"/>
  </r>
  <r>
    <n v="96619381784"/>
    <s v="Spring Water"/>
    <x v="0"/>
    <x v="75"/>
    <s v="US"/>
    <s v="Costco Wholesale Corporation"/>
    <x v="2"/>
    <n v="2"/>
  </r>
  <r>
    <n v="96619482016"/>
    <s v="Spring Water"/>
    <x v="0"/>
    <x v="75"/>
    <s v="US"/>
    <s v="Costco Wholesale Corporation"/>
    <x v="2"/>
    <n v="3"/>
  </r>
  <r>
    <n v="96619676859"/>
    <s v="Sport Fruit Punch"/>
    <x v="7"/>
    <x v="75"/>
    <s v="US"/>
    <s v="Costco Wholesale Corporation"/>
    <x v="1"/>
    <n v="1"/>
  </r>
  <r>
    <n v="100007264365"/>
    <s v="yoghurt natural"/>
    <x v="0"/>
    <x v="76"/>
    <s v="RW"/>
    <s v="Tuma 250"/>
    <x v="12"/>
    <n v="13"/>
  </r>
  <r>
    <n v="11111262683"/>
    <s v="Axe Appolo"/>
    <x v="41"/>
    <x v="77"/>
    <s v="GB"/>
    <s v="Unilever Plc"/>
    <x v="1"/>
    <n v="1"/>
  </r>
  <r>
    <n v="111251461301"/>
    <s v="Berries Flavoured Carbonated Soft drink"/>
    <x v="14"/>
    <x v="78"/>
    <s v="TZ"/>
    <s v="Watercom (T) Ltd"/>
    <x v="7"/>
    <n v="2"/>
  </r>
  <r>
    <n v="111471480311"/>
    <s v="Flavoured Carbonated Soft drink"/>
    <x v="14"/>
    <x v="79"/>
    <s v="TZ"/>
    <s v="Watercom (T) Ltd"/>
    <x v="7"/>
    <n v="16"/>
  </r>
  <r>
    <n v="1117110"/>
    <s v="Salt"/>
    <x v="59"/>
    <x v="66"/>
    <s v="ZA"/>
    <s v="The Bud Group"/>
    <x v="8"/>
    <n v="1"/>
  </r>
  <r>
    <n v="1125382"/>
    <s v="Scottish Fresh Semi-Skimmed Milk"/>
    <x v="60"/>
    <x v="22"/>
    <s v="GB"/>
    <s v="J Sainsbury plc"/>
    <x v="2"/>
    <n v="1"/>
  </r>
  <r>
    <n v="11313012253"/>
    <s v="liquid mousse hair spray"/>
    <x v="50"/>
    <x v="80"/>
    <s v="US"/>
    <s v="Fantasia"/>
    <x v="12"/>
    <n v="11"/>
  </r>
  <r>
    <n v="118624877363"/>
    <s v="Penne"/>
    <x v="4"/>
    <x v="81"/>
    <s v="DE"/>
    <s v="ALDI Einkauf SE &amp; Co. oHG"/>
    <x v="2"/>
    <n v="1"/>
  </r>
  <r>
    <n v="120112829792"/>
    <s v="Festa Energy"/>
    <x v="14"/>
    <x v="82"/>
    <s v="CD"/>
    <s v="Swissta RDC S.A.R.L"/>
    <x v="10"/>
    <n v="50"/>
  </r>
  <r>
    <n v="121210011058"/>
    <s v="Whater"/>
    <x v="55"/>
    <x v="83"/>
    <s v="CD"/>
    <s v="Swissta RDC S.A.R.L"/>
    <x v="10"/>
    <n v="1"/>
  </r>
  <r>
    <n v="126910002016"/>
    <s v="Eau de Source"/>
    <x v="35"/>
    <x v="84"/>
    <s v="KM"/>
    <s v="Aden SARL"/>
    <x v="7"/>
    <n v="48"/>
  </r>
  <r>
    <n v="1480030"/>
    <s v="Water"/>
    <x v="61"/>
    <x v="85"/>
    <s v="CM"/>
    <s v="Source du Pays S.A"/>
    <x v="13"/>
    <n v="10"/>
  </r>
  <r>
    <n v="157271161609"/>
    <s v="G-Zero Berry"/>
    <x v="7"/>
    <x v="10"/>
    <s v="US"/>
    <s v="Pepsico, Inc"/>
    <x v="1"/>
    <n v="1"/>
  </r>
  <r>
    <n v="16571911225"/>
    <s v="Black Rasberry"/>
    <x v="58"/>
    <x v="8"/>
    <s v="US"/>
    <s v="TALKING RAIN BEVERAGE COMPANY, INC."/>
    <x v="1"/>
    <n v="3"/>
  </r>
  <r>
    <n v="16571920449"/>
    <s v="Lemon Lime"/>
    <x v="0"/>
    <x v="8"/>
    <s v="US"/>
    <s v="TALKING RAIN BEVERAGE COMPANY, INC."/>
    <x v="1"/>
    <n v="2"/>
  </r>
  <r>
    <n v="16571940249"/>
    <s v="Kiwi Strawberry"/>
    <x v="58"/>
    <x v="8"/>
    <s v="US"/>
    <s v="TALKING RAIN BEVERAGE COMPANY, INC."/>
    <x v="1"/>
    <n v="3"/>
  </r>
  <r>
    <n v="16571951580"/>
    <s v="Cherry Limeade"/>
    <x v="0"/>
    <x v="8"/>
    <s v="US"/>
    <s v="TALKING RAIN BEVERAGE COMPANY, INC."/>
    <x v="1"/>
    <n v="8"/>
  </r>
  <r>
    <n v="16571953485"/>
    <s v="Sparkling Ice Pink Grapefruit"/>
    <x v="58"/>
    <x v="8"/>
    <s v="US"/>
    <s v="TALKING RAIN BEVERAGE COMPANY, INC."/>
    <x v="1"/>
    <n v="7"/>
  </r>
  <r>
    <n v="16571957711"/>
    <s v="Peach Nectarine Flavored Sparkling Water"/>
    <x v="58"/>
    <x v="8"/>
    <s v="US"/>
    <s v="TALKING RAIN BEVERAGE COMPANY, INC."/>
    <x v="1"/>
    <n v="20"/>
  </r>
  <r>
    <n v="16600000760"/>
    <s v="Ginger Ale"/>
    <x v="27"/>
    <x v="9"/>
    <s v="US"/>
    <s v="Coca-Cola"/>
    <x v="1"/>
    <n v="1"/>
  </r>
  <r>
    <n v="16600010240"/>
    <s v="Ginger Ale"/>
    <x v="28"/>
    <x v="9"/>
    <s v="US"/>
    <s v="Coca-Cola"/>
    <x v="1"/>
    <n v="4"/>
  </r>
  <r>
    <n v="17273504494"/>
    <s v="Real Mayonnaise"/>
    <x v="41"/>
    <x v="11"/>
    <s v="US"/>
    <s v="Global Export Marketing Co. Ltd."/>
    <x v="12"/>
    <n v="4"/>
  </r>
  <r>
    <n v="17273504517"/>
    <s v="Mayonnaise"/>
    <x v="62"/>
    <x v="11"/>
    <s v="US"/>
    <s v="Global Export Marketing Co. Ltd."/>
    <x v="12"/>
    <n v="104"/>
  </r>
  <r>
    <n v="180854000101"/>
    <s v="RedBull Original"/>
    <x v="48"/>
    <x v="86"/>
    <s v="AT"/>
    <s v="Red Bull GmbH"/>
    <x v="1"/>
    <n v="1"/>
  </r>
  <r>
    <n v="180854000309"/>
    <s v="SugarFree"/>
    <x v="48"/>
    <x v="86"/>
    <s v="AT"/>
    <s v="Red Bull GmbH"/>
    <x v="1"/>
    <n v="1"/>
  </r>
  <r>
    <n v="19063001138"/>
    <s v="Raspberry Lemon"/>
    <x v="63"/>
    <x v="87"/>
    <s v="US"/>
    <s v="Harvest Hill Beverage Company"/>
    <x v="1"/>
    <n v="3"/>
  </r>
  <r>
    <n v="19063001169"/>
    <s v="Mixed Berry"/>
    <x v="63"/>
    <x v="87"/>
    <s v="US"/>
    <s v="Harvest Hill Beverage Company"/>
    <x v="1"/>
    <n v="2"/>
  </r>
  <r>
    <n v="19063001176"/>
    <s v="Strawberry"/>
    <x v="63"/>
    <x v="87"/>
    <s v="US"/>
    <s v="Harvest Hill Beverage Company"/>
    <x v="1"/>
    <n v="2"/>
  </r>
  <r>
    <n v="193603751018"/>
    <s v="delight yoghurt"/>
    <x v="48"/>
    <x v="88"/>
    <s v="RW"/>
    <s v="ZIRAKAMWA MEZA NYANZA DAIRY LTD"/>
    <x v="12"/>
    <n v="2"/>
  </r>
  <r>
    <n v="194283300138"/>
    <s v="Spring water"/>
    <x v="0"/>
    <x v="89"/>
    <s v="CA"/>
    <s v="Alimentation Couche-Tard Inc."/>
    <x v="1"/>
    <n v="3"/>
  </r>
  <r>
    <n v="196633965912"/>
    <s v="Spring Water"/>
    <x v="0"/>
    <x v="75"/>
    <s v="US"/>
    <s v="Costco Wholesale Corporation"/>
    <x v="2"/>
    <n v="6"/>
  </r>
  <r>
    <n v="211401180301"/>
    <s v="mo chungwa"/>
    <x v="3"/>
    <x v="90"/>
    <s v="TZ"/>
    <s v="METL Group"/>
    <x v="7"/>
    <n v="1"/>
  </r>
  <r>
    <n v="221101020081"/>
    <s v="Drinking Water"/>
    <x v="23"/>
    <x v="91"/>
    <s v="TZ"/>
    <s v="Dew Drop Drinks Co.Ltd"/>
    <x v="7"/>
    <n v="6"/>
  </r>
  <r>
    <n v="225818220123"/>
    <s v="mo energy"/>
    <x v="14"/>
    <x v="16"/>
    <s v="TZ"/>
    <s v="METL Group"/>
    <x v="7"/>
    <n v="1"/>
  </r>
  <r>
    <n v="25833821219"/>
    <s v="Oleo"/>
    <x v="22"/>
    <x v="15"/>
    <s v="MZ"/>
    <s v="Gein Group"/>
    <x v="4"/>
    <n v="2"/>
  </r>
  <r>
    <n v="28400017244"/>
    <s v="Puffs"/>
    <x v="64"/>
    <x v="18"/>
    <s v="US"/>
    <s v="Pepsico, Inc"/>
    <x v="2"/>
    <n v="1"/>
  </r>
  <r>
    <n v="284613110015"/>
    <s v="Hill Water"/>
    <x v="13"/>
    <x v="92"/>
    <s v="TZ"/>
    <s v="Hill Group"/>
    <x v="7"/>
    <n v="29"/>
  </r>
  <r>
    <n v="284818120130"/>
    <s v="mo xtra"/>
    <x v="14"/>
    <x v="16"/>
    <s v="TZ"/>
    <s v="METL Group"/>
    <x v="7"/>
    <n v="1"/>
  </r>
  <r>
    <n v="2915128"/>
    <s v="World Cola"/>
    <x v="22"/>
    <x v="93"/>
    <s v="FR"/>
    <s v="Groupe Castel"/>
    <x v="13"/>
    <n v="1"/>
  </r>
  <r>
    <n v="294292007636"/>
    <s v="Free range chicken breast fillets"/>
    <x v="17"/>
    <x v="94"/>
    <s v="GB"/>
    <s v="CO-OPERATIVE GROUP LIMITED"/>
    <x v="2"/>
    <n v="1"/>
  </r>
  <r>
    <n v="31200019042"/>
    <s v="Diet Cranberry"/>
    <x v="65"/>
    <x v="19"/>
    <s v="US"/>
    <s v="Ocean Spray Cranberries, Inc."/>
    <x v="1"/>
    <n v="3"/>
  </r>
  <r>
    <n v="3257340"/>
    <s v="Scottish Strawberries"/>
    <x v="66"/>
    <x v="95"/>
    <s v="GB"/>
    <s v="Tesco PLC"/>
    <x v="2"/>
    <n v="1"/>
  </r>
  <r>
    <n v="3260630"/>
    <s v="Jaffa Easy Peelers"/>
    <x v="67"/>
    <x v="96"/>
    <s v="UK"/>
    <s v="UNKNOWN_ORG"/>
    <x v="2"/>
    <n v="3"/>
  </r>
  <r>
    <n v="3266090"/>
    <s v="Small apples"/>
    <x v="4"/>
    <x v="95"/>
    <s v="GB"/>
    <s v="Tesco PLC"/>
    <x v="2"/>
    <n v="1"/>
  </r>
  <r>
    <n v="3284766"/>
    <s v="Large Flat Mushrooms"/>
    <x v="10"/>
    <x v="95"/>
    <s v="GB"/>
    <s v="Tesco PLC"/>
    <x v="2"/>
    <n v="1"/>
  </r>
  <r>
    <n v="3403198"/>
    <s v="King Edward Potatoes"/>
    <x v="68"/>
    <x v="95"/>
    <s v="GB"/>
    <s v="Tesco PLC"/>
    <x v="2"/>
    <n v="1"/>
  </r>
  <r>
    <n v="342242017508"/>
    <s v="vodka"/>
    <x v="9"/>
    <x v="97"/>
    <s v="FR"/>
    <s v="Pernod Richard"/>
    <x v="2"/>
    <n v="1"/>
  </r>
  <r>
    <n v="3436271"/>
    <s v="Mangetout"/>
    <x v="69"/>
    <x v="95"/>
    <s v="GB"/>
    <s v="Tesco PLC"/>
    <x v="2"/>
    <n v="1"/>
  </r>
  <r>
    <n v="3441190"/>
    <s v="British Carrots"/>
    <x v="70"/>
    <x v="95"/>
    <s v="GB"/>
    <s v="Tesco PLC"/>
    <x v="2"/>
    <n v="1"/>
  </r>
  <r>
    <n v="380003562164"/>
    <s v="Eau de Table"/>
    <x v="71"/>
    <x v="98"/>
    <s v="CD"/>
    <s v="MOUNTAIN GROUP"/>
    <x v="10"/>
    <n v="53"/>
  </r>
  <r>
    <n v="411811050311"/>
    <s v="Berry flavoured Carbonated Soft Drink"/>
    <x v="3"/>
    <x v="16"/>
    <s v="TZ"/>
    <s v="METL Group"/>
    <x v="7"/>
    <n v="5"/>
  </r>
  <r>
    <n v="412008130274"/>
    <s v="Sparletta"/>
    <x v="13"/>
    <x v="99"/>
    <s v="US"/>
    <s v="Coca-Cola"/>
    <x v="4"/>
    <n v="402"/>
  </r>
  <r>
    <n v="418008118144"/>
    <s v="Drinking Water"/>
    <x v="0"/>
    <x v="100"/>
    <s v="US"/>
    <s v="Coca-Cola"/>
    <x v="7"/>
    <n v="21"/>
  </r>
  <r>
    <n v="4318224"/>
    <s v="London Oat Digestive"/>
    <x v="72"/>
    <x v="101"/>
    <s v="GH"/>
    <s v="Twellium Industry Limited"/>
    <x v="6"/>
    <n v="50"/>
  </r>
  <r>
    <n v="44000045432"/>
    <s v="Golden Oreo"/>
    <x v="73"/>
    <x v="102"/>
    <s v="US"/>
    <s v="Mondelēz International, Inc."/>
    <x v="9"/>
    <n v="1"/>
  </r>
  <r>
    <n v="454023260000"/>
    <s v="Agua mineral natural"/>
    <x v="74"/>
    <x v="103"/>
    <s v="ES"/>
    <s v="AGUA MINERAL CRISTALINA, S.L."/>
    <x v="2"/>
    <n v="1"/>
  </r>
  <r>
    <n v="4540922"/>
    <s v="G2 Orange"/>
    <x v="7"/>
    <x v="10"/>
    <s v="US"/>
    <s v="Pepsico, Inc"/>
    <x v="1"/>
    <n v="1"/>
  </r>
  <r>
    <n v="45836006000"/>
    <s v="Castor oil"/>
    <x v="75"/>
    <x v="104"/>
    <s v="US"/>
    <s v="Hollywood Beauty"/>
    <x v="3"/>
    <n v="52"/>
  </r>
  <r>
    <n v="45836006000"/>
    <s v="Castor oil"/>
    <x v="75"/>
    <x v="104"/>
    <s v="US"/>
    <s v="Hollywood Beauty"/>
    <x v="12"/>
    <n v="6"/>
  </r>
  <r>
    <n v="4772248"/>
    <s v="Bigoo Cola Drink"/>
    <x v="76"/>
    <x v="105"/>
    <s v="GH"/>
    <s v="Twellium Industry Limited"/>
    <x v="6"/>
    <n v="46"/>
  </r>
  <r>
    <n v="48500017852"/>
    <s v="Orange Juice"/>
    <x v="34"/>
    <x v="106"/>
    <s v="FR"/>
    <s v="PAI Partners"/>
    <x v="1"/>
    <n v="6"/>
  </r>
  <r>
    <n v="48500203545"/>
    <s v="Orange Juice"/>
    <x v="36"/>
    <x v="106"/>
    <s v="FR"/>
    <s v="PAI Partners"/>
    <x v="1"/>
    <n v="2"/>
  </r>
  <r>
    <n v="48500203545"/>
    <s v="Orange Juice"/>
    <x v="36"/>
    <x v="106"/>
    <s v="FR"/>
    <s v="PAI Partners"/>
    <x v="5"/>
    <n v="20"/>
  </r>
  <r>
    <n v="48500205549"/>
    <s v="Orange"/>
    <x v="77"/>
    <x v="106"/>
    <s v="FR"/>
    <s v="PAI Partners"/>
    <x v="1"/>
    <n v="1"/>
  </r>
  <r>
    <n v="48500205556"/>
    <s v="Orange Tangerine"/>
    <x v="77"/>
    <x v="106"/>
    <s v="FR"/>
    <s v="PAI Partners"/>
    <x v="1"/>
    <n v="1"/>
  </r>
  <r>
    <n v="4853131"/>
    <s v="Apple"/>
    <x v="78"/>
    <x v="106"/>
    <s v="FR"/>
    <s v="PAI Partners"/>
    <x v="1"/>
    <n v="1"/>
  </r>
  <r>
    <n v="50200012976"/>
    <s v="Sunny D 5% Juice"/>
    <x v="0"/>
    <x v="27"/>
    <s v="US"/>
    <s v="Harvest Hill Beverage Company"/>
    <x v="1"/>
    <n v="3"/>
  </r>
  <r>
    <n v="50200012990"/>
    <s v="Smooth Orange"/>
    <x v="0"/>
    <x v="27"/>
    <s v="US"/>
    <s v="Harvest Hill Beverage Company"/>
    <x v="1"/>
    <n v="6"/>
  </r>
  <r>
    <n v="50428451823"/>
    <s v="italian seasoning"/>
    <x v="79"/>
    <x v="107"/>
    <s v="UK"/>
    <s v="UNKNOWN_ORG"/>
    <x v="7"/>
    <n v="1"/>
  </r>
  <r>
    <n v="526950002012"/>
    <s v="Mineral Water"/>
    <x v="0"/>
    <x v="84"/>
    <s v="KM"/>
    <s v="Aden SARL"/>
    <x v="4"/>
    <n v="3"/>
  </r>
  <r>
    <n v="54900001452"/>
    <s v="Cream Soda"/>
    <x v="0"/>
    <x v="29"/>
    <s v="US"/>
    <s v="Keurig Dr Pepper Inc."/>
    <x v="1"/>
    <n v="1"/>
  </r>
  <r>
    <n v="5490733"/>
    <s v="Dr. Pepper Soda"/>
    <x v="7"/>
    <x v="29"/>
    <s v="US"/>
    <s v="Keurig Dr Pepper Inc."/>
    <x v="1"/>
    <n v="15"/>
  </r>
  <r>
    <n v="5544202"/>
    <s v="Fruit Punch"/>
    <x v="28"/>
    <x v="10"/>
    <s v="US"/>
    <s v="Pepsico, Inc"/>
    <x v="1"/>
    <n v="1"/>
  </r>
  <r>
    <n v="55577106303"/>
    <s v="Perform Lemon Lime"/>
    <x v="80"/>
    <x v="10"/>
    <s v="US"/>
    <s v="Pepsico, Inc"/>
    <x v="1"/>
    <n v="2"/>
  </r>
  <r>
    <n v="55577106310"/>
    <s v="Orange"/>
    <x v="81"/>
    <x v="10"/>
    <s v="US"/>
    <s v="Pepsico, Inc"/>
    <x v="1"/>
    <n v="2"/>
  </r>
  <r>
    <n v="55577160299"/>
    <s v="Gatorade Frost"/>
    <x v="27"/>
    <x v="10"/>
    <s v="US"/>
    <s v="Pepsico, Inc"/>
    <x v="1"/>
    <n v="1"/>
  </r>
  <r>
    <n v="55577420232"/>
    <s v="Lemon Lime"/>
    <x v="7"/>
    <x v="10"/>
    <s v="US"/>
    <s v="Pepsico, Inc"/>
    <x v="1"/>
    <n v="3"/>
  </r>
  <r>
    <n v="55577420249"/>
    <s v="Orange Gatorade"/>
    <x v="7"/>
    <x v="10"/>
    <s v="US"/>
    <s v="Pepsico, Inc"/>
    <x v="1"/>
    <n v="10"/>
  </r>
  <r>
    <n v="55577420263"/>
    <s v="Fruit Punch"/>
    <x v="7"/>
    <x v="10"/>
    <s v="US"/>
    <s v="Pepsico, Inc"/>
    <x v="1"/>
    <n v="2"/>
  </r>
  <r>
    <n v="55577420270"/>
    <s v="Cool Blue"/>
    <x v="7"/>
    <x v="10"/>
    <s v="US"/>
    <s v="Pepsico, Inc"/>
    <x v="1"/>
    <n v="10"/>
  </r>
  <r>
    <n v="55577420270"/>
    <s v="Cool Blue"/>
    <x v="7"/>
    <x v="10"/>
    <s v="US"/>
    <s v="Pepsico, Inc"/>
    <x v="5"/>
    <n v="5"/>
  </r>
  <r>
    <n v="55577420508"/>
    <s v="Gatorade Orange"/>
    <x v="7"/>
    <x v="10"/>
    <s v="US"/>
    <s v="Pepsico, Inc"/>
    <x v="1"/>
    <n v="1"/>
  </r>
  <r>
    <n v="55577420751"/>
    <s v="Gatorade Fruit Punch"/>
    <x v="7"/>
    <x v="10"/>
    <s v="US"/>
    <s v="Pepsico, Inc"/>
    <x v="1"/>
    <n v="2"/>
  </r>
  <r>
    <n v="55577420928"/>
    <s v="G2 Orange Half The Sugar"/>
    <x v="0"/>
    <x v="10"/>
    <s v="US"/>
    <s v="Pepsico, Inc"/>
    <x v="1"/>
    <n v="10"/>
  </r>
  <r>
    <n v="55577420935"/>
    <s v="Fruit Punch  Half Sugar"/>
    <x v="28"/>
    <x v="10"/>
    <s v="US"/>
    <s v="Pepsico, Inc"/>
    <x v="1"/>
    <n v="3"/>
  </r>
  <r>
    <n v="55577420942"/>
    <s v="G2 Half The Sugar Orange"/>
    <x v="7"/>
    <x v="10"/>
    <s v="US"/>
    <s v="Pepsico, Inc"/>
    <x v="1"/>
    <n v="12"/>
  </r>
  <r>
    <n v="55577420959"/>
    <s v="Half the Sugar Blueberry Pomegranate"/>
    <x v="7"/>
    <x v="10"/>
    <s v="US"/>
    <s v="Pepsico, Inc"/>
    <x v="1"/>
    <n v="1"/>
  </r>
  <r>
    <n v="55577421000"/>
    <s v="Fruit Punch"/>
    <x v="27"/>
    <x v="10"/>
    <s v="US"/>
    <s v="Pepsico, Inc"/>
    <x v="1"/>
    <n v="5"/>
  </r>
  <r>
    <n v="55577421017"/>
    <s v="Lemon Lime"/>
    <x v="27"/>
    <x v="10"/>
    <s v="US"/>
    <s v="Pepsico, Inc"/>
    <x v="1"/>
    <n v="1"/>
  </r>
  <r>
    <n v="55577421024"/>
    <s v="Cool Blue"/>
    <x v="6"/>
    <x v="10"/>
    <s v="US"/>
    <s v="Pepsico, Inc"/>
    <x v="1"/>
    <n v="8"/>
  </r>
  <r>
    <n v="55577423875"/>
    <s v="Fruit Punch Half Sugar"/>
    <x v="28"/>
    <x v="10"/>
    <s v="US"/>
    <s v="Pepsico, Inc"/>
    <x v="1"/>
    <n v="4"/>
  </r>
  <r>
    <n v="55577423882"/>
    <s v="Half the Sugar - Grape"/>
    <x v="28"/>
    <x v="10"/>
    <s v="US"/>
    <s v="Pepsico, Inc"/>
    <x v="1"/>
    <n v="3"/>
  </r>
  <r>
    <n v="55577425145"/>
    <s v="Blueberry Half the Sugar"/>
    <x v="27"/>
    <x v="10"/>
    <s v="US"/>
    <s v="Pepsico, Inc"/>
    <x v="1"/>
    <n v="1"/>
  </r>
  <r>
    <n v="55742357837"/>
    <s v="White Vinegar"/>
    <x v="0"/>
    <x v="31"/>
    <s v="CA"/>
    <s v="Empire Company Limited"/>
    <x v="1"/>
    <n v="3"/>
  </r>
  <r>
    <n v="56000004609"/>
    <s v="Crush Orange"/>
    <x v="6"/>
    <x v="33"/>
    <s v="US"/>
    <s v="Keurig Dr Pepper Inc."/>
    <x v="1"/>
    <n v="1"/>
  </r>
  <r>
    <n v="5601591000025"/>
    <s v="água da nascente"/>
    <x v="35"/>
    <x v="108"/>
    <s v="PT"/>
    <s v="Lactogal Produtos Alimentares S.A."/>
    <x v="4"/>
    <n v="13"/>
  </r>
  <r>
    <n v="5609008"/>
    <s v="Orange Soda"/>
    <x v="12"/>
    <x v="33"/>
    <s v="US"/>
    <s v="Keurig Dr Pepper Inc."/>
    <x v="1"/>
    <n v="4"/>
  </r>
  <r>
    <n v="565161370718"/>
    <s v="Huile Végétale"/>
    <x v="82"/>
    <x v="109"/>
    <s v="CD"/>
    <s v="FoodLife"/>
    <x v="10"/>
    <n v="1"/>
  </r>
  <r>
    <n v="5654309"/>
    <s v="Crush Orange"/>
    <x v="7"/>
    <x v="110"/>
    <s v="US"/>
    <s v="Keurig Dr Pepper Inc."/>
    <x v="1"/>
    <n v="5"/>
  </r>
  <r>
    <n v="5654406"/>
    <s v="Crush Grape"/>
    <x v="7"/>
    <x v="110"/>
    <s v="US"/>
    <s v="Keurig Dr Pepper Inc."/>
    <x v="1"/>
    <n v="3"/>
  </r>
  <r>
    <n v="5654503"/>
    <s v="Crush Cream Soda"/>
    <x v="7"/>
    <x v="33"/>
    <s v="US"/>
    <s v="Keurig Dr Pepper Inc."/>
    <x v="1"/>
    <n v="4"/>
  </r>
  <r>
    <n v="5726158"/>
    <s v="G Zero"/>
    <x v="7"/>
    <x v="10"/>
    <s v="US"/>
    <s v="Pepsico, Inc"/>
    <x v="1"/>
    <n v="3"/>
  </r>
  <r>
    <n v="57271160001"/>
    <s v="Frost"/>
    <x v="80"/>
    <x v="10"/>
    <s v="US"/>
    <s v="Pepsico, Inc"/>
    <x v="1"/>
    <n v="1"/>
  </r>
  <r>
    <n v="57271160087"/>
    <s v="Frost Summit Storm"/>
    <x v="27"/>
    <x v="10"/>
    <s v="US"/>
    <s v="Pepsico, Inc"/>
    <x v="1"/>
    <n v="1"/>
  </r>
  <r>
    <n v="57271160278"/>
    <s v="Gatorade Frost"/>
    <x v="7"/>
    <x v="10"/>
    <s v="US"/>
    <s v="Pepsico, Inc"/>
    <x v="1"/>
    <n v="1"/>
  </r>
  <r>
    <n v="57271162562"/>
    <s v="G Zero Orange"/>
    <x v="7"/>
    <x v="10"/>
    <s v="US"/>
    <s v="Pepsico, Inc"/>
    <x v="1"/>
    <n v="7"/>
  </r>
  <r>
    <n v="57271162586"/>
    <s v="G Zero Lemon Lime"/>
    <x v="7"/>
    <x v="10"/>
    <s v="US"/>
    <s v="Pepsico, Inc"/>
    <x v="1"/>
    <n v="4"/>
  </r>
  <r>
    <n v="57271162609"/>
    <s v="Berry G Zero"/>
    <x v="83"/>
    <x v="10"/>
    <s v="US"/>
    <s v="Pepsico, Inc"/>
    <x v="1"/>
    <n v="4"/>
  </r>
  <r>
    <n v="57271162647"/>
    <s v="Gatorade Zero Berry"/>
    <x v="7"/>
    <x v="10"/>
    <s v="US"/>
    <s v="Pepsico, Inc"/>
    <x v="1"/>
    <n v="5"/>
  </r>
  <r>
    <n v="57271162722"/>
    <s v="Gatorade Cool Blue"/>
    <x v="34"/>
    <x v="10"/>
    <s v="US"/>
    <s v="Pepsico, Inc"/>
    <x v="1"/>
    <n v="2"/>
  </r>
  <r>
    <n v="57271162746"/>
    <s v="Gatorade Orange"/>
    <x v="50"/>
    <x v="10"/>
    <s v="US"/>
    <s v="Pepsico, Inc"/>
    <x v="1"/>
    <n v="1"/>
  </r>
  <r>
    <n v="57271162760"/>
    <s v="Perform Fruit Punch"/>
    <x v="50"/>
    <x v="10"/>
    <s v="US"/>
    <s v="Pepsico, Inc"/>
    <x v="1"/>
    <n v="1"/>
  </r>
  <r>
    <n v="57271163088"/>
    <s v="G Zero Fruit Punch"/>
    <x v="6"/>
    <x v="10"/>
    <s v="US"/>
    <s v="Pepsico, Inc"/>
    <x v="1"/>
    <n v="2"/>
  </r>
  <r>
    <n v="57271163095"/>
    <s v="G2 Cool Blue"/>
    <x v="27"/>
    <x v="10"/>
    <s v="US"/>
    <s v="Pepsico, Inc"/>
    <x v="1"/>
    <n v="5"/>
  </r>
  <r>
    <n v="57271163101"/>
    <s v="Black fly Vodka Mixed Berry"/>
    <x v="14"/>
    <x v="111"/>
    <s v="CA"/>
    <s v="Black Fly Beverage Company"/>
    <x v="1"/>
    <n v="3"/>
  </r>
  <r>
    <n v="57271163415"/>
    <s v="Gatorlyte Cherry Lime"/>
    <x v="7"/>
    <x v="10"/>
    <s v="US"/>
    <s v="Pepsico, Inc"/>
    <x v="1"/>
    <n v="1"/>
  </r>
  <r>
    <n v="57271163453"/>
    <s v="G Fit"/>
    <x v="26"/>
    <x v="10"/>
    <s v="US"/>
    <s v="Pepsico, Inc"/>
    <x v="1"/>
    <n v="1"/>
  </r>
  <r>
    <n v="57271163477"/>
    <s v="Fit Tropical Mango"/>
    <x v="84"/>
    <x v="10"/>
    <s v="US"/>
    <s v="Pepsico, Inc"/>
    <x v="1"/>
    <n v="1"/>
  </r>
  <r>
    <n v="57271163521"/>
    <s v="G-Zero Berry"/>
    <x v="26"/>
    <x v="10"/>
    <s v="US"/>
    <s v="Pepsico, Inc"/>
    <x v="1"/>
    <n v="2"/>
  </r>
  <r>
    <n v="57271163651"/>
    <s v="Gatorlyte"/>
    <x v="7"/>
    <x v="10"/>
    <s v="US"/>
    <s v="Pepsico, Inc"/>
    <x v="1"/>
    <n v="1"/>
  </r>
  <r>
    <n v="57271164108"/>
    <s v="Iceberg G Zero Blue"/>
    <x v="7"/>
    <x v="10"/>
    <s v="US"/>
    <s v="Pepsico, Inc"/>
    <x v="1"/>
    <n v="3"/>
  </r>
  <r>
    <n v="57271164122"/>
    <s v="G Zero"/>
    <x v="7"/>
    <x v="10"/>
    <s v="US"/>
    <s v="Pepsico, Inc"/>
    <x v="1"/>
    <n v="4"/>
  </r>
  <r>
    <n v="57271164153"/>
    <s v="Propel Grape"/>
    <x v="7"/>
    <x v="10"/>
    <s v="US"/>
    <s v="Pepsico, Inc"/>
    <x v="1"/>
    <n v="8"/>
  </r>
  <r>
    <n v="57271164177"/>
    <s v="Kiwi Strawberry"/>
    <x v="28"/>
    <x v="43"/>
    <s v="US"/>
    <s v="Pepsico, Inc"/>
    <x v="1"/>
    <n v="2"/>
  </r>
  <r>
    <n v="57271164306"/>
    <s v="Cool Blue"/>
    <x v="80"/>
    <x v="10"/>
    <s v="US"/>
    <s v="Pepsico, Inc"/>
    <x v="1"/>
    <n v="2"/>
  </r>
  <r>
    <n v="57271164672"/>
    <s v="G Zero Clacier Cherry"/>
    <x v="7"/>
    <x v="10"/>
    <s v="US"/>
    <s v="Pepsico, Inc"/>
    <x v="1"/>
    <n v="1"/>
  </r>
  <r>
    <n v="57271164771"/>
    <s v="G-Zero Glacier Cherry"/>
    <x v="7"/>
    <x v="10"/>
    <s v="US"/>
    <s v="Pepsico, Inc"/>
    <x v="1"/>
    <n v="5"/>
  </r>
  <r>
    <n v="57271425162"/>
    <s v="Gatorade Frost"/>
    <x v="27"/>
    <x v="10"/>
    <s v="US"/>
    <s v="Pepsico, Inc"/>
    <x v="1"/>
    <n v="7"/>
  </r>
  <r>
    <n v="57271555180"/>
    <s v="Strawberry Lemonade"/>
    <x v="27"/>
    <x v="10"/>
    <s v="US"/>
    <s v="Pepsico, Inc"/>
    <x v="1"/>
    <n v="2"/>
  </r>
  <r>
    <n v="57271555418"/>
    <s v="Glacier Cherry"/>
    <x v="0"/>
    <x v="10"/>
    <s v="US"/>
    <s v="Pepsico, Inc"/>
    <x v="1"/>
    <n v="2"/>
  </r>
  <r>
    <n v="57271555432"/>
    <s v="Green Apple"/>
    <x v="27"/>
    <x v="10"/>
    <s v="US"/>
    <s v="Pepsico, Inc"/>
    <x v="1"/>
    <n v="3"/>
  </r>
  <r>
    <n v="5727162"/>
    <s v="G-Zero Berry"/>
    <x v="7"/>
    <x v="10"/>
    <s v="US"/>
    <s v="Pepsico, Inc"/>
    <x v="1"/>
    <n v="1"/>
  </r>
  <r>
    <n v="57379105010"/>
    <s v="Naya Water"/>
    <x v="0"/>
    <x v="35"/>
    <s v="CA"/>
    <s v="Naya Waters Inc"/>
    <x v="1"/>
    <n v="2"/>
  </r>
  <r>
    <n v="57379600119"/>
    <s v="Natural Spring Water"/>
    <x v="0"/>
    <x v="35"/>
    <s v="CA"/>
    <s v="Naya Waters Inc"/>
    <x v="1"/>
    <n v="4"/>
  </r>
  <r>
    <n v="59600010865"/>
    <s v="Orange Juice"/>
    <x v="50"/>
    <x v="112"/>
    <s v="US"/>
    <s v="Coca-Cola"/>
    <x v="1"/>
    <n v="1"/>
  </r>
  <r>
    <n v="59600038081"/>
    <s v="Minute Maid 100% Apple Juice"/>
    <x v="50"/>
    <x v="112"/>
    <s v="US"/>
    <s v="Coca-Cola"/>
    <x v="1"/>
    <n v="5"/>
  </r>
  <r>
    <n v="5965736"/>
    <s v="Simply Orange"/>
    <x v="85"/>
    <x v="113"/>
    <s v="US"/>
    <s v="Coca-Cola"/>
    <x v="1"/>
    <n v="3"/>
  </r>
  <r>
    <n v="603813404005"/>
    <s v="Pure Drinking Water"/>
    <x v="86"/>
    <x v="114"/>
    <s v="LR"/>
    <s v="Liberty Investment Ltd"/>
    <x v="14"/>
    <n v="37"/>
  </r>
  <r>
    <n v="603813404012"/>
    <s v="water"/>
    <x v="35"/>
    <x v="114"/>
    <s v="LR"/>
    <s v="Liberty Investment Ltd"/>
    <x v="14"/>
    <n v="19"/>
  </r>
  <r>
    <n v="60383029616"/>
    <s v="Apple Juice"/>
    <x v="18"/>
    <x v="36"/>
    <s v="CA"/>
    <s v="Loblaw Companies Ltd"/>
    <x v="1"/>
    <n v="1"/>
  </r>
  <r>
    <n v="60383048426"/>
    <s v="Orange Juice"/>
    <x v="36"/>
    <x v="36"/>
    <s v="CA"/>
    <s v="Loblaw Companies Ltd"/>
    <x v="1"/>
    <n v="1"/>
  </r>
  <r>
    <n v="60383055370"/>
    <s v="Gingerale"/>
    <x v="39"/>
    <x v="36"/>
    <s v="CA"/>
    <s v="Loblaw Companies Ltd"/>
    <x v="1"/>
    <n v="1"/>
  </r>
  <r>
    <n v="60383076610"/>
    <s v="Cranberry Cocktail"/>
    <x v="18"/>
    <x v="36"/>
    <s v="CA"/>
    <s v="Loblaw Companies Ltd"/>
    <x v="1"/>
    <n v="2"/>
  </r>
  <r>
    <n v="60383104177"/>
    <s v="PC Manderin Orange"/>
    <x v="22"/>
    <x v="36"/>
    <s v="CA"/>
    <s v="Loblaw Companies Ltd"/>
    <x v="1"/>
    <n v="1"/>
  </r>
  <r>
    <n v="60383131272"/>
    <s v="Distilled Water"/>
    <x v="42"/>
    <x v="36"/>
    <s v="CA"/>
    <s v="Loblaw Companies Ltd"/>
    <x v="1"/>
    <n v="1"/>
  </r>
  <r>
    <n v="60383132002"/>
    <s v="Original Lemonade"/>
    <x v="18"/>
    <x v="36"/>
    <s v="CA"/>
    <s v="Loblaw Companies Ltd"/>
    <x v="1"/>
    <n v="2"/>
  </r>
  <r>
    <n v="60383132019"/>
    <s v="Peach Lemonade"/>
    <x v="18"/>
    <x v="36"/>
    <s v="CA"/>
    <s v="Loblaw Companies Ltd"/>
    <x v="1"/>
    <n v="1"/>
  </r>
  <r>
    <n v="60383137700"/>
    <s v="Pink Grapefruit juice"/>
    <x v="13"/>
    <x v="36"/>
    <s v="CA"/>
    <s v="Loblaw Companies Ltd"/>
    <x v="1"/>
    <n v="2"/>
  </r>
  <r>
    <n v="60383185251"/>
    <s v="Mango Lemonade"/>
    <x v="18"/>
    <x v="36"/>
    <s v="CA"/>
    <s v="Loblaw Companies Ltd"/>
    <x v="1"/>
    <n v="7"/>
  </r>
  <r>
    <n v="60383653293"/>
    <s v="Natural Spring Water"/>
    <x v="0"/>
    <x v="36"/>
    <s v="CA"/>
    <s v="Loblaw Companies Ltd"/>
    <x v="1"/>
    <n v="38"/>
  </r>
  <r>
    <n v="60383758783"/>
    <s v="Natural Spring Water"/>
    <x v="0"/>
    <x v="115"/>
    <s v="CA"/>
    <s v="Loblaw Companies Ltd"/>
    <x v="1"/>
    <n v="24"/>
  </r>
  <r>
    <n v="60383863449"/>
    <s v="Cranberry Gingerale"/>
    <x v="39"/>
    <x v="36"/>
    <s v="CA"/>
    <s v="Loblaw Companies Ltd"/>
    <x v="1"/>
    <n v="1"/>
  </r>
  <r>
    <n v="60383976552"/>
    <s v="Mediterranean Sea Salts"/>
    <x v="87"/>
    <x v="36"/>
    <s v="CA"/>
    <s v="Loblaw Companies Ltd"/>
    <x v="1"/>
    <n v="1"/>
  </r>
  <r>
    <n v="60383997076"/>
    <s v="Sparkling Water"/>
    <x v="13"/>
    <x v="36"/>
    <s v="CA"/>
    <s v="Loblaw Companies Ltd"/>
    <x v="1"/>
    <n v="3"/>
  </r>
  <r>
    <n v="60410016978"/>
    <s v="Dill pickle flavour potato chips"/>
    <x v="88"/>
    <x v="116"/>
    <s v="US"/>
    <s v="Pepsico, Inc"/>
    <x v="1"/>
    <n v="1"/>
  </r>
  <r>
    <n v="60410018019"/>
    <s v="Doritos Sweet Chili Heat"/>
    <x v="89"/>
    <x v="117"/>
    <s v="US"/>
    <s v="Pepsico, Inc"/>
    <x v="1"/>
    <n v="4"/>
  </r>
  <r>
    <n v="60410018798"/>
    <s v="Cheetos Crunchy Cheedar Jalapeno"/>
    <x v="90"/>
    <x v="18"/>
    <s v="US"/>
    <s v="Pepsico, Inc"/>
    <x v="1"/>
    <n v="1"/>
  </r>
  <r>
    <n v="60410067826"/>
    <s v="Snack Mix"/>
    <x v="91"/>
    <x v="118"/>
    <s v="US"/>
    <s v="Pepsico, Inc"/>
    <x v="1"/>
    <n v="1"/>
  </r>
  <r>
    <n v="605388881243"/>
    <s v="Great Value Water"/>
    <x v="0"/>
    <x v="119"/>
    <s v="US"/>
    <s v="Walmart Inc."/>
    <x v="1"/>
    <n v="27"/>
  </r>
  <r>
    <n v="606110287722"/>
    <s v="Boisson Gazeuse Cola"/>
    <x v="92"/>
    <x v="120"/>
    <s v="ZM"/>
    <s v="Acacia Food and Beverages Ltd"/>
    <x v="10"/>
    <n v="30"/>
  </r>
  <r>
    <n v="606110287739"/>
    <s v="PINEAPPLE"/>
    <x v="76"/>
    <x v="120"/>
    <s v="ZM"/>
    <s v="Acacia Food and Beverages Ltd"/>
    <x v="10"/>
    <n v="5"/>
  </r>
  <r>
    <n v="606110287746"/>
    <s v="Boisson Gazeuse"/>
    <x v="76"/>
    <x v="120"/>
    <s v="ZM"/>
    <s v="Acacia Food and Beverages Ltd"/>
    <x v="10"/>
    <n v="8"/>
  </r>
  <r>
    <n v="606110287753"/>
    <s v="Yess Ginger Beer"/>
    <x v="76"/>
    <x v="120"/>
    <s v="ZM"/>
    <s v="Acacia Food and Beverages Ltd"/>
    <x v="10"/>
    <n v="3"/>
  </r>
  <r>
    <n v="606110287753"/>
    <s v="Yess Ginger Beer"/>
    <x v="76"/>
    <x v="120"/>
    <s v="ZM"/>
    <s v="Acacia Food and Beverages Ltd"/>
    <x v="3"/>
    <n v="425"/>
  </r>
  <r>
    <n v="606110287791"/>
    <s v="Lemonade Boisson Gazeuse"/>
    <x v="76"/>
    <x v="120"/>
    <s v="ZM"/>
    <s v="Acacia Food and Beverages Ltd"/>
    <x v="10"/>
    <n v="30"/>
  </r>
  <r>
    <n v="606110287814"/>
    <s v="Apple Boisson Gazeuse"/>
    <x v="76"/>
    <x v="120"/>
    <s v="ZM"/>
    <s v="Acacia Food and Beverages Ltd"/>
    <x v="10"/>
    <n v="31"/>
  </r>
  <r>
    <n v="606110287968"/>
    <s v="Energy Drink"/>
    <x v="76"/>
    <x v="120"/>
    <s v="ZM"/>
    <s v="Acacia Food and Beverages Ltd"/>
    <x v="10"/>
    <n v="315"/>
  </r>
  <r>
    <n v="606110287968"/>
    <s v="Energy Drink"/>
    <x v="76"/>
    <x v="120"/>
    <s v="ZM"/>
    <s v="Acacia Food and Beverages Ltd"/>
    <x v="3"/>
    <n v="681"/>
  </r>
  <r>
    <n v="606110288088"/>
    <s v="HAVANA COLA"/>
    <x v="76"/>
    <x v="121"/>
    <s v="ZM"/>
    <s v="Acacia Food and Beverages Ltd"/>
    <x v="15"/>
    <n v="2"/>
  </r>
  <r>
    <n v="606110288095"/>
    <s v="Tango Orange Soft Drink"/>
    <x v="76"/>
    <x v="121"/>
    <s v="ZM"/>
    <s v="Acacia Food and Beverages Ltd"/>
    <x v="15"/>
    <n v="10"/>
  </r>
  <r>
    <n v="606110288118"/>
    <s v="Grenadilla"/>
    <x v="76"/>
    <x v="120"/>
    <s v="ZM"/>
    <s v="Acacia Food and Beverages Ltd"/>
    <x v="10"/>
    <n v="14"/>
  </r>
  <r>
    <n v="606110701099"/>
    <s v="Água Purificada"/>
    <x v="0"/>
    <x v="122"/>
    <s v="MZ"/>
    <s v="COGEF Group"/>
    <x v="4"/>
    <n v="93"/>
  </r>
  <r>
    <n v="606110701105"/>
    <s v="Água purificada"/>
    <x v="35"/>
    <x v="122"/>
    <s v="MZ"/>
    <s v="COGEF Group"/>
    <x v="4"/>
    <n v="3"/>
  </r>
  <r>
    <n v="606110701112"/>
    <s v="Água purificada"/>
    <x v="2"/>
    <x v="122"/>
    <s v="MZ"/>
    <s v="COGEF Group"/>
    <x v="4"/>
    <n v="3"/>
  </r>
  <r>
    <n v="606110790734"/>
    <s v="Flavoured Carbonated Soft Drink"/>
    <x v="76"/>
    <x v="123"/>
    <s v="MW"/>
    <s v="Mellet Enterprise"/>
    <x v="3"/>
    <n v="20"/>
  </r>
  <r>
    <n v="608887089158"/>
    <s v="Cream Crackers"/>
    <x v="72"/>
    <x v="124"/>
    <s v="NG"/>
    <s v="Beloxxi Industries Limited"/>
    <x v="6"/>
    <n v="50"/>
  </r>
  <r>
    <n v="608887110692"/>
    <s v="Boisson Gazeuse"/>
    <x v="22"/>
    <x v="125"/>
    <s v="CM"/>
    <s v="UCB"/>
    <x v="13"/>
    <n v="2"/>
  </r>
  <r>
    <n v="608887110753"/>
    <s v="Boisson Gazeuse"/>
    <x v="22"/>
    <x v="125"/>
    <s v="CM"/>
    <s v="UCB"/>
    <x v="13"/>
    <n v="3"/>
  </r>
  <r>
    <n v="608887110890"/>
    <s v="Special Cocktail"/>
    <x v="93"/>
    <x v="126"/>
    <s v="CM"/>
    <s v="UCB"/>
    <x v="13"/>
    <n v="2"/>
  </r>
  <r>
    <n v="608887110968"/>
    <s v="Boisson Gazeuse Sans alcool"/>
    <x v="22"/>
    <x v="126"/>
    <s v="CM"/>
    <s v="UCB"/>
    <x v="13"/>
    <n v="5"/>
  </r>
  <r>
    <n v="610696090768"/>
    <s v="Vimto Gasificado"/>
    <x v="76"/>
    <x v="127"/>
    <s v="GB"/>
    <s v="Nichols plc"/>
    <x v="4"/>
    <n v="23"/>
  </r>
  <r>
    <n v="611355387281"/>
    <s v="Chibwantu"/>
    <x v="40"/>
    <x v="128"/>
    <s v="UK"/>
    <s v="UNKNOWN_ORG"/>
    <x v="15"/>
    <n v="7"/>
  </r>
  <r>
    <n v="612001783037"/>
    <s v="White"/>
    <x v="90"/>
    <x v="129"/>
    <s v="US"/>
    <s v="Mondelēz International, Inc."/>
    <x v="2"/>
    <n v="1"/>
  </r>
  <r>
    <n v="612101726422"/>
    <s v="dairy milk"/>
    <x v="94"/>
    <x v="129"/>
    <s v="US"/>
    <s v="Mondelēz International, Inc."/>
    <x v="2"/>
    <n v="1"/>
  </r>
  <r>
    <n v="612118218422"/>
    <s v="Dairy Milk Buttons"/>
    <x v="95"/>
    <x v="129"/>
    <s v="US"/>
    <s v="Mondelēz International, Inc."/>
    <x v="2"/>
    <n v="1"/>
  </r>
  <r>
    <n v="613008725792"/>
    <s v="Arizona Mucho Mango Fruit Drink"/>
    <x v="7"/>
    <x v="130"/>
    <s v="US"/>
    <s v="AriZona Beverages"/>
    <x v="6"/>
    <n v="13"/>
  </r>
  <r>
    <n v="61314000032"/>
    <s v="Natural Spring Water"/>
    <x v="0"/>
    <x v="38"/>
    <s v="FR"/>
    <s v="Danone S.A."/>
    <x v="1"/>
    <n v="1"/>
  </r>
  <r>
    <n v="61314000070"/>
    <s v="Evian Natural Spring"/>
    <x v="13"/>
    <x v="38"/>
    <s v="FR"/>
    <s v="Danone S.A."/>
    <x v="1"/>
    <n v="8"/>
  </r>
  <r>
    <n v="616050664149"/>
    <s v="Matural Mineral Water"/>
    <x v="96"/>
    <x v="131"/>
    <s v="UG"/>
    <s v="West Lake Water Company SMC Limited"/>
    <x v="5"/>
    <n v="62"/>
  </r>
  <r>
    <n v="617669180563"/>
    <s v="Vanilla"/>
    <x v="97"/>
    <x v="132"/>
    <s v="KE"/>
    <s v="Farming Solutions Ltd"/>
    <x v="0"/>
    <n v="1"/>
  </r>
  <r>
    <n v="617669180570"/>
    <s v="Vanilla"/>
    <x v="98"/>
    <x v="132"/>
    <s v="KE"/>
    <s v="Farming Solutions Ltd"/>
    <x v="0"/>
    <n v="1"/>
  </r>
  <r>
    <n v="6200017"/>
    <s v="Canada Dry Gingerale"/>
    <x v="0"/>
    <x v="110"/>
    <s v="US"/>
    <s v="Keurig Dr Pepper Inc."/>
    <x v="1"/>
    <n v="2"/>
  </r>
  <r>
    <n v="620042152408"/>
    <s v="Canadian Springs"/>
    <x v="0"/>
    <x v="133"/>
    <s v="US"/>
    <s v="Primo Water Corporation"/>
    <x v="1"/>
    <n v="2"/>
  </r>
  <r>
    <n v="620101005218"/>
    <s v="Chocolate Coated Cocoa Wafer"/>
    <x v="99"/>
    <x v="134"/>
    <s v="TR"/>
    <s v="Hazal Biskuvi Ve Gida Sanayi A.S."/>
    <x v="7"/>
    <n v="1"/>
  </r>
  <r>
    <n v="620213015600"/>
    <s v="White Rum"/>
    <x v="24"/>
    <x v="135"/>
    <s v="BM"/>
    <s v="Bacardi Limited"/>
    <x v="1"/>
    <n v="13"/>
  </r>
  <r>
    <n v="620213015709"/>
    <s v="White Rum"/>
    <x v="2"/>
    <x v="135"/>
    <s v="BM"/>
    <s v="Bacardi Limited"/>
    <x v="1"/>
    <n v="9"/>
  </r>
  <r>
    <n v="62100011263"/>
    <s v="GINGER ALE sparkling ginger flavoured drink"/>
    <x v="0"/>
    <x v="110"/>
    <s v="US"/>
    <s v="Keurig Dr Pepper Inc."/>
    <x v="1"/>
    <n v="1"/>
  </r>
  <r>
    <n v="621033967506"/>
    <s v="Água Purificada"/>
    <x v="0"/>
    <x v="136"/>
    <s v="MZ"/>
    <s v="SK Industries, Lda"/>
    <x v="4"/>
    <n v="150"/>
  </r>
  <r>
    <n v="6210519"/>
    <s v="Diet Gingerale"/>
    <x v="0"/>
    <x v="110"/>
    <s v="US"/>
    <s v="Keurig Dr Pepper Inc."/>
    <x v="1"/>
    <n v="2"/>
  </r>
  <r>
    <n v="6211615"/>
    <s v="Pomegranted"/>
    <x v="0"/>
    <x v="110"/>
    <s v="US"/>
    <s v="Keurig Dr Pepper Inc."/>
    <x v="1"/>
    <n v="1"/>
  </r>
  <r>
    <n v="6211712"/>
    <s v="Ginger ale"/>
    <x v="48"/>
    <x v="110"/>
    <s v="US"/>
    <s v="Keurig Dr Pepper Inc."/>
    <x v="1"/>
    <n v="2"/>
  </r>
  <r>
    <n v="6212313"/>
    <s v="Ginger ale Soda"/>
    <x v="3"/>
    <x v="110"/>
    <s v="US"/>
    <s v="Keurig Dr Pepper Inc."/>
    <x v="1"/>
    <n v="1"/>
  </r>
  <r>
    <n v="6215718"/>
    <s v="Ginger Ale"/>
    <x v="12"/>
    <x v="110"/>
    <s v="US"/>
    <s v="Keurig Dr Pepper Inc."/>
    <x v="1"/>
    <n v="6"/>
  </r>
  <r>
    <n v="6221010"/>
    <s v="Canada Dry Gingerale"/>
    <x v="27"/>
    <x v="110"/>
    <s v="US"/>
    <s v="Keurig Dr Pepper Inc."/>
    <x v="1"/>
    <n v="45"/>
  </r>
  <r>
    <n v="623235214839"/>
    <s v="Still Mineral Water"/>
    <x v="13"/>
    <x v="137"/>
    <s v="CH"/>
    <s v="Nestlé S.A."/>
    <x v="2"/>
    <n v="1"/>
  </r>
  <r>
    <n v="626570616672"/>
    <s v="Pure Drinking Water"/>
    <x v="76"/>
    <x v="138"/>
    <s v="TZ"/>
    <s v="Safari Company Ltd"/>
    <x v="7"/>
    <n v="100"/>
  </r>
  <r>
    <n v="627098163365"/>
    <s v="Vodke"/>
    <x v="100"/>
    <x v="139"/>
    <s v="CA"/>
    <s v="CANADIAN ICEBERG VODKA CORPORATION"/>
    <x v="1"/>
    <n v="1"/>
  </r>
  <r>
    <n v="629071000322"/>
    <s v="The Peach Edition"/>
    <x v="50"/>
    <x v="86"/>
    <s v="AT"/>
    <s v="Red Bull GmbH"/>
    <x v="1"/>
    <n v="1"/>
  </r>
  <r>
    <n v="630282995963"/>
    <s v="Pepper Powder"/>
    <x v="101"/>
    <x v="140"/>
    <s v="GH"/>
    <s v="Procus Ghana ltd"/>
    <x v="6"/>
    <n v="45"/>
  </r>
  <r>
    <n v="63124005443"/>
    <s v="Chocolate Milk"/>
    <x v="0"/>
    <x v="40"/>
    <s v="CA"/>
    <s v="Saputo Inc"/>
    <x v="1"/>
    <n v="2"/>
  </r>
  <r>
    <n v="631282994963"/>
    <s v="Hot Pepper Powder"/>
    <x v="102"/>
    <x v="140"/>
    <s v="GH"/>
    <s v="Procus Ghana ltd"/>
    <x v="6"/>
    <n v="50"/>
  </r>
  <r>
    <n v="63209091736"/>
    <s v="Pure Apple Juice"/>
    <x v="3"/>
    <x v="41"/>
    <s v="CA"/>
    <s v="Restaurant Brands International, Inc"/>
    <x v="1"/>
    <n v="8"/>
  </r>
  <r>
    <n v="6328986"/>
    <s v="Peach Passion"/>
    <x v="41"/>
    <x v="41"/>
    <s v="CA"/>
    <s v="Restaurant Brands International, Inc"/>
    <x v="1"/>
    <n v="3"/>
  </r>
  <r>
    <n v="6392192"/>
    <s v="Chocolate Milk"/>
    <x v="22"/>
    <x v="49"/>
    <s v="CA"/>
    <s v="Agropur Cooperative"/>
    <x v="1"/>
    <n v="1"/>
  </r>
  <r>
    <n v="6440060"/>
    <s v="Spring Water"/>
    <x v="0"/>
    <x v="4"/>
    <s v="CA"/>
    <s v="Empire Company Limited"/>
    <x v="1"/>
    <n v="3"/>
  </r>
  <r>
    <n v="64480001018"/>
    <s v="Orange"/>
    <x v="39"/>
    <x v="4"/>
    <s v="CA"/>
    <s v="Empire Company Limited"/>
    <x v="1"/>
    <n v="1"/>
  </r>
  <r>
    <n v="64480001032"/>
    <s v="Root Beer"/>
    <x v="39"/>
    <x v="4"/>
    <s v="CA"/>
    <s v="Empire Company Limited"/>
    <x v="1"/>
    <n v="1"/>
  </r>
  <r>
    <n v="64480001049"/>
    <s v="Ginger Alr"/>
    <x v="39"/>
    <x v="4"/>
    <s v="CA"/>
    <s v="Empire Company Limited"/>
    <x v="1"/>
    <n v="1"/>
  </r>
  <r>
    <n v="64480001100"/>
    <s v="Salt Free Soda Water"/>
    <x v="12"/>
    <x v="4"/>
    <s v="CA"/>
    <s v="Empire Company Limited"/>
    <x v="1"/>
    <n v="7"/>
  </r>
  <r>
    <n v="64480001254"/>
    <s v="Big8 Mountain Burst"/>
    <x v="39"/>
    <x v="4"/>
    <s v="CA"/>
    <s v="Empire Company Limited"/>
    <x v="1"/>
    <n v="2"/>
  </r>
  <r>
    <n v="64480003005"/>
    <s v="Cola"/>
    <x v="50"/>
    <x v="4"/>
    <s v="CA"/>
    <s v="Empire Company Limited"/>
    <x v="1"/>
    <n v="2"/>
  </r>
  <r>
    <n v="64480003012"/>
    <s v="Diet-Cola"/>
    <x v="50"/>
    <x v="4"/>
    <s v="CA"/>
    <s v="Empire Company Limited"/>
    <x v="1"/>
    <n v="4"/>
  </r>
  <r>
    <n v="64480003029"/>
    <s v="Big8"/>
    <x v="34"/>
    <x v="4"/>
    <s v="CA"/>
    <s v="Empire Company Limited"/>
    <x v="1"/>
    <n v="5"/>
  </r>
  <r>
    <n v="64480003043"/>
    <s v="Big8 Rootbeer"/>
    <x v="50"/>
    <x v="4"/>
    <s v="CA"/>
    <s v="Empire Company Limited"/>
    <x v="1"/>
    <n v="2"/>
  </r>
  <r>
    <n v="64480003050"/>
    <s v="big8 Cream Soda"/>
    <x v="50"/>
    <x v="4"/>
    <s v="CA"/>
    <s v="Empire Company Limited"/>
    <x v="1"/>
    <n v="3"/>
  </r>
  <r>
    <n v="64480003067"/>
    <s v="Ginger Ale"/>
    <x v="50"/>
    <x v="4"/>
    <s v="CA"/>
    <s v="Empire Company Limited"/>
    <x v="1"/>
    <n v="2"/>
  </r>
  <r>
    <n v="64480006013"/>
    <s v="Big8 Water"/>
    <x v="0"/>
    <x v="4"/>
    <s v="CA"/>
    <s v="Empire Company Limited"/>
    <x v="1"/>
    <n v="67"/>
  </r>
  <r>
    <n v="64480006150"/>
    <s v="Spring Water"/>
    <x v="103"/>
    <x v="4"/>
    <s v="CA"/>
    <s v="Empire Company Limited"/>
    <x v="1"/>
    <n v="4"/>
  </r>
  <r>
    <n v="64480006259"/>
    <s v="ATLANTIC Pride Spring Water"/>
    <x v="22"/>
    <x v="4"/>
    <s v="CA"/>
    <s v="Empire Company Limited"/>
    <x v="1"/>
    <n v="2"/>
  </r>
  <r>
    <n v="64480095291"/>
    <s v="Pineapple"/>
    <x v="50"/>
    <x v="4"/>
    <s v="CA"/>
    <s v="Empire Company Limited"/>
    <x v="1"/>
    <n v="3"/>
  </r>
  <r>
    <n v="647946942928"/>
    <s v="Classic Sumo de Limão"/>
    <x v="12"/>
    <x v="141"/>
    <s v="UK"/>
    <s v="UNKNOWN_ORG"/>
    <x v="4"/>
    <n v="14"/>
  </r>
  <r>
    <n v="647946949354"/>
    <s v="Água purificada"/>
    <x v="104"/>
    <x v="142"/>
    <s v="GB"/>
    <s v="Boost Drinks LTD"/>
    <x v="4"/>
    <n v="72"/>
  </r>
  <r>
    <n v="647946949378"/>
    <s v="Água purificada"/>
    <x v="105"/>
    <x v="143"/>
    <s v="MZ"/>
    <s v="Aquafria Moçambique, LDA"/>
    <x v="4"/>
    <n v="659"/>
  </r>
  <r>
    <n v="647946949613"/>
    <s v="Purified Water"/>
    <x v="0"/>
    <x v="143"/>
    <s v="MZ"/>
    <s v="Aquafria Moçambique, LDA"/>
    <x v="4"/>
    <n v="65"/>
  </r>
  <r>
    <n v="65400001019"/>
    <s v="Lemon and Lime Flavoured Soft Drink"/>
    <x v="7"/>
    <x v="3"/>
    <s v="US"/>
    <s v="Keurig Dr Pepper Inc."/>
    <x v="1"/>
    <n v="1"/>
  </r>
  <r>
    <n v="65400001019"/>
    <s v="Lemon and Lime Flavoured Soft Drink"/>
    <x v="7"/>
    <x v="3"/>
    <s v="US"/>
    <s v="Keurig Dr Pepper Inc."/>
    <x v="4"/>
    <n v="3"/>
  </r>
  <r>
    <n v="65400005239"/>
    <s v="7up"/>
    <x v="55"/>
    <x v="3"/>
    <s v="US"/>
    <s v="Keurig Dr Pepper Inc."/>
    <x v="1"/>
    <n v="3"/>
  </r>
  <r>
    <n v="65400010219"/>
    <s v="7up"/>
    <x v="50"/>
    <x v="3"/>
    <s v="US"/>
    <s v="Keurig Dr Pepper Inc."/>
    <x v="1"/>
    <n v="1"/>
  </r>
  <r>
    <n v="65400010981"/>
    <s v="Orange"/>
    <x v="43"/>
    <x v="42"/>
    <s v="US"/>
    <s v="Pepsico, Inc"/>
    <x v="1"/>
    <n v="3"/>
  </r>
  <r>
    <n v="65400010998"/>
    <s v="Apple"/>
    <x v="106"/>
    <x v="42"/>
    <s v="US"/>
    <s v="Pepsico, Inc"/>
    <x v="1"/>
    <n v="1"/>
  </r>
  <r>
    <n v="65400011001"/>
    <s v="Strawberry Kiwi Cocktail"/>
    <x v="43"/>
    <x v="42"/>
    <s v="US"/>
    <s v="Pepsico, Inc"/>
    <x v="1"/>
    <n v="5"/>
  </r>
  <r>
    <n v="65400011254"/>
    <s v="Juice Cocktail"/>
    <x v="43"/>
    <x v="42"/>
    <s v="US"/>
    <s v="Pepsico, Inc"/>
    <x v="1"/>
    <n v="3"/>
  </r>
  <r>
    <n v="6547339"/>
    <s v="7ip"/>
    <x v="39"/>
    <x v="51"/>
    <s v="US"/>
    <s v="Pepsico, Inc"/>
    <x v="1"/>
    <n v="1"/>
  </r>
  <r>
    <n v="6547436"/>
    <s v="Zero"/>
    <x v="12"/>
    <x v="3"/>
    <s v="US"/>
    <s v="Keurig Dr Pepper Inc."/>
    <x v="1"/>
    <n v="4"/>
  </r>
  <r>
    <n v="655003919240"/>
    <s v="White Rum"/>
    <x v="24"/>
    <x v="144"/>
    <s v="CA"/>
    <s v="Halifax Distilling Co."/>
    <x v="1"/>
    <n v="5"/>
  </r>
  <r>
    <n v="65684112647"/>
    <s v="Greek Yoghurt"/>
    <x v="4"/>
    <x v="145"/>
    <s v="US"/>
    <s v="General Mills, Inc"/>
    <x v="1"/>
    <n v="1"/>
  </r>
  <r>
    <n v="65684116157"/>
    <s v="Liberté"/>
    <x v="13"/>
    <x v="145"/>
    <s v="US"/>
    <s v="General Mills, Inc"/>
    <x v="1"/>
    <n v="1"/>
  </r>
  <r>
    <n v="659048179157"/>
    <s v="Cola"/>
    <x v="23"/>
    <x v="146"/>
    <s v="CD"/>
    <s v="Mega Congo SARL"/>
    <x v="10"/>
    <n v="2"/>
  </r>
  <r>
    <n v="659048179164"/>
    <s v="Grenadine"/>
    <x v="23"/>
    <x v="146"/>
    <s v="CD"/>
    <s v="Mega Congo SARL"/>
    <x v="10"/>
    <n v="1"/>
  </r>
  <r>
    <n v="659048179171"/>
    <s v="Orange"/>
    <x v="23"/>
    <x v="146"/>
    <s v="CD"/>
    <s v="Mega Congo SARL"/>
    <x v="10"/>
    <n v="1"/>
  </r>
  <r>
    <n v="659525423797"/>
    <s v="Lemon Carbonated Soft Drink"/>
    <x v="14"/>
    <x v="147"/>
    <s v="MZ"/>
    <s v="Fiesta Moçambique Lda."/>
    <x v="4"/>
    <n v="1"/>
  </r>
  <r>
    <n v="66800020228"/>
    <s v="Nesquik Vanilla"/>
    <x v="41"/>
    <x v="14"/>
    <s v="CH"/>
    <s v="Nestlé S.A."/>
    <x v="1"/>
    <n v="3"/>
  </r>
  <r>
    <n v="66800020228"/>
    <s v="Nesquik Vanilla"/>
    <x v="41"/>
    <x v="14"/>
    <s v="CH"/>
    <s v="Nestlé S.A."/>
    <x v="5"/>
    <n v="1"/>
  </r>
  <r>
    <n v="66800020235"/>
    <s v="Rolo"/>
    <x v="41"/>
    <x v="14"/>
    <s v="CH"/>
    <s v="Nestlé S.A."/>
    <x v="1"/>
    <n v="1"/>
  </r>
  <r>
    <n v="66800020242"/>
    <s v="Coffee Crisp Chocolate Milk"/>
    <x v="41"/>
    <x v="14"/>
    <s v="CH"/>
    <s v="Nestlé S.A."/>
    <x v="1"/>
    <n v="4"/>
  </r>
  <r>
    <n v="67000004452"/>
    <s v="Orange Flavour Carbonated Drink"/>
    <x v="0"/>
    <x v="44"/>
    <s v="US"/>
    <s v="Coca-Cola"/>
    <x v="1"/>
    <n v="2"/>
  </r>
  <r>
    <n v="67000011627"/>
    <s v="Orange"/>
    <x v="0"/>
    <x v="44"/>
    <s v="US"/>
    <s v="Coca-Cola"/>
    <x v="1"/>
    <n v="1"/>
  </r>
  <r>
    <n v="67000011689"/>
    <s v="Sprite Lemonade Legacy"/>
    <x v="0"/>
    <x v="148"/>
    <s v="US"/>
    <s v="Coca-Cola"/>
    <x v="1"/>
    <n v="1"/>
  </r>
  <r>
    <n v="67000011900"/>
    <s v="Zero Orange"/>
    <x v="6"/>
    <x v="149"/>
    <s v="US"/>
    <s v="Coca-Cola"/>
    <x v="1"/>
    <n v="1"/>
  </r>
  <r>
    <n v="67000104022"/>
    <s v="Original Taste"/>
    <x v="27"/>
    <x v="1"/>
    <s v="US"/>
    <s v="Coca-Cola"/>
    <x v="1"/>
    <n v="34"/>
  </r>
  <r>
    <n v="67000107467"/>
    <s v="Coca-Cola Zero Sugar"/>
    <x v="27"/>
    <x v="1"/>
    <s v="US"/>
    <s v="Coca-Cola"/>
    <x v="1"/>
    <n v="8"/>
  </r>
  <r>
    <n v="6701468"/>
    <s v="Coke Zero"/>
    <x v="39"/>
    <x v="1"/>
    <s v="US"/>
    <s v="Coca-Cola"/>
    <x v="1"/>
    <n v="1"/>
  </r>
  <r>
    <n v="6702106"/>
    <s v="Zero Sugar"/>
    <x v="39"/>
    <x v="1"/>
    <s v="US"/>
    <s v="Coca-Cola"/>
    <x v="1"/>
    <n v="1"/>
  </r>
  <r>
    <n v="6717401"/>
    <s v="Purified Water"/>
    <x v="7"/>
    <x v="150"/>
    <s v="US"/>
    <s v="Coca-Cola"/>
    <x v="1"/>
    <n v="49"/>
  </r>
  <r>
    <n v="6717508"/>
    <s v="Dasani"/>
    <x v="22"/>
    <x v="1"/>
    <s v="US"/>
    <s v="Coca-Cola"/>
    <x v="1"/>
    <n v="1"/>
  </r>
  <r>
    <n v="671785501008"/>
    <s v="Eska Water"/>
    <x v="0"/>
    <x v="151"/>
    <s v="CA"/>
    <s v="ESKA Inc."/>
    <x v="1"/>
    <n v="14"/>
  </r>
  <r>
    <n v="6720007"/>
    <s v="Dasani Reminerized Water"/>
    <x v="50"/>
    <x v="150"/>
    <s v="US"/>
    <s v="Coca-Cola"/>
    <x v="1"/>
    <n v="3"/>
  </r>
  <r>
    <n v="67311020110"/>
    <s v="Orange"/>
    <x v="3"/>
    <x v="47"/>
    <s v="CA"/>
    <s v="Industries Lassonde Inc."/>
    <x v="1"/>
    <n v="14"/>
  </r>
  <r>
    <n v="67311028338"/>
    <s v="Oasis Pineapple"/>
    <x v="107"/>
    <x v="47"/>
    <s v="CA"/>
    <s v="Industries Lassonde Inc."/>
    <x v="1"/>
    <n v="1"/>
  </r>
  <r>
    <n v="67311141273"/>
    <s v="Oasis Apple Calcium"/>
    <x v="3"/>
    <x v="47"/>
    <s v="CA"/>
    <s v="Industries Lassonde Inc."/>
    <x v="1"/>
    <n v="4"/>
  </r>
  <r>
    <n v="67311141273"/>
    <s v="Oasis Apple Calcium"/>
    <x v="3"/>
    <x v="47"/>
    <s v="CA"/>
    <s v="Industries Lassonde Inc."/>
    <x v="5"/>
    <n v="4"/>
  </r>
  <r>
    <n v="67311723134"/>
    <s v="Peach Cocktail"/>
    <x v="46"/>
    <x v="48"/>
    <s v="CA"/>
    <s v="Industries Lassonde Inc."/>
    <x v="1"/>
    <n v="2"/>
  </r>
  <r>
    <n v="6741602"/>
    <s v="Original Taste"/>
    <x v="13"/>
    <x v="1"/>
    <s v="US"/>
    <s v="Coca-Cola"/>
    <x v="1"/>
    <n v="2"/>
  </r>
  <r>
    <n v="6742708"/>
    <s v="Original"/>
    <x v="12"/>
    <x v="1"/>
    <s v="US"/>
    <s v="Coca-Cola"/>
    <x v="1"/>
    <n v="6"/>
  </r>
  <r>
    <n v="6746209"/>
    <s v="Coca-Cola"/>
    <x v="0"/>
    <x v="1"/>
    <s v="US"/>
    <s v="Coca-Cola"/>
    <x v="1"/>
    <n v="26"/>
  </r>
  <r>
    <n v="6746306"/>
    <s v="Coca-cola Zero Sugar"/>
    <x v="0"/>
    <x v="1"/>
    <s v="US"/>
    <s v="Coca-Cola"/>
    <x v="1"/>
    <n v="4"/>
  </r>
  <r>
    <n v="6746403"/>
    <s v="Diet Coke"/>
    <x v="0"/>
    <x v="1"/>
    <s v="US"/>
    <s v="Coca-Cola"/>
    <x v="1"/>
    <n v="18"/>
  </r>
  <r>
    <n v="6746500"/>
    <s v="Lemon Lime"/>
    <x v="0"/>
    <x v="148"/>
    <s v="US"/>
    <s v="Coca-Cola"/>
    <x v="1"/>
    <n v="14"/>
  </r>
  <r>
    <n v="6747606"/>
    <s v="Powerade Fruit Punch"/>
    <x v="7"/>
    <x v="149"/>
    <s v="US"/>
    <s v="Coca-Cola"/>
    <x v="1"/>
    <n v="2"/>
  </r>
  <r>
    <n v="6747907"/>
    <s v="Orange"/>
    <x v="7"/>
    <x v="149"/>
    <s v="US"/>
    <s v="Coca-Cola"/>
    <x v="1"/>
    <n v="8"/>
  </r>
  <r>
    <n v="6748003"/>
    <s v="Grape"/>
    <x v="7"/>
    <x v="149"/>
    <s v="US"/>
    <s v="Coca-Cola"/>
    <x v="1"/>
    <n v="4"/>
  </r>
  <r>
    <n v="6748508"/>
    <s v="Mixed Beery"/>
    <x v="27"/>
    <x v="149"/>
    <s v="US"/>
    <s v="Coca-Cola"/>
    <x v="1"/>
    <n v="11"/>
  </r>
  <r>
    <n v="6748605"/>
    <s v="PowerAde Fruit Punch"/>
    <x v="27"/>
    <x v="149"/>
    <s v="US"/>
    <s v="Coca-Cola"/>
    <x v="1"/>
    <n v="2"/>
  </r>
  <r>
    <n v="6748702"/>
    <s v="Orange"/>
    <x v="27"/>
    <x v="149"/>
    <s v="US"/>
    <s v="Coca-Cola"/>
    <x v="1"/>
    <n v="1"/>
  </r>
  <r>
    <n v="6748809"/>
    <s v="Melon-Pineapple"/>
    <x v="27"/>
    <x v="149"/>
    <s v="US"/>
    <s v="Coca-Cola"/>
    <x v="1"/>
    <n v="3"/>
  </r>
  <r>
    <n v="6748906"/>
    <s v="PowerAde Grape"/>
    <x v="27"/>
    <x v="149"/>
    <s v="US"/>
    <s v="Coca-Cola"/>
    <x v="1"/>
    <n v="2"/>
  </r>
  <r>
    <n v="6749002"/>
    <s v="Stawberry Lemonade"/>
    <x v="27"/>
    <x v="149"/>
    <s v="US"/>
    <s v="Coca-Cola"/>
    <x v="1"/>
    <n v="4"/>
  </r>
  <r>
    <n v="6750600"/>
    <s v="Lemon Lime"/>
    <x v="12"/>
    <x v="148"/>
    <s v="US"/>
    <s v="Coca-Cola"/>
    <x v="1"/>
    <n v="3"/>
  </r>
  <r>
    <n v="6750600"/>
    <s v="Lemon Lime"/>
    <x v="12"/>
    <x v="148"/>
    <s v="US"/>
    <s v="Coca-Cola"/>
    <x v="4"/>
    <n v="120"/>
  </r>
  <r>
    <n v="6756905"/>
    <s v="Vanilla"/>
    <x v="0"/>
    <x v="1"/>
    <s v="US"/>
    <s v="Coca-Cola"/>
    <x v="1"/>
    <n v="1"/>
  </r>
  <r>
    <n v="6757700"/>
    <s v="Blue Raspberry Cherry"/>
    <x v="27"/>
    <x v="149"/>
    <s v="US"/>
    <s v="Coca-Cola"/>
    <x v="1"/>
    <n v="1"/>
  </r>
  <r>
    <n v="6757807"/>
    <s v="White Cherry"/>
    <x v="27"/>
    <x v="149"/>
    <s v="US"/>
    <s v="Coca-Cola"/>
    <x v="1"/>
    <n v="1"/>
  </r>
  <r>
    <n v="6780504"/>
    <s v="Original Taste"/>
    <x v="3"/>
    <x v="1"/>
    <s v="US"/>
    <s v="Coca-Cola"/>
    <x v="1"/>
    <n v="21"/>
  </r>
  <r>
    <n v="6780601"/>
    <s v="Diet Coke"/>
    <x v="3"/>
    <x v="1"/>
    <s v="US"/>
    <s v="Coca-Cola"/>
    <x v="1"/>
    <n v="4"/>
  </r>
  <r>
    <n v="6780805"/>
    <s v="Sprite Lemin Lime"/>
    <x v="3"/>
    <x v="148"/>
    <s v="US"/>
    <s v="Coca-Cola"/>
    <x v="1"/>
    <n v="4"/>
  </r>
  <r>
    <n v="6781804"/>
    <s v="Cherry Cocacola Zero Sugar"/>
    <x v="0"/>
    <x v="1"/>
    <s v="US"/>
    <s v="Coca-Cola"/>
    <x v="1"/>
    <n v="1"/>
  </r>
  <r>
    <n v="6790608"/>
    <s v="Diet Coke"/>
    <x v="13"/>
    <x v="1"/>
    <s v="US"/>
    <s v="Coca-Cola"/>
    <x v="1"/>
    <n v="2"/>
  </r>
  <r>
    <n v="6791801"/>
    <s v="Original Taste"/>
    <x v="48"/>
    <x v="1"/>
    <s v="US"/>
    <s v="Coca-Cola"/>
    <x v="1"/>
    <n v="2"/>
  </r>
  <r>
    <n v="6792004"/>
    <s v="Coke Zero"/>
    <x v="48"/>
    <x v="1"/>
    <s v="US"/>
    <s v="Coca-Cola"/>
    <x v="1"/>
    <n v="1"/>
  </r>
  <r>
    <n v="6792101"/>
    <s v="Sprite Lemon Lime"/>
    <x v="48"/>
    <x v="148"/>
    <s v="US"/>
    <s v="Coca-Cola"/>
    <x v="1"/>
    <n v="2"/>
  </r>
  <r>
    <n v="6796000"/>
    <s v="Cherry Bite"/>
    <x v="0"/>
    <x v="46"/>
    <s v="US"/>
    <s v="Coca-Cola"/>
    <x v="1"/>
    <n v="1"/>
  </r>
  <r>
    <n v="6796000"/>
    <s v="Cherry Bite"/>
    <x v="0"/>
    <x v="46"/>
    <s v="US"/>
    <s v="Coca-Cola"/>
    <x v="3"/>
    <n v="169"/>
  </r>
  <r>
    <n v="67997020558"/>
    <s v="Farmers 1L Chocolate"/>
    <x v="22"/>
    <x v="49"/>
    <s v="CA"/>
    <s v="Agropur Cooperative"/>
    <x v="1"/>
    <n v="2"/>
  </r>
  <r>
    <n v="67997719995"/>
    <s v="Farmers 2% MF"/>
    <x v="41"/>
    <x v="49"/>
    <s v="CA"/>
    <s v="Agropur Cooperative"/>
    <x v="1"/>
    <n v="2"/>
  </r>
  <r>
    <n v="67997720199"/>
    <s v="Chocolate Milk"/>
    <x v="41"/>
    <x v="49"/>
    <s v="CA"/>
    <s v="Agropur Cooperative"/>
    <x v="1"/>
    <n v="16"/>
  </r>
  <r>
    <n v="680018009020"/>
    <s v="OBA Makarna Spaghetti"/>
    <x v="66"/>
    <x v="152"/>
    <s v="TR"/>
    <s v="OBA MAKARNACILIK SAN. VE TIC. A.Ş."/>
    <x v="6"/>
    <n v="50"/>
  </r>
  <r>
    <n v="681103202531"/>
    <s v="Sumo sabor manga"/>
    <x v="2"/>
    <x v="153"/>
    <s v="MZ"/>
    <s v="Aoshida Industry"/>
    <x v="4"/>
    <n v="252"/>
  </r>
  <r>
    <n v="681103202586"/>
    <s v="Sumo sabor limão e laranja"/>
    <x v="76"/>
    <x v="153"/>
    <s v="MZ"/>
    <s v="Aoshida Industry"/>
    <x v="4"/>
    <n v="1"/>
  </r>
  <r>
    <n v="681103202593"/>
    <s v="Sumo Suco de maçã"/>
    <x v="76"/>
    <x v="153"/>
    <s v="MZ"/>
    <s v="Aoshida Industry"/>
    <x v="4"/>
    <n v="453"/>
  </r>
  <r>
    <n v="681103202609"/>
    <s v="Sumo sabor a banana"/>
    <x v="76"/>
    <x v="153"/>
    <s v="MZ"/>
    <s v="Aoshida Industry"/>
    <x v="4"/>
    <n v="101"/>
  </r>
  <r>
    <n v="681103202678"/>
    <s v="Sumo Iogurte de frutas"/>
    <x v="22"/>
    <x v="153"/>
    <s v="MZ"/>
    <s v="Aoshida Industry"/>
    <x v="4"/>
    <n v="1"/>
  </r>
  <r>
    <n v="681103202722"/>
    <s v="Sumo sabor a uva"/>
    <x v="76"/>
    <x v="153"/>
    <s v="MZ"/>
    <s v="Aoshida Industry"/>
    <x v="4"/>
    <n v="1"/>
  </r>
  <r>
    <n v="68274000072"/>
    <s v="Pure Life Natural Spring Water"/>
    <x v="27"/>
    <x v="39"/>
    <s v="CH"/>
    <s v="Nestlé S.A."/>
    <x v="1"/>
    <n v="4"/>
  </r>
  <r>
    <n v="68274193996"/>
    <s v="Lemon"/>
    <x v="0"/>
    <x v="154"/>
    <s v="US"/>
    <s v="BlueTriton Brands, Inc"/>
    <x v="1"/>
    <n v="26"/>
  </r>
  <r>
    <n v="68274194665"/>
    <s v="Splash Blast Raspberry"/>
    <x v="0"/>
    <x v="154"/>
    <s v="US"/>
    <s v="BlueTriton Brands, Inc"/>
    <x v="1"/>
    <n v="1"/>
  </r>
  <r>
    <n v="68274264450"/>
    <s v="Wildberry"/>
    <x v="0"/>
    <x v="154"/>
    <s v="US"/>
    <s v="BlueTriton Brands, Inc"/>
    <x v="1"/>
    <n v="2"/>
  </r>
  <r>
    <n v="68274264498"/>
    <s v="Grape"/>
    <x v="0"/>
    <x v="154"/>
    <s v="US"/>
    <s v="BlueTriton Brands, Inc"/>
    <x v="1"/>
    <n v="20"/>
  </r>
  <r>
    <n v="68274311475"/>
    <s v="Sparkling Lemon"/>
    <x v="22"/>
    <x v="39"/>
    <s v="CH"/>
    <s v="Nestlé S.A."/>
    <x v="1"/>
    <n v="1"/>
  </r>
  <r>
    <n v="68274311482"/>
    <s v="Sparkling Lime"/>
    <x v="22"/>
    <x v="39"/>
    <s v="CH"/>
    <s v="Nestlé S.A."/>
    <x v="1"/>
    <n v="1"/>
  </r>
  <r>
    <n v="6827465"/>
    <s v="Still Spring Water"/>
    <x v="0"/>
    <x v="39"/>
    <s v="CH"/>
    <s v="Nestlé S.A."/>
    <x v="2"/>
    <n v="1"/>
  </r>
  <r>
    <n v="684910297783"/>
    <s v="Maracuja"/>
    <x v="14"/>
    <x v="146"/>
    <s v="CD"/>
    <s v="Mega Congo SARL"/>
    <x v="10"/>
    <n v="3"/>
  </r>
  <r>
    <n v="68493427186"/>
    <s v="Natural Spring Water"/>
    <x v="0"/>
    <x v="155"/>
    <s v="CA"/>
    <s v="Ice River Sustainable Solutions"/>
    <x v="1"/>
    <n v="5"/>
  </r>
  <r>
    <n v="6854836"/>
    <s v="Kombucha"/>
    <x v="93"/>
    <x v="156"/>
    <s v="UK"/>
    <s v="UNKNOWN_ORG"/>
    <x v="3"/>
    <n v="100"/>
  </r>
  <r>
    <n v="6854836"/>
    <s v="Kombucha"/>
    <x v="93"/>
    <x v="156"/>
    <s v="UK"/>
    <s v="UNKNOWN_ORG"/>
    <x v="4"/>
    <n v="278"/>
  </r>
  <r>
    <n v="68700302572"/>
    <s v="Milk 2Go"/>
    <x v="48"/>
    <x v="50"/>
    <s v="CA"/>
    <s v="Saputo Inc"/>
    <x v="1"/>
    <n v="3"/>
  </r>
  <r>
    <n v="69000009826"/>
    <s v="Cola"/>
    <x v="22"/>
    <x v="51"/>
    <s v="US"/>
    <s v="Pepsico, Inc"/>
    <x v="1"/>
    <n v="3"/>
  </r>
  <r>
    <n v="69000009840"/>
    <s v="Pepsi"/>
    <x v="108"/>
    <x v="51"/>
    <s v="US"/>
    <s v="Pepsico, Inc"/>
    <x v="1"/>
    <n v="3"/>
  </r>
  <r>
    <n v="69000010020"/>
    <s v="Cola"/>
    <x v="50"/>
    <x v="51"/>
    <s v="US"/>
    <s v="Pepsico, Inc"/>
    <x v="1"/>
    <n v="6"/>
  </r>
  <r>
    <n v="69000010631"/>
    <s v="Diet Pepsi"/>
    <x v="13"/>
    <x v="51"/>
    <s v="US"/>
    <s v="Pepsico, Inc"/>
    <x v="1"/>
    <n v="1"/>
  </r>
  <r>
    <n v="69000010785"/>
    <s v="diet pepsi"/>
    <x v="76"/>
    <x v="51"/>
    <s v="US"/>
    <s v="Pepsico, Inc"/>
    <x v="1"/>
    <n v="1"/>
  </r>
  <r>
    <n v="69000013748"/>
    <s v="Pepsi Zero Sugar"/>
    <x v="7"/>
    <x v="51"/>
    <s v="US"/>
    <s v="Pepsico, Inc"/>
    <x v="1"/>
    <n v="5"/>
  </r>
  <r>
    <n v="69000013830"/>
    <s v="Zero"/>
    <x v="27"/>
    <x v="51"/>
    <s v="US"/>
    <s v="Pepsico, Inc"/>
    <x v="1"/>
    <n v="1"/>
  </r>
  <r>
    <n v="69000016213"/>
    <s v="Lemon Iced Tea"/>
    <x v="7"/>
    <x v="52"/>
    <s v="US"/>
    <s v="Pepsico, Inc"/>
    <x v="1"/>
    <n v="5"/>
  </r>
  <r>
    <n v="69000019832"/>
    <s v="Diet Pepsi"/>
    <x v="7"/>
    <x v="51"/>
    <s v="US"/>
    <s v="Pepsico, Inc"/>
    <x v="1"/>
    <n v="9"/>
  </r>
  <r>
    <n v="69000020081"/>
    <s v="Mountain Dew"/>
    <x v="12"/>
    <x v="54"/>
    <s v="US"/>
    <s v="Pepsico, Inc"/>
    <x v="1"/>
    <n v="1"/>
  </r>
  <r>
    <n v="69000040607"/>
    <s v="Root beer"/>
    <x v="28"/>
    <x v="53"/>
    <s v="US"/>
    <s v="Pepsico, Inc"/>
    <x v="1"/>
    <n v="10"/>
  </r>
  <r>
    <n v="69000050569"/>
    <s v="Drink"/>
    <x v="0"/>
    <x v="54"/>
    <s v="US"/>
    <s v="Pepsico, Inc"/>
    <x v="1"/>
    <n v="4"/>
  </r>
  <r>
    <n v="69000052273"/>
    <s v="Orange Tangerine"/>
    <x v="28"/>
    <x v="55"/>
    <s v="US"/>
    <s v="Pepsico, Inc"/>
    <x v="1"/>
    <n v="3"/>
  </r>
  <r>
    <n v="69000052617"/>
    <s v="Black &amp; Blueberry"/>
    <x v="7"/>
    <x v="55"/>
    <s v="US"/>
    <s v="Pepsico, Inc"/>
    <x v="1"/>
    <n v="1"/>
  </r>
  <r>
    <n v="69000061008"/>
    <s v="pure water"/>
    <x v="0"/>
    <x v="55"/>
    <s v="US"/>
    <s v="Pepsico, Inc"/>
    <x v="1"/>
    <n v="14"/>
  </r>
  <r>
    <n v="69000061015"/>
    <s v="Pure water, perfect taste"/>
    <x v="7"/>
    <x v="55"/>
    <s v="US"/>
    <s v="Pepsico, Inc"/>
    <x v="1"/>
    <n v="15"/>
  </r>
  <r>
    <n v="69000061015"/>
    <s v="Pure water, perfect taste"/>
    <x v="7"/>
    <x v="55"/>
    <s v="US"/>
    <s v="Pepsico, Inc"/>
    <x v="5"/>
    <n v="2"/>
  </r>
  <r>
    <n v="69000061039"/>
    <s v="Water"/>
    <x v="27"/>
    <x v="55"/>
    <s v="US"/>
    <s v="Pepsico, Inc"/>
    <x v="1"/>
    <n v="1"/>
  </r>
  <r>
    <n v="69000061053"/>
    <s v="pure water perfect taste"/>
    <x v="35"/>
    <x v="55"/>
    <s v="US"/>
    <s v="Pepsico, Inc"/>
    <x v="1"/>
    <n v="1"/>
  </r>
  <r>
    <n v="69000061053"/>
    <s v="pure water perfect taste"/>
    <x v="35"/>
    <x v="55"/>
    <s v="US"/>
    <s v="Pepsico, Inc"/>
    <x v="5"/>
    <n v="2"/>
  </r>
  <r>
    <n v="69000070116"/>
    <s v="Lemonade"/>
    <x v="7"/>
    <x v="52"/>
    <s v="US"/>
    <s v="Pepsico, Inc"/>
    <x v="1"/>
    <n v="2"/>
  </r>
  <r>
    <n v="69000147344"/>
    <s v="Voltage"/>
    <x v="7"/>
    <x v="54"/>
    <s v="US"/>
    <s v="Pepsico, Inc"/>
    <x v="1"/>
    <n v="7"/>
  </r>
  <r>
    <n v="69000154939"/>
    <s v="Mountain Dew Baja Blast"/>
    <x v="7"/>
    <x v="54"/>
    <s v="US"/>
    <s v="Pepsico, Inc"/>
    <x v="1"/>
    <n v="5"/>
  </r>
  <r>
    <n v="69000158715"/>
    <s v="Pitch Black Citrus Punch"/>
    <x v="7"/>
    <x v="54"/>
    <s v="US"/>
    <s v="Pepsico, Inc"/>
    <x v="1"/>
    <n v="5"/>
  </r>
  <r>
    <n v="69000158920"/>
    <s v="Major Melin"/>
    <x v="7"/>
    <x v="54"/>
    <s v="US"/>
    <s v="Pepsico, Inc"/>
    <x v="1"/>
    <n v="2"/>
  </r>
  <r>
    <n v="69000159286"/>
    <s v="Spark Raspberry Lemonade"/>
    <x v="7"/>
    <x v="54"/>
    <s v="US"/>
    <s v="Pepsico, Inc"/>
    <x v="1"/>
    <n v="3"/>
  </r>
  <r>
    <n v="69000160671"/>
    <s v="VooDew"/>
    <x v="7"/>
    <x v="54"/>
    <s v="US"/>
    <s v="Pepsico, Inc"/>
    <x v="1"/>
    <n v="3"/>
  </r>
  <r>
    <n v="6900700"/>
    <s v="Pepsi Cola"/>
    <x v="22"/>
    <x v="51"/>
    <s v="US"/>
    <s v="Pepsico, Inc"/>
    <x v="1"/>
    <n v="2"/>
  </r>
  <r>
    <n v="6926102"/>
    <s v="Pepsi"/>
    <x v="12"/>
    <x v="51"/>
    <s v="US"/>
    <s v="Pepsico, Inc"/>
    <x v="1"/>
    <n v="5"/>
  </r>
  <r>
    <n v="6998206"/>
    <s v="Pepsi"/>
    <x v="13"/>
    <x v="51"/>
    <s v="US"/>
    <s v="Pepsico, Inc"/>
    <x v="1"/>
    <n v="9"/>
  </r>
  <r>
    <n v="6999100"/>
    <s v="Cola"/>
    <x v="28"/>
    <x v="51"/>
    <s v="US"/>
    <s v="Pepsico, Inc"/>
    <x v="1"/>
    <n v="2"/>
  </r>
  <r>
    <n v="6999108"/>
    <s v="Pepsi"/>
    <x v="7"/>
    <x v="51"/>
    <s v="US"/>
    <s v="Pepsico, Inc"/>
    <x v="1"/>
    <n v="17"/>
  </r>
  <r>
    <n v="700083059390"/>
    <s v="Xtreme Wafer Sticks Chocolaty Flavour"/>
    <x v="109"/>
    <x v="157"/>
    <s v="IN"/>
    <s v="Sukhdata Foods Pvt. Ltd."/>
    <x v="4"/>
    <n v="2"/>
  </r>
  <r>
    <n v="700083059826"/>
    <s v="Uva"/>
    <x v="48"/>
    <x v="158"/>
    <s v="CO"/>
    <s v="Ardila Lulle"/>
    <x v="4"/>
    <n v="328"/>
  </r>
  <r>
    <n v="700083060006"/>
    <s v="Energy Drink"/>
    <x v="76"/>
    <x v="142"/>
    <s v="GB"/>
    <s v="Boost Drinks LTD"/>
    <x v="4"/>
    <n v="1"/>
  </r>
  <r>
    <n v="700083060273"/>
    <s v="Orange"/>
    <x v="76"/>
    <x v="159"/>
    <s v="ZM"/>
    <s v="Sparkle Investments Ltd"/>
    <x v="10"/>
    <n v="6"/>
  </r>
  <r>
    <n v="700083060280"/>
    <s v="Cola"/>
    <x v="76"/>
    <x v="159"/>
    <s v="ZM"/>
    <s v="Sparkle Investments Ltd"/>
    <x v="10"/>
    <n v="5"/>
  </r>
  <r>
    <n v="700083060297"/>
    <s v="Ginger"/>
    <x v="76"/>
    <x v="159"/>
    <s v="ZM"/>
    <s v="Sparkle Investments Ltd"/>
    <x v="10"/>
    <n v="4"/>
  </r>
  <r>
    <n v="700083060679"/>
    <s v="Pineapple"/>
    <x v="76"/>
    <x v="159"/>
    <s v="ZM"/>
    <s v="Sparkle Investments Ltd"/>
    <x v="10"/>
    <n v="12"/>
  </r>
  <r>
    <n v="700083060709"/>
    <s v="Cola"/>
    <x v="76"/>
    <x v="160"/>
    <s v="ZM"/>
    <s v="Sparkle Investments Ltd"/>
    <x v="10"/>
    <n v="1"/>
  </r>
  <r>
    <n v="700083060730"/>
    <s v="Lemon"/>
    <x v="76"/>
    <x v="160"/>
    <s v="ZM"/>
    <s v="Sparkle Investments Ltd"/>
    <x v="10"/>
    <n v="3"/>
  </r>
  <r>
    <n v="700083060815"/>
    <s v="Boisson Gazeuse"/>
    <x v="76"/>
    <x v="128"/>
    <s v="UK"/>
    <s v="UNKNOWN_ORG"/>
    <x v="10"/>
    <n v="1"/>
  </r>
  <r>
    <n v="701197345706"/>
    <s v="NEBAZ Water"/>
    <x v="0"/>
    <x v="161"/>
    <s v="MT"/>
    <s v="Island Beverages Ltd"/>
    <x v="3"/>
    <n v="24"/>
  </r>
  <r>
    <n v="701698525010"/>
    <s v="Agua Mineral"/>
    <x v="0"/>
    <x v="162"/>
    <s v="MZ"/>
    <s v="Matisana Lda"/>
    <x v="4"/>
    <n v="267"/>
  </r>
  <r>
    <n v="701698525027"/>
    <s v="Agua Mineral"/>
    <x v="35"/>
    <x v="162"/>
    <s v="MZ"/>
    <s v="Matisana Lda"/>
    <x v="4"/>
    <n v="119"/>
  </r>
  <r>
    <n v="701698525034"/>
    <s v="Água mineral"/>
    <x v="11"/>
    <x v="162"/>
    <s v="MZ"/>
    <s v="Matisana Lda"/>
    <x v="4"/>
    <n v="22"/>
  </r>
  <r>
    <n v="705632476345"/>
    <s v="High Quality Natural Water"/>
    <x v="0"/>
    <x v="163"/>
    <s v="MW"/>
    <s v="Lilongwe Beverages Ltd"/>
    <x v="3"/>
    <n v="245"/>
  </r>
  <r>
    <n v="705632559215"/>
    <s v="Aquina Water"/>
    <x v="0"/>
    <x v="164"/>
    <s v="CH"/>
    <s v="Coop Coperative"/>
    <x v="0"/>
    <n v="17"/>
  </r>
  <r>
    <n v="705632559222"/>
    <s v="Aquina water"/>
    <x v="110"/>
    <x v="164"/>
    <s v="CH"/>
    <s v="Coop Coperative"/>
    <x v="0"/>
    <n v="6"/>
  </r>
  <r>
    <n v="705632559222"/>
    <s v="Aquina water"/>
    <x v="110"/>
    <x v="164"/>
    <s v="CH"/>
    <s v="Coop Coperative"/>
    <x v="12"/>
    <n v="11"/>
  </r>
  <r>
    <n v="705632600955"/>
    <s v="Klori-Pure"/>
    <x v="48"/>
    <x v="165"/>
    <s v="GH"/>
    <s v="Melcom Group of Companies"/>
    <x v="15"/>
    <n v="3"/>
  </r>
  <r>
    <n v="707389527660"/>
    <s v="Boisson Gazeuse"/>
    <x v="76"/>
    <x v="166"/>
    <s v="ZM"/>
    <s v="Sparkle Investments Ltd"/>
    <x v="10"/>
    <n v="1"/>
  </r>
  <r>
    <n v="708002401619"/>
    <s v="Grapefruit &amp; Orange Shampoo"/>
    <x v="111"/>
    <x v="167"/>
    <s v="GB"/>
    <s v="Faith in Nature Ltd"/>
    <x v="2"/>
    <n v="1"/>
  </r>
  <r>
    <n v="708002407727"/>
    <s v="Wild Rose Conditioner"/>
    <x v="111"/>
    <x v="167"/>
    <s v="GB"/>
    <s v="Faith in Nature Ltd"/>
    <x v="2"/>
    <n v="1"/>
  </r>
  <r>
    <n v="70847029656"/>
    <s v="Monster Hydro Manic Melon"/>
    <x v="96"/>
    <x v="58"/>
    <s v="US"/>
    <s v="Monster Beverage Corporation"/>
    <x v="1"/>
    <n v="1"/>
  </r>
  <r>
    <n v="7216718"/>
    <s v="Gatorade Fruit Punch"/>
    <x v="0"/>
    <x v="10"/>
    <s v="US"/>
    <s v="Pepsico, Inc"/>
    <x v="1"/>
    <n v="1"/>
  </r>
  <r>
    <n v="722777707509"/>
    <s v="Eau de Source"/>
    <x v="55"/>
    <x v="168"/>
    <s v="CD"/>
    <s v="Mega Congo SARL"/>
    <x v="10"/>
    <n v="2687"/>
  </r>
  <r>
    <n v="722777707523"/>
    <s v="eau pure"/>
    <x v="35"/>
    <x v="168"/>
    <s v="CD"/>
    <s v="Mega Congo SARL"/>
    <x v="10"/>
    <n v="6"/>
  </r>
  <r>
    <n v="728028491876"/>
    <s v="chibuku super"/>
    <x v="112"/>
    <x v="169"/>
    <s v="BE"/>
    <s v="Anheuser-Busch InBev"/>
    <x v="3"/>
    <n v="50"/>
  </r>
  <r>
    <n v="735850727455"/>
    <s v="Agua da Nascente"/>
    <x v="0"/>
    <x v="170"/>
    <s v="IN"/>
    <s v="Asian Tea Group (Asian Tea Company Pvt Ltd)"/>
    <x v="4"/>
    <n v="303"/>
  </r>
  <r>
    <n v="735850727455"/>
    <s v="Agua da Nascente"/>
    <x v="0"/>
    <x v="170"/>
    <s v="IN"/>
    <s v="Asian Tea Group (Asian Tea Company Pvt Ltd)"/>
    <x v="8"/>
    <n v="1"/>
  </r>
  <r>
    <n v="735850727462"/>
    <s v="Água nascente da montanha"/>
    <x v="35"/>
    <x v="170"/>
    <s v="IN"/>
    <s v="Asian Tea Group (Asian Tea Company Pvt Ltd)"/>
    <x v="3"/>
    <n v="5"/>
  </r>
  <r>
    <n v="735850727462"/>
    <s v="Água nascente da montanha"/>
    <x v="35"/>
    <x v="170"/>
    <s v="IN"/>
    <s v="Asian Tea Group (Asian Tea Company Pvt Ltd)"/>
    <x v="4"/>
    <n v="205"/>
  </r>
  <r>
    <n v="736532548139"/>
    <s v="Fraldas Super Secas"/>
    <x v="105"/>
    <x v="171"/>
    <s v="UK"/>
    <s v="UNKNOWN_ORG"/>
    <x v="4"/>
    <n v="1"/>
  </r>
  <r>
    <n v="739252175913"/>
    <s v="Eau de Table"/>
    <x v="35"/>
    <x v="172"/>
    <s v="UK"/>
    <s v="UNKNOWN_ORG"/>
    <x v="10"/>
    <n v="5"/>
  </r>
  <r>
    <n v="745110162568"/>
    <s v="Mineral Water"/>
    <x v="113"/>
    <x v="173"/>
    <s v="VN"/>
    <s v="La Vie Limited Liability"/>
    <x v="12"/>
    <n v="22"/>
  </r>
  <r>
    <n v="745110162575"/>
    <s v="L'eau mineral"/>
    <x v="23"/>
    <x v="173"/>
    <s v="VN"/>
    <s v="La Vie Limited Liability"/>
    <x v="12"/>
    <n v="3"/>
  </r>
  <r>
    <n v="745110332619"/>
    <s v="Pure Drinking Water"/>
    <x v="13"/>
    <x v="174"/>
    <s v="UK"/>
    <s v="UNKNOWN_ORG"/>
    <x v="0"/>
    <n v="14"/>
  </r>
  <r>
    <n v="745110360049"/>
    <s v="Shine Hair Shampoo"/>
    <x v="13"/>
    <x v="175"/>
    <s v="KE"/>
    <s v="Orbit Products Africa Limited"/>
    <x v="12"/>
    <n v="15"/>
  </r>
  <r>
    <n v="745110421344"/>
    <s v="Purified Drinking Water"/>
    <x v="0"/>
    <x v="176"/>
    <s v="KE"/>
    <s v="Shenkalil Enterprises"/>
    <x v="0"/>
    <n v="2"/>
  </r>
  <r>
    <n v="745110421344"/>
    <s v="Purified Drinking Water"/>
    <x v="0"/>
    <x v="176"/>
    <s v="KE"/>
    <s v="Shenkalil Enterprises"/>
    <x v="4"/>
    <n v="4"/>
  </r>
  <r>
    <n v="745110421351"/>
    <s v="Purified drinking water"/>
    <x v="113"/>
    <x v="176"/>
    <s v="KE"/>
    <s v="Shenkalil Enterprises"/>
    <x v="0"/>
    <n v="1"/>
  </r>
  <r>
    <n v="745110422457"/>
    <s v="Eau de Roche"/>
    <x v="55"/>
    <x v="177"/>
    <s v="CD"/>
    <s v="Ets PERLE"/>
    <x v="10"/>
    <n v="4"/>
  </r>
  <r>
    <n v="745110637950"/>
    <s v="Water"/>
    <x v="0"/>
    <x v="178"/>
    <s v="GB"/>
    <s v="Shepley Spring Ltd"/>
    <x v="5"/>
    <n v="22"/>
  </r>
  <r>
    <n v="745110637967"/>
    <s v="spring water"/>
    <x v="113"/>
    <x v="179"/>
    <s v="UK"/>
    <s v="UNKNOWN_ORG"/>
    <x v="5"/>
    <n v="4"/>
  </r>
  <r>
    <n v="745110738671"/>
    <s v="Eau pure"/>
    <x v="55"/>
    <x v="180"/>
    <s v="CD"/>
    <s v="EMMA AIDINE"/>
    <x v="10"/>
    <n v="7"/>
  </r>
  <r>
    <n v="745110855545"/>
    <s v="Go fresh"/>
    <x v="114"/>
    <x v="181"/>
    <s v="ZM"/>
    <s v="Acacia Food and Beverages Ltd"/>
    <x v="10"/>
    <n v="50"/>
  </r>
  <r>
    <n v="745110855552"/>
    <s v="GoFresh"/>
    <x v="114"/>
    <x v="181"/>
    <s v="ZM"/>
    <s v="Acacia Food and Beverages Ltd"/>
    <x v="10"/>
    <n v="50"/>
  </r>
  <r>
    <n v="745110904571"/>
    <s v="Magn maji"/>
    <x v="0"/>
    <x v="182"/>
    <s v="UK"/>
    <s v="UNKNOWN_ORG"/>
    <x v="0"/>
    <n v="4"/>
  </r>
  <r>
    <n v="745110917106"/>
    <s v="Orange"/>
    <x v="111"/>
    <x v="146"/>
    <s v="CD"/>
    <s v="Mega Congo SARL"/>
    <x v="10"/>
    <n v="135"/>
  </r>
  <r>
    <n v="745110917113"/>
    <s v="Energy drink"/>
    <x v="111"/>
    <x v="146"/>
    <s v="CD"/>
    <s v="Mega Congo SARL"/>
    <x v="10"/>
    <n v="4"/>
  </r>
  <r>
    <n v="745110917120"/>
    <s v="Ananas"/>
    <x v="111"/>
    <x v="146"/>
    <s v="CD"/>
    <s v="Mega Congo SARL"/>
    <x v="10"/>
    <n v="12"/>
  </r>
  <r>
    <n v="745110917137"/>
    <s v="Grenadine"/>
    <x v="111"/>
    <x v="146"/>
    <s v="CD"/>
    <s v="Mega Congo SARL"/>
    <x v="10"/>
    <n v="97"/>
  </r>
  <r>
    <n v="745110917144"/>
    <s v="Soda"/>
    <x v="14"/>
    <x v="146"/>
    <s v="CD"/>
    <s v="Mega Congo SARL"/>
    <x v="10"/>
    <n v="4"/>
  </r>
  <r>
    <n v="745110917168"/>
    <s v="Cola"/>
    <x v="14"/>
    <x v="146"/>
    <s v="CD"/>
    <s v="Mega Congo SARL"/>
    <x v="10"/>
    <n v="60"/>
  </r>
  <r>
    <n v="745125053370"/>
    <s v="Cool waters"/>
    <x v="0"/>
    <x v="76"/>
    <s v="RW"/>
    <s v="Tuma 250"/>
    <x v="0"/>
    <n v="24"/>
  </r>
  <r>
    <n v="745125114736"/>
    <s v="Vanilla Yoghurt"/>
    <x v="48"/>
    <x v="183"/>
    <s v="KE"/>
    <s v="Melangine Dairies"/>
    <x v="0"/>
    <n v="20"/>
  </r>
  <r>
    <n v="745125752327"/>
    <s v="Água Purificada"/>
    <x v="35"/>
    <x v="184"/>
    <s v="KE"/>
    <s v="Safi Water Limited"/>
    <x v="4"/>
    <n v="2"/>
  </r>
  <r>
    <n v="745178589840"/>
    <s v="Purified Drinking Water"/>
    <x v="0"/>
    <x v="185"/>
    <s v="KE"/>
    <s v="Nawaalice Traders Ltd"/>
    <x v="0"/>
    <n v="507"/>
  </r>
  <r>
    <n v="745178589857"/>
    <s v="Purified Drinking Water"/>
    <x v="35"/>
    <x v="185"/>
    <s v="KE"/>
    <s v="Nawaalice Traders Ltd"/>
    <x v="0"/>
    <n v="1"/>
  </r>
  <r>
    <n v="745178751117"/>
    <s v="Madar Detergent"/>
    <x v="115"/>
    <x v="186"/>
    <s v="SN"/>
    <s v="H&amp;D INDUSTRIES S.A"/>
    <x v="6"/>
    <n v="54"/>
  </r>
  <r>
    <n v="745178919531"/>
    <s v="Purified Drinking Water"/>
    <x v="0"/>
    <x v="187"/>
    <s v="KE"/>
    <s v="Pally Ventures Ltd"/>
    <x v="0"/>
    <n v="53"/>
  </r>
  <r>
    <n v="745240015505"/>
    <s v="Drinking Water"/>
    <x v="76"/>
    <x v="188"/>
    <s v="TZ"/>
    <s v="Masasi Food Industries ltd"/>
    <x v="7"/>
    <n v="70"/>
  </r>
  <r>
    <n v="745240015512"/>
    <s v="Drinking Water"/>
    <x v="0"/>
    <x v="188"/>
    <s v="TZ"/>
    <s v="Masasi Food Industries ltd"/>
    <x v="7"/>
    <n v="20"/>
  </r>
  <r>
    <n v="745240015529"/>
    <s v="Drinking Water"/>
    <x v="113"/>
    <x v="188"/>
    <s v="TZ"/>
    <s v="Masasi Food Industries ltd"/>
    <x v="7"/>
    <n v="100"/>
  </r>
  <r>
    <n v="745240447696"/>
    <s v="gengibre"/>
    <x v="93"/>
    <x v="156"/>
    <s v="UK"/>
    <s v="UNKNOWN_ORG"/>
    <x v="4"/>
    <n v="228"/>
  </r>
  <r>
    <n v="745240560999"/>
    <s v="Pure Drinking Water"/>
    <x v="13"/>
    <x v="189"/>
    <s v="UK"/>
    <s v="UNKNOWN_ORG"/>
    <x v="0"/>
    <n v="16"/>
  </r>
  <r>
    <n v="745760402601"/>
    <s v="Purified Drinking Water"/>
    <x v="0"/>
    <x v="190"/>
    <s v="UK"/>
    <s v="UNKNOWN_ORG"/>
    <x v="0"/>
    <n v="25"/>
  </r>
  <r>
    <n v="745760467068"/>
    <s v="Total Quartz"/>
    <x v="116"/>
    <x v="191"/>
    <s v="FR"/>
    <s v="TotalEnergies SE"/>
    <x v="12"/>
    <n v="82"/>
  </r>
  <r>
    <n v="745760741090"/>
    <s v="AFRICAN BEER"/>
    <x v="3"/>
    <x v="192"/>
    <s v="UG"/>
    <s v="MBS Fruit Agencies Ltd"/>
    <x v="5"/>
    <n v="31"/>
  </r>
  <r>
    <n v="760122320546"/>
    <s v="Cola"/>
    <x v="23"/>
    <x v="193"/>
    <s v="NG"/>
    <s v="Planet Bottling"/>
    <x v="16"/>
    <n v="12"/>
  </r>
  <r>
    <n v="769503196770"/>
    <s v="Eau Minérale"/>
    <x v="40"/>
    <x v="173"/>
    <s v="CD"/>
    <s v="PREMIDIS SARL"/>
    <x v="10"/>
    <n v="19"/>
  </r>
  <r>
    <n v="769503452036"/>
    <s v="U-Fresh Pineapple Flovoured Drink"/>
    <x v="3"/>
    <x v="194"/>
    <s v="TZ"/>
    <s v="Watercom (T) Ltd"/>
    <x v="3"/>
    <n v="25"/>
  </r>
  <r>
    <n v="769503452043"/>
    <s v="Yonse-Bo Orange Flavour"/>
    <x v="3"/>
    <x v="194"/>
    <s v="TZ"/>
    <s v="Watercom (T) Ltd"/>
    <x v="3"/>
    <n v="86"/>
  </r>
  <r>
    <n v="769503826110"/>
    <s v="Yonse-Bo Passion Flavour"/>
    <x v="3"/>
    <x v="194"/>
    <s v="TZ"/>
    <s v="Watercom (T) Ltd"/>
    <x v="3"/>
    <n v="25"/>
  </r>
  <r>
    <n v="776103000222"/>
    <s v="No21 Vodka"/>
    <x v="117"/>
    <x v="68"/>
    <s v="GB"/>
    <s v="Diageo Plc"/>
    <x v="1"/>
    <n v="2"/>
  </r>
  <r>
    <n v="776103000239"/>
    <s v="No21 Vodka"/>
    <x v="2"/>
    <x v="68"/>
    <s v="GB"/>
    <s v="Diageo Plc"/>
    <x v="1"/>
    <n v="18"/>
  </r>
  <r>
    <n v="780042340844"/>
    <s v="Água purificada"/>
    <x v="76"/>
    <x v="143"/>
    <s v="MZ"/>
    <s v="Aquafria Moçambique, LDA"/>
    <x v="4"/>
    <n v="2"/>
  </r>
  <r>
    <n v="781159187797"/>
    <s v="Max Power Energy Drink"/>
    <x v="3"/>
    <x v="195"/>
    <s v="MW"/>
    <s v="Mellet Enterprise"/>
    <x v="3"/>
    <n v="68"/>
  </r>
  <r>
    <n v="781159187865"/>
    <s v="Cordial"/>
    <x v="12"/>
    <x v="196"/>
    <s v="MW"/>
    <s v="Mellet Enterprise"/>
    <x v="3"/>
    <n v="555"/>
  </r>
  <r>
    <n v="781159297106"/>
    <s v="Strawberry Yoghurt"/>
    <x v="13"/>
    <x v="197"/>
    <s v="MW"/>
    <s v="Kombeza Foods"/>
    <x v="3"/>
    <n v="5"/>
  </r>
  <r>
    <n v="781159624544"/>
    <s v="Água purificada"/>
    <x v="118"/>
    <x v="198"/>
    <s v="US"/>
    <s v="Monarch Beverage Company Inc"/>
    <x v="4"/>
    <n v="201"/>
  </r>
  <r>
    <n v="781718086073"/>
    <s v="natural pure water"/>
    <x v="35"/>
    <x v="199"/>
    <s v="UK"/>
    <s v="UNKNOWN_ORG"/>
    <x v="4"/>
    <n v="39"/>
  </r>
  <r>
    <n v="781718548212"/>
    <s v="Água subterrânea"/>
    <x v="119"/>
    <x v="200"/>
    <s v="UK"/>
    <s v="UNKNOWN_ORG"/>
    <x v="4"/>
    <n v="2"/>
  </r>
  <r>
    <n v="781718548236"/>
    <s v="Água da Bela Vista"/>
    <x v="0"/>
    <x v="200"/>
    <s v="UK"/>
    <s v="UNKNOWN_ORG"/>
    <x v="0"/>
    <n v="1"/>
  </r>
  <r>
    <n v="781718548236"/>
    <s v="Água da Bela Vista"/>
    <x v="0"/>
    <x v="200"/>
    <s v="UK"/>
    <s v="UNKNOWN_ORG"/>
    <x v="4"/>
    <n v="1"/>
  </r>
  <r>
    <n v="781718777377"/>
    <s v="Kargasok Safi"/>
    <x v="120"/>
    <x v="201"/>
    <s v="UK"/>
    <s v="UNKNOWN_ORG"/>
    <x v="4"/>
    <n v="1"/>
  </r>
  <r>
    <n v="781718777377"/>
    <s v="Kargasok Safi"/>
    <x v="120"/>
    <x v="201"/>
    <s v="UK"/>
    <s v="UNKNOWN_ORG"/>
    <x v="15"/>
    <n v="2"/>
  </r>
  <r>
    <n v="784300169536"/>
    <s v="Gari soaking Mix"/>
    <x v="121"/>
    <x v="140"/>
    <s v="GH"/>
    <s v="Procus Ghana ltd"/>
    <x v="6"/>
    <n v="745"/>
  </r>
  <r>
    <n v="786162650030"/>
    <s v="Vitamin Water"/>
    <x v="0"/>
    <x v="202"/>
    <s v="US"/>
    <s v="Coca-Cola"/>
    <x v="1"/>
    <n v="2"/>
  </r>
  <r>
    <n v="786162650078"/>
    <s v="VitaminWater"/>
    <x v="0"/>
    <x v="202"/>
    <s v="US"/>
    <s v="Coca-Cola"/>
    <x v="1"/>
    <n v="1"/>
  </r>
  <r>
    <n v="786162650115"/>
    <s v="XXX Acai Berry"/>
    <x v="7"/>
    <x v="203"/>
    <s v="US"/>
    <s v="Coca-Cola"/>
    <x v="1"/>
    <n v="4"/>
  </r>
  <r>
    <n v="786162650375"/>
    <s v="Drinking Water"/>
    <x v="13"/>
    <x v="202"/>
    <s v="US"/>
    <s v="Coca-Cola"/>
    <x v="1"/>
    <n v="2"/>
  </r>
  <r>
    <n v="786411642021"/>
    <s v="Kivo pepper powder"/>
    <x v="122"/>
    <x v="140"/>
    <s v="GH"/>
    <s v="Procus Ghana ltd"/>
    <x v="6"/>
    <n v="94"/>
  </r>
  <r>
    <n v="791688873924"/>
    <s v="Água de Mesa"/>
    <x v="14"/>
    <x v="204"/>
    <s v="AO"/>
    <s v="Befco Industria Lda"/>
    <x v="17"/>
    <n v="5"/>
  </r>
  <r>
    <n v="792382341429"/>
    <s v="Strawberry yoghurt"/>
    <x v="48"/>
    <x v="205"/>
    <s v="RW"/>
    <s v="Ingabo Dairy ltd"/>
    <x v="12"/>
    <n v="20"/>
  </r>
  <r>
    <n v="792382342730"/>
    <s v="Drinking Water"/>
    <x v="0"/>
    <x v="206"/>
    <s v="UK"/>
    <s v="UNKNOWN_ORG"/>
    <x v="0"/>
    <n v="20"/>
  </r>
  <r>
    <n v="792382352296"/>
    <s v="Drinking Water"/>
    <x v="35"/>
    <x v="207"/>
    <s v="KE"/>
    <s v="Tesouros"/>
    <x v="0"/>
    <n v="1"/>
  </r>
  <r>
    <n v="792382402564"/>
    <s v="sasumwa"/>
    <x v="0"/>
    <x v="182"/>
    <s v="UK"/>
    <s v="UNKNOWN_ORG"/>
    <x v="0"/>
    <n v="1"/>
  </r>
  <r>
    <n v="792382409518"/>
    <s v="Drinking Water"/>
    <x v="0"/>
    <x v="208"/>
    <s v="UK"/>
    <s v="UNKNOWN_ORG"/>
    <x v="0"/>
    <n v="44"/>
  </r>
  <r>
    <n v="792382409532"/>
    <s v="Drinking Water"/>
    <x v="13"/>
    <x v="208"/>
    <s v="UK"/>
    <s v="UNKNOWN_ORG"/>
    <x v="0"/>
    <n v="22"/>
  </r>
  <r>
    <n v="792382409549"/>
    <s v="drinking water"/>
    <x v="123"/>
    <x v="208"/>
    <s v="UK"/>
    <s v="UNKNOWN_ORG"/>
    <x v="0"/>
    <n v="3"/>
  </r>
  <r>
    <n v="792382431564"/>
    <s v="Quench Canista"/>
    <x v="48"/>
    <x v="209"/>
    <s v="KE"/>
    <s v="Nemsi Enterprises"/>
    <x v="0"/>
    <n v="57"/>
  </r>
  <r>
    <n v="792382436460"/>
    <s v="Purified drinking water"/>
    <x v="35"/>
    <x v="209"/>
    <s v="KE"/>
    <s v="Nemsi Enterprises"/>
    <x v="0"/>
    <n v="8"/>
  </r>
  <r>
    <n v="792382452057"/>
    <s v="Purified Drinking Water"/>
    <x v="0"/>
    <x v="210"/>
    <s v="UK"/>
    <s v="UNKNOWN_ORG"/>
    <x v="0"/>
    <n v="1"/>
  </r>
  <r>
    <n v="792382471072"/>
    <s v="Naturally Refreshing"/>
    <x v="0"/>
    <x v="211"/>
    <s v="IN"/>
    <s v="KUNNUMPURATHU GROUP OF BUSINESS PRIVATE LIMITED"/>
    <x v="0"/>
    <n v="74"/>
  </r>
  <r>
    <n v="792382471089"/>
    <s v="Drinking Water"/>
    <x v="13"/>
    <x v="211"/>
    <s v="IN"/>
    <s v="KUNNUMPURATHU GROUP OF BUSINESS PRIVATE LIMITED"/>
    <x v="0"/>
    <n v="63"/>
  </r>
  <r>
    <n v="792382471140"/>
    <s v="Drinking Water"/>
    <x v="124"/>
    <x v="212"/>
    <s v="KE"/>
    <s v="Brooks Drinking water"/>
    <x v="0"/>
    <n v="10"/>
  </r>
  <r>
    <n v="792382472390"/>
    <s v="purified drinking water"/>
    <x v="125"/>
    <x v="213"/>
    <s v="KE"/>
    <s v="El-Mist Purified drinking water"/>
    <x v="0"/>
    <n v="11"/>
  </r>
  <r>
    <n v="792382482009"/>
    <s v="aqua soft"/>
    <x v="0"/>
    <x v="182"/>
    <s v="UK"/>
    <s v="UNKNOWN_ORG"/>
    <x v="0"/>
    <n v="10"/>
  </r>
  <r>
    <n v="792382482009"/>
    <s v="aqua soft"/>
    <x v="0"/>
    <x v="182"/>
    <s v="UK"/>
    <s v="UNKNOWN_ORG"/>
    <x v="4"/>
    <n v="122"/>
  </r>
  <r>
    <n v="792382494569"/>
    <s v="Pure drinking water"/>
    <x v="0"/>
    <x v="214"/>
    <s v="UK"/>
    <s v="UNKNOWN_ORG"/>
    <x v="0"/>
    <n v="1"/>
  </r>
  <r>
    <n v="792382494569"/>
    <s v="Pure drinking water"/>
    <x v="0"/>
    <x v="214"/>
    <s v="UK"/>
    <s v="UNKNOWN_ORG"/>
    <x v="4"/>
    <n v="35"/>
  </r>
  <r>
    <n v="792382497843"/>
    <s v="Purified Drinking Water"/>
    <x v="13"/>
    <x v="39"/>
    <s v="CH"/>
    <s v="Nestlé S.A."/>
    <x v="0"/>
    <n v="2"/>
  </r>
  <r>
    <n v="792382500703"/>
    <s v="Purified drinking water"/>
    <x v="0"/>
    <x v="215"/>
    <s v="UK"/>
    <s v="UNKNOWN_ORG"/>
    <x v="0"/>
    <n v="3"/>
  </r>
  <r>
    <n v="792382500710"/>
    <s v="Taste the Purity Water"/>
    <x v="13"/>
    <x v="215"/>
    <s v="UK"/>
    <s v="UNKNOWN_ORG"/>
    <x v="0"/>
    <n v="3"/>
  </r>
  <r>
    <n v="792382502639"/>
    <s v="Purified Water"/>
    <x v="0"/>
    <x v="55"/>
    <s v="US"/>
    <s v="Pepsico, Inc"/>
    <x v="1"/>
    <n v="1"/>
  </r>
  <r>
    <n v="792382502639"/>
    <s v="Purified Water"/>
    <x v="0"/>
    <x v="55"/>
    <s v="US"/>
    <s v="Pepsico, Inc"/>
    <x v="0"/>
    <n v="16"/>
  </r>
  <r>
    <n v="792382559947"/>
    <s v="Purified drinking water"/>
    <x v="0"/>
    <x v="216"/>
    <s v="NA"/>
    <s v="Namibia Breweries Limited"/>
    <x v="0"/>
    <n v="184"/>
  </r>
  <r>
    <n v="792382559961"/>
    <s v="Purified drinking water"/>
    <x v="35"/>
    <x v="217"/>
    <s v="NA"/>
    <s v="O&amp;L Group of Companies"/>
    <x v="0"/>
    <n v="9"/>
  </r>
  <r>
    <n v="792382570652"/>
    <s v="Purified drinking water"/>
    <x v="0"/>
    <x v="218"/>
    <s v="KE"/>
    <s v="Salama ICE Drinking Water"/>
    <x v="0"/>
    <n v="6"/>
  </r>
  <r>
    <n v="792382570669"/>
    <s v="Purified drinking water"/>
    <x v="113"/>
    <x v="218"/>
    <s v="KE"/>
    <s v="Salama ICE Drinking Water"/>
    <x v="0"/>
    <n v="12"/>
  </r>
  <r>
    <n v="792382613885"/>
    <s v="Purified drinking water"/>
    <x v="126"/>
    <x v="219"/>
    <s v="KE"/>
    <s v="Rayan Ice Water"/>
    <x v="0"/>
    <n v="1"/>
  </r>
  <r>
    <n v="792382613908"/>
    <s v="Purified drinking water"/>
    <x v="127"/>
    <x v="219"/>
    <s v="KE"/>
    <s v="Rayan Ice Water"/>
    <x v="0"/>
    <n v="2"/>
  </r>
  <r>
    <n v="792721718875"/>
    <s v="Milk Flavour"/>
    <x v="122"/>
    <x v="220"/>
    <s v="MY"/>
    <s v="Julie's Manufacturing"/>
    <x v="7"/>
    <n v="12"/>
  </r>
  <r>
    <n v="797776292752"/>
    <s v="Détergent en poudre"/>
    <x v="128"/>
    <x v="221"/>
    <s v="CD"/>
    <s v="CIDI Sarl"/>
    <x v="10"/>
    <n v="10"/>
  </r>
  <r>
    <n v="799439745841"/>
    <s v="Pão de forma integral"/>
    <x v="129"/>
    <x v="222"/>
    <s v="ZA"/>
    <s v="Premier FMCG (Pty) Limited"/>
    <x v="4"/>
    <n v="1"/>
  </r>
  <r>
    <n v="799439793835"/>
    <s v="Premium Water"/>
    <x v="0"/>
    <x v="223"/>
    <s v="MW"/>
    <s v="Mellet Enterprise"/>
    <x v="3"/>
    <n v="160"/>
  </r>
  <r>
    <n v="799439793897"/>
    <s v="Rocky Bubble"/>
    <x v="76"/>
    <x v="123"/>
    <s v="MW"/>
    <s v="Mellet Enterprise"/>
    <x v="3"/>
    <n v="50"/>
  </r>
  <r>
    <n v="8036131"/>
    <s v="Mango Lemonade"/>
    <x v="18"/>
    <x v="36"/>
    <s v="CA"/>
    <s v="Loblaw Companies Ltd"/>
    <x v="1"/>
    <n v="1"/>
  </r>
  <r>
    <n v="80660620992"/>
    <s v="99 Bananas"/>
    <x v="9"/>
    <x v="224"/>
    <s v="US"/>
    <s v="Sazerac Company, Inc."/>
    <x v="1"/>
    <n v="3"/>
  </r>
  <r>
    <n v="810116120369"/>
    <s v="Prime Ice Pop"/>
    <x v="0"/>
    <x v="225"/>
    <s v="US"/>
    <s v="Congo Brands"/>
    <x v="1"/>
    <n v="1"/>
  </r>
  <r>
    <n v="810116123506"/>
    <s v="Strawberry Banana"/>
    <x v="0"/>
    <x v="225"/>
    <s v="US"/>
    <s v="Congo Brands"/>
    <x v="1"/>
    <n v="3"/>
  </r>
  <r>
    <n v="817939012079"/>
    <s v="Anti-Bac All Purpose Cleaner"/>
    <x v="84"/>
    <x v="226"/>
    <s v="US"/>
    <s v="Method Products pbc"/>
    <x v="2"/>
    <n v="4"/>
  </r>
  <r>
    <n v="82000743149"/>
    <s v="No21 Vodka"/>
    <x v="130"/>
    <x v="68"/>
    <s v="GB"/>
    <s v="Diageo Plc"/>
    <x v="1"/>
    <n v="5"/>
  </r>
  <r>
    <n v="82000763581"/>
    <s v="Smirnoff Ice"/>
    <x v="29"/>
    <x v="68"/>
    <s v="GB"/>
    <s v="Diageo Plc"/>
    <x v="1"/>
    <n v="1"/>
  </r>
  <r>
    <n v="82000795254"/>
    <s v="Smirnoff Vodka"/>
    <x v="55"/>
    <x v="68"/>
    <s v="GB"/>
    <s v="Diageo Plc"/>
    <x v="1"/>
    <n v="3"/>
  </r>
  <r>
    <n v="821111770008"/>
    <s v="Lemon Lime"/>
    <x v="7"/>
    <x v="10"/>
    <s v="US"/>
    <s v="Pepsico, Inc"/>
    <x v="1"/>
    <n v="1"/>
  </r>
  <r>
    <n v="82592633538"/>
    <s v="Naked Strawberry Banana"/>
    <x v="45"/>
    <x v="227"/>
    <s v="GB"/>
    <s v="Naked Juice Co. of Glendora, Inc."/>
    <x v="1"/>
    <n v="1"/>
  </r>
  <r>
    <n v="83900006266"/>
    <s v="Nestea Lemon"/>
    <x v="0"/>
    <x v="69"/>
    <s v="CH"/>
    <s v="Nestlé S.A."/>
    <x v="1"/>
    <n v="5"/>
  </r>
  <r>
    <n v="849819001071"/>
    <s v="Orangina Carbonated Drink"/>
    <x v="131"/>
    <x v="228"/>
    <s v="JP"/>
    <s v="Suntory Holdings Limited"/>
    <x v="1"/>
    <n v="1"/>
  </r>
  <r>
    <n v="850000594203"/>
    <s v="Energy Drink"/>
    <x v="0"/>
    <x v="229"/>
    <s v="FR"/>
    <s v="Monarch Beverages Paris"/>
    <x v="13"/>
    <n v="173"/>
  </r>
  <r>
    <n v="850000594210"/>
    <s v="Soft drink"/>
    <x v="112"/>
    <x v="230"/>
    <s v="US"/>
    <s v="Monarch Beverage Company Inc"/>
    <x v="13"/>
    <n v="1"/>
  </r>
  <r>
    <n v="850000594487"/>
    <s v="Sof Drink"/>
    <x v="76"/>
    <x v="231"/>
    <s v="US"/>
    <s v="Monarch Beverage Company Inc"/>
    <x v="13"/>
    <n v="1"/>
  </r>
  <r>
    <n v="850000594517"/>
    <s v="Planet Tropical"/>
    <x v="76"/>
    <x v="230"/>
    <s v="US"/>
    <s v="Monarch Beverage Company Inc"/>
    <x v="13"/>
    <n v="80"/>
  </r>
  <r>
    <n v="850000594692"/>
    <s v="Planet"/>
    <x v="22"/>
    <x v="230"/>
    <s v="US"/>
    <s v="Monarch Beverage Company Inc"/>
    <x v="13"/>
    <n v="2"/>
  </r>
  <r>
    <n v="850000594869"/>
    <s v="Soft drinks"/>
    <x v="132"/>
    <x v="230"/>
    <s v="US"/>
    <s v="Monarch Beverage Company Inc"/>
    <x v="13"/>
    <n v="1"/>
  </r>
  <r>
    <n v="850003560441"/>
    <s v="Tropical Punch"/>
    <x v="0"/>
    <x v="225"/>
    <s v="US"/>
    <s v="Congo Brands"/>
    <x v="2"/>
    <n v="1"/>
  </r>
  <r>
    <n v="850003560717"/>
    <s v="Tropical Punch"/>
    <x v="0"/>
    <x v="225"/>
    <s v="US"/>
    <s v="Congo Brands"/>
    <x v="2"/>
    <n v="2"/>
  </r>
  <r>
    <n v="850003560991"/>
    <s v="strawberry  and  watermelon"/>
    <x v="0"/>
    <x v="225"/>
    <s v="US"/>
    <s v="Congo Brands"/>
    <x v="2"/>
    <n v="1"/>
  </r>
  <r>
    <n v="850027880129"/>
    <s v="Mr. Beast Milk Chocolate Bar"/>
    <x v="88"/>
    <x v="232"/>
    <s v="US"/>
    <s v="FEASTABLES INC."/>
    <x v="4"/>
    <n v="1"/>
  </r>
  <r>
    <n v="853148003002"/>
    <s v="Eau Minérale"/>
    <x v="35"/>
    <x v="85"/>
    <s v="CM"/>
    <s v="Source du Pays S.A"/>
    <x v="13"/>
    <n v="716"/>
  </r>
  <r>
    <n v="853148003019"/>
    <s v="Eau Minérale"/>
    <x v="133"/>
    <x v="85"/>
    <s v="CM"/>
    <s v="Source du Pays S.A"/>
    <x v="13"/>
    <n v="103"/>
  </r>
  <r>
    <n v="853148003040"/>
    <s v="American cola"/>
    <x v="76"/>
    <x v="1"/>
    <s v="US"/>
    <s v="Coca-Cola"/>
    <x v="13"/>
    <n v="57"/>
  </r>
  <r>
    <n v="853148003088"/>
    <s v="Planet Orange"/>
    <x v="76"/>
    <x v="230"/>
    <s v="US"/>
    <s v="Monarch Beverage Company Inc"/>
    <x v="13"/>
    <n v="7"/>
  </r>
  <r>
    <n v="853148003118"/>
    <s v="Bubble Up"/>
    <x v="76"/>
    <x v="231"/>
    <s v="US"/>
    <s v="Monarch Beverage Company Inc"/>
    <x v="13"/>
    <n v="4"/>
  </r>
  <r>
    <n v="853148003217"/>
    <s v="Carbonated Soft Drink"/>
    <x v="76"/>
    <x v="230"/>
    <s v="US"/>
    <s v="Monarch Beverage Company Inc"/>
    <x v="13"/>
    <n v="90"/>
  </r>
  <r>
    <n v="853148003309"/>
    <s v="Supermont Water"/>
    <x v="22"/>
    <x v="85"/>
    <s v="CM"/>
    <s v="Source du Pays S.A"/>
    <x v="13"/>
    <n v="1"/>
  </r>
  <r>
    <n v="853148003316"/>
    <s v="Planet Cocktail"/>
    <x v="76"/>
    <x v="230"/>
    <s v="US"/>
    <s v="Monarch Beverage Company Inc"/>
    <x v="13"/>
    <n v="12"/>
  </r>
  <r>
    <n v="853148003378"/>
    <s v="Bitter lemon"/>
    <x v="112"/>
    <x v="231"/>
    <s v="US"/>
    <s v="Monarch Beverage Company Inc"/>
    <x v="13"/>
    <n v="1"/>
  </r>
  <r>
    <n v="853148003415"/>
    <s v="Supermont eau minérale"/>
    <x v="93"/>
    <x v="85"/>
    <s v="CM"/>
    <s v="Source du Pays S.A"/>
    <x v="13"/>
    <n v="32"/>
  </r>
  <r>
    <n v="853148003972"/>
    <s v="Coke"/>
    <x v="112"/>
    <x v="193"/>
    <s v="GH"/>
    <s v="Twellium Industry Limited"/>
    <x v="13"/>
    <n v="1"/>
  </r>
  <r>
    <n v="865613770012"/>
    <s v="Drinking Water"/>
    <x v="13"/>
    <x v="92"/>
    <s v="TZ"/>
    <s v="Hill Group"/>
    <x v="7"/>
    <n v="53"/>
  </r>
  <r>
    <n v="865873230004"/>
    <s v="Best Drinking Water"/>
    <x v="35"/>
    <x v="233"/>
    <s v="TZ"/>
    <s v="Drop of Zanzibar Limited"/>
    <x v="7"/>
    <n v="50"/>
  </r>
  <r>
    <n v="8675729"/>
    <s v="haribo tangfastics"/>
    <x v="17"/>
    <x v="234"/>
    <s v="DE"/>
    <s v="Haribo"/>
    <x v="2"/>
    <n v="1"/>
  </r>
  <r>
    <n v="87000007888"/>
    <s v="White Rum"/>
    <x v="2"/>
    <x v="67"/>
    <s v="GB"/>
    <s v="Diageo Plc"/>
    <x v="1"/>
    <n v="4"/>
  </r>
  <r>
    <n v="87000007895"/>
    <s v="Captain Morgan White Rum"/>
    <x v="24"/>
    <x v="67"/>
    <s v="GB"/>
    <s v="Diageo Plc"/>
    <x v="1"/>
    <n v="1"/>
  </r>
  <r>
    <n v="870929007486"/>
    <s v="Conditioner"/>
    <x v="134"/>
    <x v="235"/>
    <s v="US"/>
    <s v="Perio Inc."/>
    <x v="9"/>
    <n v="1"/>
  </r>
  <r>
    <n v="87116035461"/>
    <s v="Raspberry Liquor"/>
    <x v="2"/>
    <x v="236"/>
    <s v="US"/>
    <s v="United States Distilled Products Company"/>
    <x v="1"/>
    <n v="2"/>
  </r>
  <r>
    <n v="88004034672"/>
    <s v="Fireball Cinnamon Whisky"/>
    <x v="9"/>
    <x v="72"/>
    <s v="US"/>
    <s v="Sazerac Company, Inc."/>
    <x v="1"/>
    <n v="2"/>
  </r>
  <r>
    <n v="88004036102"/>
    <s v="Goldschlager"/>
    <x v="9"/>
    <x v="237"/>
    <s v="US"/>
    <s v="Sazerac Company, Inc."/>
    <x v="1"/>
    <n v="4"/>
  </r>
  <r>
    <n v="88004400453"/>
    <s v="Vodka"/>
    <x v="24"/>
    <x v="71"/>
    <s v="UK"/>
    <s v="UNKNOWN_ORG"/>
    <x v="1"/>
    <n v="2"/>
  </r>
  <r>
    <n v="88004400460"/>
    <s v="Vodka"/>
    <x v="55"/>
    <x v="71"/>
    <s v="UK"/>
    <s v="UNKNOWN_ORG"/>
    <x v="1"/>
    <n v="1"/>
  </r>
  <r>
    <n v="88004400712"/>
    <s v="Fireball Cinnamon Whiskey"/>
    <x v="24"/>
    <x v="72"/>
    <s v="US"/>
    <s v="Sazerac Company, Inc."/>
    <x v="1"/>
    <n v="3"/>
  </r>
  <r>
    <n v="881103101616"/>
    <s v="Refrigerante Aromatizado"/>
    <x v="76"/>
    <x v="153"/>
    <s v="MZ"/>
    <s v="Aoshida Industry"/>
    <x v="4"/>
    <n v="154"/>
  </r>
  <r>
    <n v="883043000585"/>
    <s v="Vodka Citrus"/>
    <x v="14"/>
    <x v="111"/>
    <s v="CA"/>
    <s v="Black Fly Beverage Company"/>
    <x v="1"/>
    <n v="1"/>
  </r>
  <r>
    <n v="883043001001"/>
    <s v="Vodka Mixed Berry"/>
    <x v="14"/>
    <x v="111"/>
    <s v="CA"/>
    <s v="Black Fly Beverage Company"/>
    <x v="1"/>
    <n v="1"/>
  </r>
  <r>
    <n v="884394000330"/>
    <s v="Aloe vera king drink"/>
    <x v="0"/>
    <x v="238"/>
    <s v="KR"/>
    <s v="OKF CORPORATION"/>
    <x v="6"/>
    <n v="19"/>
  </r>
  <r>
    <n v="884770120126"/>
    <s v="Kleesoft"/>
    <x v="89"/>
    <x v="239"/>
    <s v="CN"/>
    <s v="Sunda International"/>
    <x v="6"/>
    <n v="50"/>
  </r>
  <r>
    <n v="921114661157"/>
    <s v="apple carbonated drink"/>
    <x v="2"/>
    <x v="240"/>
    <s v="US"/>
    <s v="Pepsico, Inc"/>
    <x v="2"/>
    <n v="1"/>
  </r>
  <r>
    <n v="96619200603"/>
    <s v="Nutrition Shake Vanilla"/>
    <x v="135"/>
    <x v="75"/>
    <s v="US"/>
    <s v="Costco Wholesale Corporation"/>
    <x v="1"/>
    <n v="4"/>
  </r>
  <r>
    <n v="96619297542"/>
    <s v="Whole Black Peppercorns"/>
    <x v="136"/>
    <x v="75"/>
    <s v="US"/>
    <s v="Costco Wholesale Corporation"/>
    <x v="2"/>
    <n v="1"/>
  </r>
  <r>
    <n v="96619321841"/>
    <s v="Kirkland Natural Spring Water"/>
    <x v="0"/>
    <x v="75"/>
    <s v="US"/>
    <s v="Costco Wholesale Corporation"/>
    <x v="1"/>
    <n v="30"/>
  </r>
  <r>
    <n v="96619397013"/>
    <s v="Sparkling Spring Water"/>
    <x v="0"/>
    <x v="75"/>
    <s v="US"/>
    <s v="Costco Wholesale Corporation"/>
    <x v="2"/>
    <n v="1"/>
  </r>
  <r>
    <n v="96619482016"/>
    <s v="Spring Water"/>
    <x v="0"/>
    <x v="75"/>
    <s v="US"/>
    <s v="Costco Wholesale Corporation"/>
    <x v="2"/>
    <n v="1"/>
  </r>
  <r>
    <n v="10034378"/>
    <s v="Romaine Hearts"/>
    <x v="64"/>
    <x v="95"/>
    <s v="GB"/>
    <s v="Tesco PLC"/>
    <x v="2"/>
    <n v="2"/>
  </r>
  <r>
    <n v="10045114"/>
    <s v="Sweetcorn cobettes"/>
    <x v="64"/>
    <x v="95"/>
    <s v="GB"/>
    <s v="Tesco PLC"/>
    <x v="2"/>
    <n v="1"/>
  </r>
  <r>
    <n v="10060599"/>
    <s v="Baby Potatoes"/>
    <x v="137"/>
    <x v="95"/>
    <s v="GB"/>
    <s v="Tesco PLC"/>
    <x v="2"/>
    <n v="1"/>
  </r>
  <r>
    <n v="10066140"/>
    <s v="Red Seedless Grapes"/>
    <x v="4"/>
    <x v="95"/>
    <s v="GB"/>
    <s v="Tesco PLC"/>
    <x v="2"/>
    <n v="1"/>
  </r>
  <r>
    <n v="10260142"/>
    <s v="Lucozade Sport Orange"/>
    <x v="0"/>
    <x v="241"/>
    <s v="JP"/>
    <s v="Suntory Holdings Limited"/>
    <x v="2"/>
    <n v="2"/>
  </r>
  <r>
    <n v="1041837271682"/>
    <s v="Doritos"/>
    <x v="138"/>
    <x v="242"/>
    <s v="US"/>
    <s v="Pepsico, Inc"/>
    <x v="2"/>
    <n v="1"/>
  </r>
  <r>
    <n v="1072343729824"/>
    <s v="Smooth Orange"/>
    <x v="48"/>
    <x v="106"/>
    <s v="FR"/>
    <s v="PAI Partners"/>
    <x v="2"/>
    <n v="1"/>
  </r>
  <r>
    <n v="11011101"/>
    <s v="Premium Pure Drinking water"/>
    <x v="71"/>
    <x v="91"/>
    <s v="TZ"/>
    <s v="Dew Drop Drinks Co.Ltd"/>
    <x v="7"/>
    <n v="1"/>
  </r>
  <r>
    <n v="12204441"/>
    <s v="Top Ananas"/>
    <x v="22"/>
    <x v="243"/>
    <s v="FR"/>
    <s v="Groupe Castel"/>
    <x v="13"/>
    <n v="2"/>
  </r>
  <r>
    <n v="123456789012"/>
    <s v="Eau de source"/>
    <x v="23"/>
    <x v="244"/>
    <s v="FR"/>
    <s v="Danone S.A."/>
    <x v="10"/>
    <n v="53"/>
  </r>
  <r>
    <n v="1234567890128"/>
    <s v="Alcoholic drink"/>
    <x v="0"/>
    <x v="245"/>
    <s v="RW"/>
    <s v="BSK Valens Ltd"/>
    <x v="3"/>
    <n v="25"/>
  </r>
  <r>
    <n v="1234567890128"/>
    <s v="Alcoholic drink"/>
    <x v="0"/>
    <x v="245"/>
    <s v="RW"/>
    <s v="BSK Valens Ltd"/>
    <x v="12"/>
    <n v="6"/>
  </r>
  <r>
    <n v="1243487060320"/>
    <s v="Pure Drinking Water"/>
    <x v="139"/>
    <x v="246"/>
    <s v="TZ"/>
    <s v="BAKHRESA GROUP DIVISIONS"/>
    <x v="7"/>
    <n v="8"/>
  </r>
  <r>
    <n v="12548903"/>
    <s v="Byte"/>
    <x v="22"/>
    <x v="1"/>
    <s v="US"/>
    <s v="Coca-Cola"/>
    <x v="4"/>
    <n v="52"/>
  </r>
  <r>
    <n v="12548903"/>
    <s v="Byte"/>
    <x v="22"/>
    <x v="1"/>
    <s v="US"/>
    <s v="Coca-Cola"/>
    <x v="7"/>
    <n v="1"/>
  </r>
  <r>
    <n v="13917821"/>
    <s v="Cheese and Onion crisps"/>
    <x v="95"/>
    <x v="242"/>
    <s v="US"/>
    <s v="Pepsico, Inc"/>
    <x v="2"/>
    <n v="1"/>
  </r>
  <r>
    <n v="14021985"/>
    <s v="Kombucha ginger"/>
    <x v="93"/>
    <x v="247"/>
    <s v="MW"/>
    <s v="Nutricom Food &amp; Beverages Ltd"/>
    <x v="3"/>
    <n v="1677"/>
  </r>
  <r>
    <n v="14021985"/>
    <s v="Kombucha ginger"/>
    <x v="93"/>
    <x v="247"/>
    <s v="MW"/>
    <s v="Nutricom Food &amp; Beverages Ltd"/>
    <x v="4"/>
    <n v="23"/>
  </r>
  <r>
    <n v="1409060098504"/>
    <s v="Still drinking water"/>
    <x v="35"/>
    <x v="150"/>
    <s v="US"/>
    <s v="Coca-Cola"/>
    <x v="7"/>
    <n v="1"/>
  </r>
  <r>
    <n v="1413112418431"/>
    <s v="Flash Fresh Scent with Bleach"/>
    <x v="0"/>
    <x v="248"/>
    <s v="US"/>
    <s v="THE PROCTER &amp; GAMBLE COMPANY"/>
    <x v="2"/>
    <n v="2"/>
  </r>
  <r>
    <n v="1413821084941"/>
    <s v="Eva"/>
    <x v="140"/>
    <x v="249"/>
    <s v="US"/>
    <s v="Coca-Cola"/>
    <x v="16"/>
    <n v="1"/>
  </r>
  <r>
    <n v="15124005"/>
    <s v="Water"/>
    <x v="133"/>
    <x v="114"/>
    <s v="LR"/>
    <s v="Liberty Investment Ltd"/>
    <x v="14"/>
    <n v="1"/>
  </r>
  <r>
    <n v="161705450597"/>
    <s v="rock boom"/>
    <x v="141"/>
    <x v="250"/>
    <s v="UG"/>
    <s v="Hariss International Ltd"/>
    <x v="5"/>
    <n v="102"/>
  </r>
  <r>
    <n v="17473033"/>
    <s v="Nestle Pure life"/>
    <x v="23"/>
    <x v="39"/>
    <s v="CH"/>
    <s v="Nestlé S.A."/>
    <x v="16"/>
    <n v="1"/>
  </r>
  <r>
    <n v="1776473668403"/>
    <s v="Bel Aqua Mineral water"/>
    <x v="0"/>
    <x v="251"/>
    <s v="GH"/>
    <s v="Blow Group"/>
    <x v="6"/>
    <n v="1"/>
  </r>
  <r>
    <n v="1797226011222"/>
    <s v="Lotion"/>
    <x v="142"/>
    <x v="252"/>
    <s v="CD"/>
    <s v="Dover Cosmetics Ltd"/>
    <x v="10"/>
    <n v="5"/>
  </r>
  <r>
    <n v="1863654060344"/>
    <s v="Drinking Water"/>
    <x v="143"/>
    <x v="246"/>
    <s v="TZ"/>
    <s v="BAKHRESA GROUP DIVISIONS"/>
    <x v="7"/>
    <n v="224"/>
  </r>
  <r>
    <n v="194283300138"/>
    <s v="Spring Water"/>
    <x v="0"/>
    <x v="89"/>
    <s v="CA"/>
    <s v="Alimentation Couche-Tard Inc."/>
    <x v="1"/>
    <n v="12"/>
  </r>
  <r>
    <n v="20000967"/>
    <s v="Chuckles Malted Puffs in Milk Chocolate"/>
    <x v="121"/>
    <x v="253"/>
    <s v="ZA"/>
    <s v="Woolworths Holdings Ltd"/>
    <x v="4"/>
    <n v="1"/>
  </r>
  <r>
    <n v="20011246"/>
    <s v="crumbly"/>
    <x v="14"/>
    <x v="253"/>
    <s v="ZA"/>
    <s v="Woolworths Holdings Ltd"/>
    <x v="8"/>
    <n v="3"/>
  </r>
  <r>
    <n v="20011697"/>
    <s v="Fresh Milk Full Cream"/>
    <x v="12"/>
    <x v="253"/>
    <s v="ZA"/>
    <s v="Woolworths Holdings Ltd"/>
    <x v="4"/>
    <n v="3"/>
  </r>
  <r>
    <n v="20011697"/>
    <s v="Fresh Milk Full Cream"/>
    <x v="12"/>
    <x v="253"/>
    <s v="ZA"/>
    <s v="Woolworths Holdings Ltd"/>
    <x v="8"/>
    <n v="1"/>
  </r>
  <r>
    <n v="20011758"/>
    <s v="fresh custard with vanilla bean seeds"/>
    <x v="0"/>
    <x v="253"/>
    <s v="ZA"/>
    <s v="Woolworths Holdings Ltd"/>
    <x v="8"/>
    <n v="1"/>
  </r>
  <r>
    <n v="20017309"/>
    <s v="blueberries"/>
    <x v="69"/>
    <x v="253"/>
    <s v="ZA"/>
    <s v="Woolworths Holdings Ltd"/>
    <x v="8"/>
    <n v="1"/>
  </r>
  <r>
    <n v="20017750"/>
    <s v="Semi Skimmed Milk"/>
    <x v="144"/>
    <x v="254"/>
    <s v="UK"/>
    <s v="UNKNOWN_ORG"/>
    <x v="2"/>
    <n v="2"/>
  </r>
  <r>
    <n v="20024321"/>
    <s v="Bon Chretien Dried Pears"/>
    <x v="10"/>
    <x v="253"/>
    <s v="ZA"/>
    <s v="Woolworths Holdings Ltd"/>
    <x v="4"/>
    <n v="1"/>
  </r>
  <r>
    <n v="20026660"/>
    <s v="Peanut Butter"/>
    <x v="66"/>
    <x v="253"/>
    <s v="ZA"/>
    <s v="Woolworths Holdings Ltd"/>
    <x v="8"/>
    <n v="1"/>
  </r>
  <r>
    <n v="20026875"/>
    <s v="Ayrshire Full Cream Milk"/>
    <x v="12"/>
    <x v="253"/>
    <s v="ZA"/>
    <s v="Woolworths Holdings Ltd"/>
    <x v="4"/>
    <n v="1"/>
  </r>
  <r>
    <n v="20026875"/>
    <s v="Ayrshire Full Cream Milk"/>
    <x v="12"/>
    <x v="253"/>
    <s v="ZA"/>
    <s v="Woolworths Holdings Ltd"/>
    <x v="8"/>
    <n v="7"/>
  </r>
  <r>
    <n v="20040444"/>
    <s v="Plain Yoghurt"/>
    <x v="0"/>
    <x v="253"/>
    <s v="ZA"/>
    <s v="Woolworths Holdings Ltd"/>
    <x v="8"/>
    <n v="1"/>
  </r>
  <r>
    <n v="20049706"/>
    <s v="Ayrshire Full Cream Fresh Milk"/>
    <x v="22"/>
    <x v="253"/>
    <s v="ZA"/>
    <s v="Woolworths Holdings Ltd"/>
    <x v="4"/>
    <n v="2"/>
  </r>
  <r>
    <n v="20049706"/>
    <s v="Ayrshire Full Cream Fresh Milk"/>
    <x v="22"/>
    <x v="253"/>
    <s v="ZA"/>
    <s v="Woolworths Holdings Ltd"/>
    <x v="8"/>
    <n v="1"/>
  </r>
  <r>
    <n v="2005673456213"/>
    <s v="Lait caillé"/>
    <x v="0"/>
    <x v="255"/>
    <s v="CD"/>
    <s v="Safi-Sana"/>
    <x v="10"/>
    <n v="14"/>
  </r>
  <r>
    <n v="2005673456268"/>
    <s v="Lait Caille"/>
    <x v="145"/>
    <x v="255"/>
    <s v="CD"/>
    <s v="Safi-Sana"/>
    <x v="10"/>
    <n v="1"/>
  </r>
  <r>
    <n v="20067298"/>
    <s v="Fresh Milk"/>
    <x v="12"/>
    <x v="253"/>
    <s v="ZA"/>
    <s v="Woolworths Holdings Ltd"/>
    <x v="8"/>
    <n v="4"/>
  </r>
  <r>
    <n v="20080709"/>
    <s v="Macaroni Cheese with Bacon"/>
    <x v="146"/>
    <x v="253"/>
    <s v="ZA"/>
    <s v="Woolworths Holdings Ltd"/>
    <x v="8"/>
    <n v="1"/>
  </r>
  <r>
    <n v="20088866"/>
    <s v="Natural spring water"/>
    <x v="35"/>
    <x v="256"/>
    <s v="ZA"/>
    <s v="Woolworths Holdings Ltd"/>
    <x v="4"/>
    <n v="1"/>
  </r>
  <r>
    <n v="20088866"/>
    <s v="Natural spring water"/>
    <x v="35"/>
    <x v="256"/>
    <s v="ZA"/>
    <s v="Woolworths Holdings Ltd"/>
    <x v="8"/>
    <n v="7"/>
  </r>
  <r>
    <n v="20123253"/>
    <s v="pouring cream"/>
    <x v="48"/>
    <x v="253"/>
    <s v="ZA"/>
    <s v="Woolworths Holdings Ltd"/>
    <x v="8"/>
    <n v="1"/>
  </r>
  <r>
    <n v="20123994"/>
    <s v="Yoghurt"/>
    <x v="147"/>
    <x v="253"/>
    <s v="ZA"/>
    <s v="Woolworths Holdings Ltd"/>
    <x v="8"/>
    <n v="3"/>
  </r>
  <r>
    <n v="20143268"/>
    <s v="Cheddar Cheese Mild"/>
    <x v="66"/>
    <x v="253"/>
    <s v="ZA"/>
    <s v="Woolworths Holdings Ltd"/>
    <x v="4"/>
    <n v="1"/>
  </r>
  <r>
    <n v="20148089"/>
    <s v="chocolate mousse"/>
    <x v="13"/>
    <x v="253"/>
    <s v="ZA"/>
    <s v="Woolworths Holdings Ltd"/>
    <x v="4"/>
    <n v="1"/>
  </r>
  <r>
    <n v="20148089"/>
    <s v="chocolate mousse"/>
    <x v="13"/>
    <x v="253"/>
    <s v="ZA"/>
    <s v="Woolworths Holdings Ltd"/>
    <x v="8"/>
    <n v="1"/>
  </r>
  <r>
    <n v="20149826"/>
    <s v="salad cream"/>
    <x v="148"/>
    <x v="253"/>
    <s v="ZA"/>
    <s v="Woolworths Holdings Ltd"/>
    <x v="8"/>
    <n v="1"/>
  </r>
  <r>
    <n v="20156367"/>
    <s v="natural spring water"/>
    <x v="0"/>
    <x v="253"/>
    <s v="ZA"/>
    <s v="Woolworths Holdings Ltd"/>
    <x v="8"/>
    <n v="2"/>
  </r>
  <r>
    <n v="20162832"/>
    <s v="orange juice"/>
    <x v="35"/>
    <x v="253"/>
    <s v="ZA"/>
    <s v="Woolworths Holdings Ltd"/>
    <x v="8"/>
    <n v="2"/>
  </r>
  <r>
    <n v="20167080"/>
    <s v="cape Malay curry"/>
    <x v="149"/>
    <x v="253"/>
    <s v="ZA"/>
    <s v="Woolworths Holdings Ltd"/>
    <x v="8"/>
    <n v="2"/>
  </r>
  <r>
    <n v="20168957"/>
    <s v="low fat smooth strawberry flavoured yoghurt"/>
    <x v="147"/>
    <x v="253"/>
    <s v="ZA"/>
    <s v="Woolworths Holdings Ltd"/>
    <x v="8"/>
    <n v="1"/>
  </r>
  <r>
    <n v="20171643"/>
    <s v="Smoked German Style Salami"/>
    <x v="17"/>
    <x v="253"/>
    <s v="ZA"/>
    <s v="Woolworths Holdings Ltd"/>
    <x v="4"/>
    <n v="1"/>
  </r>
  <r>
    <n v="20173685"/>
    <s v="hummus"/>
    <x v="69"/>
    <x v="253"/>
    <s v="ZA"/>
    <s v="Woolworths Holdings Ltd"/>
    <x v="8"/>
    <n v="2"/>
  </r>
  <r>
    <n v="20197261"/>
    <s v="Ground Coffee - Cafe Gold Blend"/>
    <x v="10"/>
    <x v="253"/>
    <s v="ZA"/>
    <s v="Woolworths Holdings Ltd"/>
    <x v="8"/>
    <n v="1"/>
  </r>
  <r>
    <n v="20201609"/>
    <s v="Natural spring water"/>
    <x v="55"/>
    <x v="253"/>
    <s v="ZA"/>
    <s v="Woolworths Holdings Ltd"/>
    <x v="4"/>
    <n v="1"/>
  </r>
  <r>
    <n v="20201609"/>
    <s v="Natural spring water"/>
    <x v="55"/>
    <x v="253"/>
    <s v="ZA"/>
    <s v="Woolworths Holdings Ltd"/>
    <x v="8"/>
    <n v="6"/>
  </r>
  <r>
    <n v="2020558253855"/>
    <s v="Lemonade"/>
    <x v="93"/>
    <x v="257"/>
    <s v="ZA"/>
    <s v="The Spar Group Ltd"/>
    <x v="2"/>
    <n v="1"/>
  </r>
  <r>
    <n v="2027143041606"/>
    <s v="Ricotta"/>
    <x v="150"/>
    <x v="253"/>
    <s v="ZA"/>
    <s v="Woolworths Holdings Ltd"/>
    <x v="8"/>
    <n v="1"/>
  </r>
  <r>
    <n v="2040137139516"/>
    <s v="PUFT"/>
    <x v="151"/>
    <x v="258"/>
    <s v="GB"/>
    <s v="KP Snacks"/>
    <x v="2"/>
    <n v="1"/>
  </r>
  <r>
    <n v="20412074"/>
    <s v="Dried mango"/>
    <x v="17"/>
    <x v="259"/>
    <s v="DE"/>
    <s v="Lidl"/>
    <x v="2"/>
    <n v="1"/>
  </r>
  <r>
    <n v="2042509031176"/>
    <s v="Natural Mixed Nuta"/>
    <x v="147"/>
    <x v="260"/>
    <s v="DE"/>
    <s v="Zertus"/>
    <x v="2"/>
    <n v="1"/>
  </r>
  <r>
    <n v="2057672265358"/>
    <s v="Water"/>
    <x v="0"/>
    <x v="244"/>
    <s v="FR"/>
    <s v="Danone S.A."/>
    <x v="18"/>
    <n v="1"/>
  </r>
  <r>
    <n v="2089616370071"/>
    <s v="Agua Mineral"/>
    <x v="11"/>
    <x v="261"/>
    <s v="MZ"/>
    <s v="Sociedade de Águas de Moçambique"/>
    <x v="4"/>
    <n v="4672"/>
  </r>
  <r>
    <n v="2089676370523"/>
    <s v="Natural Mineral Water"/>
    <x v="0"/>
    <x v="262"/>
    <s v="MZ"/>
    <s v="Sociedade de Águas de Moçambique"/>
    <x v="4"/>
    <n v="16"/>
  </r>
  <r>
    <n v="21026034"/>
    <s v="Still Natural Mineral Water"/>
    <x v="12"/>
    <x v="263"/>
    <s v="US"/>
    <s v="Walmart Inc."/>
    <x v="2"/>
    <n v="1"/>
  </r>
  <r>
    <n v="2110110781107"/>
    <s v="Premium Pure Drinking water"/>
    <x v="23"/>
    <x v="91"/>
    <s v="TZ"/>
    <s v="Dew Drop Drinks Co.Ltd"/>
    <x v="7"/>
    <n v="4"/>
  </r>
  <r>
    <n v="2191101450127"/>
    <s v="rock boom"/>
    <x v="152"/>
    <x v="250"/>
    <s v="UG"/>
    <s v="Hariss International Ltd"/>
    <x v="5"/>
    <n v="1"/>
  </r>
  <r>
    <n v="22041111"/>
    <s v="Palm Oil"/>
    <x v="22"/>
    <x v="264"/>
    <s v="CM"/>
    <s v="SCRM MAYA &amp; Cie"/>
    <x v="13"/>
    <n v="1"/>
  </r>
  <r>
    <n v="2283011221123"/>
    <s v="mo energy"/>
    <x v="14"/>
    <x v="16"/>
    <s v="TZ"/>
    <s v="METL Group"/>
    <x v="7"/>
    <n v="1"/>
  </r>
  <r>
    <n v="24001663"/>
    <s v="Agua Mineral Natural"/>
    <x v="35"/>
    <x v="2"/>
    <s v="DE"/>
    <s v="ALDI Einkauf SE &amp; Co. oHG"/>
    <x v="19"/>
    <n v="8"/>
  </r>
  <r>
    <n v="2434756897603"/>
    <s v="Eau Naturelle"/>
    <x v="40"/>
    <x v="265"/>
    <s v="CD"/>
    <s v="INVESTIR CHEZ NOUS"/>
    <x v="10"/>
    <n v="6"/>
  </r>
  <r>
    <n v="24643177"/>
    <s v="Coke"/>
    <x v="153"/>
    <x v="1"/>
    <s v="US"/>
    <s v="Coca-Cola"/>
    <x v="16"/>
    <n v="1"/>
  </r>
  <r>
    <n v="25218787"/>
    <s v="mo xtra"/>
    <x v="14"/>
    <x v="16"/>
    <s v="TZ"/>
    <s v="METL Group"/>
    <x v="7"/>
    <n v="1"/>
  </r>
  <r>
    <n v="2610858664132"/>
    <s v="West Lake Natural mineral water"/>
    <x v="35"/>
    <x v="131"/>
    <s v="UG"/>
    <s v="West Lake Water Company SMC Limited"/>
    <x v="5"/>
    <n v="7"/>
  </r>
  <r>
    <n v="2703920843273"/>
    <s v="Ean pure de nos montagnes"/>
    <x v="0"/>
    <x v="266"/>
    <s v="KM"/>
    <s v="Hurya Industrie SARL"/>
    <x v="7"/>
    <n v="21"/>
  </r>
  <r>
    <n v="27533864"/>
    <s v="Strawberry Flavour Milk"/>
    <x v="13"/>
    <x v="263"/>
    <s v="US"/>
    <s v="Walmart Inc."/>
    <x v="2"/>
    <n v="1"/>
  </r>
  <r>
    <n v="28482963"/>
    <s v="Tunda Mango juce Drink"/>
    <x v="3"/>
    <x v="267"/>
    <s v="TZ"/>
    <s v="Motisun Group"/>
    <x v="7"/>
    <n v="6"/>
  </r>
  <r>
    <n v="29060733"/>
    <s v="gluten free chicken fajitas wrap"/>
    <x v="64"/>
    <x v="7"/>
    <s v="GB"/>
    <s v="Marks and Spencer plc"/>
    <x v="2"/>
    <n v="1"/>
  </r>
  <r>
    <n v="29087709"/>
    <s v="The Tropical One Juice"/>
    <x v="0"/>
    <x v="7"/>
    <s v="GB"/>
    <s v="Marks and Spencer plc"/>
    <x v="2"/>
    <n v="1"/>
  </r>
  <r>
    <n v="29087709"/>
    <s v="The Tropical One Juice"/>
    <x v="0"/>
    <x v="7"/>
    <s v="GB"/>
    <s v="Marks and Spencer plc"/>
    <x v="5"/>
    <n v="1"/>
  </r>
  <r>
    <n v="2910112560317"/>
    <s v="Drinking Water"/>
    <x v="154"/>
    <x v="79"/>
    <s v="TZ"/>
    <s v="Watercom (T) Ltd"/>
    <x v="7"/>
    <n v="20"/>
  </r>
  <r>
    <n v="3023290025338"/>
    <s v="Lindahls"/>
    <x v="155"/>
    <x v="14"/>
    <s v="CH"/>
    <s v="Nestlé S.A."/>
    <x v="2"/>
    <n v="1"/>
  </r>
  <r>
    <n v="3042614542320"/>
    <s v="Energy Drink"/>
    <x v="3"/>
    <x v="268"/>
    <s v="TZ"/>
    <s v="BAKHRESA GROUP DIVISIONS"/>
    <x v="12"/>
    <n v="1"/>
  </r>
  <r>
    <n v="3057640100178"/>
    <s v="Natural Mineral Water"/>
    <x v="35"/>
    <x v="244"/>
    <s v="FR"/>
    <s v="Danone S.A."/>
    <x v="2"/>
    <n v="3"/>
  </r>
  <r>
    <n v="3057640100178"/>
    <s v="Natural Mineral Water"/>
    <x v="35"/>
    <x v="244"/>
    <s v="FR"/>
    <s v="Danone S.A."/>
    <x v="5"/>
    <n v="2"/>
  </r>
  <r>
    <n v="3057640100673"/>
    <s v="Natural Mineral Water"/>
    <x v="0"/>
    <x v="244"/>
    <s v="FR"/>
    <s v="Danone S.A."/>
    <x v="2"/>
    <n v="8"/>
  </r>
  <r>
    <n v="3057640136993"/>
    <s v="Natural Mineral Water"/>
    <x v="13"/>
    <x v="244"/>
    <s v="FR"/>
    <s v="Danone S.A."/>
    <x v="2"/>
    <n v="7"/>
  </r>
  <r>
    <n v="3057640183843"/>
    <s v="Water"/>
    <x v="110"/>
    <x v="244"/>
    <s v="FR"/>
    <s v="Danone S.A."/>
    <x v="18"/>
    <n v="1"/>
  </r>
  <r>
    <n v="3057640316098"/>
    <s v="Touch of Fruit Lemon Lime Sugar Free"/>
    <x v="35"/>
    <x v="244"/>
    <s v="FR"/>
    <s v="Danone S.A."/>
    <x v="2"/>
    <n v="1"/>
  </r>
  <r>
    <n v="3057640373183"/>
    <s v="Touch of Fruit Lemon and Lime"/>
    <x v="0"/>
    <x v="244"/>
    <s v="FR"/>
    <s v="Danone S.A."/>
    <x v="2"/>
    <n v="1"/>
  </r>
  <r>
    <n v="3057640406423"/>
    <s v="Touch of Lemon and Lime Water"/>
    <x v="55"/>
    <x v="244"/>
    <s v="FR"/>
    <s v="Danone S.A."/>
    <x v="2"/>
    <n v="1"/>
  </r>
  <r>
    <n v="3057640406843"/>
    <s v="Touch of Fruit Strawberry"/>
    <x v="40"/>
    <x v="244"/>
    <s v="FR"/>
    <s v="Danone S.A."/>
    <x v="2"/>
    <n v="1"/>
  </r>
  <r>
    <n v="3057640492983"/>
    <s v="Watermelon Flavoured Water"/>
    <x v="12"/>
    <x v="244"/>
    <s v="FR"/>
    <s v="Danone S.A."/>
    <x v="2"/>
    <n v="2"/>
  </r>
  <r>
    <n v="3057640510533"/>
    <s v="touch of fruit"/>
    <x v="55"/>
    <x v="244"/>
    <s v="FR"/>
    <s v="Danone S.A."/>
    <x v="2"/>
    <n v="2"/>
  </r>
  <r>
    <n v="3057640510878"/>
    <s v="volvic juicy"/>
    <x v="156"/>
    <x v="244"/>
    <s v="FR"/>
    <s v="Danone S.A."/>
    <x v="2"/>
    <n v="1"/>
  </r>
  <r>
    <n v="3057640535123"/>
    <s v="Mango Passion"/>
    <x v="55"/>
    <x v="244"/>
    <s v="FR"/>
    <s v="Danone S.A."/>
    <x v="2"/>
    <n v="1"/>
  </r>
  <r>
    <n v="3057640548598"/>
    <s v="Touch of Fruit Mango Passion"/>
    <x v="0"/>
    <x v="244"/>
    <s v="FR"/>
    <s v="Danone S.A."/>
    <x v="2"/>
    <n v="1"/>
  </r>
  <r>
    <n v="3068320014067"/>
    <s v="Natural Mineral Water"/>
    <x v="55"/>
    <x v="38"/>
    <s v="FR"/>
    <s v="Danone S.A."/>
    <x v="1"/>
    <n v="2"/>
  </r>
  <r>
    <n v="3068320014067"/>
    <s v="Natural Mineral Water"/>
    <x v="55"/>
    <x v="38"/>
    <s v="FR"/>
    <s v="Danone S.A."/>
    <x v="2"/>
    <n v="11"/>
  </r>
  <r>
    <n v="3068320055008"/>
    <s v="Natural Mineral Water"/>
    <x v="0"/>
    <x v="38"/>
    <s v="FR"/>
    <s v="Danone S.A."/>
    <x v="2"/>
    <n v="6"/>
  </r>
  <r>
    <n v="3068320084602"/>
    <s v="Natural Mineral Water"/>
    <x v="35"/>
    <x v="38"/>
    <s v="FR"/>
    <s v="Danone S.A."/>
    <x v="1"/>
    <n v="1"/>
  </r>
  <r>
    <n v="3068320084602"/>
    <s v="Natural Mineral Water"/>
    <x v="35"/>
    <x v="38"/>
    <s v="FR"/>
    <s v="Danone S.A."/>
    <x v="2"/>
    <n v="1"/>
  </r>
  <r>
    <n v="3068320124377"/>
    <s v="Eau minerale naturelle"/>
    <x v="0"/>
    <x v="38"/>
    <s v="FR"/>
    <s v="Danone S.A."/>
    <x v="20"/>
    <n v="1"/>
  </r>
  <r>
    <n v="3068320124438"/>
    <s v="Natural Mineral Water"/>
    <x v="55"/>
    <x v="38"/>
    <s v="FR"/>
    <s v="Danone S.A."/>
    <x v="19"/>
    <n v="1"/>
  </r>
  <r>
    <n v="3068320130040"/>
    <s v="Evian water"/>
    <x v="35"/>
    <x v="38"/>
    <s v="FR"/>
    <s v="Danone S.A."/>
    <x v="2"/>
    <n v="1"/>
  </r>
  <r>
    <n v="3077200003169"/>
    <s v="Kettle sriracha"/>
    <x v="121"/>
    <x v="269"/>
    <s v="US"/>
    <s v="Campbell's"/>
    <x v="2"/>
    <n v="1"/>
  </r>
  <r>
    <n v="3086125705027"/>
    <s v="Single-Blade Razors"/>
    <x v="157"/>
    <x v="270"/>
    <s v="FR"/>
    <s v="Societé BIC"/>
    <x v="4"/>
    <n v="1"/>
  </r>
  <r>
    <n v="3123063240514"/>
    <s v="Berries flavour carbonated soft drink"/>
    <x v="14"/>
    <x v="78"/>
    <s v="TZ"/>
    <s v="Watercom (T) Ltd"/>
    <x v="7"/>
    <n v="5"/>
  </r>
  <r>
    <n v="3155301887038"/>
    <s v="Tropicana orange juice"/>
    <x v="36"/>
    <x v="106"/>
    <s v="FR"/>
    <s v="PAI Partners"/>
    <x v="1"/>
    <n v="1"/>
  </r>
  <r>
    <n v="3155930006015"/>
    <s v="Lager Beer"/>
    <x v="158"/>
    <x v="271"/>
    <s v="NL"/>
    <s v="Heineken N.V."/>
    <x v="7"/>
    <n v="38"/>
  </r>
  <r>
    <n v="3223119220221"/>
    <s v="mo energy"/>
    <x v="3"/>
    <x v="16"/>
    <s v="TZ"/>
    <s v="METL Group"/>
    <x v="7"/>
    <n v="1"/>
  </r>
  <r>
    <n v="3223188210420"/>
    <s v="Berry-flavored carbonated soft drink"/>
    <x v="3"/>
    <x v="16"/>
    <s v="TZ"/>
    <s v="METL Group"/>
    <x v="7"/>
    <n v="76"/>
  </r>
  <r>
    <n v="3243071300519"/>
    <s v="xtra Berry flavour Carbonated Soft Drink"/>
    <x v="152"/>
    <x v="16"/>
    <s v="TZ"/>
    <s v="METL Group"/>
    <x v="7"/>
    <n v="1"/>
  </r>
  <r>
    <n v="3270160822065"/>
    <s v="Pain au Chocolat"/>
    <x v="159"/>
    <x v="272"/>
    <s v="FR"/>
    <s v="Picard Surgelés"/>
    <x v="2"/>
    <n v="1"/>
  </r>
  <r>
    <n v="3284257680438"/>
    <s v="Breakfast cereal biscuits"/>
    <x v="128"/>
    <x v="101"/>
    <s v="GH"/>
    <s v="Twellium Industry Limited"/>
    <x v="6"/>
    <n v="50"/>
  </r>
  <r>
    <n v="3329770014497"/>
    <s v="Yop Strawberry Flavour"/>
    <x v="4"/>
    <x v="34"/>
    <s v="US"/>
    <s v="General Mills, Inc"/>
    <x v="2"/>
    <n v="1"/>
  </r>
  <r>
    <n v="3374650244068"/>
    <s v="Motul"/>
    <x v="22"/>
    <x v="273"/>
    <s v="FR"/>
    <s v="Motul S.A."/>
    <x v="12"/>
    <n v="8"/>
  </r>
  <r>
    <n v="3414620120289"/>
    <s v="Full Cream Milk"/>
    <x v="0"/>
    <x v="274"/>
    <s v="TZ"/>
    <s v="Asas Group of companies"/>
    <x v="7"/>
    <n v="5"/>
  </r>
  <r>
    <n v="3425900000283"/>
    <s v="Engine Oil"/>
    <x v="13"/>
    <x v="275"/>
    <s v="FR"/>
    <s v="TotalEnergies SE"/>
    <x v="12"/>
    <n v="11"/>
  </r>
  <r>
    <n v="3425900000504"/>
    <s v="Special 4T Motorcycle Engine Oil"/>
    <x v="13"/>
    <x v="276"/>
    <s v="FR"/>
    <s v="TotalEnergies SE"/>
    <x v="12"/>
    <n v="71"/>
  </r>
  <r>
    <n v="3425901025940"/>
    <s v="Engine Oil"/>
    <x v="13"/>
    <x v="275"/>
    <s v="FR"/>
    <s v="TotalEnergies SE"/>
    <x v="12"/>
    <n v="36"/>
  </r>
  <r>
    <n v="3454302004247"/>
    <s v="lodized sea salt"/>
    <x v="4"/>
    <x v="277"/>
    <s v="GH"/>
    <s v="ITC Farms"/>
    <x v="6"/>
    <n v="50"/>
  </r>
  <r>
    <n v="3502110008329"/>
    <s v="Pepsi"/>
    <x v="35"/>
    <x v="51"/>
    <s v="US"/>
    <s v="Pepsico, Inc"/>
    <x v="2"/>
    <n v="1"/>
  </r>
  <r>
    <n v="3555792501909"/>
    <s v="Double Mint Chewing Gum"/>
    <x v="160"/>
    <x v="278"/>
    <s v="US"/>
    <s v="Mars, Incorporated"/>
    <x v="21"/>
    <n v="1"/>
  </r>
  <r>
    <n v="3560071015510"/>
    <s v="Blue"/>
    <x v="0"/>
    <x v="279"/>
    <s v="FR"/>
    <s v="Carrefour"/>
    <x v="19"/>
    <n v="1"/>
  </r>
  <r>
    <n v="3560071198190"/>
    <s v="eco planet"/>
    <x v="0"/>
    <x v="279"/>
    <s v="FR"/>
    <s v="Carrefour"/>
    <x v="19"/>
    <n v="1"/>
  </r>
  <r>
    <n v="3600550965049"/>
    <s v="Lait corps"/>
    <x v="111"/>
    <x v="280"/>
    <s v="CD"/>
    <s v="FEMCO"/>
    <x v="10"/>
    <n v="1"/>
  </r>
  <r>
    <n v="3618264722797"/>
    <s v="Mini Eggs"/>
    <x v="17"/>
    <x v="129"/>
    <s v="US"/>
    <s v="Mondelēz International, Inc."/>
    <x v="2"/>
    <n v="1"/>
  </r>
  <r>
    <n v="3700123300014"/>
    <s v="Aquarel"/>
    <x v="35"/>
    <x v="281"/>
    <s v="CH"/>
    <s v="Nestlé S.A."/>
    <x v="19"/>
    <n v="3"/>
  </r>
  <r>
    <n v="3700123300014"/>
    <s v="Aquarel"/>
    <x v="35"/>
    <x v="281"/>
    <s v="CH"/>
    <s v="Nestlé S.A."/>
    <x v="2"/>
    <n v="1"/>
  </r>
  <r>
    <n v="3700123300380"/>
    <s v="Aquarel"/>
    <x v="0"/>
    <x v="14"/>
    <s v="CH"/>
    <s v="Nestlé S.A."/>
    <x v="19"/>
    <n v="1"/>
  </r>
  <r>
    <n v="3770012092412"/>
    <s v="Boisson &amp; Lait"/>
    <x v="110"/>
    <x v="282"/>
    <s v="TZ"/>
    <s v="U Fresh Juice"/>
    <x v="13"/>
    <n v="1"/>
  </r>
  <r>
    <n v="3863043770012"/>
    <s v="Hill water"/>
    <x v="22"/>
    <x v="92"/>
    <s v="TZ"/>
    <s v="Hill Group"/>
    <x v="7"/>
    <n v="2"/>
  </r>
  <r>
    <n v="39456878"/>
    <s v="Mountain Dew"/>
    <x v="28"/>
    <x v="54"/>
    <s v="US"/>
    <s v="Pepsico, Inc"/>
    <x v="1"/>
    <n v="2"/>
  </r>
  <r>
    <n v="3948719921162"/>
    <s v="Simply Good"/>
    <x v="161"/>
    <x v="283"/>
    <s v="GH"/>
    <s v="Equator foods Ghana ltd"/>
    <x v="6"/>
    <n v="50"/>
  </r>
  <r>
    <n v="4004166011678"/>
    <s v="Ultra Low Fat Milk"/>
    <x v="13"/>
    <x v="284"/>
    <s v="ZA"/>
    <s v="Clover Industries"/>
    <x v="4"/>
    <n v="1"/>
  </r>
  <r>
    <n v="4004166025873"/>
    <s v="Krush"/>
    <x v="0"/>
    <x v="284"/>
    <s v="ZA"/>
    <s v="Clover Industries"/>
    <x v="4"/>
    <n v="1"/>
  </r>
  <r>
    <n v="4005808212521"/>
    <s v="Sun Kids 50+"/>
    <x v="32"/>
    <x v="285"/>
    <s v="DE"/>
    <s v="Beiersdorf AG"/>
    <x v="10"/>
    <n v="1"/>
  </r>
  <r>
    <n v="4005808212521"/>
    <s v="Sun Kids 50+"/>
    <x v="32"/>
    <x v="285"/>
    <s v="DE"/>
    <s v="Beiersdorf AG"/>
    <x v="2"/>
    <n v="2"/>
  </r>
  <r>
    <n v="4005808212521"/>
    <s v="Sun Kids 50+"/>
    <x v="32"/>
    <x v="285"/>
    <s v="DE"/>
    <s v="Beiersdorf AG"/>
    <x v="5"/>
    <n v="3"/>
  </r>
  <r>
    <n v="4005808236879"/>
    <s v="Body Lotion 48h"/>
    <x v="14"/>
    <x v="285"/>
    <s v="DE"/>
    <s v="Beiersdorf AG"/>
    <x v="4"/>
    <n v="2"/>
  </r>
  <r>
    <n v="4005808246878"/>
    <s v="Body lotion"/>
    <x v="48"/>
    <x v="285"/>
    <s v="DE"/>
    <s v="Beiersdorf AG"/>
    <x v="13"/>
    <n v="1"/>
  </r>
  <r>
    <n v="4005808247431"/>
    <s v="Body Lotion 48h"/>
    <x v="14"/>
    <x v="285"/>
    <s v="DE"/>
    <s v="Beiersdorf AG"/>
    <x v="4"/>
    <n v="4"/>
  </r>
  <r>
    <n v="4005808780570"/>
    <s v="Body Cream"/>
    <x v="14"/>
    <x v="285"/>
    <s v="DE"/>
    <s v="Beiersdorf AG"/>
    <x v="4"/>
    <n v="1"/>
  </r>
  <r>
    <n v="4005900006622"/>
    <s v="Body Lotion for Men"/>
    <x v="14"/>
    <x v="285"/>
    <s v="DE"/>
    <s v="Beiersdorf AG"/>
    <x v="12"/>
    <n v="1"/>
  </r>
  <r>
    <n v="4005900105097"/>
    <s v="Protect &amp; Moisture"/>
    <x v="14"/>
    <x v="285"/>
    <s v="DE"/>
    <s v="Beiersdorf AG"/>
    <x v="0"/>
    <n v="1"/>
  </r>
  <r>
    <n v="4005900637444"/>
    <s v="Cherry Blossom &amp; Jojoba oil"/>
    <x v="14"/>
    <x v="285"/>
    <s v="DE"/>
    <s v="Beiersdorf AG"/>
    <x v="0"/>
    <n v="1"/>
  </r>
  <r>
    <n v="4009900522120"/>
    <s v="Skittles"/>
    <x v="162"/>
    <x v="286"/>
    <s v="US"/>
    <s v="Mars, Incorporated"/>
    <x v="2"/>
    <n v="1"/>
  </r>
  <r>
    <n v="4011100051300"/>
    <s v="Magic Stars"/>
    <x v="163"/>
    <x v="287"/>
    <s v="US"/>
    <s v="Mars, Incorporated"/>
    <x v="2"/>
    <n v="1"/>
  </r>
  <r>
    <n v="40111216"/>
    <s v="Bounty"/>
    <x v="164"/>
    <x v="288"/>
    <s v="US"/>
    <s v="Mars, Incorporated"/>
    <x v="2"/>
    <n v="1"/>
  </r>
  <r>
    <n v="40112756"/>
    <s v="Blackcurrant"/>
    <x v="0"/>
    <x v="44"/>
    <s v="US"/>
    <s v="Coca-Cola"/>
    <x v="0"/>
    <n v="7"/>
  </r>
  <r>
    <n v="4015000962568"/>
    <s v="Double Strength Dish Washing Liquid"/>
    <x v="0"/>
    <x v="289"/>
    <s v="DE"/>
    <s v="Henkel"/>
    <x v="2"/>
    <n v="1"/>
  </r>
  <r>
    <n v="4015000962568"/>
    <s v="Double Strength Dish Washing Liquid"/>
    <x v="0"/>
    <x v="289"/>
    <s v="DE"/>
    <s v="Henkel"/>
    <x v="12"/>
    <n v="3"/>
  </r>
  <r>
    <n v="4025500216214"/>
    <s v="Frijj Strawberry Flavour"/>
    <x v="93"/>
    <x v="290"/>
    <s v="LU"/>
    <s v="Unternehmensgruppe Theo Müller"/>
    <x v="2"/>
    <n v="1"/>
  </r>
  <r>
    <n v="4025500236328"/>
    <s v="Chocolate Milk"/>
    <x v="14"/>
    <x v="290"/>
    <s v="LU"/>
    <s v="Unternehmensgruppe Theo Müller"/>
    <x v="2"/>
    <n v="1"/>
  </r>
  <r>
    <n v="4025500287382"/>
    <s v="Frijj Strawberry Flavour"/>
    <x v="93"/>
    <x v="290"/>
    <s v="LU"/>
    <s v="Unternehmensgruppe Theo Müller"/>
    <x v="2"/>
    <n v="2"/>
  </r>
  <r>
    <n v="4025500287443"/>
    <s v="Chocolate Flavour Milkshake"/>
    <x v="93"/>
    <x v="290"/>
    <s v="LU"/>
    <s v="Unternehmensgruppe Theo Müller"/>
    <x v="2"/>
    <n v="1"/>
  </r>
  <r>
    <n v="4025500287481"/>
    <s v="Strawberry Milkshake"/>
    <x v="93"/>
    <x v="290"/>
    <s v="LU"/>
    <s v="Unternehmensgruppe Theo Müller"/>
    <x v="2"/>
    <n v="1"/>
  </r>
  <r>
    <n v="4030288214024"/>
    <s v="CHOCHO CREME NATURAL SKIN RESTORER"/>
    <x v="165"/>
    <x v="291"/>
    <s v="GH"/>
    <s v="CHOCHO Industries ltd"/>
    <x v="6"/>
    <n v="50"/>
  </r>
  <r>
    <n v="4031263253182"/>
    <s v="bigoo cocktail"/>
    <x v="76"/>
    <x v="105"/>
    <s v="GH"/>
    <s v="Twellium Industry Limited"/>
    <x v="6"/>
    <n v="1"/>
  </r>
  <r>
    <n v="4040000010544"/>
    <s v="Purified Drinking Water"/>
    <x v="13"/>
    <x v="292"/>
    <s v="UK"/>
    <s v="UNKNOWN_ORG"/>
    <x v="0"/>
    <n v="4"/>
  </r>
  <r>
    <n v="4040000010650"/>
    <s v="cool rivers"/>
    <x v="0"/>
    <x v="182"/>
    <s v="UK"/>
    <s v="UNKNOWN_ORG"/>
    <x v="0"/>
    <n v="6"/>
  </r>
  <r>
    <n v="4040000010667"/>
    <s v="Purified Drinking Water"/>
    <x v="0"/>
    <x v="292"/>
    <s v="UK"/>
    <s v="UNKNOWN_ORG"/>
    <x v="0"/>
    <n v="5"/>
  </r>
  <r>
    <n v="4040000010971"/>
    <s v="Purified Drinking Water"/>
    <x v="35"/>
    <x v="292"/>
    <s v="UK"/>
    <s v="UNKNOWN_ORG"/>
    <x v="0"/>
    <n v="1"/>
  </r>
  <r>
    <n v="4056489221944"/>
    <s v="Freshly Squeezed Raspberry Lemonade"/>
    <x v="13"/>
    <x v="63"/>
    <s v="DE"/>
    <s v="Schwarz Group"/>
    <x v="2"/>
    <n v="1"/>
  </r>
  <r>
    <n v="4056489320210"/>
    <s v="Leche Fresca Semi Desnatada"/>
    <x v="13"/>
    <x v="63"/>
    <s v="DE"/>
    <s v="Schwarz Group"/>
    <x v="19"/>
    <n v="1"/>
  </r>
  <r>
    <n v="4056489466581"/>
    <s v="Soya classic"/>
    <x v="0"/>
    <x v="293"/>
    <s v="UK"/>
    <s v="UNKNOWN_ORG"/>
    <x v="2"/>
    <n v="1"/>
  </r>
  <r>
    <n v="4056489479499"/>
    <s v="Apple &amp; Mango Juice"/>
    <x v="13"/>
    <x v="294"/>
    <s v="UK"/>
    <s v="UNKNOWN_ORG"/>
    <x v="2"/>
    <n v="1"/>
  </r>
  <r>
    <n v="4056489495833"/>
    <s v="Washing up liquid (lemon)"/>
    <x v="13"/>
    <x v="63"/>
    <s v="DE"/>
    <s v="Schwarz Group"/>
    <x v="2"/>
    <n v="1"/>
  </r>
  <r>
    <n v="4056489648062"/>
    <s v="double strength orange"/>
    <x v="35"/>
    <x v="295"/>
    <s v="DE"/>
    <s v="Lidl"/>
    <x v="2"/>
    <n v="2"/>
  </r>
  <r>
    <n v="4056489648093"/>
    <s v="Apple High Juice"/>
    <x v="13"/>
    <x v="295"/>
    <s v="DE"/>
    <s v="Lidl"/>
    <x v="2"/>
    <n v="1"/>
  </r>
  <r>
    <n v="4060800001740"/>
    <s v="Pepsi"/>
    <x v="35"/>
    <x v="51"/>
    <s v="US"/>
    <s v="Pepsico, Inc"/>
    <x v="2"/>
    <n v="1"/>
  </r>
  <r>
    <n v="4060800102683"/>
    <s v="Pepsi"/>
    <x v="0"/>
    <x v="51"/>
    <s v="US"/>
    <s v="Pepsico, Inc"/>
    <x v="19"/>
    <n v="1"/>
  </r>
  <r>
    <n v="4060800103314"/>
    <s v="Pepsi Max"/>
    <x v="35"/>
    <x v="51"/>
    <s v="US"/>
    <s v="Pepsico, Inc"/>
    <x v="2"/>
    <n v="1"/>
  </r>
  <r>
    <n v="4060800107008"/>
    <s v="Zero Azúcar"/>
    <x v="13"/>
    <x v="3"/>
    <s v="US"/>
    <s v="Keurig Dr Pepper Inc."/>
    <x v="19"/>
    <n v="1"/>
  </r>
  <r>
    <n v="4060800134943"/>
    <s v="Pepsi Max"/>
    <x v="23"/>
    <x v="51"/>
    <s v="US"/>
    <s v="Pepsico, Inc"/>
    <x v="2"/>
    <n v="1"/>
  </r>
  <r>
    <n v="4060800135346"/>
    <s v="Citrus Blast"/>
    <x v="0"/>
    <x v="54"/>
    <s v="US"/>
    <s v="Pepsico, Inc"/>
    <x v="2"/>
    <n v="3"/>
  </r>
  <r>
    <n v="4060800166531"/>
    <s v="Pepsi Max Cherry"/>
    <x v="12"/>
    <x v="51"/>
    <s v="US"/>
    <s v="Pepsico, Inc"/>
    <x v="2"/>
    <n v="1"/>
  </r>
  <r>
    <n v="4060800170248"/>
    <s v="Pepsi Max Cherry"/>
    <x v="23"/>
    <x v="51"/>
    <s v="US"/>
    <s v="Pepsico, Inc"/>
    <x v="2"/>
    <n v="1"/>
  </r>
  <r>
    <n v="4060800171122"/>
    <s v="Pepsi Max No Sugar"/>
    <x v="166"/>
    <x v="51"/>
    <s v="US"/>
    <s v="Pepsico, Inc"/>
    <x v="2"/>
    <n v="1"/>
  </r>
  <r>
    <n v="4060800172396"/>
    <s v="PepsiMax Cherry Carbonated Low Calorie Drink"/>
    <x v="0"/>
    <x v="51"/>
    <s v="US"/>
    <s v="Pepsico, Inc"/>
    <x v="2"/>
    <n v="2"/>
  </r>
  <r>
    <n v="4060800302625"/>
    <s v="Pepsi Max Raspberry Drink"/>
    <x v="167"/>
    <x v="51"/>
    <s v="US"/>
    <s v="Pepsico, Inc"/>
    <x v="2"/>
    <n v="1"/>
  </r>
  <r>
    <n v="4060800303202"/>
    <s v="Mountain Dew"/>
    <x v="0"/>
    <x v="54"/>
    <s v="US"/>
    <s v="Pepsico, Inc"/>
    <x v="2"/>
    <n v="2"/>
  </r>
  <r>
    <n v="4060800303646"/>
    <s v="Lemon Lime Cherry Sugar Free"/>
    <x v="23"/>
    <x v="3"/>
    <s v="US"/>
    <s v="Keurig Dr Pepper Inc."/>
    <x v="2"/>
    <n v="3"/>
  </r>
  <r>
    <n v="4060800303646"/>
    <s v="Lemon Lime Cherry Sugar Free"/>
    <x v="23"/>
    <x v="3"/>
    <s v="US"/>
    <s v="Keurig Dr Pepper Inc."/>
    <x v="7"/>
    <n v="1"/>
  </r>
  <r>
    <n v="4060800304957"/>
    <s v="Lipton Lemon Ice Tea"/>
    <x v="0"/>
    <x v="296"/>
    <s v="GB"/>
    <s v="Unilever Plc"/>
    <x v="2"/>
    <n v="1"/>
  </r>
  <r>
    <n v="4060800304957"/>
    <s v="Lipton Lemon Ice Tea"/>
    <x v="0"/>
    <x v="296"/>
    <s v="GB"/>
    <s v="Unilever Plc"/>
    <x v="4"/>
    <n v="3"/>
  </r>
  <r>
    <n v="4060800305053"/>
    <s v="Lemon &amp; Lime Carbonated Soft Drink"/>
    <x v="0"/>
    <x v="3"/>
    <s v="US"/>
    <s v="Keurig Dr Pepper Inc."/>
    <x v="2"/>
    <n v="1"/>
  </r>
  <r>
    <n v="4060800305091"/>
    <s v="Pepsi Max"/>
    <x v="0"/>
    <x v="51"/>
    <s v="US"/>
    <s v="Pepsico, Inc"/>
    <x v="2"/>
    <n v="4"/>
  </r>
  <r>
    <n v="4060800309327"/>
    <s v="Max"/>
    <x v="0"/>
    <x v="51"/>
    <s v="US"/>
    <s v="Pepsico, Inc"/>
    <x v="2"/>
    <n v="1"/>
  </r>
  <r>
    <n v="4060800309761"/>
    <s v="pepsi"/>
    <x v="12"/>
    <x v="51"/>
    <s v="US"/>
    <s v="Pepsico, Inc"/>
    <x v="2"/>
    <n v="1"/>
  </r>
  <r>
    <n v="4060800309952"/>
    <s v="7UP carbonated drink"/>
    <x v="0"/>
    <x v="3"/>
    <s v="US"/>
    <s v="Keurig Dr Pepper Inc."/>
    <x v="2"/>
    <n v="1"/>
  </r>
  <r>
    <n v="40608020"/>
    <s v="Pepsi"/>
    <x v="93"/>
    <x v="51"/>
    <s v="US"/>
    <s v="Pepsico, Inc"/>
    <x v="2"/>
    <n v="1"/>
  </r>
  <r>
    <n v="4061464879638"/>
    <s v="Honey and Peppercorn Nuts"/>
    <x v="168"/>
    <x v="2"/>
    <s v="DE"/>
    <s v="ALDI Einkauf SE &amp; Co. oHG"/>
    <x v="2"/>
    <n v="1"/>
  </r>
  <r>
    <n v="4062139015498"/>
    <s v="Max No Sugar"/>
    <x v="0"/>
    <x v="51"/>
    <s v="US"/>
    <s v="Pepsico, Inc"/>
    <x v="2"/>
    <n v="1"/>
  </r>
  <r>
    <n v="4062139018086"/>
    <s v="Pepsi"/>
    <x v="0"/>
    <x v="51"/>
    <s v="US"/>
    <s v="Pepsico, Inc"/>
    <x v="2"/>
    <n v="1"/>
  </r>
  <r>
    <n v="40822099"/>
    <s v="Lemon lime flavoured drink"/>
    <x v="76"/>
    <x v="148"/>
    <s v="US"/>
    <s v="Coca-Cola"/>
    <x v="0"/>
    <n v="38"/>
  </r>
  <r>
    <n v="40822099"/>
    <s v="Lemon lime flavoured drink"/>
    <x v="76"/>
    <x v="148"/>
    <s v="US"/>
    <s v="Coca-Cola"/>
    <x v="5"/>
    <n v="45"/>
  </r>
  <r>
    <n v="40822426"/>
    <s v="Bonaqua Mineral Water"/>
    <x v="0"/>
    <x v="297"/>
    <s v="US"/>
    <s v="Coca-Cola"/>
    <x v="4"/>
    <n v="3743"/>
  </r>
  <r>
    <n v="40822426"/>
    <s v="Bonaqua Mineral Water"/>
    <x v="0"/>
    <x v="297"/>
    <s v="US"/>
    <s v="Coca-Cola"/>
    <x v="7"/>
    <n v="2"/>
  </r>
  <r>
    <n v="40822938"/>
    <s v="Fanta Orange"/>
    <x v="0"/>
    <x v="44"/>
    <s v="US"/>
    <s v="Coca-Cola"/>
    <x v="13"/>
    <n v="1"/>
  </r>
  <r>
    <n v="40822938"/>
    <s v="Fanta Orange"/>
    <x v="0"/>
    <x v="44"/>
    <s v="US"/>
    <s v="Coca-Cola"/>
    <x v="2"/>
    <n v="11"/>
  </r>
  <r>
    <n v="40822938"/>
    <s v="Fanta Orange"/>
    <x v="0"/>
    <x v="44"/>
    <s v="US"/>
    <s v="Coca-Cola"/>
    <x v="0"/>
    <n v="52"/>
  </r>
  <r>
    <n v="40822938"/>
    <s v="Fanta Orange"/>
    <x v="0"/>
    <x v="44"/>
    <s v="US"/>
    <s v="Coca-Cola"/>
    <x v="3"/>
    <n v="151"/>
  </r>
  <r>
    <n v="40822938"/>
    <s v="Fanta Orange"/>
    <x v="0"/>
    <x v="44"/>
    <s v="US"/>
    <s v="Coca-Cola"/>
    <x v="16"/>
    <n v="17"/>
  </r>
  <r>
    <n v="40822938"/>
    <s v="Fanta Orange"/>
    <x v="0"/>
    <x v="44"/>
    <s v="US"/>
    <s v="Coca-Cola"/>
    <x v="12"/>
    <n v="43"/>
  </r>
  <r>
    <n v="40822938"/>
    <s v="Fanta Orange"/>
    <x v="0"/>
    <x v="44"/>
    <s v="US"/>
    <s v="Coca-Cola"/>
    <x v="7"/>
    <n v="357"/>
  </r>
  <r>
    <n v="40822938"/>
    <s v="Fanta Orange"/>
    <x v="0"/>
    <x v="44"/>
    <s v="US"/>
    <s v="Coca-Cola"/>
    <x v="5"/>
    <n v="83"/>
  </r>
  <r>
    <n v="40822938"/>
    <s v="Fanta Orange"/>
    <x v="0"/>
    <x v="44"/>
    <s v="US"/>
    <s v="Coca-Cola"/>
    <x v="15"/>
    <n v="42"/>
  </r>
  <r>
    <n v="4084500293519"/>
    <s v="Pro V Champu Purificante"/>
    <x v="169"/>
    <x v="298"/>
    <s v="US"/>
    <s v="THE PROCTER &amp; GAMBLE COMPANY"/>
    <x v="19"/>
    <n v="1"/>
  </r>
  <r>
    <n v="4084500870628"/>
    <s v="Original Dish Washing Liquid"/>
    <x v="170"/>
    <x v="299"/>
    <s v="US"/>
    <s v="THE PROCTER &amp; GAMBLE COMPANY"/>
    <x v="2"/>
    <n v="1"/>
  </r>
  <r>
    <n v="40882932"/>
    <s v="Orange Flavoured Drink"/>
    <x v="0"/>
    <x v="44"/>
    <s v="US"/>
    <s v="Coca-Cola"/>
    <x v="5"/>
    <n v="1"/>
  </r>
  <r>
    <n v="4088600185132"/>
    <s v="Onions"/>
    <x v="147"/>
    <x v="2"/>
    <s v="DE"/>
    <s v="ALDI Einkauf SE &amp; Co. oHG"/>
    <x v="2"/>
    <n v="1"/>
  </r>
  <r>
    <n v="4088600186979"/>
    <s v="Carrots"/>
    <x v="4"/>
    <x v="2"/>
    <s v="DE"/>
    <s v="ALDI Einkauf SE &amp; Co. oHG"/>
    <x v="2"/>
    <n v="1"/>
  </r>
  <r>
    <n v="4088600188751"/>
    <s v="British Miniature Potatoes"/>
    <x v="57"/>
    <x v="2"/>
    <s v="DE"/>
    <s v="ALDI Einkauf SE &amp; Co. oHG"/>
    <x v="2"/>
    <n v="1"/>
  </r>
  <r>
    <n v="4088600264349"/>
    <s v="Indian Tonic Water"/>
    <x v="22"/>
    <x v="2"/>
    <s v="DE"/>
    <s v="ALDI Einkauf SE &amp; Co. oHG"/>
    <x v="2"/>
    <n v="1"/>
  </r>
  <r>
    <n v="4088600266008"/>
    <s v="Greek style Yoghurt"/>
    <x v="4"/>
    <x v="300"/>
    <s v="DE"/>
    <s v="ALDI Einkauf SE &amp; Co. oHG"/>
    <x v="2"/>
    <n v="1"/>
  </r>
  <r>
    <n v="4088600268781"/>
    <s v="4 seed mix"/>
    <x v="10"/>
    <x v="2"/>
    <s v="DE"/>
    <s v="ALDI Einkauf SE &amp; Co. oHG"/>
    <x v="2"/>
    <n v="1"/>
  </r>
  <r>
    <n v="4088600274065"/>
    <s v="Vive Lemonade"/>
    <x v="166"/>
    <x v="2"/>
    <s v="DE"/>
    <s v="ALDI Einkauf SE &amp; Co. oHG"/>
    <x v="2"/>
    <n v="1"/>
  </r>
  <r>
    <n v="4088600355696"/>
    <s v="Safari Snacks"/>
    <x v="171"/>
    <x v="2"/>
    <s v="DE"/>
    <s v="ALDI Einkauf SE &amp; Co. oHG"/>
    <x v="2"/>
    <n v="1"/>
  </r>
  <r>
    <n v="4088600563077"/>
    <s v="Apple and raspberry spring water"/>
    <x v="0"/>
    <x v="301"/>
    <s v="DE"/>
    <s v="ALDI Einkauf SE &amp; Co. oHG"/>
    <x v="2"/>
    <n v="2"/>
  </r>
  <r>
    <n v="42105220"/>
    <s v="Coca Cola"/>
    <x v="43"/>
    <x v="1"/>
    <s v="US"/>
    <s v="Coca-Cola"/>
    <x v="6"/>
    <n v="2"/>
  </r>
  <r>
    <n v="42116011"/>
    <s v="Cocktail"/>
    <x v="3"/>
    <x v="44"/>
    <s v="US"/>
    <s v="Coca-Cola"/>
    <x v="6"/>
    <n v="393"/>
  </r>
  <r>
    <n v="42116479"/>
    <s v="Blackcurrant"/>
    <x v="76"/>
    <x v="44"/>
    <s v="US"/>
    <s v="Coca-Cola"/>
    <x v="0"/>
    <n v="43"/>
  </r>
  <r>
    <n v="42117131"/>
    <s v="Coca-Cola"/>
    <x v="76"/>
    <x v="1"/>
    <s v="US"/>
    <s v="Coca-Cola"/>
    <x v="10"/>
    <n v="12"/>
  </r>
  <r>
    <n v="42117131"/>
    <s v="Coca-Cola"/>
    <x v="76"/>
    <x v="1"/>
    <s v="US"/>
    <s v="Coca-Cola"/>
    <x v="0"/>
    <n v="74"/>
  </r>
  <r>
    <n v="42117131"/>
    <s v="Coca-Cola"/>
    <x v="76"/>
    <x v="1"/>
    <s v="US"/>
    <s v="Coca-Cola"/>
    <x v="4"/>
    <n v="189"/>
  </r>
  <r>
    <n v="42117131"/>
    <s v="Coca-Cola"/>
    <x v="76"/>
    <x v="1"/>
    <s v="US"/>
    <s v="Coca-Cola"/>
    <x v="5"/>
    <n v="182"/>
  </r>
  <r>
    <n v="42117131"/>
    <s v="Coca-Cola"/>
    <x v="76"/>
    <x v="1"/>
    <s v="US"/>
    <s v="Coca-Cola"/>
    <x v="15"/>
    <n v="17"/>
  </r>
  <r>
    <n v="4212197412856"/>
    <s v="Peperami"/>
    <x v="16"/>
    <x v="302"/>
    <s v="US"/>
    <s v="Link Snacks, Inc."/>
    <x v="2"/>
    <n v="1"/>
  </r>
  <r>
    <n v="42150237"/>
    <s v="Water"/>
    <x v="0"/>
    <x v="244"/>
    <s v="FR"/>
    <s v="Danone S.A."/>
    <x v="18"/>
    <n v="5"/>
  </r>
  <r>
    <n v="42357513"/>
    <s v="Tropical Juice Drink"/>
    <x v="3"/>
    <x v="112"/>
    <s v="US"/>
    <s v="Coca-Cola"/>
    <x v="10"/>
    <n v="1"/>
  </r>
  <r>
    <n v="42357766"/>
    <s v="Orange Flavour Soft Drink"/>
    <x v="3"/>
    <x v="44"/>
    <s v="US"/>
    <s v="Coca-Cola"/>
    <x v="13"/>
    <n v="2"/>
  </r>
  <r>
    <n v="42357766"/>
    <s v="Orange Flavour Soft Drink"/>
    <x v="3"/>
    <x v="44"/>
    <s v="US"/>
    <s v="Coca-Cola"/>
    <x v="3"/>
    <n v="23"/>
  </r>
  <r>
    <n v="42358244"/>
    <s v="Fanta Fruit Blast"/>
    <x v="3"/>
    <x v="44"/>
    <s v="US"/>
    <s v="Coca-Cola"/>
    <x v="7"/>
    <n v="21"/>
  </r>
  <r>
    <n v="42380573"/>
    <s v="Minute Maid Orange"/>
    <x v="172"/>
    <x v="112"/>
    <s v="US"/>
    <s v="Coca-Cola"/>
    <x v="4"/>
    <n v="23"/>
  </r>
  <r>
    <n v="42380573"/>
    <s v="Minute Maid Orange"/>
    <x v="172"/>
    <x v="112"/>
    <s v="US"/>
    <s v="Coca-Cola"/>
    <x v="5"/>
    <n v="19"/>
  </r>
  <r>
    <n v="42380580"/>
    <s v="Orange flavored drink"/>
    <x v="76"/>
    <x v="112"/>
    <s v="US"/>
    <s v="Coca-Cola"/>
    <x v="0"/>
    <n v="1"/>
  </r>
  <r>
    <n v="42380665"/>
    <s v="Fanta Litchi"/>
    <x v="172"/>
    <x v="44"/>
    <s v="US"/>
    <s v="Coca-Cola"/>
    <x v="4"/>
    <n v="173"/>
  </r>
  <r>
    <n v="42380672"/>
    <s v="Lemon Drink"/>
    <x v="172"/>
    <x v="44"/>
    <s v="US"/>
    <s v="Coca-Cola"/>
    <x v="4"/>
    <n v="77"/>
  </r>
  <r>
    <n v="42380696"/>
    <s v="Fanta Orange"/>
    <x v="172"/>
    <x v="44"/>
    <s v="US"/>
    <s v="Coca-Cola"/>
    <x v="2"/>
    <n v="1"/>
  </r>
  <r>
    <n v="42380696"/>
    <s v="Fanta Orange"/>
    <x v="172"/>
    <x v="44"/>
    <s v="US"/>
    <s v="Coca-Cola"/>
    <x v="0"/>
    <n v="1"/>
  </r>
  <r>
    <n v="42380696"/>
    <s v="Fanta Orange"/>
    <x v="172"/>
    <x v="44"/>
    <s v="US"/>
    <s v="Coca-Cola"/>
    <x v="4"/>
    <n v="1052"/>
  </r>
  <r>
    <n v="42380696"/>
    <s v="Fanta Orange"/>
    <x v="172"/>
    <x v="44"/>
    <s v="US"/>
    <s v="Coca-Cola"/>
    <x v="7"/>
    <n v="7"/>
  </r>
  <r>
    <n v="42380771"/>
    <s v="Sprite zero"/>
    <x v="173"/>
    <x v="148"/>
    <s v="US"/>
    <s v="Coca-Cola"/>
    <x v="4"/>
    <n v="738"/>
  </r>
  <r>
    <n v="42381105"/>
    <s v="Coke Zero"/>
    <x v="172"/>
    <x v="1"/>
    <s v="US"/>
    <s v="Coca-Cola"/>
    <x v="4"/>
    <n v="7649"/>
  </r>
  <r>
    <n v="42381198"/>
    <s v="Fruit Malt Drink"/>
    <x v="76"/>
    <x v="303"/>
    <s v="US"/>
    <s v="Coca-Cola"/>
    <x v="5"/>
    <n v="7"/>
  </r>
  <r>
    <n v="4251097412825"/>
    <s v="Peperami"/>
    <x v="16"/>
    <x v="302"/>
    <s v="US"/>
    <s v="Link Snacks, Inc."/>
    <x v="2"/>
    <n v="2"/>
  </r>
  <r>
    <n v="4260159441352"/>
    <s v="Água engarrafada"/>
    <x v="174"/>
    <x v="204"/>
    <s v="AO"/>
    <s v="Befco Industria Lda"/>
    <x v="17"/>
    <n v="1"/>
  </r>
  <r>
    <n v="4260183331117"/>
    <s v="Kolah Cool"/>
    <x v="76"/>
    <x v="304"/>
    <s v="GH"/>
    <s v="Multi Pac ltd"/>
    <x v="6"/>
    <n v="42"/>
  </r>
  <r>
    <n v="4260183331124"/>
    <s v="Vanda cool"/>
    <x v="76"/>
    <x v="304"/>
    <s v="GH"/>
    <s v="Multi Pac ltd"/>
    <x v="6"/>
    <n v="53"/>
  </r>
  <r>
    <n v="4260183331285"/>
    <s v="5Star"/>
    <x v="76"/>
    <x v="304"/>
    <s v="GH"/>
    <s v="Multi Pac ltd"/>
    <x v="6"/>
    <n v="559"/>
  </r>
  <r>
    <n v="4309720211113"/>
    <s v="Sabão líquido"/>
    <x v="0"/>
    <x v="305"/>
    <s v="UK"/>
    <s v="UNKNOWN_ORG"/>
    <x v="4"/>
    <n v="6"/>
  </r>
  <r>
    <n v="4321365465423"/>
    <s v="Vin Amour"/>
    <x v="3"/>
    <x v="306"/>
    <s v="CD"/>
    <s v="afro american industries sarl"/>
    <x v="10"/>
    <n v="36"/>
  </r>
  <r>
    <n v="43891290"/>
    <s v="FanIce"/>
    <x v="175"/>
    <x v="307"/>
    <s v="FR"/>
    <s v="Danone S.A."/>
    <x v="6"/>
    <n v="1"/>
  </r>
  <r>
    <n v="4416241863063"/>
    <s v="Apple Drink"/>
    <x v="76"/>
    <x v="308"/>
    <s v="NG"/>
    <s v="Jotna Group"/>
    <x v="16"/>
    <n v="1"/>
  </r>
  <r>
    <n v="4442020112145"/>
    <s v="Kilimanjaro water"/>
    <x v="0"/>
    <x v="100"/>
    <s v="US"/>
    <s v="Coca-Cola"/>
    <x v="7"/>
    <n v="16"/>
  </r>
  <r>
    <n v="4471571908006"/>
    <s v="Chocolate Mousse"/>
    <x v="17"/>
    <x v="70"/>
    <s v="GB"/>
    <s v="John Lewis Partnership Plc"/>
    <x v="2"/>
    <n v="1"/>
  </r>
  <r>
    <n v="4777724000017"/>
    <s v="Mayor Palm Oil"/>
    <x v="22"/>
    <x v="264"/>
    <s v="CM"/>
    <s v="SCRM MAYA &amp; Cie"/>
    <x v="13"/>
    <n v="6"/>
  </r>
  <r>
    <n v="4779040220520"/>
    <s v="Aloe vera Light"/>
    <x v="35"/>
    <x v="309"/>
    <s v="LT"/>
    <s v="Mega Baltic JSC"/>
    <x v="4"/>
    <n v="15"/>
  </r>
  <r>
    <n v="4779040221060"/>
    <s v="Healthy Juice"/>
    <x v="176"/>
    <x v="309"/>
    <s v="LT"/>
    <s v="Mega Baltic JSC"/>
    <x v="4"/>
    <n v="10"/>
  </r>
  <r>
    <n v="4779040221060"/>
    <s v="Healthy Juice"/>
    <x v="176"/>
    <x v="309"/>
    <s v="LT"/>
    <s v="Mega Baltic JSC"/>
    <x v="15"/>
    <n v="1"/>
  </r>
  <r>
    <n v="4779040221091"/>
    <s v="Healthy Juice"/>
    <x v="0"/>
    <x v="309"/>
    <s v="LT"/>
    <s v="Mega Baltic JSC"/>
    <x v="15"/>
    <n v="2"/>
  </r>
  <r>
    <n v="4779040221978"/>
    <s v="Aloe vera with chia seeds"/>
    <x v="0"/>
    <x v="309"/>
    <s v="LT"/>
    <s v="Mega Baltic JSC"/>
    <x v="4"/>
    <n v="2"/>
  </r>
  <r>
    <n v="4820196910015"/>
    <s v="Sunflower Seed Oil"/>
    <x v="13"/>
    <x v="310"/>
    <s v="UA"/>
    <s v="Manzaro Ukraine LLC"/>
    <x v="4"/>
    <n v="3"/>
  </r>
  <r>
    <n v="4820196910015"/>
    <s v="Sunflower Seed Oil"/>
    <x v="13"/>
    <x v="310"/>
    <s v="UA"/>
    <s v="Manzaro Ukraine LLC"/>
    <x v="12"/>
    <n v="37"/>
  </r>
  <r>
    <n v="4897057900065"/>
    <s v="Água de Mesa"/>
    <x v="23"/>
    <x v="311"/>
    <s v="GB"/>
    <s v="GMR Group Africa"/>
    <x v="17"/>
    <n v="6"/>
  </r>
  <r>
    <n v="4897057900102"/>
    <s v="Energy drink"/>
    <x v="76"/>
    <x v="312"/>
    <s v="UK"/>
    <s v="UNKNOWN_ORG"/>
    <x v="17"/>
    <n v="3"/>
  </r>
  <r>
    <n v="5000101168079"/>
    <s v="Antibacterial handwash"/>
    <x v="13"/>
    <x v="313"/>
    <s v="GB"/>
    <s v="PZ Cussons International Ltd."/>
    <x v="2"/>
    <n v="1"/>
  </r>
  <r>
    <n v="5000101213991"/>
    <s v="Fruit Chew Antibacterial Handwash"/>
    <x v="0"/>
    <x v="314"/>
    <s v="GB"/>
    <s v="PZ Cussons PLC"/>
    <x v="4"/>
    <n v="1"/>
  </r>
  <r>
    <n v="5000101514562"/>
    <s v="Luxurious bath soak"/>
    <x v="0"/>
    <x v="315"/>
    <s v="GB"/>
    <s v="PZ Cussons PLC"/>
    <x v="2"/>
    <n v="1"/>
  </r>
  <r>
    <n v="5000101799556"/>
    <s v="Antibacterial Hand Wash"/>
    <x v="48"/>
    <x v="313"/>
    <s v="GB"/>
    <s v="PZ Cussons International Ltd."/>
    <x v="2"/>
    <n v="1"/>
  </r>
  <r>
    <n v="5000101991134"/>
    <s v="Shower Cream"/>
    <x v="3"/>
    <x v="315"/>
    <s v="GB"/>
    <s v="PZ Cussons PLC"/>
    <x v="0"/>
    <n v="17"/>
  </r>
  <r>
    <n v="5000111046244"/>
    <s v="HP Sauce"/>
    <x v="177"/>
    <x v="316"/>
    <s v="US"/>
    <s v="Kraft Heinz Foods Company"/>
    <x v="2"/>
    <n v="3"/>
  </r>
  <r>
    <n v="5000111047517"/>
    <s v="HP Sauce 600g"/>
    <x v="67"/>
    <x v="316"/>
    <s v="US"/>
    <s v="Kraft Heinz Foods Company"/>
    <x v="3"/>
    <n v="50"/>
  </r>
  <r>
    <n v="5000111047517"/>
    <s v="HP Sauce 600g"/>
    <x v="67"/>
    <x v="316"/>
    <s v="US"/>
    <s v="Kraft Heinz Foods Company"/>
    <x v="12"/>
    <n v="2"/>
  </r>
  <r>
    <n v="5000112552218"/>
    <s v="Coke Zero"/>
    <x v="178"/>
    <x v="1"/>
    <s v="US"/>
    <s v="Coca-Cola"/>
    <x v="18"/>
    <n v="1"/>
  </r>
  <r>
    <n v="5000112599725"/>
    <s v="Citrus Punch Fruit Drink"/>
    <x v="0"/>
    <x v="317"/>
    <s v="US"/>
    <s v="Coca-Cola"/>
    <x v="2"/>
    <n v="3"/>
  </r>
  <r>
    <n v="5000112599732"/>
    <s v="Summer Fruits Juice Drink"/>
    <x v="0"/>
    <x v="317"/>
    <s v="US"/>
    <s v="Coca-Cola"/>
    <x v="2"/>
    <n v="2"/>
  </r>
  <r>
    <n v="5000112629101"/>
    <s v="Berry and Tropical Drink"/>
    <x v="0"/>
    <x v="149"/>
    <s v="US"/>
    <s v="Coca-Cola"/>
    <x v="2"/>
    <n v="1"/>
  </r>
  <r>
    <n v="5000112644890"/>
    <s v="Coke"/>
    <x v="0"/>
    <x v="1"/>
    <s v="US"/>
    <s v="Coca-Cola"/>
    <x v="2"/>
    <n v="2"/>
  </r>
  <r>
    <n v="5000112649864"/>
    <s v="Coke Zero"/>
    <x v="0"/>
    <x v="1"/>
    <s v="US"/>
    <s v="Coca-Cola"/>
    <x v="2"/>
    <n v="1"/>
  </r>
  <r>
    <n v="5000112649864"/>
    <s v="Coke Zero"/>
    <x v="0"/>
    <x v="1"/>
    <s v="US"/>
    <s v="Coca-Cola"/>
    <x v="12"/>
    <n v="1"/>
  </r>
  <r>
    <n v="5000112649871"/>
    <s v="Diet Coke"/>
    <x v="0"/>
    <x v="1"/>
    <s v="US"/>
    <s v="Coca-Cola"/>
    <x v="2"/>
    <n v="1"/>
  </r>
  <r>
    <n v="5000112649895"/>
    <s v="Raspberry Zero Sugar"/>
    <x v="0"/>
    <x v="44"/>
    <s v="US"/>
    <s v="Coca-Cola"/>
    <x v="2"/>
    <n v="1"/>
  </r>
  <r>
    <n v="5000112649918"/>
    <s v="Fruit Twist"/>
    <x v="0"/>
    <x v="44"/>
    <s v="US"/>
    <s v="Coca-Cola"/>
    <x v="2"/>
    <n v="1"/>
  </r>
  <r>
    <n v="5000112649932"/>
    <s v="Orange"/>
    <x v="0"/>
    <x v="44"/>
    <s v="US"/>
    <s v="Coca-Cola"/>
    <x v="2"/>
    <n v="10"/>
  </r>
  <r>
    <n v="5000112649932"/>
    <s v="Orange"/>
    <x v="0"/>
    <x v="44"/>
    <s v="US"/>
    <s v="Coca-Cola"/>
    <x v="5"/>
    <n v="1"/>
  </r>
  <r>
    <n v="5000112649956"/>
    <s v="Dr Pepper Zero"/>
    <x v="0"/>
    <x v="29"/>
    <s v="US"/>
    <s v="Keurig Dr Pepper Inc."/>
    <x v="2"/>
    <n v="1"/>
  </r>
  <r>
    <n v="5000112662092"/>
    <s v="Coca-Cola"/>
    <x v="179"/>
    <x v="1"/>
    <s v="US"/>
    <s v="Coca-Cola"/>
    <x v="2"/>
    <n v="1"/>
  </r>
  <r>
    <n v="5000112663938"/>
    <s v="coca cola"/>
    <x v="93"/>
    <x v="1"/>
    <s v="US"/>
    <s v="Coca-Cola"/>
    <x v="2"/>
    <n v="1"/>
  </r>
  <r>
    <n v="5000112663952"/>
    <s v="Coca-Cola Original"/>
    <x v="0"/>
    <x v="1"/>
    <s v="US"/>
    <s v="Coca-Cola"/>
    <x v="2"/>
    <n v="1"/>
  </r>
  <r>
    <n v="5000112664270"/>
    <s v="Dr Pepper"/>
    <x v="0"/>
    <x v="29"/>
    <s v="US"/>
    <s v="Keurig Dr Pepper Inc."/>
    <x v="2"/>
    <n v="1"/>
  </r>
  <r>
    <n v="5000118047794"/>
    <s v="Lemon ice tea"/>
    <x v="0"/>
    <x v="296"/>
    <s v="GB"/>
    <s v="Unilever Plc"/>
    <x v="2"/>
    <n v="1"/>
  </r>
  <r>
    <n v="5000118047817"/>
    <s v="Peach Ice Tea"/>
    <x v="0"/>
    <x v="296"/>
    <s v="GB"/>
    <s v="Unilever Plc"/>
    <x v="2"/>
    <n v="5"/>
  </r>
  <r>
    <n v="5000118047817"/>
    <s v="Peach Ice Tea"/>
    <x v="0"/>
    <x v="296"/>
    <s v="GB"/>
    <s v="Unilever Plc"/>
    <x v="4"/>
    <n v="1"/>
  </r>
  <r>
    <n v="5000118061905"/>
    <s v="mango ice tea"/>
    <x v="0"/>
    <x v="296"/>
    <s v="GB"/>
    <s v="Unilever Plc"/>
    <x v="2"/>
    <n v="1"/>
  </r>
  <r>
    <n v="5000119131829"/>
    <s v="Sunflower Oil"/>
    <x v="166"/>
    <x v="95"/>
    <s v="GB"/>
    <s v="Tesco PLC"/>
    <x v="2"/>
    <n v="1"/>
  </r>
  <r>
    <n v="5000128008792"/>
    <s v="Diet Sparkling Lemonade"/>
    <x v="12"/>
    <x v="94"/>
    <s v="GB"/>
    <s v="CO-OPERATIVE GROUP LIMITED"/>
    <x v="2"/>
    <n v="1"/>
  </r>
  <r>
    <n v="5000128280679"/>
    <s v="Ginger"/>
    <x v="180"/>
    <x v="94"/>
    <s v="GB"/>
    <s v="CO-OPERATIVE GROUP LIMITED"/>
    <x v="2"/>
    <n v="1"/>
  </r>
  <r>
    <n v="5000128372350"/>
    <s v="Fresh Whole Milk"/>
    <x v="47"/>
    <x v="94"/>
    <s v="GB"/>
    <s v="CO-OPERATIVE GROUP LIMITED"/>
    <x v="2"/>
    <n v="1"/>
  </r>
  <r>
    <n v="5000128447607"/>
    <s v="Chillies"/>
    <x v="122"/>
    <x v="94"/>
    <s v="GB"/>
    <s v="CO-OPERATIVE GROUP LIMITED"/>
    <x v="2"/>
    <n v="1"/>
  </r>
  <r>
    <n v="5000128503679"/>
    <s v="cherryade"/>
    <x v="12"/>
    <x v="94"/>
    <s v="GB"/>
    <s v="CO-OPERATIVE GROUP LIMITED"/>
    <x v="2"/>
    <n v="2"/>
  </r>
  <r>
    <n v="5000128519212"/>
    <s v="Cola"/>
    <x v="12"/>
    <x v="94"/>
    <s v="GB"/>
    <s v="CO-OPERATIVE GROUP LIMITED"/>
    <x v="2"/>
    <n v="1"/>
  </r>
  <r>
    <n v="5000128580915"/>
    <s v="Natural Mineral Water Still"/>
    <x v="12"/>
    <x v="94"/>
    <s v="GB"/>
    <s v="CO-OPERATIVE GROUP LIMITED"/>
    <x v="2"/>
    <n v="2"/>
  </r>
  <r>
    <n v="5000128580984"/>
    <s v="Still Natural Mineral Water"/>
    <x v="11"/>
    <x v="94"/>
    <s v="GB"/>
    <s v="CO-OPERATIVE GROUP LIMITED"/>
    <x v="2"/>
    <n v="1"/>
  </r>
  <r>
    <n v="5000128581042"/>
    <s v="Natural mineral water"/>
    <x v="0"/>
    <x v="94"/>
    <s v="GB"/>
    <s v="CO-OPERATIVE GROUP LIMITED"/>
    <x v="2"/>
    <n v="5"/>
  </r>
  <r>
    <n v="5000128606981"/>
    <s v="Diet Cloudy Lemonade"/>
    <x v="12"/>
    <x v="94"/>
    <s v="GB"/>
    <s v="CO-OPERATIVE GROUP LIMITED"/>
    <x v="2"/>
    <n v="1"/>
  </r>
  <r>
    <n v="5000128626170"/>
    <s v="Tomato Ketchup"/>
    <x v="181"/>
    <x v="94"/>
    <s v="GB"/>
    <s v="CO-OPERATIVE GROUP LIMITED"/>
    <x v="2"/>
    <n v="1"/>
  </r>
  <r>
    <n v="5000128652797"/>
    <s v="Sparkling Natural Mineral Water"/>
    <x v="0"/>
    <x v="94"/>
    <s v="GB"/>
    <s v="CO-OPERATIVE GROUP LIMITED"/>
    <x v="2"/>
    <n v="2"/>
  </r>
  <r>
    <n v="5000128670210"/>
    <s v="Sparkling Lemonade"/>
    <x v="12"/>
    <x v="94"/>
    <s v="GB"/>
    <s v="CO-OPERATIVE GROUP LIMITED"/>
    <x v="2"/>
    <n v="1"/>
  </r>
  <r>
    <n v="5000128740241"/>
    <s v="Mango and Passion Fruit Smoothie"/>
    <x v="55"/>
    <x v="94"/>
    <s v="GB"/>
    <s v="CO-OPERATIVE GROUP LIMITED"/>
    <x v="2"/>
    <n v="1"/>
  </r>
  <r>
    <n v="5000128766562"/>
    <s v="Fresh Whole Milk"/>
    <x v="182"/>
    <x v="94"/>
    <s v="GB"/>
    <s v="CO-OPERATIVE GROUP LIMITED"/>
    <x v="2"/>
    <n v="4"/>
  </r>
  <r>
    <n v="5000128767927"/>
    <s v="Organic Fresh Semi-Skimmed Milk"/>
    <x v="182"/>
    <x v="94"/>
    <s v="GB"/>
    <s v="CO-OPERATIVE GROUP LIMITED"/>
    <x v="2"/>
    <n v="1"/>
  </r>
  <r>
    <n v="5000128767941"/>
    <s v="Organic Fresh Whole Milk"/>
    <x v="182"/>
    <x v="94"/>
    <s v="GB"/>
    <s v="CO-OPERATIVE GROUP LIMITED"/>
    <x v="2"/>
    <n v="2"/>
  </r>
  <r>
    <n v="5000147030125"/>
    <s v="Real Fruit Juice Drink"/>
    <x v="13"/>
    <x v="318"/>
    <s v="GB"/>
    <s v="Britvic plc"/>
    <x v="2"/>
    <n v="4"/>
  </r>
  <r>
    <n v="5000147030149"/>
    <s v="Apple and blackcurrant"/>
    <x v="22"/>
    <x v="318"/>
    <s v="GB"/>
    <s v="Britvic plc"/>
    <x v="2"/>
    <n v="1"/>
  </r>
  <r>
    <n v="5000159376655"/>
    <s v="Fruit Skittles"/>
    <x v="183"/>
    <x v="286"/>
    <s v="US"/>
    <s v="Mars, Incorporated"/>
    <x v="4"/>
    <n v="1"/>
  </r>
  <r>
    <n v="5000159393928"/>
    <s v="galaxy"/>
    <x v="184"/>
    <x v="319"/>
    <s v="US"/>
    <s v="Mars, Incorporated"/>
    <x v="2"/>
    <n v="1"/>
  </r>
  <r>
    <n v="5000159462143"/>
    <s v="MalteserTeasers"/>
    <x v="155"/>
    <x v="320"/>
    <s v="US"/>
    <s v="Mars, Incorporated"/>
    <x v="2"/>
    <n v="1"/>
  </r>
  <r>
    <n v="5000159538749"/>
    <s v="Celebrations chocolate"/>
    <x v="17"/>
    <x v="321"/>
    <s v="US"/>
    <s v="Mars, Incorporated"/>
    <x v="2"/>
    <n v="1"/>
  </r>
  <r>
    <n v="5000160226284"/>
    <s v="Pressed Apple Juice"/>
    <x v="13"/>
    <x v="70"/>
    <s v="GB"/>
    <s v="John Lewis Partnership Plc"/>
    <x v="2"/>
    <n v="1"/>
  </r>
  <r>
    <n v="5000167022667"/>
    <s v="Moisturising Lotion"/>
    <x v="0"/>
    <x v="322"/>
    <s v="UK"/>
    <s v="UNKNOWN_ORG"/>
    <x v="2"/>
    <n v="1"/>
  </r>
  <r>
    <n v="5000168036755"/>
    <s v="Digestive biscuits"/>
    <x v="87"/>
    <x v="323"/>
    <s v="GB"/>
    <s v="Pladis"/>
    <x v="2"/>
    <n v="1"/>
  </r>
  <r>
    <n v="5000169009352"/>
    <s v="Still Natural Mineral Water"/>
    <x v="12"/>
    <x v="70"/>
    <s v="GB"/>
    <s v="John Lewis Partnership Plc"/>
    <x v="2"/>
    <n v="1"/>
  </r>
  <r>
    <n v="5000169009383"/>
    <s v="Still Natural Mineral Water"/>
    <x v="0"/>
    <x v="70"/>
    <s v="GB"/>
    <s v="John Lewis Partnership Plc"/>
    <x v="2"/>
    <n v="1"/>
  </r>
  <r>
    <n v="5000169009383"/>
    <s v="Still Natural Mineral Water"/>
    <x v="0"/>
    <x v="70"/>
    <s v="GB"/>
    <s v="John Lewis Partnership Plc"/>
    <x v="12"/>
    <n v="1"/>
  </r>
  <r>
    <n v="5000169356067"/>
    <s v="Apple Juice with Elderflower"/>
    <x v="22"/>
    <x v="70"/>
    <s v="GB"/>
    <s v="John Lewis Partnership Plc"/>
    <x v="2"/>
    <n v="1"/>
  </r>
  <r>
    <n v="5000177458685"/>
    <s v="Energy Orange Sport"/>
    <x v="0"/>
    <x v="324"/>
    <s v="NL"/>
    <s v="AMS Sourcing B.V."/>
    <x v="2"/>
    <n v="1"/>
  </r>
  <r>
    <n v="5000177466116"/>
    <s v="Isotonic Orange Sport Drink"/>
    <x v="0"/>
    <x v="325"/>
    <s v="GB"/>
    <s v="Refresco Drinks UK"/>
    <x v="2"/>
    <n v="3"/>
  </r>
  <r>
    <n v="5000177466550"/>
    <s v="Isotonic Tropical &amp; Berry Drink"/>
    <x v="0"/>
    <x v="325"/>
    <s v="GB"/>
    <s v="Refresco Drinks UK"/>
    <x v="2"/>
    <n v="2"/>
  </r>
  <r>
    <n v="5000186481001"/>
    <s v="Thick bleach"/>
    <x v="40"/>
    <x v="326"/>
    <s v="GB"/>
    <s v="Unilever Plc"/>
    <x v="2"/>
    <n v="1"/>
  </r>
  <r>
    <n v="5000193034559"/>
    <s v="Carbonated Soft Drink"/>
    <x v="0"/>
    <x v="29"/>
    <s v="US"/>
    <s v="Keurig Dr Pepper Inc."/>
    <x v="1"/>
    <n v="1"/>
  </r>
  <r>
    <n v="5000193034559"/>
    <s v="Carbonated Soft Drink"/>
    <x v="0"/>
    <x v="29"/>
    <s v="US"/>
    <s v="Keurig Dr Pepper Inc."/>
    <x v="2"/>
    <n v="11"/>
  </r>
  <r>
    <n v="5000193730574"/>
    <s v="Slimline Lemonade"/>
    <x v="12"/>
    <x v="9"/>
    <s v="US"/>
    <s v="Coca-Cola"/>
    <x v="2"/>
    <n v="1"/>
  </r>
  <r>
    <n v="5000201001115"/>
    <s v="Cadbury Richoco"/>
    <x v="101"/>
    <x v="129"/>
    <s v="US"/>
    <s v="Mondelēz International, Inc."/>
    <x v="6"/>
    <n v="10"/>
  </r>
  <r>
    <n v="5000213019160"/>
    <s v="Malta"/>
    <x v="93"/>
    <x v="327"/>
    <s v="GB"/>
    <s v="Diageo Plc"/>
    <x v="6"/>
    <n v="1679"/>
  </r>
  <r>
    <n v="5000213019191"/>
    <s v="Alvaro Malt non-alcoholic beer"/>
    <x v="93"/>
    <x v="328"/>
    <s v="GB"/>
    <s v="Diageo Plc"/>
    <x v="6"/>
    <n v="16"/>
  </r>
  <r>
    <n v="5000232828736"/>
    <s v="Pure Sunflower Oil"/>
    <x v="13"/>
    <x v="329"/>
    <s v="NL"/>
    <s v="Upfield Europe BV"/>
    <x v="2"/>
    <n v="1"/>
  </r>
  <r>
    <n v="5000232828743"/>
    <s v="Pure Sunflower Oil"/>
    <x v="12"/>
    <x v="329"/>
    <s v="NL"/>
    <s v="Upfield Europe BV"/>
    <x v="2"/>
    <n v="1"/>
  </r>
  <r>
    <n v="5000233139237"/>
    <s v="Crisps"/>
    <x v="151"/>
    <x v="330"/>
    <s v="GB"/>
    <s v="KP Snacks"/>
    <x v="2"/>
    <n v="1"/>
  </r>
  <r>
    <n v="5000237138601"/>
    <s v="Cheddar &amp; Onion Crisps"/>
    <x v="162"/>
    <x v="331"/>
    <s v="DE"/>
    <s v="Intersnack Group"/>
    <x v="2"/>
    <n v="1"/>
  </r>
  <r>
    <n v="5000237138700"/>
    <s v="Crisps"/>
    <x v="162"/>
    <x v="331"/>
    <s v="DE"/>
    <s v="Intersnack Group"/>
    <x v="2"/>
    <n v="1"/>
  </r>
  <r>
    <n v="5000237202531"/>
    <s v="Space Raiders Beef"/>
    <x v="95"/>
    <x v="332"/>
    <s v="DE"/>
    <s v="Intersnack Group"/>
    <x v="2"/>
    <n v="2"/>
  </r>
  <r>
    <n v="5000246728589"/>
    <s v="Organic Milk Semi-Skimmed"/>
    <x v="13"/>
    <x v="333"/>
    <s v="UK"/>
    <s v="UNKNOWN_ORG"/>
    <x v="2"/>
    <n v="1"/>
  </r>
  <r>
    <n v="5000295141599"/>
    <s v="Extra Mature Cheddar"/>
    <x v="185"/>
    <x v="334"/>
    <s v="CA"/>
    <s v="Saputo Inc"/>
    <x v="2"/>
    <n v="1"/>
  </r>
  <r>
    <n v="5000295148154"/>
    <s v="Extra Mature Cheddar"/>
    <x v="186"/>
    <x v="334"/>
    <s v="CA"/>
    <s v="Saputo Inc"/>
    <x v="2"/>
    <n v="1"/>
  </r>
  <r>
    <n v="5000314120543"/>
    <s v="Glacier Mints"/>
    <x v="64"/>
    <x v="335"/>
    <s v="IE"/>
    <s v="Valeo Foods Group"/>
    <x v="2"/>
    <n v="1"/>
  </r>
  <r>
    <n v="5000328013602"/>
    <s v="Walkers crisps"/>
    <x v="155"/>
    <x v="242"/>
    <s v="US"/>
    <s v="Pepsico, Inc"/>
    <x v="2"/>
    <n v="1"/>
  </r>
  <r>
    <n v="5000328015897"/>
    <s v="Baked Cheese and Onion Crisps"/>
    <x v="187"/>
    <x v="242"/>
    <s v="US"/>
    <s v="Pepsico, Inc"/>
    <x v="2"/>
    <n v="1"/>
  </r>
  <r>
    <n v="5000328016832"/>
    <s v="Salt and vinegar crisps"/>
    <x v="151"/>
    <x v="242"/>
    <s v="US"/>
    <s v="Pepsico, Inc"/>
    <x v="2"/>
    <n v="1"/>
  </r>
  <r>
    <n v="5000328019253"/>
    <s v="Corn Snacks"/>
    <x v="128"/>
    <x v="18"/>
    <s v="US"/>
    <s v="Pepsico, Inc"/>
    <x v="2"/>
    <n v="1"/>
  </r>
  <r>
    <n v="5000328270715"/>
    <s v="Cheese And Onion Crisps"/>
    <x v="162"/>
    <x v="242"/>
    <s v="US"/>
    <s v="Pepsico, Inc"/>
    <x v="2"/>
    <n v="1"/>
  </r>
  <r>
    <n v="5000328271507"/>
    <s v="Tangy Cheese"/>
    <x v="138"/>
    <x v="117"/>
    <s v="US"/>
    <s v="Pepsico, Inc"/>
    <x v="2"/>
    <n v="1"/>
  </r>
  <r>
    <n v="5000328271767"/>
    <s v="Doritos"/>
    <x v="138"/>
    <x v="117"/>
    <s v="US"/>
    <s v="Pepsico, Inc"/>
    <x v="2"/>
    <n v="1"/>
  </r>
  <r>
    <n v="5000328376240"/>
    <s v="Prawn Cocktail Crisps Multipack"/>
    <x v="155"/>
    <x v="242"/>
    <s v="US"/>
    <s v="Pepsico, Inc"/>
    <x v="2"/>
    <n v="1"/>
  </r>
  <r>
    <n v="5000328529660"/>
    <s v="Cheese flavour"/>
    <x v="188"/>
    <x v="336"/>
    <s v="US"/>
    <s v="Pepsico, Inc"/>
    <x v="2"/>
    <n v="1"/>
  </r>
  <r>
    <n v="5000328530215"/>
    <s v="Monster Munch Beef"/>
    <x v="72"/>
    <x v="242"/>
    <s v="US"/>
    <s v="Pepsico, Inc"/>
    <x v="2"/>
    <n v="1"/>
  </r>
  <r>
    <n v="5000328531007"/>
    <s v="Pickled Onion flavour potato snacks"/>
    <x v="72"/>
    <x v="337"/>
    <s v="US"/>
    <s v="Pepsico, Inc"/>
    <x v="2"/>
    <n v="1"/>
  </r>
  <r>
    <n v="5000328681443"/>
    <s v="Tangy cheese"/>
    <x v="155"/>
    <x v="117"/>
    <s v="US"/>
    <s v="Pepsico, Inc"/>
    <x v="2"/>
    <n v="1"/>
  </r>
  <r>
    <n v="5000328741581"/>
    <s v="Cool Original"/>
    <x v="69"/>
    <x v="117"/>
    <s v="US"/>
    <s v="Pepsico, Inc"/>
    <x v="2"/>
    <n v="1"/>
  </r>
  <r>
    <n v="5000382018476"/>
    <s v="Low Calorie Strawberry Juice Drink with Sweeteners"/>
    <x v="93"/>
    <x v="338"/>
    <s v="GB"/>
    <s v="A.G. BARR PLC"/>
    <x v="2"/>
    <n v="4"/>
  </r>
  <r>
    <n v="5000382039846"/>
    <s v="Cola drink"/>
    <x v="0"/>
    <x v="339"/>
    <s v="GB"/>
    <s v="A.G. BARR PLC"/>
    <x v="2"/>
    <n v="2"/>
  </r>
  <r>
    <n v="5000382039846"/>
    <s v="Cola drink"/>
    <x v="0"/>
    <x v="339"/>
    <s v="GB"/>
    <s v="A.G. BARR PLC"/>
    <x v="4"/>
    <n v="1"/>
  </r>
  <r>
    <n v="5000382044925"/>
    <s v="Carbonated Soft Drink"/>
    <x v="0"/>
    <x v="340"/>
    <s v="GB"/>
    <s v="A.G. BARR PLC"/>
    <x v="2"/>
    <n v="8"/>
  </r>
  <r>
    <n v="5000382044949"/>
    <s v="Sugar Free Carbonated Drink"/>
    <x v="0"/>
    <x v="340"/>
    <s v="GB"/>
    <s v="A.G. BARR PLC"/>
    <x v="2"/>
    <n v="1"/>
  </r>
  <r>
    <n v="5000382101185"/>
    <s v="Lemonade"/>
    <x v="12"/>
    <x v="339"/>
    <s v="GB"/>
    <s v="A.G. BARR PLC"/>
    <x v="2"/>
    <n v="1"/>
  </r>
  <r>
    <n v="5000382101307"/>
    <s v="Cherryade"/>
    <x v="12"/>
    <x v="339"/>
    <s v="GB"/>
    <s v="A.G. BARR PLC"/>
    <x v="2"/>
    <n v="7"/>
  </r>
  <r>
    <n v="5000382101321"/>
    <s v="American Cream Soda"/>
    <x v="12"/>
    <x v="339"/>
    <s v="GB"/>
    <s v="A.G. BARR PLC"/>
    <x v="2"/>
    <n v="2"/>
  </r>
  <r>
    <n v="5000382102458"/>
    <s v="Irn Bru Xtra"/>
    <x v="0"/>
    <x v="339"/>
    <s v="GB"/>
    <s v="A.G. BARR PLC"/>
    <x v="2"/>
    <n v="1"/>
  </r>
  <r>
    <n v="5000382103943"/>
    <s v="Irn Bru"/>
    <x v="13"/>
    <x v="340"/>
    <s v="GB"/>
    <s v="A.G. BARR PLC"/>
    <x v="2"/>
    <n v="1"/>
  </r>
  <r>
    <n v="5000382104407"/>
    <s v="Orange &amp; Mango Spring Water"/>
    <x v="35"/>
    <x v="341"/>
    <s v="GB"/>
    <s v="A.G. BARR PLC"/>
    <x v="2"/>
    <n v="2"/>
  </r>
  <r>
    <n v="5000382107293"/>
    <s v="Cherryade"/>
    <x v="0"/>
    <x v="339"/>
    <s v="GB"/>
    <s v="A.G. BARR PLC"/>
    <x v="2"/>
    <n v="1"/>
  </r>
  <r>
    <n v="5000382109914"/>
    <s v="Sugar Free Carbonated Soft Drink"/>
    <x v="12"/>
    <x v="340"/>
    <s v="GB"/>
    <s v="A.G. BARR PLC"/>
    <x v="2"/>
    <n v="1"/>
  </r>
  <r>
    <n v="5000382110781"/>
    <s v="Sour Apple"/>
    <x v="0"/>
    <x v="339"/>
    <s v="GB"/>
    <s v="A.G. BARR PLC"/>
    <x v="2"/>
    <n v="1"/>
  </r>
  <r>
    <n v="5000382111832"/>
    <s v="Irn Bru"/>
    <x v="48"/>
    <x v="340"/>
    <s v="GB"/>
    <s v="A.G. BARR PLC"/>
    <x v="2"/>
    <n v="2"/>
  </r>
  <r>
    <n v="5000382112686"/>
    <s v="Irn Bru"/>
    <x v="0"/>
    <x v="340"/>
    <s v="GB"/>
    <s v="A.G. BARR PLC"/>
    <x v="2"/>
    <n v="2"/>
  </r>
  <r>
    <n v="5000382112686"/>
    <s v="Irn Bru"/>
    <x v="0"/>
    <x v="340"/>
    <s v="GB"/>
    <s v="A.G. BARR PLC"/>
    <x v="5"/>
    <n v="3"/>
  </r>
  <r>
    <n v="5000382113171"/>
    <s v="Orangeade"/>
    <x v="12"/>
    <x v="339"/>
    <s v="GB"/>
    <s v="A.G. BARR PLC"/>
    <x v="2"/>
    <n v="1"/>
  </r>
  <r>
    <n v="5000382113171"/>
    <s v="Orangeade"/>
    <x v="12"/>
    <x v="339"/>
    <s v="GB"/>
    <s v="A.G. BARR PLC"/>
    <x v="5"/>
    <n v="1"/>
  </r>
  <r>
    <n v="5000382113935"/>
    <s v="Fruity Lemonade"/>
    <x v="0"/>
    <x v="339"/>
    <s v="GB"/>
    <s v="A.G. BARR PLC"/>
    <x v="2"/>
    <n v="1"/>
  </r>
  <r>
    <n v="5000382114369"/>
    <s v="Cherryade"/>
    <x v="0"/>
    <x v="339"/>
    <s v="GB"/>
    <s v="A.G. BARR PLC"/>
    <x v="2"/>
    <n v="1"/>
  </r>
  <r>
    <n v="5000382115298"/>
    <s v="Rubicon"/>
    <x v="93"/>
    <x v="341"/>
    <s v="GB"/>
    <s v="A.G. BARR PLC"/>
    <x v="2"/>
    <n v="1"/>
  </r>
  <r>
    <n v="5000391200008"/>
    <s v="Morango Refresco"/>
    <x v="93"/>
    <x v="14"/>
    <s v="CH"/>
    <s v="Nestlé S.A."/>
    <x v="4"/>
    <n v="16"/>
  </r>
  <r>
    <n v="5000431028357"/>
    <s v="Superkings"/>
    <x v="64"/>
    <x v="342"/>
    <s v="GB"/>
    <s v="Imperial Tobacco Limited"/>
    <x v="2"/>
    <n v="1"/>
  </r>
  <r>
    <n v="5000436589341"/>
    <s v="whole 3.7% fat milk"/>
    <x v="60"/>
    <x v="95"/>
    <s v="GB"/>
    <s v="Tesco PLC"/>
    <x v="2"/>
    <n v="1"/>
  </r>
  <r>
    <n v="5000436589457"/>
    <s v="Semi-Skimmed Milk"/>
    <x v="60"/>
    <x v="95"/>
    <s v="GB"/>
    <s v="Tesco PLC"/>
    <x v="2"/>
    <n v="1"/>
  </r>
  <r>
    <n v="5000462001015"/>
    <s v="Ashbeck English Natural Mineral Water"/>
    <x v="12"/>
    <x v="95"/>
    <s v="GB"/>
    <s v="Tesco PLC"/>
    <x v="2"/>
    <n v="2"/>
  </r>
  <r>
    <n v="50096190"/>
    <s v="Original Anti-Perspirant"/>
    <x v="9"/>
    <x v="343"/>
    <s v="GB"/>
    <s v="Unilever Plc"/>
    <x v="2"/>
    <n v="1"/>
  </r>
  <r>
    <n v="5010044008615"/>
    <s v="Half and Half Medium Loaf"/>
    <x v="70"/>
    <x v="344"/>
    <s v="GB"/>
    <s v="Warburtons Holdings Limited"/>
    <x v="2"/>
    <n v="2"/>
  </r>
  <r>
    <n v="5010102118829"/>
    <s v="Tropical Juice Drink"/>
    <x v="0"/>
    <x v="345"/>
    <s v="GB"/>
    <s v="Britvic plc"/>
    <x v="2"/>
    <n v="2"/>
  </r>
  <r>
    <n v="5010102243415"/>
    <s v="Dark Berry Sugar Free"/>
    <x v="0"/>
    <x v="346"/>
    <s v="GB"/>
    <s v="Britvic plc"/>
    <x v="2"/>
    <n v="1"/>
  </r>
  <r>
    <n v="5010102243705"/>
    <s v="Raspberry &amp; Apple Drink"/>
    <x v="0"/>
    <x v="318"/>
    <s v="GB"/>
    <s v="Britvic plc"/>
    <x v="2"/>
    <n v="3"/>
  </r>
  <r>
    <n v="5010102243910"/>
    <s v="Merrylicious"/>
    <x v="189"/>
    <x v="347"/>
    <s v="GB"/>
    <s v="Britvic plc"/>
    <x v="2"/>
    <n v="1"/>
  </r>
  <r>
    <n v="5010162000164"/>
    <s v="Malta Guinness"/>
    <x v="93"/>
    <x v="327"/>
    <s v="GB"/>
    <s v="Diageo Plc"/>
    <x v="13"/>
    <n v="12"/>
  </r>
  <r>
    <n v="5010162000164"/>
    <s v="Malta Guinness"/>
    <x v="93"/>
    <x v="327"/>
    <s v="GB"/>
    <s v="Diageo Plc"/>
    <x v="16"/>
    <n v="1"/>
  </r>
  <r>
    <n v="5010251431039"/>
    <s v="Natural Yogurt"/>
    <x v="4"/>
    <x v="348"/>
    <s v="GB"/>
    <s v="Morrisons"/>
    <x v="2"/>
    <n v="1"/>
  </r>
  <r>
    <n v="5010251484776"/>
    <s v="Orange and Peach Flavoured Water"/>
    <x v="13"/>
    <x v="348"/>
    <s v="GB"/>
    <s v="Morrisons"/>
    <x v="2"/>
    <n v="1"/>
  </r>
  <r>
    <n v="5010251830054"/>
    <s v="Qudruple chocolate cookies"/>
    <x v="64"/>
    <x v="348"/>
    <s v="GB"/>
    <s v="Morrisons"/>
    <x v="2"/>
    <n v="1"/>
  </r>
  <r>
    <n v="5010327325132"/>
    <s v="18 year old Single Malt Whisky"/>
    <x v="55"/>
    <x v="349"/>
    <s v="GB"/>
    <s v="William Grant &amp; Sons"/>
    <x v="4"/>
    <n v="52"/>
  </r>
  <r>
    <n v="5010327325132"/>
    <s v="18 year old Single Malt Whisky"/>
    <x v="55"/>
    <x v="349"/>
    <s v="GB"/>
    <s v="William Grant &amp; Sons"/>
    <x v="12"/>
    <n v="41"/>
  </r>
  <r>
    <n v="5010358253961"/>
    <s v="lemon &amp; lime zero"/>
    <x v="0"/>
    <x v="257"/>
    <s v="ZA"/>
    <s v="The Spar Group Ltd"/>
    <x v="2"/>
    <n v="1"/>
  </r>
  <r>
    <n v="5010394998185"/>
    <s v="Rodeo"/>
    <x v="151"/>
    <x v="350"/>
    <s v="US"/>
    <s v="Mars, Incorporated"/>
    <x v="2"/>
    <n v="1"/>
  </r>
  <r>
    <n v="5010438001130"/>
    <s v="Carbonated Soft Drink"/>
    <x v="0"/>
    <x v="127"/>
    <s v="GB"/>
    <s v="Nichols plc"/>
    <x v="2"/>
    <n v="2"/>
  </r>
  <r>
    <n v="5010438005008"/>
    <s v="Vimto"/>
    <x v="0"/>
    <x v="127"/>
    <s v="GB"/>
    <s v="Nichols plc"/>
    <x v="2"/>
    <n v="1"/>
  </r>
  <r>
    <n v="5010438013683"/>
    <s v="Vimto No Added Sugar"/>
    <x v="13"/>
    <x v="127"/>
    <s v="GB"/>
    <s v="Nichols plc"/>
    <x v="2"/>
    <n v="1"/>
  </r>
  <r>
    <n v="5010438015809"/>
    <s v="Boisson sans alcool"/>
    <x v="22"/>
    <x v="127"/>
    <s v="GB"/>
    <s v="Nichols plc"/>
    <x v="13"/>
    <n v="26"/>
  </r>
  <r>
    <n v="5010438017490"/>
    <s v="Orange, Strawberry &amp; Lime Juice Drink"/>
    <x v="0"/>
    <x v="127"/>
    <s v="GB"/>
    <s v="Nichols plc"/>
    <x v="2"/>
    <n v="1"/>
  </r>
  <r>
    <n v="5010438020582"/>
    <s v="Vimto"/>
    <x v="0"/>
    <x v="127"/>
    <s v="GB"/>
    <s v="Nichols plc"/>
    <x v="2"/>
    <n v="1"/>
  </r>
  <r>
    <n v="5010438020599"/>
    <s v="Vimto"/>
    <x v="0"/>
    <x v="127"/>
    <s v="GB"/>
    <s v="Nichols plc"/>
    <x v="2"/>
    <n v="2"/>
  </r>
  <r>
    <n v="5010459000365"/>
    <s v="Spring Water (8-pack)"/>
    <x v="190"/>
    <x v="351"/>
    <s v="GB"/>
    <s v="HIGHLAND SPRING LIMITED"/>
    <x v="2"/>
    <n v="1"/>
  </r>
  <r>
    <n v="5010459000457"/>
    <s v="Still Spring Water"/>
    <x v="55"/>
    <x v="351"/>
    <s v="GB"/>
    <s v="HIGHLAND SPRING LIMITED"/>
    <x v="2"/>
    <n v="2"/>
  </r>
  <r>
    <n v="5010459000457"/>
    <s v="Still Spring Water"/>
    <x v="55"/>
    <x v="351"/>
    <s v="GB"/>
    <s v="HIGHLAND SPRING LIMITED"/>
    <x v="12"/>
    <n v="1"/>
  </r>
  <r>
    <n v="5010459003496"/>
    <s v="Still Spring Water"/>
    <x v="93"/>
    <x v="351"/>
    <s v="GB"/>
    <s v="HIGHLAND SPRING LIMITED"/>
    <x v="2"/>
    <n v="4"/>
  </r>
  <r>
    <n v="5010459005025"/>
    <s v="Still Spring Water"/>
    <x v="35"/>
    <x v="351"/>
    <s v="GB"/>
    <s v="HIGHLAND SPRING LIMITED"/>
    <x v="2"/>
    <n v="6"/>
  </r>
  <r>
    <n v="5010459005179"/>
    <s v="Sparkling Spring Water"/>
    <x v="0"/>
    <x v="351"/>
    <s v="GB"/>
    <s v="HIGHLAND SPRING LIMITED"/>
    <x v="2"/>
    <n v="3"/>
  </r>
  <r>
    <n v="5010459005216"/>
    <s v="Still Spring Water"/>
    <x v="0"/>
    <x v="351"/>
    <s v="GB"/>
    <s v="HIGHLAND SPRING LIMITED"/>
    <x v="2"/>
    <n v="19"/>
  </r>
  <r>
    <n v="5010459007289"/>
    <s v="Highland Spring Mineral Water - Sparkling"/>
    <x v="40"/>
    <x v="351"/>
    <s v="GB"/>
    <s v="HIGHLAND SPRING LIMITED"/>
    <x v="2"/>
    <n v="4"/>
  </r>
  <r>
    <n v="5010459015178"/>
    <s v="Sparkling Spring Water"/>
    <x v="35"/>
    <x v="351"/>
    <s v="GB"/>
    <s v="HIGHLAND SPRING LIMITED"/>
    <x v="2"/>
    <n v="3"/>
  </r>
  <r>
    <n v="5010508015203"/>
    <s v="Diet Coke"/>
    <x v="93"/>
    <x v="1"/>
    <s v="US"/>
    <s v="Coca-Cola"/>
    <x v="7"/>
    <n v="1"/>
  </r>
  <r>
    <n v="50107452"/>
    <s v="Irn Bru Sugar Free"/>
    <x v="0"/>
    <x v="340"/>
    <s v="GB"/>
    <s v="A.G. BARR PLC"/>
    <x v="2"/>
    <n v="3"/>
  </r>
  <r>
    <n v="5011020104529"/>
    <s v="Vital"/>
    <x v="43"/>
    <x v="1"/>
    <s v="US"/>
    <s v="Coca-Cola"/>
    <x v="2"/>
    <n v="1"/>
  </r>
  <r>
    <n v="5011020104727"/>
    <s v="Mineral Water"/>
    <x v="0"/>
    <x v="352"/>
    <s v="US"/>
    <s v="Coca-Cola"/>
    <x v="11"/>
    <n v="1"/>
  </r>
  <r>
    <n v="50112173"/>
    <s v="Coca-Cola Carbonated Soft Drink"/>
    <x v="0"/>
    <x v="1"/>
    <s v="US"/>
    <s v="Coca-Cola"/>
    <x v="10"/>
    <n v="11"/>
  </r>
  <r>
    <n v="50112173"/>
    <s v="Coca-Cola Carbonated Soft Drink"/>
    <x v="0"/>
    <x v="1"/>
    <s v="US"/>
    <s v="Coca-Cola"/>
    <x v="8"/>
    <n v="3"/>
  </r>
  <r>
    <n v="50112203"/>
    <s v="Pineapple Carbonated Soft Drink"/>
    <x v="0"/>
    <x v="44"/>
    <s v="US"/>
    <s v="Coca-Cola"/>
    <x v="12"/>
    <n v="108"/>
  </r>
  <r>
    <n v="50112203"/>
    <s v="Pineapple Carbonated Soft Drink"/>
    <x v="0"/>
    <x v="44"/>
    <s v="US"/>
    <s v="Coca-Cola"/>
    <x v="7"/>
    <n v="91"/>
  </r>
  <r>
    <n v="50112265"/>
    <s v="Tonic water"/>
    <x v="0"/>
    <x v="9"/>
    <s v="US"/>
    <s v="Coca-Cola"/>
    <x v="0"/>
    <n v="10"/>
  </r>
  <r>
    <n v="5011273030651"/>
    <s v="Set Honey"/>
    <x v="191"/>
    <x v="353"/>
    <s v="GB"/>
    <s v="Rowse Honey Ltd"/>
    <x v="2"/>
    <n v="1"/>
  </r>
  <r>
    <n v="5011273040339"/>
    <s v="Organic Honey"/>
    <x v="20"/>
    <x v="353"/>
    <s v="GB"/>
    <s v="Rowse Honey Ltd"/>
    <x v="2"/>
    <n v="1"/>
  </r>
  <r>
    <n v="5011273119035"/>
    <s v="organic honey"/>
    <x v="192"/>
    <x v="353"/>
    <s v="GB"/>
    <s v="Rowse Honey Ltd"/>
    <x v="2"/>
    <n v="1"/>
  </r>
  <r>
    <n v="50112753"/>
    <s v="Carbonated Soft Drink"/>
    <x v="0"/>
    <x v="44"/>
    <s v="US"/>
    <s v="Coca-Cola"/>
    <x v="12"/>
    <n v="9"/>
  </r>
  <r>
    <n v="5011417552957"/>
    <s v="Shineand Protect"/>
    <x v="111"/>
    <x v="354"/>
    <s v="GB"/>
    <s v="Reckitt Benckiser Group PLC"/>
    <x v="8"/>
    <n v="2"/>
  </r>
  <r>
    <n v="5011417559161"/>
    <s v="Liquid Hand Wash"/>
    <x v="48"/>
    <x v="355"/>
    <s v="GB"/>
    <s v="Reckitt Benckiser Group PLC"/>
    <x v="4"/>
    <n v="1"/>
  </r>
  <r>
    <n v="5011898005119"/>
    <s v="Mango Juice Drink"/>
    <x v="0"/>
    <x v="341"/>
    <s v="GB"/>
    <s v="A.G. BARR PLC"/>
    <x v="2"/>
    <n v="3"/>
  </r>
  <r>
    <n v="5011927064483"/>
    <s v="advance"/>
    <x v="193"/>
    <x v="356"/>
    <s v="KE"/>
    <s v="Shell Kenya"/>
    <x v="0"/>
    <n v="1"/>
  </r>
  <r>
    <n v="5011962090348"/>
    <s v="Disinfectant Cleaner"/>
    <x v="44"/>
    <x v="357"/>
    <s v="UK"/>
    <s v="UNKNOWN_ORG"/>
    <x v="2"/>
    <n v="2"/>
  </r>
  <r>
    <n v="5011987034310"/>
    <s v="shell rimula"/>
    <x v="193"/>
    <x v="356"/>
    <s v="KE"/>
    <s v="Shell Kenya"/>
    <x v="0"/>
    <n v="2"/>
  </r>
  <r>
    <n v="5011987064423"/>
    <s v="advance"/>
    <x v="29"/>
    <x v="356"/>
    <s v="KE"/>
    <s v="Shell Kenya"/>
    <x v="0"/>
    <n v="1"/>
  </r>
  <r>
    <n v="5011987064423"/>
    <s v="advance"/>
    <x v="29"/>
    <x v="356"/>
    <s v="KE"/>
    <s v="Shell Kenya"/>
    <x v="12"/>
    <n v="2"/>
  </r>
  <r>
    <n v="5012035952273"/>
    <s v="Stripes"/>
    <x v="194"/>
    <x v="358"/>
    <s v="DE"/>
    <s v="Haribo"/>
    <x v="2"/>
    <n v="1"/>
  </r>
  <r>
    <n v="5012035963460"/>
    <s v="Starmix"/>
    <x v="195"/>
    <x v="234"/>
    <s v="DE"/>
    <s v="Haribo"/>
    <x v="2"/>
    <n v="1"/>
  </r>
  <r>
    <n v="5012035972066"/>
    <s v="Supermix"/>
    <x v="194"/>
    <x v="234"/>
    <s v="DE"/>
    <s v="Haribo"/>
    <x v="2"/>
    <n v="1"/>
  </r>
  <r>
    <n v="5012035986667"/>
    <s v="Haribo Merry mix"/>
    <x v="196"/>
    <x v="234"/>
    <s v="DE"/>
    <s v="Haribo"/>
    <x v="2"/>
    <n v="1"/>
  </r>
  <r>
    <n v="5012058003006"/>
    <s v="Still Spring Water"/>
    <x v="0"/>
    <x v="359"/>
    <s v="GB"/>
    <s v="A.G. BARR PLC"/>
    <x v="2"/>
    <n v="1"/>
  </r>
  <r>
    <n v="5012058009329"/>
    <s v="Sparkling Spring Water"/>
    <x v="0"/>
    <x v="359"/>
    <s v="GB"/>
    <s v="A.G. BARR PLC"/>
    <x v="2"/>
    <n v="1"/>
  </r>
  <r>
    <n v="5012583203728"/>
    <s v="Shower + Oils Gel"/>
    <x v="48"/>
    <x v="360"/>
    <s v="UK"/>
    <s v="UNKNOWN_ORG"/>
    <x v="2"/>
    <n v="1"/>
  </r>
  <r>
    <n v="5013635101818"/>
    <s v="Pure Coconut Oil"/>
    <x v="0"/>
    <x v="361"/>
    <s v="GB"/>
    <s v="KTC Edibles Limited"/>
    <x v="2"/>
    <n v="1"/>
  </r>
  <r>
    <n v="5013635390137"/>
    <s v="Broken Vermicilli"/>
    <x v="4"/>
    <x v="361"/>
    <s v="GB"/>
    <s v="KTC Edibles Limited"/>
    <x v="2"/>
    <n v="1"/>
  </r>
  <r>
    <n v="5015552000151"/>
    <s v="Sparkling Mineral Water"/>
    <x v="0"/>
    <x v="137"/>
    <s v="CH"/>
    <s v="Nestlé S.A."/>
    <x v="2"/>
    <n v="1"/>
  </r>
  <r>
    <n v="5015552000168"/>
    <s v="Natural Mineral Water"/>
    <x v="0"/>
    <x v="137"/>
    <s v="CH"/>
    <s v="Nestlé S.A."/>
    <x v="2"/>
    <n v="3"/>
  </r>
  <r>
    <n v="5015552555132"/>
    <s v="Still Water"/>
    <x v="176"/>
    <x v="137"/>
    <s v="CH"/>
    <s v="Nestlé S.A."/>
    <x v="2"/>
    <n v="1"/>
  </r>
  <r>
    <n v="5015552601112"/>
    <s v="Buxton still water"/>
    <x v="55"/>
    <x v="14"/>
    <s v="CH"/>
    <s v="Nestlé S.A."/>
    <x v="2"/>
    <n v="1"/>
  </r>
  <r>
    <n v="50157709"/>
    <s v="Tomato Ketchup"/>
    <x v="0"/>
    <x v="362"/>
    <s v="US"/>
    <s v="Kraft Heinz Foods Company"/>
    <x v="2"/>
    <n v="2"/>
  </r>
  <r>
    <n v="5017371155913"/>
    <s v="Hand Hygiene Gel"/>
    <x v="0"/>
    <x v="363"/>
    <s v="GB"/>
    <s v="Linco Care Ltd"/>
    <x v="2"/>
    <n v="1"/>
  </r>
  <r>
    <n v="5017600020418"/>
    <s v="Semi-skimmed Milk"/>
    <x v="47"/>
    <x v="364"/>
    <s v="LU"/>
    <s v="Unternehmensgruppe Theo Müller"/>
    <x v="2"/>
    <n v="1"/>
  </r>
  <r>
    <n v="5018907194802"/>
    <s v="Mineral Water"/>
    <x v="13"/>
    <x v="365"/>
    <s v="US"/>
    <s v="Coca-Cola"/>
    <x v="0"/>
    <n v="2"/>
  </r>
  <r>
    <n v="5018907197803"/>
    <s v="Mineral Water"/>
    <x v="0"/>
    <x v="365"/>
    <s v="US"/>
    <s v="Coca-Cola"/>
    <x v="0"/>
    <n v="9"/>
  </r>
  <r>
    <n v="5019402500723"/>
    <s v="Scottish Spring Water Cranberry &amp; Raspberry"/>
    <x v="0"/>
    <x v="366"/>
    <s v="GB"/>
    <s v="Refresco Beverages UK Ltd"/>
    <x v="2"/>
    <n v="2"/>
  </r>
  <r>
    <n v="5019402500730"/>
    <s v="Strawberry &amp; Kiwi"/>
    <x v="0"/>
    <x v="366"/>
    <s v="GB"/>
    <s v="Refresco Beverages UK Ltd"/>
    <x v="2"/>
    <n v="3"/>
  </r>
  <r>
    <n v="5019402500730"/>
    <s v="Strawberry &amp; Kiwi"/>
    <x v="0"/>
    <x v="366"/>
    <s v="GB"/>
    <s v="Refresco Beverages UK Ltd"/>
    <x v="0"/>
    <n v="3"/>
  </r>
  <r>
    <n v="5019402500754"/>
    <s v="Apple &amp; Blackcurrant"/>
    <x v="0"/>
    <x v="366"/>
    <s v="GB"/>
    <s v="Refresco Beverages UK Ltd"/>
    <x v="2"/>
    <n v="1"/>
  </r>
  <r>
    <n v="5020379077989"/>
    <s v="Citrus Juice Drink"/>
    <x v="0"/>
    <x v="324"/>
    <s v="NL"/>
    <s v="AMS Sourcing B.V."/>
    <x v="2"/>
    <n v="1"/>
  </r>
  <r>
    <n v="5020379078009"/>
    <s v="Summer Fruits Juice Drink"/>
    <x v="0"/>
    <x v="324"/>
    <s v="NL"/>
    <s v="AMS Sourcing B.V."/>
    <x v="2"/>
    <n v="1"/>
  </r>
  <r>
    <n v="5020379106658"/>
    <s v="Tropical Berry Sport Drink"/>
    <x v="0"/>
    <x v="324"/>
    <s v="NL"/>
    <s v="AMS Sourcing B.V."/>
    <x v="2"/>
    <n v="4"/>
  </r>
  <r>
    <n v="5020379106672"/>
    <s v="Tropical Sport"/>
    <x v="0"/>
    <x v="324"/>
    <s v="NL"/>
    <s v="AMS Sourcing B.V."/>
    <x v="2"/>
    <n v="1"/>
  </r>
  <r>
    <n v="5020379106696"/>
    <s v="Orange Sport"/>
    <x v="0"/>
    <x v="324"/>
    <s v="NL"/>
    <s v="AMS Sourcing B.V."/>
    <x v="2"/>
    <n v="1"/>
  </r>
  <r>
    <n v="5020379106719"/>
    <s v="Berries Sport"/>
    <x v="0"/>
    <x v="324"/>
    <s v="NL"/>
    <s v="AMS Sourcing B.V."/>
    <x v="2"/>
    <n v="3"/>
  </r>
  <r>
    <n v="5020379133401"/>
    <s v="Original Energy Drink"/>
    <x v="13"/>
    <x v="324"/>
    <s v="NL"/>
    <s v="AMS Sourcing B.V."/>
    <x v="2"/>
    <n v="1"/>
  </r>
  <r>
    <n v="5020379136983"/>
    <s v="Glucose Sparkling Cherry"/>
    <x v="114"/>
    <x v="324"/>
    <s v="NL"/>
    <s v="AMS Sourcing B.V."/>
    <x v="2"/>
    <n v="1"/>
  </r>
  <r>
    <n v="5020379168267"/>
    <s v="Tropical Berry"/>
    <x v="0"/>
    <x v="324"/>
    <s v="NL"/>
    <s v="AMS Sourcing B.V."/>
    <x v="2"/>
    <n v="1"/>
  </r>
  <r>
    <n v="5020379171137"/>
    <s v="Tropical Berry Sport"/>
    <x v="0"/>
    <x v="324"/>
    <s v="NL"/>
    <s v="AMS Sourcing B.V."/>
    <x v="2"/>
    <n v="1"/>
  </r>
  <r>
    <n v="5020379175388"/>
    <s v="Milk Chocolate"/>
    <x v="17"/>
    <x v="324"/>
    <s v="NL"/>
    <s v="AMS Sourcing B.V."/>
    <x v="2"/>
    <n v="1"/>
  </r>
  <r>
    <n v="5020379175449"/>
    <s v="White Chocolate"/>
    <x v="17"/>
    <x v="324"/>
    <s v="NL"/>
    <s v="AMS Sourcing B.V."/>
    <x v="2"/>
    <n v="1"/>
  </r>
  <r>
    <n v="5020379178662"/>
    <s v="Orange Sport"/>
    <x v="0"/>
    <x v="324"/>
    <s v="NL"/>
    <s v="AMS Sourcing B.V."/>
    <x v="2"/>
    <n v="1"/>
  </r>
  <r>
    <n v="5022313000039"/>
    <s v="Strawberry Zing"/>
    <x v="3"/>
    <x v="227"/>
    <s v="GB"/>
    <s v="Naked Juice Co. of Glendora, Inc."/>
    <x v="2"/>
    <n v="1"/>
  </r>
  <r>
    <n v="5022313331607"/>
    <s v="Smooth Orange"/>
    <x v="3"/>
    <x v="106"/>
    <s v="FR"/>
    <s v="PAI Partners"/>
    <x v="2"/>
    <n v="2"/>
  </r>
  <r>
    <n v="5022313751047"/>
    <s v="Smooth Orange"/>
    <x v="48"/>
    <x v="106"/>
    <s v="FR"/>
    <s v="PAI Partners"/>
    <x v="2"/>
    <n v="1"/>
  </r>
  <r>
    <n v="5023377005503"/>
    <s v="Bonsai Feed"/>
    <x v="2"/>
    <x v="367"/>
    <s v="GB"/>
    <s v="Westland Horticulture Ltd"/>
    <x v="2"/>
    <n v="1"/>
  </r>
  <r>
    <n v="5023603333349"/>
    <s v="Mini Pops Bubble Hum"/>
    <x v="93"/>
    <x v="368"/>
    <s v="GB"/>
    <s v="Big Time Soft Drinks Ltd"/>
    <x v="2"/>
    <n v="1"/>
  </r>
  <r>
    <n v="5024071230215"/>
    <s v="Aspar Pharmaceutical Dispersible Aspirin"/>
    <x v="197"/>
    <x v="369"/>
    <s v="GB"/>
    <s v="Aspar Pharmaceuticals Ltd"/>
    <x v="6"/>
    <n v="30"/>
  </r>
  <r>
    <n v="5024616003014"/>
    <s v="Still Natural Mineral Water"/>
    <x v="93"/>
    <x v="370"/>
    <s v="GB"/>
    <s v="Princes Gate Spring Water Ltd"/>
    <x v="2"/>
    <n v="3"/>
  </r>
  <r>
    <n v="5024616003014"/>
    <s v="Still Natural Mineral Water"/>
    <x v="93"/>
    <x v="370"/>
    <s v="GB"/>
    <s v="Princes Gate Spring Water Ltd"/>
    <x v="5"/>
    <n v="27"/>
  </r>
  <r>
    <n v="5024616003021"/>
    <s v="Still Natural Mineral Water"/>
    <x v="0"/>
    <x v="370"/>
    <s v="GB"/>
    <s v="Princes Gate Spring Water Ltd"/>
    <x v="2"/>
    <n v="3"/>
  </r>
  <r>
    <n v="5024879005060"/>
    <s v="Giant Spotted Cookie"/>
    <x v="198"/>
    <x v="371"/>
    <s v="GB"/>
    <s v="Handmade Speciality Products Ltd"/>
    <x v="2"/>
    <n v="2"/>
  </r>
  <r>
    <n v="5025866000181"/>
    <s v="Maltina"/>
    <x v="199"/>
    <x v="372"/>
    <s v="NG"/>
    <s v="Nigerian Breweries Plc"/>
    <x v="16"/>
    <n v="3"/>
  </r>
  <r>
    <n v="5025866001096"/>
    <s v="Malt Drink"/>
    <x v="93"/>
    <x v="372"/>
    <s v="NG"/>
    <s v="Nigerian Breweries Plc"/>
    <x v="16"/>
    <n v="3"/>
  </r>
  <r>
    <n v="5025970004761"/>
    <s v="Nivea soft moisturising cream"/>
    <x v="0"/>
    <x v="285"/>
    <s v="DE"/>
    <s v="Beiersdorf AG"/>
    <x v="2"/>
    <n v="1"/>
  </r>
  <r>
    <n v="5026109000364"/>
    <s v="Still Spring Water"/>
    <x v="0"/>
    <x v="373"/>
    <s v="GB"/>
    <s v="Radnor Hills Mineral Water Company Limited"/>
    <x v="2"/>
    <n v="1"/>
  </r>
  <r>
    <n v="5026109000364"/>
    <s v="Still Spring Water"/>
    <x v="0"/>
    <x v="373"/>
    <s v="GB"/>
    <s v="Radnor Hills Mineral Water Company Limited"/>
    <x v="12"/>
    <n v="1"/>
  </r>
  <r>
    <n v="5026109000531"/>
    <s v="Radnor Hills Water"/>
    <x v="0"/>
    <x v="373"/>
    <s v="GB"/>
    <s v="Radnor Hills Mineral Water Company Limited"/>
    <x v="2"/>
    <n v="1"/>
  </r>
  <r>
    <n v="5026109000531"/>
    <s v="Radnor Hills Water"/>
    <x v="0"/>
    <x v="373"/>
    <s v="GB"/>
    <s v="Radnor Hills Mineral Water Company Limited"/>
    <x v="7"/>
    <n v="18"/>
  </r>
  <r>
    <n v="5026109002498"/>
    <s v="Forest Fruits Water"/>
    <x v="0"/>
    <x v="373"/>
    <s v="GB"/>
    <s v="Radnor Hills Mineral Water Company Limited"/>
    <x v="2"/>
    <n v="1"/>
  </r>
  <r>
    <n v="5026109003303"/>
    <s v="Peach Fizz"/>
    <x v="93"/>
    <x v="373"/>
    <s v="GB"/>
    <s v="Radnor Hills Mineral Water Company Limited"/>
    <x v="2"/>
    <n v="1"/>
  </r>
  <r>
    <n v="5026109003600"/>
    <s v="Tropical Fizz"/>
    <x v="93"/>
    <x v="373"/>
    <s v="GB"/>
    <s v="Radnor Hills Mineral Water Company Limited"/>
    <x v="2"/>
    <n v="2"/>
  </r>
  <r>
    <n v="5026109009336"/>
    <s v="Splash"/>
    <x v="93"/>
    <x v="373"/>
    <s v="GB"/>
    <s v="Radnor Hills Mineral Water Company Limited"/>
    <x v="2"/>
    <n v="1"/>
  </r>
  <r>
    <n v="5026109009336"/>
    <s v="Splash"/>
    <x v="93"/>
    <x v="373"/>
    <s v="GB"/>
    <s v="Radnor Hills Mineral Water Company Limited"/>
    <x v="5"/>
    <n v="2"/>
  </r>
  <r>
    <n v="50271351"/>
    <s v="Red Kola"/>
    <x v="0"/>
    <x v="339"/>
    <s v="GB"/>
    <s v="A.G. BARR PLC"/>
    <x v="2"/>
    <n v="1"/>
  </r>
  <r>
    <n v="50271511"/>
    <s v="Irn Bru"/>
    <x v="0"/>
    <x v="340"/>
    <s v="GB"/>
    <s v="A.G. BARR PLC"/>
    <x v="2"/>
    <n v="2"/>
  </r>
  <r>
    <n v="5028197192723"/>
    <s v="Shea Body Moisturiser"/>
    <x v="2"/>
    <x v="374"/>
    <s v="GB"/>
    <s v="The Body Shop International Ltd"/>
    <x v="8"/>
    <n v="2"/>
  </r>
  <r>
    <n v="5028197973636"/>
    <s v="British Rose Body Moisturiser"/>
    <x v="200"/>
    <x v="374"/>
    <s v="GB"/>
    <s v="The Body Shop International Ltd"/>
    <x v="8"/>
    <n v="1"/>
  </r>
  <r>
    <n v="5031021399281"/>
    <s v="Tesco Window and Glass Cleaner Spray"/>
    <x v="0"/>
    <x v="95"/>
    <s v="GB"/>
    <s v="Tesco PLC"/>
    <x v="2"/>
    <n v="1"/>
  </r>
  <r>
    <n v="5033022002269"/>
    <s v="Still Spring Water"/>
    <x v="0"/>
    <x v="178"/>
    <s v="GB"/>
    <s v="Shepley Spring Ltd"/>
    <x v="2"/>
    <n v="8"/>
  </r>
  <r>
    <n v="5033022002269"/>
    <s v="Still Spring Water"/>
    <x v="0"/>
    <x v="178"/>
    <s v="GB"/>
    <s v="Shepley Spring Ltd"/>
    <x v="4"/>
    <n v="2"/>
  </r>
  <r>
    <n v="5033022002269"/>
    <s v="Still Spring Water"/>
    <x v="0"/>
    <x v="178"/>
    <s v="GB"/>
    <s v="Shepley Spring Ltd"/>
    <x v="5"/>
    <n v="10"/>
  </r>
  <r>
    <n v="5033022002337"/>
    <s v="Sparkling Spring Water"/>
    <x v="0"/>
    <x v="178"/>
    <s v="GB"/>
    <s v="Shepley Spring Ltd"/>
    <x v="2"/>
    <n v="1"/>
  </r>
  <r>
    <n v="5034660522782"/>
    <s v="Boost"/>
    <x v="201"/>
    <x v="129"/>
    <s v="US"/>
    <s v="Mondelēz International, Inc."/>
    <x v="2"/>
    <n v="1"/>
  </r>
  <r>
    <n v="5034938200015"/>
    <s v="All-purpose Sanitiser"/>
    <x v="0"/>
    <x v="375"/>
    <s v="UK"/>
    <s v="UNKNOWN_ORG"/>
    <x v="2"/>
    <n v="1"/>
  </r>
  <r>
    <n v="5034938500016"/>
    <s v="Liquid Handwash"/>
    <x v="0"/>
    <x v="375"/>
    <s v="UK"/>
    <s v="UNKNOWN_ORG"/>
    <x v="2"/>
    <n v="1"/>
  </r>
  <r>
    <n v="5034938500016"/>
    <s v="Liquid Handwash"/>
    <x v="0"/>
    <x v="375"/>
    <s v="UK"/>
    <s v="UNKNOWN_ORG"/>
    <x v="4"/>
    <n v="1"/>
  </r>
  <r>
    <n v="5035230100010"/>
    <s v="Whole Milk"/>
    <x v="47"/>
    <x v="376"/>
    <s v="GB"/>
    <s v="Nijjar Diaries Ltd"/>
    <x v="2"/>
    <n v="1"/>
  </r>
  <r>
    <n v="5036589200970"/>
    <s v="Yeo valley"/>
    <x v="177"/>
    <x v="333"/>
    <s v="UK"/>
    <s v="UNKNOWN_ORG"/>
    <x v="2"/>
    <n v="1"/>
  </r>
  <r>
    <n v="5036589253471"/>
    <s v="super thick creamy yoghurt"/>
    <x v="177"/>
    <x v="333"/>
    <s v="UK"/>
    <s v="UNKNOWN_ORG"/>
    <x v="2"/>
    <n v="1"/>
  </r>
  <r>
    <n v="5038862133555"/>
    <s v="Citrus Shield Juice"/>
    <x v="55"/>
    <x v="377"/>
    <s v="US"/>
    <s v="Coca-Cola"/>
    <x v="2"/>
    <n v="1"/>
  </r>
  <r>
    <n v="5038862238397"/>
    <s v="Blueberries, peaches and apples"/>
    <x v="55"/>
    <x v="377"/>
    <s v="US"/>
    <s v="Coca-Cola"/>
    <x v="2"/>
    <n v="1"/>
  </r>
  <r>
    <n v="5038862304504"/>
    <s v="Smoothie Mangoes Passion Fruits Apples"/>
    <x v="55"/>
    <x v="377"/>
    <s v="US"/>
    <s v="Coca-Cola"/>
    <x v="2"/>
    <n v="4"/>
  </r>
  <r>
    <n v="5038896001011"/>
    <s v="Blue Skies"/>
    <x v="0"/>
    <x v="378"/>
    <s v="GB"/>
    <s v="Blue Skies"/>
    <x v="6"/>
    <n v="17"/>
  </r>
  <r>
    <n v="50411887"/>
    <s v="Orange Original Drink"/>
    <x v="0"/>
    <x v="346"/>
    <s v="GB"/>
    <s v="Britvic plc"/>
    <x v="2"/>
    <n v="2"/>
  </r>
  <r>
    <n v="50412709"/>
    <s v="Orange Fruit Shoot"/>
    <x v="189"/>
    <x v="318"/>
    <s v="GB"/>
    <s v="Britvic plc"/>
    <x v="2"/>
    <n v="1"/>
  </r>
  <r>
    <n v="50412716"/>
    <s v="Fruit Shoot Apple &amp; Blackcurrant"/>
    <x v="189"/>
    <x v="318"/>
    <s v="GB"/>
    <s v="Britvic plc"/>
    <x v="2"/>
    <n v="3"/>
  </r>
  <r>
    <n v="50457250"/>
    <s v="Tomato Ketchup"/>
    <x v="202"/>
    <x v="362"/>
    <s v="US"/>
    <s v="Kraft Heinz Foods Company"/>
    <x v="2"/>
    <n v="1"/>
  </r>
  <r>
    <n v="5050179317305"/>
    <s v="Custard"/>
    <x v="4"/>
    <x v="12"/>
    <s v="GB"/>
    <s v="Tesco PLC"/>
    <x v="2"/>
    <n v="1"/>
  </r>
  <r>
    <n v="5050179761979"/>
    <s v="Tesco Organic Semi-Skimmed Milk"/>
    <x v="182"/>
    <x v="95"/>
    <s v="GB"/>
    <s v="Tesco PLC"/>
    <x v="2"/>
    <n v="1"/>
  </r>
  <r>
    <n v="5050179761979"/>
    <s v="Tesco Organic Semi-Skimmed Milk"/>
    <x v="182"/>
    <x v="95"/>
    <s v="GB"/>
    <s v="Tesco PLC"/>
    <x v="12"/>
    <n v="2"/>
  </r>
  <r>
    <n v="5050179762051"/>
    <s v="Organic Free Range Whole Milk"/>
    <x v="182"/>
    <x v="95"/>
    <s v="GB"/>
    <s v="Tesco PLC"/>
    <x v="2"/>
    <n v="1"/>
  </r>
  <r>
    <n v="5050665038882"/>
    <s v="Malaysian Curry Rice"/>
    <x v="203"/>
    <x v="227"/>
    <s v="GB"/>
    <s v="Naked Juice Co. of Glendora, Inc."/>
    <x v="2"/>
    <n v="1"/>
  </r>
  <r>
    <n v="5050665039704"/>
    <s v="Thai Style"/>
    <x v="204"/>
    <x v="227"/>
    <s v="GB"/>
    <s v="Naked Juice Co. of Glendora, Inc."/>
    <x v="2"/>
    <n v="1"/>
  </r>
  <r>
    <n v="5051140152895"/>
    <s v="Tesco Lime Juice"/>
    <x v="145"/>
    <x v="95"/>
    <s v="GB"/>
    <s v="Tesco PLC"/>
    <x v="2"/>
    <n v="1"/>
  </r>
  <r>
    <n v="5051277007211"/>
    <s v="British Aberdeen Angus Steak Mince"/>
    <x v="4"/>
    <x v="12"/>
    <s v="GB"/>
    <s v="Tesco PLC"/>
    <x v="2"/>
    <n v="2"/>
  </r>
  <r>
    <n v="5054073041434"/>
    <s v="Table Salt"/>
    <x v="1"/>
    <x v="379"/>
    <s v="UK"/>
    <s v="UNKNOWN_ORG"/>
    <x v="2"/>
    <n v="1"/>
  </r>
  <r>
    <n v="5054073047559"/>
    <s v="Still Natural Mineral Water"/>
    <x v="0"/>
    <x v="379"/>
    <s v="UK"/>
    <s v="UNKNOWN_ORG"/>
    <x v="2"/>
    <n v="1"/>
  </r>
  <r>
    <n v="5054073047559"/>
    <s v="Still Natural Mineral Water"/>
    <x v="0"/>
    <x v="379"/>
    <s v="UK"/>
    <s v="UNKNOWN_ORG"/>
    <x v="4"/>
    <n v="1"/>
  </r>
  <r>
    <n v="5054267000162"/>
    <s v="Orange"/>
    <x v="114"/>
    <x v="241"/>
    <s v="JP"/>
    <s v="Suntory Holdings Limited"/>
    <x v="2"/>
    <n v="3"/>
  </r>
  <r>
    <n v="5054267000216"/>
    <s v="Orange Energy Drink"/>
    <x v="0"/>
    <x v="241"/>
    <s v="JP"/>
    <s v="Suntory Holdings Limited"/>
    <x v="2"/>
    <n v="6"/>
  </r>
  <r>
    <n v="5054267000438"/>
    <s v="Ribena"/>
    <x v="114"/>
    <x v="380"/>
    <s v="JP"/>
    <s v="Suntory Holdings Limited"/>
    <x v="2"/>
    <n v="1"/>
  </r>
  <r>
    <n v="5054267000612"/>
    <s v="Lucozade Energy Original"/>
    <x v="0"/>
    <x v="241"/>
    <s v="JP"/>
    <s v="Suntory Holdings Limited"/>
    <x v="2"/>
    <n v="5"/>
  </r>
  <r>
    <n v="5054267000681"/>
    <s v="Lucozade Sport Orange Still"/>
    <x v="0"/>
    <x v="241"/>
    <s v="JP"/>
    <s v="Suntory Holdings Limited"/>
    <x v="2"/>
    <n v="43"/>
  </r>
  <r>
    <n v="5054267000704"/>
    <s v="Orange Sport Drink"/>
    <x v="0"/>
    <x v="241"/>
    <s v="JP"/>
    <s v="Suntory Holdings Limited"/>
    <x v="2"/>
    <n v="13"/>
  </r>
  <r>
    <n v="5054267001138"/>
    <s v="Caribbean Cruise"/>
    <x v="0"/>
    <x v="241"/>
    <s v="JP"/>
    <s v="Suntory Holdings Limited"/>
    <x v="2"/>
    <n v="1"/>
  </r>
  <r>
    <n v="5054267002715"/>
    <s v="Raspberry Sport Drink"/>
    <x v="55"/>
    <x v="241"/>
    <s v="JP"/>
    <s v="Suntory Holdings Limited"/>
    <x v="2"/>
    <n v="2"/>
  </r>
  <r>
    <n v="5054267007871"/>
    <s v="Fruit Punch"/>
    <x v="0"/>
    <x v="241"/>
    <s v="JP"/>
    <s v="Suntory Holdings Limited"/>
    <x v="2"/>
    <n v="2"/>
  </r>
  <r>
    <n v="5054267007895"/>
    <s v="Blackcurrant Flavour Carbonated Drink"/>
    <x v="0"/>
    <x v="380"/>
    <s v="JP"/>
    <s v="Suntory Holdings Limited"/>
    <x v="2"/>
    <n v="1"/>
  </r>
  <r>
    <n v="5054267008106"/>
    <s v="Brazilian Mango and Mandarin"/>
    <x v="114"/>
    <x v="241"/>
    <s v="JP"/>
    <s v="Suntory Holdings Limited"/>
    <x v="2"/>
    <n v="1"/>
  </r>
  <r>
    <n v="5054267009349"/>
    <s v="Orange Sport Drink"/>
    <x v="0"/>
    <x v="241"/>
    <s v="JP"/>
    <s v="Suntory Holdings Limited"/>
    <x v="2"/>
    <n v="8"/>
  </r>
  <r>
    <n v="5054267009356"/>
    <s v="Sport Raspberry"/>
    <x v="0"/>
    <x v="241"/>
    <s v="JP"/>
    <s v="Suntory Holdings Limited"/>
    <x v="2"/>
    <n v="19"/>
  </r>
  <r>
    <n v="5054267009417"/>
    <s v="Energy Drink Original"/>
    <x v="114"/>
    <x v="241"/>
    <s v="JP"/>
    <s v="Suntory Holdings Limited"/>
    <x v="2"/>
    <n v="8"/>
  </r>
  <r>
    <n v="5054267009493"/>
    <s v="Lucozade Apple Blast"/>
    <x v="114"/>
    <x v="241"/>
    <s v="JP"/>
    <s v="Suntory Holdings Limited"/>
    <x v="2"/>
    <n v="2"/>
  </r>
  <r>
    <n v="5054267009615"/>
    <s v="Orangina"/>
    <x v="131"/>
    <x v="228"/>
    <s v="JP"/>
    <s v="Suntory Holdings Limited"/>
    <x v="2"/>
    <n v="1"/>
  </r>
  <r>
    <n v="5054267010765"/>
    <s v="Apple Blast"/>
    <x v="205"/>
    <x v="241"/>
    <s v="JP"/>
    <s v="Suntory Holdings Limited"/>
    <x v="2"/>
    <n v="2"/>
  </r>
  <r>
    <n v="5054267010819"/>
    <s v="Lucozade Zero"/>
    <x v="205"/>
    <x v="241"/>
    <s v="JP"/>
    <s v="Suntory Holdings Limited"/>
    <x v="2"/>
    <n v="7"/>
  </r>
  <r>
    <n v="5054267010840"/>
    <s v="Lucozade Energy"/>
    <x v="205"/>
    <x v="241"/>
    <s v="JP"/>
    <s v="Suntory Holdings Limited"/>
    <x v="2"/>
    <n v="1"/>
  </r>
  <r>
    <n v="5054267010895"/>
    <s v="Energy Drink"/>
    <x v="206"/>
    <x v="241"/>
    <s v="JP"/>
    <s v="Suntory Holdings Limited"/>
    <x v="2"/>
    <n v="1"/>
  </r>
  <r>
    <n v="5054267011960"/>
    <s v="Lucozade Sport Orange"/>
    <x v="0"/>
    <x v="241"/>
    <s v="JP"/>
    <s v="Suntory Holdings Limited"/>
    <x v="2"/>
    <n v="2"/>
  </r>
  <r>
    <n v="5054267012172"/>
    <s v="Lucozade Original"/>
    <x v="114"/>
    <x v="241"/>
    <s v="JP"/>
    <s v="Suntory Holdings Limited"/>
    <x v="2"/>
    <n v="2"/>
  </r>
  <r>
    <n v="5054267012172"/>
    <s v="Lucozade Original"/>
    <x v="114"/>
    <x v="241"/>
    <s v="JP"/>
    <s v="Suntory Holdings Limited"/>
    <x v="6"/>
    <n v="4"/>
  </r>
  <r>
    <n v="5054267012752"/>
    <s v="Lucozade Energy drink"/>
    <x v="114"/>
    <x v="241"/>
    <s v="JP"/>
    <s v="Suntory Holdings Limited"/>
    <x v="10"/>
    <n v="1"/>
  </r>
  <r>
    <n v="5054267012752"/>
    <s v="Lucozade Energy drink"/>
    <x v="114"/>
    <x v="241"/>
    <s v="JP"/>
    <s v="Suntory Holdings Limited"/>
    <x v="6"/>
    <n v="29"/>
  </r>
  <r>
    <n v="5054267014268"/>
    <s v="lucozade sport orange"/>
    <x v="93"/>
    <x v="241"/>
    <s v="JP"/>
    <s v="Suntory Holdings Limited"/>
    <x v="2"/>
    <n v="1"/>
  </r>
  <r>
    <n v="5054267014374"/>
    <s v="Zero Sugar Pink Lemonade"/>
    <x v="0"/>
    <x v="241"/>
    <s v="JP"/>
    <s v="Suntory Holdings Limited"/>
    <x v="2"/>
    <n v="1"/>
  </r>
  <r>
    <n v="5054402078193"/>
    <s v="Original Washing-up Liquid"/>
    <x v="43"/>
    <x v="95"/>
    <s v="GB"/>
    <s v="Tesco PLC"/>
    <x v="2"/>
    <n v="1"/>
  </r>
  <r>
    <n v="5054781491200"/>
    <s v="Tropical laundry gel"/>
    <x v="207"/>
    <x v="263"/>
    <s v="US"/>
    <s v="Walmart Inc."/>
    <x v="2"/>
    <n v="1"/>
  </r>
  <r>
    <n v="5054781718635"/>
    <s v="Trail mix"/>
    <x v="64"/>
    <x v="263"/>
    <s v="US"/>
    <s v="Walmart Inc."/>
    <x v="2"/>
    <n v="1"/>
  </r>
  <r>
    <n v="5056079900678"/>
    <s v="Original Carbonated Energy Drink"/>
    <x v="0"/>
    <x v="142"/>
    <s v="GB"/>
    <s v="Boost Drinks LTD"/>
    <x v="2"/>
    <n v="3"/>
  </r>
  <r>
    <n v="5056079900746"/>
    <s v="Boost Sport Carbonated Drink"/>
    <x v="0"/>
    <x v="142"/>
    <s v="GB"/>
    <s v="Boost Drinks LTD"/>
    <x v="2"/>
    <n v="2"/>
  </r>
  <r>
    <n v="5056079900753"/>
    <s v="Sport Isotonic Mixed Berry Drink"/>
    <x v="0"/>
    <x v="142"/>
    <s v="GB"/>
    <s v="Boost Drinks LTD"/>
    <x v="2"/>
    <n v="2"/>
  </r>
  <r>
    <n v="5056079900760"/>
    <s v="Sport Isotonic Tropical Berry"/>
    <x v="0"/>
    <x v="142"/>
    <s v="GB"/>
    <s v="Boost Drinks LTD"/>
    <x v="2"/>
    <n v="1"/>
  </r>
  <r>
    <n v="5056079901293"/>
    <s v="Tropical Berry"/>
    <x v="0"/>
    <x v="381"/>
    <s v="GB"/>
    <s v="Boost Drinks LTD"/>
    <x v="2"/>
    <n v="1"/>
  </r>
  <r>
    <n v="5056079901309"/>
    <s v="Citrus"/>
    <x v="0"/>
    <x v="142"/>
    <s v="GB"/>
    <s v="Boost Drinks LTD"/>
    <x v="2"/>
    <n v="1"/>
  </r>
  <r>
    <n v="5056079901316"/>
    <s v="Raspberry"/>
    <x v="0"/>
    <x v="142"/>
    <s v="GB"/>
    <s v="Boost Drinks LTD"/>
    <x v="2"/>
    <n v="1"/>
  </r>
  <r>
    <n v="5056079901644"/>
    <s v="Orange Sport"/>
    <x v="0"/>
    <x v="142"/>
    <s v="GB"/>
    <s v="Boost Drinks LTD"/>
    <x v="2"/>
    <n v="1"/>
  </r>
  <r>
    <n v="5056204200031"/>
    <s v="Still Natural Mineral Water"/>
    <x v="0"/>
    <x v="382"/>
    <s v="FR"/>
    <s v="Sources Alma"/>
    <x v="2"/>
    <n v="2"/>
  </r>
  <r>
    <n v="5056357910306"/>
    <s v="Galaxy drink"/>
    <x v="76"/>
    <x v="383"/>
    <s v="US"/>
    <s v="Mars, Incorporated"/>
    <x v="2"/>
    <n v="1"/>
  </r>
  <r>
    <n v="5057172120215"/>
    <s v="Zesty lemon washing up liquid"/>
    <x v="0"/>
    <x v="263"/>
    <s v="US"/>
    <s v="Walmart Inc."/>
    <x v="2"/>
    <n v="1"/>
  </r>
  <r>
    <n v="5057753285500"/>
    <s v="Sea Minerals Extracts Shower Gel"/>
    <x v="0"/>
    <x v="95"/>
    <s v="GB"/>
    <s v="Tesco PLC"/>
    <x v="2"/>
    <n v="1"/>
  </r>
  <r>
    <n v="5057753285807"/>
    <s v="Extracts of Eucalyptus Antibacterial Handwash"/>
    <x v="0"/>
    <x v="95"/>
    <s v="GB"/>
    <s v="Tesco PLC"/>
    <x v="2"/>
    <n v="1"/>
  </r>
  <r>
    <n v="5057753654504"/>
    <s v="Roasted and Salted cashews"/>
    <x v="121"/>
    <x v="95"/>
    <s v="GB"/>
    <s v="Tesco PLC"/>
    <x v="2"/>
    <n v="1"/>
  </r>
  <r>
    <n v="5057753891985"/>
    <s v="Orange Fruit Splash"/>
    <x v="48"/>
    <x v="95"/>
    <s v="GB"/>
    <s v="Tesco PLC"/>
    <x v="2"/>
    <n v="1"/>
  </r>
  <r>
    <n v="5057753909536"/>
    <s v="Mature Cheddar"/>
    <x v="66"/>
    <x v="95"/>
    <s v="GB"/>
    <s v="Tesco PLC"/>
    <x v="2"/>
    <n v="1"/>
  </r>
  <r>
    <n v="5057753938680"/>
    <s v="Pain au Chocolat"/>
    <x v="208"/>
    <x v="95"/>
    <s v="GB"/>
    <s v="Tesco PLC"/>
    <x v="2"/>
    <n v="1"/>
  </r>
  <r>
    <n v="5059883177496"/>
    <s v="Triple chocolate fudge bar"/>
    <x v="88"/>
    <x v="384"/>
    <s v="GB"/>
    <s v="The Hut Group PLC"/>
    <x v="2"/>
    <n v="1"/>
  </r>
  <r>
    <n v="5060042350032"/>
    <s v="Spring Water"/>
    <x v="0"/>
    <x v="385"/>
    <s v="FR"/>
    <s v="Danone S.A."/>
    <x v="2"/>
    <n v="18"/>
  </r>
  <r>
    <n v="5060042350049"/>
    <s v="Harrogate Spring Water"/>
    <x v="0"/>
    <x v="385"/>
    <s v="FR"/>
    <s v="Danone S.A."/>
    <x v="2"/>
    <n v="1"/>
  </r>
  <r>
    <n v="5060042350056"/>
    <s v="Spring Water"/>
    <x v="0"/>
    <x v="385"/>
    <s v="FR"/>
    <s v="Danone S.A."/>
    <x v="2"/>
    <n v="2"/>
  </r>
  <r>
    <n v="5060042350124"/>
    <s v="Sparkling Spring Water"/>
    <x v="93"/>
    <x v="385"/>
    <s v="FR"/>
    <s v="Danone S.A."/>
    <x v="2"/>
    <n v="1"/>
  </r>
  <r>
    <n v="5060042641000"/>
    <s v="Lightly Sea Salted Crisps"/>
    <x v="155"/>
    <x v="386"/>
    <s v="GB"/>
    <s v="KP Snacks"/>
    <x v="2"/>
    <n v="1"/>
  </r>
  <r>
    <n v="5060060212077"/>
    <s v="Astonish moisture and protect"/>
    <x v="209"/>
    <x v="387"/>
    <s v="GB"/>
    <s v="The London Oil Refining Company ltd"/>
    <x v="6"/>
    <n v="40"/>
  </r>
  <r>
    <n v="5060119293309"/>
    <s v="Smart bar"/>
    <x v="101"/>
    <x v="388"/>
    <s v="GB"/>
    <s v="PhD Nutrition"/>
    <x v="2"/>
    <n v="1"/>
  </r>
  <r>
    <n v="5060122038911"/>
    <s v="Chocolate and malt flavour drink"/>
    <x v="210"/>
    <x v="383"/>
    <s v="US"/>
    <s v="Mars, Incorporated"/>
    <x v="2"/>
    <n v="1"/>
  </r>
  <r>
    <n v="5060198645617"/>
    <s v="Durum Wheat Piadina Midi Flatbreads"/>
    <x v="211"/>
    <x v="389"/>
    <s v="GB"/>
    <s v="Perwyn"/>
    <x v="2"/>
    <n v="2"/>
  </r>
  <r>
    <n v="5060255920015"/>
    <s v="Energy Drink"/>
    <x v="13"/>
    <x v="142"/>
    <s v="GB"/>
    <s v="Boost Drinks LTD"/>
    <x v="2"/>
    <n v="4"/>
  </r>
  <r>
    <n v="5060315055954"/>
    <s v="Rocking Fantasy"/>
    <x v="48"/>
    <x v="390"/>
    <s v="UK"/>
    <s v="UNKNOWN_ORG"/>
    <x v="12"/>
    <n v="4"/>
  </r>
  <r>
    <n v="5060332524655"/>
    <s v="Cleanse and Polish"/>
    <x v="32"/>
    <x v="391"/>
    <s v="GB"/>
    <s v="Liz Earle Beauty Co. Limited"/>
    <x v="2"/>
    <n v="1"/>
  </r>
  <r>
    <n v="5060358090028"/>
    <s v="Aloe Drink"/>
    <x v="0"/>
    <x v="392"/>
    <s v="UK"/>
    <s v="UNKNOWN_ORG"/>
    <x v="2"/>
    <n v="1"/>
  </r>
  <r>
    <n v="5060358090967"/>
    <s v="Aloe drink Summer Berries"/>
    <x v="0"/>
    <x v="392"/>
    <s v="UK"/>
    <s v="UNKNOWN_ORG"/>
    <x v="2"/>
    <n v="1"/>
  </r>
  <r>
    <n v="5060402903793"/>
    <s v="Mars chocolate milk drink"/>
    <x v="76"/>
    <x v="319"/>
    <s v="US"/>
    <s v="Mars, Incorporated"/>
    <x v="2"/>
    <n v="2"/>
  </r>
  <r>
    <n v="5060463190002"/>
    <s v="THE KING SUNFLOWER OIL"/>
    <x v="22"/>
    <x v="393"/>
    <s v="AE"/>
    <s v="QP Agro"/>
    <x v="6"/>
    <n v="20"/>
  </r>
  <r>
    <n v="5060466516632"/>
    <s v="Energy Drink Original Flavour"/>
    <x v="14"/>
    <x v="394"/>
    <s v="US"/>
    <s v="Coca-Cola"/>
    <x v="0"/>
    <n v="229"/>
  </r>
  <r>
    <n v="5060466516663"/>
    <s v="Carbonated  energy drink"/>
    <x v="111"/>
    <x v="394"/>
    <s v="US"/>
    <s v="Coca-Cola"/>
    <x v="5"/>
    <n v="42"/>
  </r>
  <r>
    <n v="5060476794396"/>
    <s v="Papadums"/>
    <x v="184"/>
    <x v="395"/>
    <s v="GB"/>
    <s v="AIB Foods Limited"/>
    <x v="2"/>
    <n v="1"/>
  </r>
  <r>
    <n v="5060608740178"/>
    <s v="Carbonated Energy Drink"/>
    <x v="14"/>
    <x v="396"/>
    <s v="US"/>
    <s v="Coca-Cola"/>
    <x v="5"/>
    <n v="49"/>
  </r>
  <r>
    <n v="5060608740253"/>
    <s v="Energy Drink"/>
    <x v="14"/>
    <x v="396"/>
    <s v="US"/>
    <s v="Coca-Cola"/>
    <x v="0"/>
    <n v="269"/>
  </r>
  <r>
    <n v="5060608740253"/>
    <s v="Energy Drink"/>
    <x v="14"/>
    <x v="396"/>
    <s v="US"/>
    <s v="Coca-Cola"/>
    <x v="4"/>
    <n v="16"/>
  </r>
  <r>
    <n v="5060608749232"/>
    <s v="Gold Strike Energy Drink"/>
    <x v="76"/>
    <x v="396"/>
    <s v="US"/>
    <s v="Coca-Cola"/>
    <x v="4"/>
    <n v="699"/>
  </r>
  <r>
    <n v="5060626030022"/>
    <s v="Smoov chapman"/>
    <x v="212"/>
    <x v="308"/>
    <s v="NG"/>
    <s v="Jotna Group"/>
    <x v="16"/>
    <n v="2"/>
  </r>
  <r>
    <n v="5060677250479"/>
    <s v="Kyra gentle face wash"/>
    <x v="213"/>
    <x v="397"/>
    <s v="GB"/>
    <s v="Gruum Europe Ltd"/>
    <x v="19"/>
    <n v="1"/>
  </r>
  <r>
    <n v="5060677250486"/>
    <s v="Altruist SPF50 Sunscreen"/>
    <x v="117"/>
    <x v="397"/>
    <s v="GB"/>
    <s v="Gruum Europe Ltd"/>
    <x v="19"/>
    <n v="2"/>
  </r>
  <r>
    <n v="5060677250486"/>
    <s v="Altruist SPF50 Sunscreen"/>
    <x v="117"/>
    <x v="397"/>
    <s v="GB"/>
    <s v="Gruum Europe Ltd"/>
    <x v="5"/>
    <n v="1"/>
  </r>
  <r>
    <n v="5060776100026"/>
    <s v="Eau de Table"/>
    <x v="71"/>
    <x v="398"/>
    <s v="CD"/>
    <s v="UNITY BEVERAGES"/>
    <x v="10"/>
    <n v="36"/>
  </r>
  <r>
    <n v="5060776100057"/>
    <s v="Eau de Table"/>
    <x v="35"/>
    <x v="398"/>
    <s v="CD"/>
    <s v="UNITY BEVERAGES"/>
    <x v="10"/>
    <n v="8"/>
  </r>
  <r>
    <n v="5060868950195"/>
    <s v="Aloe Vera Drink Strawberry"/>
    <x v="0"/>
    <x v="399"/>
    <s v="GB"/>
    <s v="Merran Ltd"/>
    <x v="2"/>
    <n v="1"/>
  </r>
  <r>
    <n v="5060909050105"/>
    <s v="Coke"/>
    <x v="214"/>
    <x v="1"/>
    <s v="US"/>
    <s v="Coca-Cola"/>
    <x v="16"/>
    <n v="1"/>
  </r>
  <r>
    <n v="5164604011536"/>
    <s v="Carbonated Soft Drink"/>
    <x v="93"/>
    <x v="51"/>
    <s v="US"/>
    <s v="Pepsico, Inc"/>
    <x v="5"/>
    <n v="1"/>
  </r>
  <r>
    <n v="5201627019887"/>
    <s v="Mineral Water"/>
    <x v="35"/>
    <x v="400"/>
    <s v="GR"/>
    <s v="Zagori"/>
    <x v="2"/>
    <n v="1"/>
  </r>
  <r>
    <n v="5201627019900"/>
    <s v="Natural Mineral Water"/>
    <x v="0"/>
    <x v="400"/>
    <s v="GR"/>
    <s v="Zagori"/>
    <x v="2"/>
    <n v="1"/>
  </r>
  <r>
    <n v="5201946900125"/>
    <s v="Lemonade"/>
    <x v="93"/>
    <x v="401"/>
    <s v="GR"/>
    <s v="Epirotic Bottling Industry S.A."/>
    <x v="2"/>
    <n v="1"/>
  </r>
  <r>
    <n v="5203615820130"/>
    <s v="Xtra Berry Flavoured Carbonated Soft Drink"/>
    <x v="111"/>
    <x v="90"/>
    <s v="TZ"/>
    <s v="METL Group"/>
    <x v="7"/>
    <n v="65"/>
  </r>
  <r>
    <n v="5207411220460"/>
    <s v="Extra carbonate soft drink"/>
    <x v="3"/>
    <x v="16"/>
    <s v="TZ"/>
    <s v="METL Group"/>
    <x v="7"/>
    <n v="19"/>
  </r>
  <r>
    <n v="5210112460301"/>
    <s v="afya drinking water"/>
    <x v="143"/>
    <x v="79"/>
    <s v="TZ"/>
    <s v="Watercom (T) Ltd"/>
    <x v="7"/>
    <n v="1"/>
  </r>
  <r>
    <n v="5239141407101"/>
    <s v="Boisson Gazeuse"/>
    <x v="22"/>
    <x v="402"/>
    <s v="FR"/>
    <s v="Groupe Castel"/>
    <x v="13"/>
    <n v="1"/>
  </r>
  <r>
    <n v="5285002320546"/>
    <s v="Seven powers 7777777"/>
    <x v="0"/>
    <x v="403"/>
    <s v="NG"/>
    <s v="Cybele Cosmetic Products"/>
    <x v="6"/>
    <n v="11"/>
  </r>
  <r>
    <n v="5290074000524"/>
    <s v="Cyprina red grape"/>
    <x v="22"/>
    <x v="404"/>
    <s v="CY"/>
    <s v="New Sevegep ltd"/>
    <x v="6"/>
    <n v="23"/>
  </r>
  <r>
    <n v="5299908030089"/>
    <s v="Eau de Table"/>
    <x v="23"/>
    <x v="405"/>
    <s v="CD"/>
    <s v="Adam Industrie"/>
    <x v="10"/>
    <n v="19"/>
  </r>
  <r>
    <n v="53140036"/>
    <s v="Eau mineral"/>
    <x v="35"/>
    <x v="85"/>
    <s v="CM"/>
    <s v="Source du Pays S.A"/>
    <x v="13"/>
    <n v="1"/>
  </r>
  <r>
    <n v="5352205057408"/>
    <s v="Coca-Cola Zero Sugar"/>
    <x v="0"/>
    <x v="1"/>
    <s v="US"/>
    <s v="Coca-Cola"/>
    <x v="2"/>
    <n v="1"/>
  </r>
  <r>
    <n v="5391518270241"/>
    <s v="Protective sun lotion"/>
    <x v="215"/>
    <x v="406"/>
    <s v="US"/>
    <s v="Edgewell Personal Care"/>
    <x v="2"/>
    <n v="20"/>
  </r>
  <r>
    <n v="54001213"/>
    <s v="Orange"/>
    <x v="14"/>
    <x v="112"/>
    <s v="US"/>
    <s v="Coca-Cola"/>
    <x v="5"/>
    <n v="11"/>
  </r>
  <r>
    <n v="5400141269536"/>
    <s v="Demi-ecreme"/>
    <x v="193"/>
    <x v="407"/>
    <s v="BE"/>
    <s v="Colyrut Group Services"/>
    <x v="2"/>
    <n v="1"/>
  </r>
  <r>
    <n v="54008199"/>
    <s v="Fanta"/>
    <x v="76"/>
    <x v="44"/>
    <s v="US"/>
    <s v="Coca-Cola"/>
    <x v="4"/>
    <n v="56"/>
  </r>
  <r>
    <n v="54008199"/>
    <s v="Fanta"/>
    <x v="76"/>
    <x v="44"/>
    <s v="US"/>
    <s v="Coca-Cola"/>
    <x v="5"/>
    <n v="14"/>
  </r>
  <r>
    <n v="54017665"/>
    <s v="Juice"/>
    <x v="76"/>
    <x v="408"/>
    <s v="US"/>
    <s v="Coca-Cola"/>
    <x v="4"/>
    <n v="1"/>
  </r>
  <r>
    <n v="54017726"/>
    <s v="Delight. Mango"/>
    <x v="76"/>
    <x v="408"/>
    <s v="US"/>
    <s v="Coca-Cola"/>
    <x v="4"/>
    <n v="963"/>
  </r>
  <r>
    <n v="54020450"/>
    <s v="Tropical Delight"/>
    <x v="76"/>
    <x v="408"/>
    <s v="US"/>
    <s v="Coca-Cola"/>
    <x v="4"/>
    <n v="375"/>
  </r>
  <r>
    <n v="54020849"/>
    <s v="Soda Water"/>
    <x v="3"/>
    <x v="409"/>
    <s v="US"/>
    <s v="Coca-Cola"/>
    <x v="7"/>
    <n v="5"/>
  </r>
  <r>
    <n v="54022096"/>
    <s v="cappy delight goiaba"/>
    <x v="76"/>
    <x v="1"/>
    <s v="US"/>
    <s v="Coca-Cola"/>
    <x v="4"/>
    <n v="1"/>
  </r>
  <r>
    <n v="5407010260069"/>
    <s v="Top Orange Boisson Gazeuse"/>
    <x v="22"/>
    <x v="243"/>
    <s v="FR"/>
    <s v="Groupe Castel"/>
    <x v="13"/>
    <n v="52"/>
  </r>
  <r>
    <n v="5407010260120"/>
    <s v="Top"/>
    <x v="76"/>
    <x v="243"/>
    <s v="FR"/>
    <s v="Groupe Castel"/>
    <x v="13"/>
    <n v="5"/>
  </r>
  <r>
    <n v="5407010260205"/>
    <s v="Boisson Gazeuse"/>
    <x v="22"/>
    <x v="410"/>
    <s v="FR"/>
    <s v="Groupe Castel"/>
    <x v="13"/>
    <n v="8"/>
  </r>
  <r>
    <n v="5407010260649"/>
    <s v="World Cola"/>
    <x v="22"/>
    <x v="93"/>
    <s v="FR"/>
    <s v="Groupe Castel"/>
    <x v="13"/>
    <n v="1"/>
  </r>
  <r>
    <n v="5410013108009"/>
    <s v="Natural Mineral Water"/>
    <x v="0"/>
    <x v="411"/>
    <s v="BE"/>
    <s v="S.A. SPADEL N.V."/>
    <x v="22"/>
    <n v="6"/>
  </r>
  <r>
    <n v="5410013108009"/>
    <s v="Natural Mineral Water"/>
    <x v="0"/>
    <x v="411"/>
    <s v="BE"/>
    <s v="S.A. SPADEL N.V."/>
    <x v="10"/>
    <n v="1"/>
  </r>
  <r>
    <n v="5410013108009"/>
    <s v="Natural Mineral Water"/>
    <x v="0"/>
    <x v="411"/>
    <s v="BE"/>
    <s v="S.A. SPADEL N.V."/>
    <x v="2"/>
    <n v="4"/>
  </r>
  <r>
    <n v="5410076928170"/>
    <s v="Original Dishwashing Liquid"/>
    <x v="216"/>
    <x v="299"/>
    <s v="US"/>
    <s v="THE PROCTER &amp; GAMBLE COMPANY"/>
    <x v="2"/>
    <n v="1"/>
  </r>
  <r>
    <n v="5410316962520"/>
    <s v="Vodka"/>
    <x v="2"/>
    <x v="68"/>
    <s v="GB"/>
    <s v="Diageo Plc"/>
    <x v="1"/>
    <n v="3"/>
  </r>
  <r>
    <n v="5410316962520"/>
    <s v="Vodka"/>
    <x v="2"/>
    <x v="68"/>
    <s v="GB"/>
    <s v="Diageo Plc"/>
    <x v="4"/>
    <n v="1"/>
  </r>
  <r>
    <n v="5410316962520"/>
    <s v="Vodka"/>
    <x v="2"/>
    <x v="68"/>
    <s v="GB"/>
    <s v="Diageo Plc"/>
    <x v="12"/>
    <n v="1"/>
  </r>
  <r>
    <n v="5410438036420"/>
    <s v="Milk Drink"/>
    <x v="14"/>
    <x v="412"/>
    <s v="NL"/>
    <s v="Koninklijke FrieslandCampina N.V."/>
    <x v="2"/>
    <n v="2"/>
  </r>
  <r>
    <n v="5410438036482"/>
    <s v="Yazoo Milk Drink"/>
    <x v="14"/>
    <x v="412"/>
    <s v="NL"/>
    <s v="Koninklijke FrieslandCampina N.V."/>
    <x v="2"/>
    <n v="5"/>
  </r>
  <r>
    <n v="5410438036833"/>
    <s v="Chocolate milk drink"/>
    <x v="13"/>
    <x v="412"/>
    <s v="NL"/>
    <s v="Koninklijke FrieslandCampina N.V."/>
    <x v="2"/>
    <n v="1"/>
  </r>
  <r>
    <n v="5412533001556"/>
    <s v="Rinse Aid"/>
    <x v="0"/>
    <x v="413"/>
    <s v="US"/>
    <s v="S. C. Johnson &amp; Son, Inc."/>
    <x v="2"/>
    <n v="1"/>
  </r>
  <r>
    <n v="5412533416886"/>
    <s v="Sensitive Washing Up Liquid"/>
    <x v="43"/>
    <x v="413"/>
    <s v="US"/>
    <s v="S. C. Johnson &amp; Son, Inc."/>
    <x v="2"/>
    <n v="2"/>
  </r>
  <r>
    <n v="5412533418316"/>
    <s v="Zero Wool &amp; Delicates Laundry Liquid"/>
    <x v="13"/>
    <x v="413"/>
    <s v="US"/>
    <s v="S. C. Johnson &amp; Son, Inc."/>
    <x v="2"/>
    <n v="1"/>
  </r>
  <r>
    <n v="5413149418431"/>
    <s v="Bleach"/>
    <x v="0"/>
    <x v="248"/>
    <s v="US"/>
    <s v="THE PROCTER &amp; GAMBLE COMPANY"/>
    <x v="2"/>
    <n v="1"/>
  </r>
  <r>
    <n v="5413149418493"/>
    <s v="Bathroom Cleaner"/>
    <x v="0"/>
    <x v="248"/>
    <s v="US"/>
    <s v="THE PROCTER &amp; GAMBLE COMPANY"/>
    <x v="2"/>
    <n v="1"/>
  </r>
  <r>
    <n v="5413149980761"/>
    <s v="Original Dishwashing Liquid"/>
    <x v="216"/>
    <x v="299"/>
    <s v="US"/>
    <s v="THE PROCTER &amp; GAMBLE COMPANY"/>
    <x v="2"/>
    <n v="1"/>
  </r>
  <r>
    <n v="54172401"/>
    <s v="Vinagre Branco"/>
    <x v="55"/>
    <x v="414"/>
    <s v="MZ"/>
    <s v="Águas de Ribaue Lda"/>
    <x v="4"/>
    <n v="1"/>
  </r>
  <r>
    <n v="5423513860407"/>
    <s v="Mineral water"/>
    <x v="0"/>
    <x v="415"/>
    <s v="UK"/>
    <s v="UNKNOWN_ORG"/>
    <x v="7"/>
    <n v="7"/>
  </r>
  <r>
    <n v="5424212150301"/>
    <s v="Berry Flavoured Carbonated Soft Drink"/>
    <x v="3"/>
    <x v="16"/>
    <s v="TZ"/>
    <s v="METL Group"/>
    <x v="7"/>
    <n v="1"/>
  </r>
  <r>
    <n v="54490000"/>
    <s v="Purified Water"/>
    <x v="13"/>
    <x v="150"/>
    <s v="US"/>
    <s v="Coca-Cola"/>
    <x v="0"/>
    <n v="56"/>
  </r>
  <r>
    <n v="54490000"/>
    <s v="Purified Water"/>
    <x v="13"/>
    <x v="150"/>
    <s v="US"/>
    <s v="Coca-Cola"/>
    <x v="4"/>
    <n v="6"/>
  </r>
  <r>
    <n v="54490000"/>
    <s v="Purified Water"/>
    <x v="13"/>
    <x v="150"/>
    <s v="US"/>
    <s v="Coca-Cola"/>
    <x v="7"/>
    <n v="1"/>
  </r>
  <r>
    <n v="5449000000286"/>
    <s v="Coca-Cola"/>
    <x v="12"/>
    <x v="1"/>
    <s v="US"/>
    <s v="Coca-Cola"/>
    <x v="10"/>
    <n v="3"/>
  </r>
  <r>
    <n v="5449000000286"/>
    <s v="Coca-Cola"/>
    <x v="12"/>
    <x v="1"/>
    <s v="US"/>
    <s v="Coca-Cola"/>
    <x v="2"/>
    <n v="1"/>
  </r>
  <r>
    <n v="5449000000286"/>
    <s v="Coca-Cola"/>
    <x v="12"/>
    <x v="1"/>
    <s v="US"/>
    <s v="Coca-Cola"/>
    <x v="6"/>
    <n v="18"/>
  </r>
  <r>
    <n v="5449000000286"/>
    <s v="Coca-Cola"/>
    <x v="12"/>
    <x v="1"/>
    <s v="US"/>
    <s v="Coca-Cola"/>
    <x v="0"/>
    <n v="14"/>
  </r>
  <r>
    <n v="5449000000286"/>
    <s v="Coca-Cola"/>
    <x v="12"/>
    <x v="1"/>
    <s v="US"/>
    <s v="Coca-Cola"/>
    <x v="3"/>
    <n v="11"/>
  </r>
  <r>
    <n v="5449000000286"/>
    <s v="Coca-Cola"/>
    <x v="12"/>
    <x v="1"/>
    <s v="US"/>
    <s v="Coca-Cola"/>
    <x v="4"/>
    <n v="7623"/>
  </r>
  <r>
    <n v="5449000000286"/>
    <s v="Coca-Cola"/>
    <x v="12"/>
    <x v="1"/>
    <s v="US"/>
    <s v="Coca-Cola"/>
    <x v="7"/>
    <n v="1"/>
  </r>
  <r>
    <n v="5449000000286"/>
    <s v="Coca-Cola"/>
    <x v="12"/>
    <x v="1"/>
    <s v="US"/>
    <s v="Coca-Cola"/>
    <x v="5"/>
    <n v="123"/>
  </r>
  <r>
    <n v="5449000000439"/>
    <s v="Coca-Cola"/>
    <x v="35"/>
    <x v="1"/>
    <s v="US"/>
    <s v="Coca-Cola"/>
    <x v="10"/>
    <n v="1"/>
  </r>
  <r>
    <n v="5449000000439"/>
    <s v="Coca-Cola"/>
    <x v="35"/>
    <x v="1"/>
    <s v="US"/>
    <s v="Coca-Cola"/>
    <x v="6"/>
    <n v="137"/>
  </r>
  <r>
    <n v="5449000000439"/>
    <s v="Coca-Cola"/>
    <x v="35"/>
    <x v="1"/>
    <s v="US"/>
    <s v="Coca-Cola"/>
    <x v="4"/>
    <n v="1"/>
  </r>
  <r>
    <n v="5449000000439"/>
    <s v="Coca-Cola"/>
    <x v="35"/>
    <x v="1"/>
    <s v="US"/>
    <s v="Coca-Cola"/>
    <x v="12"/>
    <n v="15"/>
  </r>
  <r>
    <n v="5449000000439"/>
    <s v="Coca-Cola"/>
    <x v="35"/>
    <x v="1"/>
    <s v="US"/>
    <s v="Coca-Cola"/>
    <x v="8"/>
    <n v="13"/>
  </r>
  <r>
    <n v="5449000000996"/>
    <s v="Coca Cola Cans 330ml Pk24 A00768"/>
    <x v="217"/>
    <x v="1"/>
    <s v="US"/>
    <s v="Coca-Cola"/>
    <x v="2"/>
    <n v="2"/>
  </r>
  <r>
    <n v="5449000000996"/>
    <s v="Coca Cola Cans 330ml Pk24 A00768"/>
    <x v="217"/>
    <x v="1"/>
    <s v="US"/>
    <s v="Coca-Cola"/>
    <x v="6"/>
    <n v="47"/>
  </r>
  <r>
    <n v="5449000000996"/>
    <s v="Coca Cola Cans 330ml Pk24 A00768"/>
    <x v="217"/>
    <x v="1"/>
    <s v="US"/>
    <s v="Coca-Cola"/>
    <x v="0"/>
    <n v="47"/>
  </r>
  <r>
    <n v="5449000000996"/>
    <s v="Coca Cola Cans 330ml Pk24 A00768"/>
    <x v="217"/>
    <x v="1"/>
    <s v="US"/>
    <s v="Coca-Cola"/>
    <x v="4"/>
    <n v="408"/>
  </r>
  <r>
    <n v="5449000000996"/>
    <s v="Coca Cola Cans 330ml Pk24 A00768"/>
    <x v="217"/>
    <x v="1"/>
    <s v="US"/>
    <s v="Coca-Cola"/>
    <x v="7"/>
    <n v="1"/>
  </r>
  <r>
    <n v="5449000000996"/>
    <s v="Coca Cola Cans 330ml Pk24 A00768"/>
    <x v="217"/>
    <x v="1"/>
    <s v="US"/>
    <s v="Coca-Cola"/>
    <x v="9"/>
    <n v="1"/>
  </r>
  <r>
    <n v="5449000000996"/>
    <s v="Coca Cola Cans 330ml Pk24 A00768"/>
    <x v="217"/>
    <x v="1"/>
    <s v="US"/>
    <s v="Coca-Cola"/>
    <x v="8"/>
    <n v="1"/>
  </r>
  <r>
    <n v="5449000002914"/>
    <s v="Coke"/>
    <x v="23"/>
    <x v="1"/>
    <s v="US"/>
    <s v="Coca-Cola"/>
    <x v="7"/>
    <n v="20"/>
  </r>
  <r>
    <n v="5449000002938"/>
    <s v="Fanta Orange Zero"/>
    <x v="23"/>
    <x v="44"/>
    <s v="US"/>
    <s v="Coca-Cola"/>
    <x v="7"/>
    <n v="16"/>
  </r>
  <r>
    <n v="5449000002938"/>
    <s v="Fanta Orange Zero"/>
    <x v="23"/>
    <x v="44"/>
    <s v="US"/>
    <s v="Coca-Cola"/>
    <x v="5"/>
    <n v="1"/>
  </r>
  <r>
    <n v="5449000003751"/>
    <s v="Pineapple Carbonated Soft Drink"/>
    <x v="35"/>
    <x v="44"/>
    <s v="US"/>
    <s v="Coca-Cola"/>
    <x v="10"/>
    <n v="2"/>
  </r>
  <r>
    <n v="5449000003751"/>
    <s v="Pineapple Carbonated Soft Drink"/>
    <x v="35"/>
    <x v="44"/>
    <s v="US"/>
    <s v="Coca-Cola"/>
    <x v="12"/>
    <n v="16"/>
  </r>
  <r>
    <n v="5449000003768"/>
    <s v="Fanta Grape"/>
    <x v="12"/>
    <x v="44"/>
    <s v="US"/>
    <s v="Coca-Cola"/>
    <x v="0"/>
    <n v="2"/>
  </r>
  <r>
    <n v="5449000003768"/>
    <s v="Fanta Grape"/>
    <x v="12"/>
    <x v="44"/>
    <s v="US"/>
    <s v="Coca-Cola"/>
    <x v="4"/>
    <n v="152"/>
  </r>
  <r>
    <n v="5449000003768"/>
    <s v="Fanta Grape"/>
    <x v="12"/>
    <x v="44"/>
    <s v="US"/>
    <s v="Coca-Cola"/>
    <x v="7"/>
    <n v="1"/>
  </r>
  <r>
    <n v="5449000003768"/>
    <s v="Fanta Grape"/>
    <x v="12"/>
    <x v="44"/>
    <s v="US"/>
    <s v="Coca-Cola"/>
    <x v="8"/>
    <n v="1"/>
  </r>
  <r>
    <n v="5449000004840"/>
    <s v="Fanta Orange"/>
    <x v="12"/>
    <x v="44"/>
    <s v="US"/>
    <s v="Coca-Cola"/>
    <x v="0"/>
    <n v="43"/>
  </r>
  <r>
    <n v="5449000004840"/>
    <s v="Fanta Orange"/>
    <x v="12"/>
    <x v="44"/>
    <s v="US"/>
    <s v="Coca-Cola"/>
    <x v="4"/>
    <n v="1254"/>
  </r>
  <r>
    <n v="5449000004840"/>
    <s v="Fanta Orange"/>
    <x v="12"/>
    <x v="44"/>
    <s v="US"/>
    <s v="Coca-Cola"/>
    <x v="5"/>
    <n v="86"/>
  </r>
  <r>
    <n v="5449000004864"/>
    <s v="Lemon Lime Carbonated Drink"/>
    <x v="12"/>
    <x v="148"/>
    <s v="US"/>
    <s v="Coca-Cola"/>
    <x v="0"/>
    <n v="59"/>
  </r>
  <r>
    <n v="5449000004864"/>
    <s v="Lemon Lime Carbonated Drink"/>
    <x v="12"/>
    <x v="148"/>
    <s v="US"/>
    <s v="Coca-Cola"/>
    <x v="4"/>
    <n v="2"/>
  </r>
  <r>
    <n v="5449000004864"/>
    <s v="Lemon Lime Carbonated Drink"/>
    <x v="12"/>
    <x v="148"/>
    <s v="US"/>
    <s v="Coca-Cola"/>
    <x v="5"/>
    <n v="41"/>
  </r>
  <r>
    <n v="5449000005755"/>
    <s v="Sprite"/>
    <x v="23"/>
    <x v="148"/>
    <s v="US"/>
    <s v="Coca-Cola"/>
    <x v="7"/>
    <n v="72"/>
  </r>
  <r>
    <n v="5449000006271"/>
    <s v="Fanta"/>
    <x v="13"/>
    <x v="44"/>
    <s v="US"/>
    <s v="Coca-Cola"/>
    <x v="13"/>
    <n v="2"/>
  </r>
  <r>
    <n v="5449000006271"/>
    <s v="Fanta"/>
    <x v="13"/>
    <x v="44"/>
    <s v="US"/>
    <s v="Coca-Cola"/>
    <x v="4"/>
    <n v="1193"/>
  </r>
  <r>
    <n v="5449000006271"/>
    <s v="Fanta"/>
    <x v="13"/>
    <x v="44"/>
    <s v="US"/>
    <s v="Coca-Cola"/>
    <x v="12"/>
    <n v="11"/>
  </r>
  <r>
    <n v="5449000009067"/>
    <s v="Coca Cola"/>
    <x v="12"/>
    <x v="1"/>
    <s v="US"/>
    <s v="Coca-Cola"/>
    <x v="19"/>
    <n v="1"/>
  </r>
  <r>
    <n v="5449000009067"/>
    <s v="Coca Cola"/>
    <x v="12"/>
    <x v="1"/>
    <s v="US"/>
    <s v="Coca-Cola"/>
    <x v="8"/>
    <n v="35"/>
  </r>
  <r>
    <n v="5449000010049"/>
    <s v="Boisson Sucré"/>
    <x v="39"/>
    <x v="44"/>
    <s v="US"/>
    <s v="Coca-Cola"/>
    <x v="10"/>
    <n v="1"/>
  </r>
  <r>
    <n v="5449000010070"/>
    <s v="Fanta Grape"/>
    <x v="12"/>
    <x v="44"/>
    <s v="US"/>
    <s v="Coca-Cola"/>
    <x v="3"/>
    <n v="20"/>
  </r>
  <r>
    <n v="5449000010070"/>
    <s v="Fanta Grape"/>
    <x v="12"/>
    <x v="44"/>
    <s v="US"/>
    <s v="Coca-Cola"/>
    <x v="4"/>
    <n v="701"/>
  </r>
  <r>
    <n v="5449000010070"/>
    <s v="Fanta Grape"/>
    <x v="12"/>
    <x v="44"/>
    <s v="US"/>
    <s v="Coca-Cola"/>
    <x v="8"/>
    <n v="1"/>
  </r>
  <r>
    <n v="5449000011527"/>
    <s v="Fanta orange"/>
    <x v="93"/>
    <x v="1"/>
    <s v="US"/>
    <s v="Coca-Cola"/>
    <x v="2"/>
    <n v="1"/>
  </r>
  <r>
    <n v="5449000012203"/>
    <s v="Carbonated beverage"/>
    <x v="35"/>
    <x v="148"/>
    <s v="US"/>
    <s v="Coca-Cola"/>
    <x v="10"/>
    <n v="2"/>
  </r>
  <r>
    <n v="5449000012203"/>
    <s v="Carbonated beverage"/>
    <x v="35"/>
    <x v="148"/>
    <s v="US"/>
    <s v="Coca-Cola"/>
    <x v="12"/>
    <n v="5"/>
  </r>
  <r>
    <n v="5449000014917"/>
    <s v="Soda Water"/>
    <x v="13"/>
    <x v="9"/>
    <s v="US"/>
    <s v="Coca-Cola"/>
    <x v="4"/>
    <n v="17"/>
  </r>
  <r>
    <n v="5449000014917"/>
    <s v="Soda Water"/>
    <x v="13"/>
    <x v="9"/>
    <s v="US"/>
    <s v="Coca-Cola"/>
    <x v="8"/>
    <n v="53"/>
  </r>
  <r>
    <n v="5449000016560"/>
    <s v="Coke Light"/>
    <x v="13"/>
    <x v="1"/>
    <s v="US"/>
    <s v="Coca-Cola"/>
    <x v="8"/>
    <n v="5"/>
  </r>
  <r>
    <n v="5449000021830"/>
    <s v="Pineapple / Ananás"/>
    <x v="13"/>
    <x v="44"/>
    <s v="US"/>
    <s v="Coca-Cola"/>
    <x v="4"/>
    <n v="9"/>
  </r>
  <r>
    <n v="5449000022752"/>
    <s v="Blackcurrant Flavour Carbonated Drink"/>
    <x v="12"/>
    <x v="44"/>
    <s v="US"/>
    <s v="Coca-Cola"/>
    <x v="0"/>
    <n v="37"/>
  </r>
  <r>
    <n v="5449000025173"/>
    <s v="Coca-Cola"/>
    <x v="167"/>
    <x v="1"/>
    <s v="US"/>
    <s v="Coca-Cola"/>
    <x v="8"/>
    <n v="1"/>
  </r>
  <r>
    <n v="5449000028075"/>
    <s v="Pine-nut carbonated soft drink"/>
    <x v="0"/>
    <x v="99"/>
    <s v="US"/>
    <s v="Coca-Cola"/>
    <x v="7"/>
    <n v="174"/>
  </r>
  <r>
    <n v="5449000028921"/>
    <s v="Coke"/>
    <x v="218"/>
    <x v="1"/>
    <s v="US"/>
    <s v="Coca-Cola"/>
    <x v="0"/>
    <n v="29"/>
  </r>
  <r>
    <n v="5449000028921"/>
    <s v="Coke"/>
    <x v="218"/>
    <x v="1"/>
    <s v="US"/>
    <s v="Coca-Cola"/>
    <x v="7"/>
    <n v="99"/>
  </r>
  <r>
    <n v="5449000028938"/>
    <s v="Orange Flavored Drink"/>
    <x v="112"/>
    <x v="44"/>
    <s v="US"/>
    <s v="Coca-Cola"/>
    <x v="0"/>
    <n v="42"/>
  </r>
  <r>
    <n v="5449000028938"/>
    <s v="Orange Flavored Drink"/>
    <x v="112"/>
    <x v="44"/>
    <s v="US"/>
    <s v="Coca-Cola"/>
    <x v="4"/>
    <n v="50"/>
  </r>
  <r>
    <n v="5449000028938"/>
    <s v="Orange Flavored Drink"/>
    <x v="112"/>
    <x v="44"/>
    <s v="US"/>
    <s v="Coca-Cola"/>
    <x v="7"/>
    <n v="33"/>
  </r>
  <r>
    <n v="5449000028976"/>
    <s v="Lemon-lime Flavoured Drink"/>
    <x v="112"/>
    <x v="148"/>
    <s v="US"/>
    <s v="Coca-Cola"/>
    <x v="0"/>
    <n v="3"/>
  </r>
  <r>
    <n v="5449000028976"/>
    <s v="Lemon-lime Flavoured Drink"/>
    <x v="112"/>
    <x v="148"/>
    <s v="US"/>
    <s v="Coca-Cola"/>
    <x v="4"/>
    <n v="1"/>
  </r>
  <r>
    <n v="5449000028976"/>
    <s v="Lemon-lime Flavoured Drink"/>
    <x v="112"/>
    <x v="148"/>
    <s v="US"/>
    <s v="Coca-Cola"/>
    <x v="7"/>
    <n v="8"/>
  </r>
  <r>
    <n v="5449000034335"/>
    <s v="Smartwater"/>
    <x v="23"/>
    <x v="202"/>
    <s v="US"/>
    <s v="Coca-Cola"/>
    <x v="2"/>
    <n v="7"/>
  </r>
  <r>
    <n v="5449000036353"/>
    <s v="Cream Soda"/>
    <x v="35"/>
    <x v="99"/>
    <s v="US"/>
    <s v="Coca-Cola"/>
    <x v="8"/>
    <n v="10"/>
  </r>
  <r>
    <n v="5449000044808"/>
    <s v="Indian Tonic Water"/>
    <x v="22"/>
    <x v="9"/>
    <s v="US"/>
    <s v="Coca-Cola"/>
    <x v="13"/>
    <n v="1"/>
  </r>
  <r>
    <n v="5449000044808"/>
    <s v="Indian Tonic Water"/>
    <x v="22"/>
    <x v="9"/>
    <s v="US"/>
    <s v="Coca-Cola"/>
    <x v="4"/>
    <n v="1"/>
  </r>
  <r>
    <n v="5449000045478"/>
    <s v="Mineral Water"/>
    <x v="35"/>
    <x v="297"/>
    <s v="US"/>
    <s v="Coca-Cola"/>
    <x v="4"/>
    <n v="2687"/>
  </r>
  <r>
    <n v="5449000050939"/>
    <s v="Boisson gazeuse"/>
    <x v="22"/>
    <x v="1"/>
    <s v="US"/>
    <s v="Coca-Cola"/>
    <x v="13"/>
    <n v="6"/>
  </r>
  <r>
    <n v="5449000051981"/>
    <s v="Boisson rafraîchissante"/>
    <x v="219"/>
    <x v="1"/>
    <s v="US"/>
    <s v="Coca-Cola"/>
    <x v="10"/>
    <n v="1"/>
  </r>
  <r>
    <n v="5449000052926"/>
    <s v="Orange Carbonated Drink"/>
    <x v="35"/>
    <x v="44"/>
    <s v="US"/>
    <s v="Coca-Cola"/>
    <x v="10"/>
    <n v="9"/>
  </r>
  <r>
    <n v="5449000052926"/>
    <s v="Orange Carbonated Drink"/>
    <x v="35"/>
    <x v="44"/>
    <s v="US"/>
    <s v="Coca-Cola"/>
    <x v="4"/>
    <n v="1"/>
  </r>
  <r>
    <n v="5449000052926"/>
    <s v="Orange Carbonated Drink"/>
    <x v="35"/>
    <x v="44"/>
    <s v="US"/>
    <s v="Coca-Cola"/>
    <x v="12"/>
    <n v="20"/>
  </r>
  <r>
    <n v="5449000054227"/>
    <s v="Coca Cola"/>
    <x v="13"/>
    <x v="1"/>
    <s v="US"/>
    <s v="Coca-Cola"/>
    <x v="13"/>
    <n v="7"/>
  </r>
  <r>
    <n v="5449000054227"/>
    <s v="Coca Cola"/>
    <x v="13"/>
    <x v="1"/>
    <s v="US"/>
    <s v="Coca-Cola"/>
    <x v="2"/>
    <n v="2"/>
  </r>
  <r>
    <n v="5449000054227"/>
    <s v="Coca Cola"/>
    <x v="13"/>
    <x v="1"/>
    <s v="US"/>
    <s v="Coca-Cola"/>
    <x v="3"/>
    <n v="50"/>
  </r>
  <r>
    <n v="5449000054227"/>
    <s v="Coca Cola"/>
    <x v="13"/>
    <x v="1"/>
    <s v="US"/>
    <s v="Coca-Cola"/>
    <x v="4"/>
    <n v="4869"/>
  </r>
  <r>
    <n v="5449000060082"/>
    <s v="Lemon Flavoured Drink"/>
    <x v="12"/>
    <x v="416"/>
    <s v="US"/>
    <s v="Coca-Cola"/>
    <x v="4"/>
    <n v="3"/>
  </r>
  <r>
    <n v="5449000060082"/>
    <s v="Lemon Flavoured Drink"/>
    <x v="12"/>
    <x v="416"/>
    <s v="US"/>
    <s v="Coca-Cola"/>
    <x v="8"/>
    <n v="2"/>
  </r>
  <r>
    <n v="5449000061768"/>
    <s v="Coca-Cola"/>
    <x v="167"/>
    <x v="1"/>
    <s v="US"/>
    <s v="Coca-Cola"/>
    <x v="8"/>
    <n v="3"/>
  </r>
  <r>
    <n v="5449000062215"/>
    <s v="Purified Water"/>
    <x v="220"/>
    <x v="297"/>
    <s v="US"/>
    <s v="Coca-Cola"/>
    <x v="4"/>
    <n v="521"/>
  </r>
  <r>
    <n v="5449000064141"/>
    <s v="Diet Coke"/>
    <x v="112"/>
    <x v="1"/>
    <s v="US"/>
    <s v="Coca-Cola"/>
    <x v="2"/>
    <n v="8"/>
  </r>
  <r>
    <n v="5449000069429"/>
    <s v="Drink"/>
    <x v="93"/>
    <x v="44"/>
    <s v="US"/>
    <s v="Coca-Cola"/>
    <x v="4"/>
    <n v="3"/>
  </r>
  <r>
    <n v="5449000090096"/>
    <s v="Passion Fruit Flavoured Drink"/>
    <x v="12"/>
    <x v="44"/>
    <s v="US"/>
    <s v="Coca-Cola"/>
    <x v="0"/>
    <n v="40"/>
  </r>
  <r>
    <n v="5449000090096"/>
    <s v="Passion Fruit Flavoured Drink"/>
    <x v="12"/>
    <x v="44"/>
    <s v="US"/>
    <s v="Coca-Cola"/>
    <x v="4"/>
    <n v="44"/>
  </r>
  <r>
    <n v="5449000093943"/>
    <s v="prepared water"/>
    <x v="221"/>
    <x v="297"/>
    <s v="US"/>
    <s v="Coca-Cola"/>
    <x v="4"/>
    <n v="4"/>
  </r>
  <r>
    <n v="5449000098504"/>
    <s v="Still Drinking Water"/>
    <x v="35"/>
    <x v="150"/>
    <s v="US"/>
    <s v="Coca-Cola"/>
    <x v="10"/>
    <n v="4"/>
  </r>
  <r>
    <n v="5449000098504"/>
    <s v="Still Drinking Water"/>
    <x v="35"/>
    <x v="150"/>
    <s v="US"/>
    <s v="Coca-Cola"/>
    <x v="7"/>
    <n v="31"/>
  </r>
  <r>
    <n v="5449000098580"/>
    <s v="Granadilla Flavoured Drink"/>
    <x v="39"/>
    <x v="416"/>
    <s v="US"/>
    <s v="Coca-Cola"/>
    <x v="4"/>
    <n v="7"/>
  </r>
  <r>
    <n v="5449000098580"/>
    <s v="Granadilla Flavoured Drink"/>
    <x v="39"/>
    <x v="416"/>
    <s v="US"/>
    <s v="Coca-Cola"/>
    <x v="8"/>
    <n v="1"/>
  </r>
  <r>
    <n v="5449000098764"/>
    <s v="Purified Water"/>
    <x v="13"/>
    <x v="150"/>
    <s v="US"/>
    <s v="Coca-Cola"/>
    <x v="1"/>
    <n v="1"/>
  </r>
  <r>
    <n v="5449000098764"/>
    <s v="Purified Water"/>
    <x v="13"/>
    <x v="150"/>
    <s v="US"/>
    <s v="Coca-Cola"/>
    <x v="0"/>
    <n v="43"/>
  </r>
  <r>
    <n v="5449000103079"/>
    <s v="Carbonated soft drink stoney Tangawizi/ ginger"/>
    <x v="0"/>
    <x v="1"/>
    <s v="US"/>
    <s v="Coca-Cola"/>
    <x v="7"/>
    <n v="78"/>
  </r>
  <r>
    <n v="5449000103079"/>
    <s v="Carbonated soft drink stoney Tangawizi/ ginger"/>
    <x v="0"/>
    <x v="1"/>
    <s v="US"/>
    <s v="Coca-Cola"/>
    <x v="5"/>
    <n v="9"/>
  </r>
  <r>
    <n v="5449000104885"/>
    <s v="Carbonated Lemon- Lime no sugar"/>
    <x v="12"/>
    <x v="148"/>
    <s v="US"/>
    <s v="Coca-Cola"/>
    <x v="2"/>
    <n v="1"/>
  </r>
  <r>
    <n v="5449000105660"/>
    <s v="Sparletta"/>
    <x v="12"/>
    <x v="99"/>
    <s v="US"/>
    <s v="Coca-Cola"/>
    <x v="4"/>
    <n v="1298"/>
  </r>
  <r>
    <n v="5449000107664"/>
    <s v="Spring Water"/>
    <x v="0"/>
    <x v="417"/>
    <s v="US"/>
    <s v="Coca-Cola"/>
    <x v="4"/>
    <n v="34"/>
  </r>
  <r>
    <n v="5449000107664"/>
    <s v="Spring Water"/>
    <x v="0"/>
    <x v="417"/>
    <s v="US"/>
    <s v="Coca-Cola"/>
    <x v="8"/>
    <n v="7"/>
  </r>
  <r>
    <n v="5449000107749"/>
    <s v="Sparkling Water"/>
    <x v="13"/>
    <x v="417"/>
    <s v="US"/>
    <s v="Coca-Cola"/>
    <x v="8"/>
    <n v="3"/>
  </r>
  <r>
    <n v="5449000107787"/>
    <s v="Spring water"/>
    <x v="35"/>
    <x v="417"/>
    <s v="US"/>
    <s v="Coca-Cola"/>
    <x v="4"/>
    <n v="3"/>
  </r>
  <r>
    <n v="5449000107787"/>
    <s v="Spring water"/>
    <x v="35"/>
    <x v="417"/>
    <s v="US"/>
    <s v="Coca-Cola"/>
    <x v="8"/>
    <n v="3"/>
  </r>
  <r>
    <n v="5449000109613"/>
    <s v="Refrigerante Lima/Limão"/>
    <x v="0"/>
    <x v="148"/>
    <s v="US"/>
    <s v="Coca-Cola"/>
    <x v="2"/>
    <n v="3"/>
  </r>
  <r>
    <n v="5449000109613"/>
    <s v="Refrigerante Lima/Limão"/>
    <x v="0"/>
    <x v="148"/>
    <s v="US"/>
    <s v="Coca-Cola"/>
    <x v="4"/>
    <n v="5"/>
  </r>
  <r>
    <n v="5449000109613"/>
    <s v="Refrigerante Lima/Limão"/>
    <x v="0"/>
    <x v="148"/>
    <s v="US"/>
    <s v="Coca-Cola"/>
    <x v="8"/>
    <n v="1"/>
  </r>
  <r>
    <n v="5449000113467"/>
    <s v="Blackcurrant Flavour Carbonated Drink"/>
    <x v="112"/>
    <x v="44"/>
    <s v="US"/>
    <s v="Coca-Cola"/>
    <x v="0"/>
    <n v="43"/>
  </r>
  <r>
    <n v="5449000117977"/>
    <s v="Sparletta Pine Nut"/>
    <x v="12"/>
    <x v="99"/>
    <s v="US"/>
    <s v="Coca-Cola"/>
    <x v="4"/>
    <n v="241"/>
  </r>
  <r>
    <n v="5449000117977"/>
    <s v="Sparletta Pine Nut"/>
    <x v="12"/>
    <x v="99"/>
    <s v="US"/>
    <s v="Coca-Cola"/>
    <x v="8"/>
    <n v="3"/>
  </r>
  <r>
    <n v="5449000118615"/>
    <s v="DRINKING WATER"/>
    <x v="220"/>
    <x v="100"/>
    <s v="US"/>
    <s v="Coca-Cola"/>
    <x v="7"/>
    <n v="153"/>
  </r>
  <r>
    <n v="5449000118745"/>
    <s v="Drinking Water"/>
    <x v="0"/>
    <x v="100"/>
    <s v="US"/>
    <s v="Coca-Cola"/>
    <x v="7"/>
    <n v="541"/>
  </r>
  <r>
    <n v="5449000120731"/>
    <s v="Agua del Manantial Santolin"/>
    <x v="35"/>
    <x v="418"/>
    <s v="US"/>
    <s v="Coca-Cola"/>
    <x v="19"/>
    <n v="6"/>
  </r>
  <r>
    <n v="5449000120731"/>
    <s v="Agua del Manantial Santolin"/>
    <x v="35"/>
    <x v="418"/>
    <s v="US"/>
    <s v="Coca-Cola"/>
    <x v="2"/>
    <n v="1"/>
  </r>
  <r>
    <n v="5449000120984"/>
    <s v="Fanta Orange Zero"/>
    <x v="12"/>
    <x v="44"/>
    <s v="US"/>
    <s v="Coca-Cola"/>
    <x v="3"/>
    <n v="50"/>
  </r>
  <r>
    <n v="5449000120984"/>
    <s v="Fanta Orange Zero"/>
    <x v="12"/>
    <x v="44"/>
    <s v="US"/>
    <s v="Coca-Cola"/>
    <x v="4"/>
    <n v="1665"/>
  </r>
  <r>
    <n v="5449000120984"/>
    <s v="Fanta Orange Zero"/>
    <x v="12"/>
    <x v="44"/>
    <s v="US"/>
    <s v="Coca-Cola"/>
    <x v="12"/>
    <n v="22"/>
  </r>
  <r>
    <n v="5449000121059"/>
    <s v="Agua del Manantial Fontoira"/>
    <x v="0"/>
    <x v="418"/>
    <s v="US"/>
    <s v="Coca-Cola"/>
    <x v="19"/>
    <n v="5"/>
  </r>
  <r>
    <n v="5449000123268"/>
    <s v="Spring Water"/>
    <x v="0"/>
    <x v="417"/>
    <s v="US"/>
    <s v="Coca-Cola"/>
    <x v="4"/>
    <n v="2"/>
  </r>
  <r>
    <n v="5449000123268"/>
    <s v="Spring Water"/>
    <x v="0"/>
    <x v="417"/>
    <s v="US"/>
    <s v="Coca-Cola"/>
    <x v="8"/>
    <n v="3"/>
  </r>
  <r>
    <n v="5449000124999"/>
    <s v="Summer Fruits"/>
    <x v="0"/>
    <x v="317"/>
    <s v="US"/>
    <s v="Coca-Cola"/>
    <x v="2"/>
    <n v="11"/>
  </r>
  <r>
    <n v="5449000124999"/>
    <s v="Summer Fruits"/>
    <x v="0"/>
    <x v="317"/>
    <s v="US"/>
    <s v="Coca-Cola"/>
    <x v="4"/>
    <n v="16"/>
  </r>
  <r>
    <n v="5449000125002"/>
    <s v="Summer Fruits"/>
    <x v="35"/>
    <x v="317"/>
    <s v="US"/>
    <s v="Coca-Cola"/>
    <x v="2"/>
    <n v="1"/>
  </r>
  <r>
    <n v="5449000125019"/>
    <s v="Citrus Punch"/>
    <x v="0"/>
    <x v="317"/>
    <s v="US"/>
    <s v="Coca-Cola"/>
    <x v="2"/>
    <n v="3"/>
  </r>
  <r>
    <n v="5449000125019"/>
    <s v="Citrus Punch"/>
    <x v="0"/>
    <x v="317"/>
    <s v="US"/>
    <s v="Coca-Cola"/>
    <x v="12"/>
    <n v="3"/>
  </r>
  <r>
    <n v="5449000129383"/>
    <s v="Eva table water"/>
    <x v="140"/>
    <x v="1"/>
    <s v="US"/>
    <s v="Coca-Cola"/>
    <x v="16"/>
    <n v="22"/>
  </r>
  <r>
    <n v="5449000129420"/>
    <s v="Premium Table Water"/>
    <x v="55"/>
    <x v="249"/>
    <s v="US"/>
    <s v="Coca-Cola"/>
    <x v="16"/>
    <n v="19"/>
  </r>
  <r>
    <n v="5449000130792"/>
    <s v="Sparkling Drinking Water"/>
    <x v="0"/>
    <x v="150"/>
    <s v="US"/>
    <s v="Coca-Cola"/>
    <x v="7"/>
    <n v="3"/>
  </r>
  <r>
    <n v="5449000131805"/>
    <s v="Original"/>
    <x v="93"/>
    <x v="1"/>
    <s v="US"/>
    <s v="Coca-Cola"/>
    <x v="4"/>
    <n v="1"/>
  </r>
  <r>
    <n v="5449000131836"/>
    <s v="Diet Coke"/>
    <x v="0"/>
    <x v="1"/>
    <s v="US"/>
    <s v="Coca-Cola"/>
    <x v="10"/>
    <n v="2"/>
  </r>
  <r>
    <n v="5449000131836"/>
    <s v="Diet Coke"/>
    <x v="0"/>
    <x v="1"/>
    <s v="US"/>
    <s v="Coca-Cola"/>
    <x v="19"/>
    <n v="3"/>
  </r>
  <r>
    <n v="5449000131836"/>
    <s v="Diet Coke"/>
    <x v="0"/>
    <x v="1"/>
    <s v="US"/>
    <s v="Coca-Cola"/>
    <x v="2"/>
    <n v="4"/>
  </r>
  <r>
    <n v="5449000131836"/>
    <s v="Diet Coke"/>
    <x v="0"/>
    <x v="1"/>
    <s v="US"/>
    <s v="Coca-Cola"/>
    <x v="0"/>
    <n v="21"/>
  </r>
  <r>
    <n v="5449000131836"/>
    <s v="Diet Coke"/>
    <x v="0"/>
    <x v="1"/>
    <s v="US"/>
    <s v="Coca-Cola"/>
    <x v="4"/>
    <n v="3"/>
  </r>
  <r>
    <n v="5449000131836"/>
    <s v="Diet Coke"/>
    <x v="0"/>
    <x v="1"/>
    <s v="US"/>
    <s v="Coca-Cola"/>
    <x v="12"/>
    <n v="58"/>
  </r>
  <r>
    <n v="5449000131836"/>
    <s v="Diet Coke"/>
    <x v="0"/>
    <x v="1"/>
    <s v="US"/>
    <s v="Coca-Cola"/>
    <x v="7"/>
    <n v="8"/>
  </r>
  <r>
    <n v="5449000131836"/>
    <s v="Diet Coke"/>
    <x v="0"/>
    <x v="1"/>
    <s v="US"/>
    <s v="Coca-Cola"/>
    <x v="15"/>
    <n v="2"/>
  </r>
  <r>
    <n v="5449000131843"/>
    <s v="Coke Zero"/>
    <x v="12"/>
    <x v="1"/>
    <s v="US"/>
    <s v="Coca-Cola"/>
    <x v="19"/>
    <n v="1"/>
  </r>
  <r>
    <n v="5449000131843"/>
    <s v="Coke Zero"/>
    <x v="12"/>
    <x v="1"/>
    <s v="US"/>
    <s v="Coca-Cola"/>
    <x v="0"/>
    <n v="75"/>
  </r>
  <r>
    <n v="5449000131843"/>
    <s v="Coke Zero"/>
    <x v="12"/>
    <x v="1"/>
    <s v="US"/>
    <s v="Coca-Cola"/>
    <x v="4"/>
    <n v="3"/>
  </r>
  <r>
    <n v="5449000133328"/>
    <s v="Coke Zero"/>
    <x v="13"/>
    <x v="1"/>
    <s v="US"/>
    <s v="Coca-Cola"/>
    <x v="2"/>
    <n v="2"/>
  </r>
  <r>
    <n v="5449000133328"/>
    <s v="Coke Zero"/>
    <x v="13"/>
    <x v="1"/>
    <s v="US"/>
    <s v="Coca-Cola"/>
    <x v="4"/>
    <n v="89"/>
  </r>
  <r>
    <n v="5449000133328"/>
    <s v="Coke Zero"/>
    <x v="13"/>
    <x v="1"/>
    <s v="US"/>
    <s v="Coca-Cola"/>
    <x v="8"/>
    <n v="5"/>
  </r>
  <r>
    <n v="5449000133335"/>
    <s v="Zero Sugar"/>
    <x v="35"/>
    <x v="1"/>
    <s v="US"/>
    <s v="Coca-Cola"/>
    <x v="8"/>
    <n v="2"/>
  </r>
  <r>
    <n v="5449000133373"/>
    <s v="Indian Tonic Water"/>
    <x v="13"/>
    <x v="9"/>
    <s v="US"/>
    <s v="Coca-Cola"/>
    <x v="2"/>
    <n v="1"/>
  </r>
  <r>
    <n v="5449000133410"/>
    <s v="Soda water"/>
    <x v="110"/>
    <x v="9"/>
    <s v="US"/>
    <s v="Coca-Cola"/>
    <x v="2"/>
    <n v="1"/>
  </r>
  <r>
    <n v="5449000133724"/>
    <s v="Coke Zero"/>
    <x v="112"/>
    <x v="1"/>
    <s v="US"/>
    <s v="Coca-Cola"/>
    <x v="2"/>
    <n v="2"/>
  </r>
  <r>
    <n v="5449000139030"/>
    <s v="Bitter Lemon"/>
    <x v="0"/>
    <x v="409"/>
    <s v="US"/>
    <s v="Coca-Cola"/>
    <x v="0"/>
    <n v="54"/>
  </r>
  <r>
    <n v="5449000139030"/>
    <s v="Bitter Lemon"/>
    <x v="0"/>
    <x v="409"/>
    <s v="US"/>
    <s v="Coca-Cola"/>
    <x v="5"/>
    <n v="31"/>
  </r>
  <r>
    <n v="5449000139474"/>
    <s v="Strawberry / Morango Carbonated Soft Drink"/>
    <x v="13"/>
    <x v="99"/>
    <s v="US"/>
    <s v="Coca-Cola"/>
    <x v="4"/>
    <n v="469"/>
  </r>
  <r>
    <n v="5449000139528"/>
    <s v="Grape / Uva Refresco"/>
    <x v="13"/>
    <x v="44"/>
    <s v="US"/>
    <s v="Coca-Cola"/>
    <x v="4"/>
    <n v="71"/>
  </r>
  <r>
    <n v="5449000165978"/>
    <s v="Drinking Water"/>
    <x v="13"/>
    <x v="100"/>
    <s v="US"/>
    <s v="Coca-Cola"/>
    <x v="7"/>
    <n v="130"/>
  </r>
  <r>
    <n v="5449000169358"/>
    <s v="coke zero"/>
    <x v="35"/>
    <x v="1"/>
    <s v="US"/>
    <s v="Coca-Cola"/>
    <x v="8"/>
    <n v="1"/>
  </r>
  <r>
    <n v="5449000172167"/>
    <s v="sprite"/>
    <x v="220"/>
    <x v="148"/>
    <s v="US"/>
    <s v="Coca-Cola"/>
    <x v="8"/>
    <n v="1"/>
  </r>
  <r>
    <n v="5449000174291"/>
    <s v="Citrus Carbonated Soft Drink"/>
    <x v="13"/>
    <x v="9"/>
    <s v="US"/>
    <s v="Coca-Cola"/>
    <x v="13"/>
    <n v="1"/>
  </r>
  <r>
    <n v="5449000180056"/>
    <s v="Sparletta"/>
    <x v="12"/>
    <x v="99"/>
    <s v="US"/>
    <s v="Coca-Cola"/>
    <x v="4"/>
    <n v="250"/>
  </r>
  <r>
    <n v="5449000180247"/>
    <s v="Mango Juice Drink"/>
    <x v="13"/>
    <x v="112"/>
    <s v="US"/>
    <s v="Coca-Cola"/>
    <x v="0"/>
    <n v="58"/>
  </r>
  <r>
    <n v="5449000180247"/>
    <s v="Mango Juice Drink"/>
    <x v="13"/>
    <x v="112"/>
    <s v="US"/>
    <s v="Coca-Cola"/>
    <x v="12"/>
    <n v="1"/>
  </r>
  <r>
    <n v="5449000180247"/>
    <s v="Mango Juice Drink"/>
    <x v="13"/>
    <x v="112"/>
    <s v="US"/>
    <s v="Coca-Cola"/>
    <x v="5"/>
    <n v="64"/>
  </r>
  <r>
    <n v="5449000180292"/>
    <s v="Delight Apple"/>
    <x v="13"/>
    <x v="112"/>
    <s v="US"/>
    <s v="Coca-Cola"/>
    <x v="0"/>
    <n v="6"/>
  </r>
  <r>
    <n v="5449000180292"/>
    <s v="Delight Apple"/>
    <x v="13"/>
    <x v="112"/>
    <s v="US"/>
    <s v="Coca-Cola"/>
    <x v="4"/>
    <n v="1"/>
  </r>
  <r>
    <n v="5449000187215"/>
    <s v="Te Verde Maracuja"/>
    <x v="35"/>
    <x v="69"/>
    <s v="CH"/>
    <s v="Nestlé S.A."/>
    <x v="19"/>
    <n v="1"/>
  </r>
  <r>
    <n v="5449000188342"/>
    <s v="Delight Apple"/>
    <x v="14"/>
    <x v="112"/>
    <s v="US"/>
    <s v="Coca-Cola"/>
    <x v="0"/>
    <n v="28"/>
  </r>
  <r>
    <n v="5449000188342"/>
    <s v="Delight Apple"/>
    <x v="14"/>
    <x v="112"/>
    <s v="US"/>
    <s v="Coca-Cola"/>
    <x v="5"/>
    <n v="7"/>
  </r>
  <r>
    <n v="5449000193865"/>
    <s v="Tangawizi / Ginger Beer Soft Drink"/>
    <x v="0"/>
    <x v="419"/>
    <s v="US"/>
    <s v="Coca-Cola"/>
    <x v="0"/>
    <n v="5"/>
  </r>
  <r>
    <n v="5449000193865"/>
    <s v="Tangawizi / Ginger Beer Soft Drink"/>
    <x v="0"/>
    <x v="419"/>
    <s v="US"/>
    <s v="Coca-Cola"/>
    <x v="12"/>
    <n v="28"/>
  </r>
  <r>
    <n v="5449000193865"/>
    <s v="Tangawizi / Ginger Beer Soft Drink"/>
    <x v="0"/>
    <x v="419"/>
    <s v="US"/>
    <s v="Coca-Cola"/>
    <x v="5"/>
    <n v="180"/>
  </r>
  <r>
    <n v="5449000195456"/>
    <s v="Delight Tropical"/>
    <x v="13"/>
    <x v="112"/>
    <s v="US"/>
    <s v="Coca-Cola"/>
    <x v="0"/>
    <n v="27"/>
  </r>
  <r>
    <n v="5449000195777"/>
    <s v="Mango Carbonated Soft Drink"/>
    <x v="0"/>
    <x v="303"/>
    <s v="US"/>
    <s v="Coca-Cola"/>
    <x v="10"/>
    <n v="50"/>
  </r>
  <r>
    <n v="5449000195777"/>
    <s v="Mango Carbonated Soft Drink"/>
    <x v="0"/>
    <x v="303"/>
    <s v="US"/>
    <s v="Coca-Cola"/>
    <x v="0"/>
    <n v="11"/>
  </r>
  <r>
    <n v="5449000195777"/>
    <s v="Mango Carbonated Soft Drink"/>
    <x v="0"/>
    <x v="303"/>
    <s v="US"/>
    <s v="Coca-Cola"/>
    <x v="12"/>
    <n v="50"/>
  </r>
  <r>
    <n v="5449000195777"/>
    <s v="Mango Carbonated Soft Drink"/>
    <x v="0"/>
    <x v="303"/>
    <s v="US"/>
    <s v="Coca-Cola"/>
    <x v="7"/>
    <n v="1"/>
  </r>
  <r>
    <n v="5449000195777"/>
    <s v="Mango Carbonated Soft Drink"/>
    <x v="0"/>
    <x v="303"/>
    <s v="US"/>
    <s v="Coca-Cola"/>
    <x v="5"/>
    <n v="20"/>
  </r>
  <r>
    <n v="5449000196903"/>
    <s v="Bitter lemon"/>
    <x v="112"/>
    <x v="409"/>
    <s v="US"/>
    <s v="Coca-Cola"/>
    <x v="0"/>
    <n v="3"/>
  </r>
  <r>
    <n v="5449000201454"/>
    <s v="Juice"/>
    <x v="222"/>
    <x v="112"/>
    <s v="US"/>
    <s v="Coca-Cola"/>
    <x v="0"/>
    <n v="1"/>
  </r>
  <r>
    <n v="5449000214522"/>
    <s v="Zero Sugar Fruit Twist"/>
    <x v="0"/>
    <x v="44"/>
    <s v="US"/>
    <s v="Coca-Cola"/>
    <x v="2"/>
    <n v="1"/>
  </r>
  <r>
    <n v="5449000214607"/>
    <s v="Smartwater Still"/>
    <x v="223"/>
    <x v="202"/>
    <s v="US"/>
    <s v="Coca-Cola"/>
    <x v="2"/>
    <n v="2"/>
  </r>
  <r>
    <n v="5449000214812"/>
    <s v="Coca-Cola Light"/>
    <x v="93"/>
    <x v="1"/>
    <s v="US"/>
    <s v="Coca-Cola"/>
    <x v="22"/>
    <n v="1"/>
  </r>
  <r>
    <n v="5449000214911"/>
    <s v="Coca-Cola"/>
    <x v="93"/>
    <x v="1"/>
    <s v="US"/>
    <s v="Coca-Cola"/>
    <x v="23"/>
    <n v="1"/>
  </r>
  <r>
    <n v="5449000214911"/>
    <s v="Coca-Cola"/>
    <x v="93"/>
    <x v="1"/>
    <s v="US"/>
    <s v="Coca-Cola"/>
    <x v="4"/>
    <n v="5"/>
  </r>
  <r>
    <n v="5449000219206"/>
    <s v="Lemon / Citron flavour Carbonated Soft Drink"/>
    <x v="35"/>
    <x v="44"/>
    <s v="US"/>
    <s v="Coca-Cola"/>
    <x v="10"/>
    <n v="1"/>
  </r>
  <r>
    <n v="5449000219206"/>
    <s v="Lemon / Citron flavour Carbonated Soft Drink"/>
    <x v="35"/>
    <x v="44"/>
    <s v="US"/>
    <s v="Coca-Cola"/>
    <x v="12"/>
    <n v="139"/>
  </r>
  <r>
    <n v="5449000219299"/>
    <s v="Soft Drink"/>
    <x v="0"/>
    <x v="44"/>
    <s v="US"/>
    <s v="Coca-Cola"/>
    <x v="12"/>
    <n v="308"/>
  </r>
  <r>
    <n v="5449000221780"/>
    <s v="Diet Coke"/>
    <x v="40"/>
    <x v="1"/>
    <s v="US"/>
    <s v="Coca-Cola"/>
    <x v="7"/>
    <n v="31"/>
  </r>
  <r>
    <n v="5449000222145"/>
    <s v="Berry Blast"/>
    <x v="13"/>
    <x v="112"/>
    <s v="US"/>
    <s v="Coca-Cola"/>
    <x v="5"/>
    <n v="41"/>
  </r>
  <r>
    <n v="5449000230089"/>
    <s v="Fanta Grape"/>
    <x v="0"/>
    <x v="44"/>
    <s v="US"/>
    <s v="Coca-Cola"/>
    <x v="15"/>
    <n v="6"/>
  </r>
  <r>
    <n v="5449000230164"/>
    <s v="Regular"/>
    <x v="0"/>
    <x v="1"/>
    <s v="US"/>
    <s v="Coca-Cola"/>
    <x v="8"/>
    <n v="2"/>
  </r>
  <r>
    <n v="5449000232755"/>
    <s v="Soda Water"/>
    <x v="76"/>
    <x v="99"/>
    <s v="US"/>
    <s v="Coca-Cola"/>
    <x v="6"/>
    <n v="27"/>
  </r>
  <r>
    <n v="5449000234285"/>
    <s v="Fanta"/>
    <x v="22"/>
    <x v="44"/>
    <s v="US"/>
    <s v="Coca-Cola"/>
    <x v="6"/>
    <n v="23"/>
  </r>
  <r>
    <n v="5449000234612"/>
    <s v="Sprite"/>
    <x v="13"/>
    <x v="148"/>
    <s v="US"/>
    <s v="Coca-Cola"/>
    <x v="4"/>
    <n v="788"/>
  </r>
  <r>
    <n v="5449000234612"/>
    <s v="Sprite"/>
    <x v="13"/>
    <x v="148"/>
    <s v="US"/>
    <s v="Coca-Cola"/>
    <x v="12"/>
    <n v="4"/>
  </r>
  <r>
    <n v="5449000234612"/>
    <s v="Sprite"/>
    <x v="13"/>
    <x v="148"/>
    <s v="US"/>
    <s v="Coca-Cola"/>
    <x v="8"/>
    <n v="1"/>
  </r>
  <r>
    <n v="5449000234636"/>
    <s v="Sprite"/>
    <x v="12"/>
    <x v="148"/>
    <s v="US"/>
    <s v="Coca-Cola"/>
    <x v="4"/>
    <n v="1554"/>
  </r>
  <r>
    <n v="5449000234636"/>
    <s v="Sprite"/>
    <x v="12"/>
    <x v="148"/>
    <s v="US"/>
    <s v="Coca-Cola"/>
    <x v="8"/>
    <n v="1"/>
  </r>
  <r>
    <n v="5449000234643"/>
    <s v="Diet Sprite"/>
    <x v="224"/>
    <x v="148"/>
    <s v="US"/>
    <s v="Coca-Cola"/>
    <x v="8"/>
    <n v="1"/>
  </r>
  <r>
    <n v="5449000236135"/>
    <s v="Lemon-Lime Carbonated Drink"/>
    <x v="0"/>
    <x v="148"/>
    <s v="US"/>
    <s v="Coca-Cola"/>
    <x v="3"/>
    <n v="116"/>
  </r>
  <r>
    <n v="5449000236135"/>
    <s v="Lemon-Lime Carbonated Drink"/>
    <x v="0"/>
    <x v="148"/>
    <s v="US"/>
    <s v="Coca-Cola"/>
    <x v="15"/>
    <n v="8"/>
  </r>
  <r>
    <n v="5449000236371"/>
    <s v="Indian Tonic Water no sugar"/>
    <x v="13"/>
    <x v="9"/>
    <s v="US"/>
    <s v="Coca-Cola"/>
    <x v="4"/>
    <n v="1"/>
  </r>
  <r>
    <n v="5449000239662"/>
    <s v="Coca-Cola Zero Sugar"/>
    <x v="12"/>
    <x v="1"/>
    <s v="US"/>
    <s v="Coca-Cola"/>
    <x v="2"/>
    <n v="1"/>
  </r>
  <r>
    <n v="5449000241924"/>
    <s v="Blackcurrent Flavoured Drink"/>
    <x v="225"/>
    <x v="44"/>
    <s v="US"/>
    <s v="Coca-Cola"/>
    <x v="0"/>
    <n v="1"/>
  </r>
  <r>
    <n v="5449000244208"/>
    <s v="Xarope Aromatizado"/>
    <x v="12"/>
    <x v="420"/>
    <s v="US"/>
    <s v="Coca-Cola"/>
    <x v="4"/>
    <n v="22"/>
  </r>
  <r>
    <n v="5449000251541"/>
    <s v="Lemon-Lime Flavoured"/>
    <x v="0"/>
    <x v="148"/>
    <s v="US"/>
    <s v="Coca-Cola"/>
    <x v="0"/>
    <n v="6"/>
  </r>
  <r>
    <n v="5449000251541"/>
    <s v="Lemon-Lime Flavoured"/>
    <x v="0"/>
    <x v="148"/>
    <s v="US"/>
    <s v="Coca-Cola"/>
    <x v="12"/>
    <n v="1"/>
  </r>
  <r>
    <n v="5449000251541"/>
    <s v="Lemon-Lime Flavoured"/>
    <x v="0"/>
    <x v="148"/>
    <s v="US"/>
    <s v="Coca-Cola"/>
    <x v="5"/>
    <n v="24"/>
  </r>
  <r>
    <n v="5449000251893"/>
    <s v="mango juice"/>
    <x v="14"/>
    <x v="112"/>
    <s v="US"/>
    <s v="Coca-Cola"/>
    <x v="0"/>
    <n v="2"/>
  </r>
  <r>
    <n v="5449000251893"/>
    <s v="mango juice"/>
    <x v="14"/>
    <x v="112"/>
    <s v="US"/>
    <s v="Coca-Cola"/>
    <x v="5"/>
    <n v="13"/>
  </r>
  <r>
    <n v="5449000258953"/>
    <s v="Ginger Beer"/>
    <x v="12"/>
    <x v="419"/>
    <s v="US"/>
    <s v="Coca-Cola"/>
    <x v="8"/>
    <n v="2"/>
  </r>
  <r>
    <n v="5449000260093"/>
    <s v="Tangawizi"/>
    <x v="218"/>
    <x v="419"/>
    <s v="US"/>
    <s v="Coca-Cola"/>
    <x v="0"/>
    <n v="1"/>
  </r>
  <r>
    <n v="5449000261700"/>
    <s v="Coke Zero"/>
    <x v="12"/>
    <x v="1"/>
    <s v="US"/>
    <s v="Coca-Cola"/>
    <x v="8"/>
    <n v="1"/>
  </r>
  <r>
    <n v="5449000263445"/>
    <s v="Coca-Cola"/>
    <x v="35"/>
    <x v="1"/>
    <s v="US"/>
    <s v="Coca-Cola"/>
    <x v="12"/>
    <n v="19"/>
  </r>
  <r>
    <n v="5449000265609"/>
    <s v="Pump Low Kilojoule Still Lemon Flavoured Drink"/>
    <x v="55"/>
    <x v="297"/>
    <s v="US"/>
    <s v="Coca-Cola"/>
    <x v="8"/>
    <n v="2"/>
  </r>
  <r>
    <n v="5449000270948"/>
    <s v="Zero sugar"/>
    <x v="61"/>
    <x v="148"/>
    <s v="US"/>
    <s v="Coca-Cola"/>
    <x v="6"/>
    <n v="40"/>
  </r>
  <r>
    <n v="5449000274359"/>
    <s v="Nutridefenses,nectar tropical"/>
    <x v="13"/>
    <x v="112"/>
    <s v="US"/>
    <s v="Coca-Cola"/>
    <x v="0"/>
    <n v="1"/>
  </r>
  <r>
    <n v="5449000274380"/>
    <s v="Mango"/>
    <x v="13"/>
    <x v="112"/>
    <s v="US"/>
    <s v="Coca-Cola"/>
    <x v="0"/>
    <n v="5"/>
  </r>
  <r>
    <n v="5449000277695"/>
    <s v="Lemon-lime Flavoured Drink"/>
    <x v="55"/>
    <x v="148"/>
    <s v="US"/>
    <s v="Coca-Cola"/>
    <x v="7"/>
    <n v="22"/>
  </r>
  <r>
    <n v="5449000278333"/>
    <s v="Minute Maid Orange - Laranja"/>
    <x v="13"/>
    <x v="112"/>
    <s v="US"/>
    <s v="Coca-Cola"/>
    <x v="4"/>
    <n v="2"/>
  </r>
  <r>
    <n v="5449000284006"/>
    <s v="Apple flavoured drink"/>
    <x v="13"/>
    <x v="112"/>
    <s v="US"/>
    <s v="Coca-Cola"/>
    <x v="7"/>
    <n v="3"/>
  </r>
  <r>
    <n v="5449000284037"/>
    <s v="Embe flavoured drink"/>
    <x v="13"/>
    <x v="112"/>
    <s v="US"/>
    <s v="Coca-Cola"/>
    <x v="7"/>
    <n v="54"/>
  </r>
  <r>
    <n v="5449000284044"/>
    <s v="Delight Mango Flavoured Drink"/>
    <x v="14"/>
    <x v="112"/>
    <s v="US"/>
    <s v="Coca-Cola"/>
    <x v="4"/>
    <n v="3"/>
  </r>
  <r>
    <n v="5449000284044"/>
    <s v="Delight Mango Flavoured Drink"/>
    <x v="14"/>
    <x v="112"/>
    <s v="US"/>
    <s v="Coca-Cola"/>
    <x v="7"/>
    <n v="46"/>
  </r>
  <r>
    <n v="5449000284303"/>
    <s v="Dry Lemon"/>
    <x v="13"/>
    <x v="9"/>
    <s v="US"/>
    <s v="Coca-Cola"/>
    <x v="4"/>
    <n v="2"/>
  </r>
  <r>
    <n v="5449000285300"/>
    <s v="Da Terra Fruit Juice"/>
    <x v="112"/>
    <x v="112"/>
    <s v="US"/>
    <s v="Coca-Cola"/>
    <x v="10"/>
    <n v="1"/>
  </r>
  <r>
    <n v="5449000290014"/>
    <s v="Apple flavoured drink"/>
    <x v="35"/>
    <x v="408"/>
    <s v="US"/>
    <s v="Coca-Cola"/>
    <x v="4"/>
    <n v="199"/>
  </r>
  <r>
    <n v="5449000297280"/>
    <s v="Coca-Cola"/>
    <x v="0"/>
    <x v="1"/>
    <s v="US"/>
    <s v="Coca-Cola"/>
    <x v="16"/>
    <n v="23"/>
  </r>
  <r>
    <n v="5449000297280"/>
    <s v="Coca-Cola"/>
    <x v="0"/>
    <x v="1"/>
    <s v="US"/>
    <s v="Coca-Cola"/>
    <x v="12"/>
    <n v="79"/>
  </r>
  <r>
    <n v="5449000306357"/>
    <s v="Sumo Cappy"/>
    <x v="13"/>
    <x v="408"/>
    <s v="US"/>
    <s v="Coca-Cola"/>
    <x v="4"/>
    <n v="13"/>
  </r>
  <r>
    <n v="5449000306579"/>
    <s v="Cappy"/>
    <x v="13"/>
    <x v="421"/>
    <s v="MZ"/>
    <s v="Coca Cola Sabco (Mozambique) SARL"/>
    <x v="4"/>
    <n v="596"/>
  </r>
  <r>
    <n v="5449000308337"/>
    <s v="Pineapple Carbonated Soft Drink"/>
    <x v="14"/>
    <x v="9"/>
    <s v="US"/>
    <s v="Coca-Cola"/>
    <x v="16"/>
    <n v="3"/>
  </r>
  <r>
    <n v="5449000308672"/>
    <s v="Chapman Carbonated Soft Drink"/>
    <x v="14"/>
    <x v="9"/>
    <s v="US"/>
    <s v="Coca-Cola"/>
    <x v="16"/>
    <n v="1"/>
  </r>
  <r>
    <n v="5449000310637"/>
    <s v="Natural Mineral Water"/>
    <x v="124"/>
    <x v="422"/>
    <s v="US"/>
    <s v="Coca-Cola"/>
    <x v="5"/>
    <n v="25"/>
  </r>
  <r>
    <n v="5449000315328"/>
    <s v="Fanta"/>
    <x v="23"/>
    <x v="44"/>
    <s v="US"/>
    <s v="Coca-Cola"/>
    <x v="7"/>
    <n v="5"/>
  </r>
  <r>
    <n v="5449000317223"/>
    <s v="Novida Nanasi Flavoured"/>
    <x v="71"/>
    <x v="9"/>
    <s v="US"/>
    <s v="Coca-Cola"/>
    <x v="7"/>
    <n v="1"/>
  </r>
  <r>
    <n v="5449000664525"/>
    <s v="Apple"/>
    <x v="226"/>
    <x v="44"/>
    <s v="US"/>
    <s v="Coca-Cola"/>
    <x v="4"/>
    <n v="2"/>
  </r>
  <r>
    <n v="5449000664686"/>
    <s v="Coca Cola"/>
    <x v="224"/>
    <x v="1"/>
    <s v="US"/>
    <s v="Coca-Cola"/>
    <x v="4"/>
    <n v="8"/>
  </r>
  <r>
    <n v="5449000664686"/>
    <s v="Coca Cola"/>
    <x v="224"/>
    <x v="1"/>
    <s v="US"/>
    <s v="Coca-Cola"/>
    <x v="8"/>
    <n v="1"/>
  </r>
  <r>
    <n v="5449000664853"/>
    <s v="Sparberry"/>
    <x v="224"/>
    <x v="99"/>
    <s v="US"/>
    <s v="Coca-Cola"/>
    <x v="4"/>
    <n v="2"/>
  </r>
  <r>
    <n v="54490123"/>
    <s v="Boisson Gazeuse"/>
    <x v="0"/>
    <x v="1"/>
    <s v="US"/>
    <s v="Coca-Cola"/>
    <x v="10"/>
    <n v="18"/>
  </r>
  <r>
    <n v="54490345"/>
    <s v="Orange Flavoured Sports Drink"/>
    <x v="0"/>
    <x v="149"/>
    <s v="US"/>
    <s v="Coca-Cola"/>
    <x v="4"/>
    <n v="1"/>
  </r>
  <r>
    <n v="54490345"/>
    <s v="Orange Flavoured Sports Drink"/>
    <x v="0"/>
    <x v="149"/>
    <s v="US"/>
    <s v="Coca-Cola"/>
    <x v="8"/>
    <n v="3"/>
  </r>
  <r>
    <n v="54490482"/>
    <s v="mountain blast sports drink"/>
    <x v="0"/>
    <x v="149"/>
    <s v="US"/>
    <s v="Coca-Cola"/>
    <x v="8"/>
    <n v="1"/>
  </r>
  <r>
    <n v="54490673"/>
    <s v="Tonic Water"/>
    <x v="0"/>
    <x v="409"/>
    <s v="US"/>
    <s v="Coca-Cola"/>
    <x v="7"/>
    <n v="22"/>
  </r>
  <r>
    <n v="54490857"/>
    <s v="Soda Water"/>
    <x v="0"/>
    <x v="409"/>
    <s v="US"/>
    <s v="Coca-Cola"/>
    <x v="7"/>
    <n v="2"/>
  </r>
  <r>
    <n v="54491069"/>
    <s v="Lemon-Lime Flavoured Drink"/>
    <x v="0"/>
    <x v="148"/>
    <s v="US"/>
    <s v="Coca-Cola"/>
    <x v="2"/>
    <n v="1"/>
  </r>
  <r>
    <n v="54491069"/>
    <s v="Lemon-Lime Flavoured Drink"/>
    <x v="0"/>
    <x v="148"/>
    <s v="US"/>
    <s v="Coca-Cola"/>
    <x v="0"/>
    <n v="64"/>
  </r>
  <r>
    <n v="54491069"/>
    <s v="Lemon-Lime Flavoured Drink"/>
    <x v="0"/>
    <x v="148"/>
    <s v="US"/>
    <s v="Coca-Cola"/>
    <x v="3"/>
    <n v="2"/>
  </r>
  <r>
    <n v="54491069"/>
    <s v="Lemon-Lime Flavoured Drink"/>
    <x v="0"/>
    <x v="148"/>
    <s v="US"/>
    <s v="Coca-Cola"/>
    <x v="4"/>
    <n v="1"/>
  </r>
  <r>
    <n v="54491069"/>
    <s v="Lemon-Lime Flavoured Drink"/>
    <x v="0"/>
    <x v="148"/>
    <s v="US"/>
    <s v="Coca-Cola"/>
    <x v="16"/>
    <n v="10"/>
  </r>
  <r>
    <n v="54491069"/>
    <s v="Lemon-Lime Flavoured Drink"/>
    <x v="0"/>
    <x v="148"/>
    <s v="US"/>
    <s v="Coca-Cola"/>
    <x v="12"/>
    <n v="47"/>
  </r>
  <r>
    <n v="54491069"/>
    <s v="Lemon-Lime Flavoured Drink"/>
    <x v="0"/>
    <x v="148"/>
    <s v="US"/>
    <s v="Coca-Cola"/>
    <x v="7"/>
    <n v="209"/>
  </r>
  <r>
    <n v="54491069"/>
    <s v="Lemon-Lime Flavoured Drink"/>
    <x v="0"/>
    <x v="148"/>
    <s v="US"/>
    <s v="Coca-Cola"/>
    <x v="5"/>
    <n v="42"/>
  </r>
  <r>
    <n v="54491397"/>
    <s v="Orange Zero Sugar"/>
    <x v="0"/>
    <x v="44"/>
    <s v="US"/>
    <s v="Coca-Cola"/>
    <x v="2"/>
    <n v="1"/>
  </r>
  <r>
    <n v="54491472"/>
    <s v="Coca-Cola"/>
    <x v="0"/>
    <x v="1"/>
    <s v="US"/>
    <s v="Coca-Cola"/>
    <x v="10"/>
    <n v="19"/>
  </r>
  <r>
    <n v="54491472"/>
    <s v="Coca-Cola"/>
    <x v="0"/>
    <x v="1"/>
    <s v="US"/>
    <s v="Coca-Cola"/>
    <x v="19"/>
    <n v="3"/>
  </r>
  <r>
    <n v="54491472"/>
    <s v="Coca-Cola"/>
    <x v="0"/>
    <x v="1"/>
    <s v="US"/>
    <s v="Coca-Cola"/>
    <x v="2"/>
    <n v="17"/>
  </r>
  <r>
    <n v="54491472"/>
    <s v="Coca-Cola"/>
    <x v="0"/>
    <x v="1"/>
    <s v="US"/>
    <s v="Coca-Cola"/>
    <x v="0"/>
    <n v="61"/>
  </r>
  <r>
    <n v="54491472"/>
    <s v="Coca-Cola"/>
    <x v="0"/>
    <x v="1"/>
    <s v="US"/>
    <s v="Coca-Cola"/>
    <x v="3"/>
    <n v="232"/>
  </r>
  <r>
    <n v="54491472"/>
    <s v="Coca-Cola"/>
    <x v="0"/>
    <x v="1"/>
    <s v="US"/>
    <s v="Coca-Cola"/>
    <x v="4"/>
    <n v="26"/>
  </r>
  <r>
    <n v="54491472"/>
    <s v="Coca-Cola"/>
    <x v="0"/>
    <x v="1"/>
    <s v="US"/>
    <s v="Coca-Cola"/>
    <x v="12"/>
    <n v="25"/>
  </r>
  <r>
    <n v="54491472"/>
    <s v="Coca-Cola"/>
    <x v="0"/>
    <x v="1"/>
    <s v="US"/>
    <s v="Coca-Cola"/>
    <x v="7"/>
    <n v="706"/>
  </r>
  <r>
    <n v="54491472"/>
    <s v="Coca-Cola"/>
    <x v="0"/>
    <x v="1"/>
    <s v="US"/>
    <s v="Coca-Cola"/>
    <x v="5"/>
    <n v="106"/>
  </r>
  <r>
    <n v="54491472"/>
    <s v="Coca-Cola"/>
    <x v="0"/>
    <x v="1"/>
    <s v="US"/>
    <s v="Coca-Cola"/>
    <x v="15"/>
    <n v="40"/>
  </r>
  <r>
    <n v="54491496"/>
    <s v="Diet Coke"/>
    <x v="0"/>
    <x v="1"/>
    <s v="US"/>
    <s v="Coca-Cola"/>
    <x v="2"/>
    <n v="6"/>
  </r>
  <r>
    <n v="54491496"/>
    <s v="Diet Coke"/>
    <x v="0"/>
    <x v="1"/>
    <s v="US"/>
    <s v="Coca-Cola"/>
    <x v="0"/>
    <n v="13"/>
  </r>
  <r>
    <n v="54491496"/>
    <s v="Diet Coke"/>
    <x v="0"/>
    <x v="1"/>
    <s v="US"/>
    <s v="Coca-Cola"/>
    <x v="4"/>
    <n v="68"/>
  </r>
  <r>
    <n v="54491496"/>
    <s v="Diet Coke"/>
    <x v="0"/>
    <x v="1"/>
    <s v="US"/>
    <s v="Coca-Cola"/>
    <x v="12"/>
    <n v="13"/>
  </r>
  <r>
    <n v="54492493"/>
    <s v="Lemon Drink"/>
    <x v="0"/>
    <x v="44"/>
    <s v="US"/>
    <s v="Coca-Cola"/>
    <x v="2"/>
    <n v="2"/>
  </r>
  <r>
    <n v="54492653"/>
    <s v="Berry &amp; Tropical Fruits Isotonic Sports Drink"/>
    <x v="0"/>
    <x v="149"/>
    <s v="US"/>
    <s v="Coca-Cola"/>
    <x v="24"/>
    <n v="1"/>
  </r>
  <r>
    <n v="54492653"/>
    <s v="Berry &amp; Tropical Fruits Isotonic Sports Drink"/>
    <x v="0"/>
    <x v="149"/>
    <s v="US"/>
    <s v="Coca-Cola"/>
    <x v="2"/>
    <n v="5"/>
  </r>
  <r>
    <n v="54492691"/>
    <s v="Sprite"/>
    <x v="3"/>
    <x v="148"/>
    <s v="US"/>
    <s v="Coca-Cola"/>
    <x v="0"/>
    <n v="6"/>
  </r>
  <r>
    <n v="54492691"/>
    <s v="Sprite"/>
    <x v="3"/>
    <x v="148"/>
    <s v="US"/>
    <s v="Coca-Cola"/>
    <x v="4"/>
    <n v="30"/>
  </r>
  <r>
    <n v="54492691"/>
    <s v="Sprite"/>
    <x v="3"/>
    <x v="148"/>
    <s v="US"/>
    <s v="Coca-Cola"/>
    <x v="12"/>
    <n v="17"/>
  </r>
  <r>
    <n v="54492691"/>
    <s v="Sprite"/>
    <x v="3"/>
    <x v="148"/>
    <s v="US"/>
    <s v="Coca-Cola"/>
    <x v="7"/>
    <n v="87"/>
  </r>
  <r>
    <n v="54492790"/>
    <s v="Cherry"/>
    <x v="0"/>
    <x v="1"/>
    <s v="US"/>
    <s v="Coca-Cola"/>
    <x v="2"/>
    <n v="3"/>
  </r>
  <r>
    <n v="54493353"/>
    <s v="Passion Flavour Carbonated Drink"/>
    <x v="0"/>
    <x v="44"/>
    <s v="US"/>
    <s v="Coca-Cola"/>
    <x v="0"/>
    <n v="21"/>
  </r>
  <r>
    <n v="54493353"/>
    <s v="Passion Flavour Carbonated Drink"/>
    <x v="0"/>
    <x v="44"/>
    <s v="US"/>
    <s v="Coca-Cola"/>
    <x v="7"/>
    <n v="384"/>
  </r>
  <r>
    <n v="54493957"/>
    <s v="Fruit Twist"/>
    <x v="0"/>
    <x v="44"/>
    <s v="US"/>
    <s v="Coca-Cola"/>
    <x v="2"/>
    <n v="11"/>
  </r>
  <r>
    <n v="54494022"/>
    <s v="Passion Fruit Flavour Carbonated Drink"/>
    <x v="3"/>
    <x v="44"/>
    <s v="US"/>
    <s v="Coca-Cola"/>
    <x v="7"/>
    <n v="94"/>
  </r>
  <r>
    <n v="5512171114714"/>
    <s v="Anti bacterial hand hygiene gel"/>
    <x v="0"/>
    <x v="363"/>
    <s v="GB"/>
    <s v="Linco Care Ltd"/>
    <x v="2"/>
    <n v="1"/>
  </r>
  <r>
    <n v="5556553789336"/>
    <s v="Non Alcoholic Malt Drink"/>
    <x v="120"/>
    <x v="156"/>
    <s v="UK"/>
    <s v="UNKNOWN_ORG"/>
    <x v="5"/>
    <n v="115"/>
  </r>
  <r>
    <n v="5600157262914"/>
    <s v="Água de Mesa Natural"/>
    <x v="143"/>
    <x v="423"/>
    <s v="PT"/>
    <s v="Nutre Group"/>
    <x v="17"/>
    <n v="4"/>
  </r>
  <r>
    <n v="5600413000663"/>
    <s v="Água de nascente"/>
    <x v="0"/>
    <x v="424"/>
    <s v="PT"/>
    <s v="Nutritir - Distribuição Alimentar, Lda"/>
    <x v="4"/>
    <n v="2"/>
  </r>
  <r>
    <n v="5600413001127"/>
    <s v="Condimento Balsâmico"/>
    <x v="0"/>
    <x v="424"/>
    <s v="PT"/>
    <s v="Nutritir - Distribuição Alimentar, Lda"/>
    <x v="4"/>
    <n v="1"/>
  </r>
  <r>
    <n v="5600413002032"/>
    <s v="Cider Vinager / Vinagre de Sidra"/>
    <x v="0"/>
    <x v="424"/>
    <s v="PT"/>
    <s v="Nutritir - Distribuição Alimentar, Lda"/>
    <x v="4"/>
    <n v="50"/>
  </r>
  <r>
    <n v="5600621472139"/>
    <s v="Água de mesa"/>
    <x v="23"/>
    <x v="425"/>
    <s v="PT"/>
    <s v="Nutre Group"/>
    <x v="17"/>
    <n v="7"/>
  </r>
  <r>
    <n v="5600621472139"/>
    <s v="Água de mesa"/>
    <x v="23"/>
    <x v="425"/>
    <s v="PT"/>
    <s v="Nutre Group"/>
    <x v="4"/>
    <n v="11"/>
  </r>
  <r>
    <n v="5600756819021"/>
    <s v="Água da nascente"/>
    <x v="93"/>
    <x v="426"/>
    <s v="PT"/>
    <s v="Mountain Water"/>
    <x v="4"/>
    <n v="125"/>
  </r>
  <r>
    <n v="5600756819069"/>
    <s v="Agua Mineral"/>
    <x v="11"/>
    <x v="426"/>
    <s v="PT"/>
    <s v="Mountain Water"/>
    <x v="4"/>
    <n v="55"/>
  </r>
  <r>
    <n v="5601024335212"/>
    <s v="Óleo alimentar"/>
    <x v="166"/>
    <x v="427"/>
    <s v="PT"/>
    <s v="Sovena Group"/>
    <x v="4"/>
    <n v="3"/>
  </r>
  <r>
    <n v="5601024335670"/>
    <s v="Oleo Alimentar"/>
    <x v="13"/>
    <x v="427"/>
    <s v="PT"/>
    <s v="Sovena Group"/>
    <x v="4"/>
    <n v="68"/>
  </r>
  <r>
    <n v="5601045105009"/>
    <s v="água da nascente"/>
    <x v="93"/>
    <x v="428"/>
    <s v="PT"/>
    <s v="SUMOL+COMPAL, S.A."/>
    <x v="4"/>
    <n v="6"/>
  </r>
  <r>
    <n v="5601045300008"/>
    <s v="Refrigerante"/>
    <x v="39"/>
    <x v="429"/>
    <s v="UK"/>
    <s v="UNKNOWN_ORG"/>
    <x v="4"/>
    <n v="5"/>
  </r>
  <r>
    <n v="5601050033878"/>
    <s v="Yoghurt drink"/>
    <x v="227"/>
    <x v="430"/>
    <s v="FR"/>
    <s v="Danone S.A."/>
    <x v="4"/>
    <n v="1"/>
  </r>
  <r>
    <n v="5601050033878"/>
    <s v="Yoghurt drink"/>
    <x v="227"/>
    <x v="430"/>
    <s v="FR"/>
    <s v="Danone S.A."/>
    <x v="5"/>
    <n v="5"/>
  </r>
  <r>
    <n v="5601082041728"/>
    <s v="Colombia Café Torrado Moido"/>
    <x v="228"/>
    <x v="431"/>
    <s v="PT"/>
    <s v="Grupo Nabeiro"/>
    <x v="4"/>
    <n v="1"/>
  </r>
  <r>
    <n v="5601082046549"/>
    <s v="Cafe Torrado Moido Descafeinado"/>
    <x v="228"/>
    <x v="431"/>
    <s v="PT"/>
    <s v="Grupo Nabeiro"/>
    <x v="4"/>
    <n v="1"/>
  </r>
  <r>
    <n v="5601084125907"/>
    <s v="Engine Oil SAE10W-40"/>
    <x v="13"/>
    <x v="432"/>
    <s v="PT"/>
    <s v="Galp Energia, SGPS, S.A."/>
    <x v="4"/>
    <n v="1"/>
  </r>
  <r>
    <n v="5601151972120"/>
    <s v="Da Terra Juice Cashew, Mango and Coconut"/>
    <x v="13"/>
    <x v="433"/>
    <s v="PT"/>
    <s v="SUMOL+COMPAL, S.A."/>
    <x v="4"/>
    <n v="1"/>
  </r>
  <r>
    <n v="5601151975527"/>
    <s v="Da Terra Fruit Juice"/>
    <x v="13"/>
    <x v="433"/>
    <s v="PT"/>
    <s v="SUMOL+COMPAL, S.A."/>
    <x v="4"/>
    <n v="2"/>
  </r>
  <r>
    <n v="5601163060518"/>
    <s v="Água mineral"/>
    <x v="229"/>
    <x v="434"/>
    <s v="NL"/>
    <s v="Heineken N.V."/>
    <x v="4"/>
    <n v="2"/>
  </r>
  <r>
    <n v="5601163100313"/>
    <s v="Agua Mineral"/>
    <x v="0"/>
    <x v="434"/>
    <s v="NL"/>
    <s v="Heineken N.V."/>
    <x v="4"/>
    <n v="11"/>
  </r>
  <r>
    <n v="5601312061397"/>
    <s v="Mel de Flores / Flower Honey"/>
    <x v="4"/>
    <x v="435"/>
    <s v="PT"/>
    <s v="MODELO CONTINENTE HIPERMERCADOS, S.A."/>
    <x v="4"/>
    <n v="1"/>
  </r>
  <r>
    <n v="5601312063261"/>
    <s v="Equilibrio Jam 4 Frutos Vermelhos"/>
    <x v="230"/>
    <x v="435"/>
    <s v="PT"/>
    <s v="MODELO CONTINENTE HIPERMERCADOS, S.A."/>
    <x v="10"/>
    <n v="1"/>
  </r>
  <r>
    <n v="5601312063261"/>
    <s v="Equilibrio Jam 4 Frutos Vermelhos"/>
    <x v="230"/>
    <x v="435"/>
    <s v="PT"/>
    <s v="MODELO CONTINENTE HIPERMERCADOS, S.A."/>
    <x v="4"/>
    <n v="1"/>
  </r>
  <r>
    <n v="5601312069805"/>
    <s v="Cafe Descadeinado Moagem Fina"/>
    <x v="10"/>
    <x v="435"/>
    <s v="PT"/>
    <s v="MODELO CONTINENTE HIPERMERCADOS, S.A."/>
    <x v="4"/>
    <n v="2"/>
  </r>
  <r>
    <n v="5601312077701"/>
    <s v="Flocos de Aveia Integral Finos"/>
    <x v="66"/>
    <x v="435"/>
    <s v="PT"/>
    <s v="MODELO CONTINENTE HIPERMERCADOS, S.A."/>
    <x v="4"/>
    <n v="1"/>
  </r>
  <r>
    <n v="5601312086819"/>
    <s v="Leite Corporal Peles Secas"/>
    <x v="14"/>
    <x v="435"/>
    <s v="PT"/>
    <s v="MODELO CONTINENTE HIPERMERCADOS, S.A."/>
    <x v="4"/>
    <n v="1"/>
  </r>
  <r>
    <n v="5601312090595"/>
    <s v="Equilibrio Multifruits Juice"/>
    <x v="13"/>
    <x v="435"/>
    <s v="PT"/>
    <s v="MODELO CONTINENTE HIPERMERCADOS, S.A."/>
    <x v="4"/>
    <n v="1"/>
  </r>
  <r>
    <n v="5601312092759"/>
    <s v="Refrigerante De Sumo De Frutos Vermelhos"/>
    <x v="22"/>
    <x v="435"/>
    <s v="PT"/>
    <s v="MODELO CONTINENTE HIPERMERCADOS, S.A."/>
    <x v="4"/>
    <n v="1"/>
  </r>
  <r>
    <n v="5601312601678"/>
    <s v="Gel de Banho Morango / Bath Gel"/>
    <x v="48"/>
    <x v="435"/>
    <s v="PT"/>
    <s v="MODELO CONTINENTE HIPERMERCADOS, S.A."/>
    <x v="4"/>
    <n v="1"/>
  </r>
  <r>
    <n v="5601312603900"/>
    <s v="Amaciador Concentrado - Suave"/>
    <x v="12"/>
    <x v="435"/>
    <s v="PT"/>
    <s v="MODELO CONTINENTE HIPERMERCADOS, S.A."/>
    <x v="4"/>
    <n v="1"/>
  </r>
  <r>
    <n v="5601312604266"/>
    <s v="Sabonete Líquido Antiodores"/>
    <x v="0"/>
    <x v="435"/>
    <s v="PT"/>
    <s v="MODELO CONTINENTE HIPERMERCADOS, S.A."/>
    <x v="4"/>
    <n v="1"/>
  </r>
  <r>
    <n v="5601312604679"/>
    <s v="Gel de Banho Mel e Coco"/>
    <x v="13"/>
    <x v="435"/>
    <s v="PT"/>
    <s v="MODELO CONTINENTE HIPERMERCADOS, S.A."/>
    <x v="4"/>
    <n v="1"/>
  </r>
  <r>
    <n v="5601312605553"/>
    <s v="Gel de Banho Leite e Mel"/>
    <x v="13"/>
    <x v="435"/>
    <s v="PT"/>
    <s v="MODELO CONTINENTE HIPERMERCADOS, S.A."/>
    <x v="4"/>
    <n v="1"/>
  </r>
  <r>
    <n v="5601314225209"/>
    <s v="Água Mineral Natural"/>
    <x v="35"/>
    <x v="436"/>
    <s v="DK"/>
    <s v="Carlsberg Breweries A/S"/>
    <x v="4"/>
    <n v="4"/>
  </r>
  <r>
    <n v="5601405001309"/>
    <s v="Água mineral natural"/>
    <x v="35"/>
    <x v="437"/>
    <s v="PT"/>
    <s v="Águas de Carvalhelhos, S. A."/>
    <x v="4"/>
    <n v="12"/>
  </r>
  <r>
    <n v="5601591000018"/>
    <s v="Água da nascente"/>
    <x v="93"/>
    <x v="108"/>
    <s v="PT"/>
    <s v="Lactogal Produtos Alimentares S.A."/>
    <x v="4"/>
    <n v="5"/>
  </r>
  <r>
    <n v="5601591000025"/>
    <s v="Agua de nasciente"/>
    <x v="35"/>
    <x v="108"/>
    <s v="PT"/>
    <s v="Lactogal Produtos Alimentares S.A."/>
    <x v="4"/>
    <n v="1"/>
  </r>
  <r>
    <n v="5601663002315"/>
    <s v="Tempero Culinário"/>
    <x v="231"/>
    <x v="438"/>
    <s v="UK"/>
    <s v="UNKNOWN_ORG"/>
    <x v="4"/>
    <n v="1"/>
  </r>
  <r>
    <n v="5601663002315"/>
    <s v="Tempero Culinário"/>
    <x v="231"/>
    <x v="438"/>
    <s v="UK"/>
    <s v="UNKNOWN_ORG"/>
    <x v="12"/>
    <n v="5"/>
  </r>
  <r>
    <n v="5601839000107"/>
    <s v="Agua de Nascente"/>
    <x v="0"/>
    <x v="439"/>
    <s v="PT"/>
    <s v="Empresa Central Serrana de Águas, S.A."/>
    <x v="4"/>
    <n v="4"/>
  </r>
  <r>
    <n v="5601839000114"/>
    <s v="Água da nascente"/>
    <x v="35"/>
    <x v="439"/>
    <s v="PT"/>
    <s v="Empresa Central Serrana de Águas, S.A."/>
    <x v="4"/>
    <n v="2"/>
  </r>
  <r>
    <n v="5602109006874"/>
    <s v="Agua de Nascente"/>
    <x v="0"/>
    <x v="440"/>
    <s v="UK"/>
    <s v="UNKNOWN_ORG"/>
    <x v="4"/>
    <n v="1"/>
  </r>
  <r>
    <n v="5603124018828"/>
    <s v="Álcool Gel Desinfetante"/>
    <x v="232"/>
    <x v="441"/>
    <s v="PT"/>
    <s v="Mistolin Company"/>
    <x v="4"/>
    <n v="2"/>
  </r>
  <r>
    <n v="5603124026809"/>
    <s v="Lixívia / Bleach"/>
    <x v="13"/>
    <x v="442"/>
    <s v="PT"/>
    <s v="Mistolin Company"/>
    <x v="4"/>
    <n v="2"/>
  </r>
  <r>
    <n v="5603124026885"/>
    <s v="Acty Gel de Limpeza"/>
    <x v="233"/>
    <x v="442"/>
    <s v="PT"/>
    <s v="Mistolin Company"/>
    <x v="4"/>
    <n v="2"/>
  </r>
  <r>
    <n v="5603674000076"/>
    <s v="Limpa vidros - Acty by mistolin"/>
    <x v="55"/>
    <x v="442"/>
    <s v="PT"/>
    <s v="Mistolin Company"/>
    <x v="4"/>
    <n v="2"/>
  </r>
  <r>
    <n v="5603674000311"/>
    <s v="LavaTudo All Purpose Cleaner"/>
    <x v="35"/>
    <x v="442"/>
    <s v="PT"/>
    <s v="Mistolin Company"/>
    <x v="4"/>
    <n v="18"/>
  </r>
  <r>
    <n v="5603674000557"/>
    <s v="Ambientador"/>
    <x v="145"/>
    <x v="442"/>
    <s v="PT"/>
    <s v="Mistolin Company"/>
    <x v="4"/>
    <n v="1"/>
  </r>
  <r>
    <n v="5603674000762"/>
    <s v="Nathura pharma - (alcool etilico)"/>
    <x v="48"/>
    <x v="441"/>
    <s v="PT"/>
    <s v="Mistolin Company"/>
    <x v="4"/>
    <n v="1"/>
  </r>
  <r>
    <n v="5603674000779"/>
    <s v="Nathura pharma - (alcool etilico)"/>
    <x v="48"/>
    <x v="441"/>
    <s v="PT"/>
    <s v="Mistolin Company"/>
    <x v="4"/>
    <n v="1"/>
  </r>
  <r>
    <n v="5603674002797"/>
    <s v="Air Freshener Lemon-Lime"/>
    <x v="48"/>
    <x v="442"/>
    <s v="PT"/>
    <s v="Mistolin Company"/>
    <x v="4"/>
    <n v="1"/>
  </r>
  <r>
    <n v="5603674002803"/>
    <s v="Air Freshener / Ambientador"/>
    <x v="48"/>
    <x v="442"/>
    <s v="PT"/>
    <s v="Mistolin Company"/>
    <x v="4"/>
    <n v="1"/>
  </r>
  <r>
    <n v="5604321002078"/>
    <s v="Aveia - Flocos finos integrais"/>
    <x v="66"/>
    <x v="443"/>
    <s v="PT"/>
    <s v="Ignoramus"/>
    <x v="4"/>
    <n v="1"/>
  </r>
  <r>
    <n v="5606536050004"/>
    <s v="Agua Mineral"/>
    <x v="0"/>
    <x v="444"/>
    <s v="MZ"/>
    <s v="RVA Comércio, Indústria e  Consultoria"/>
    <x v="4"/>
    <n v="42"/>
  </r>
  <r>
    <n v="5606536050011"/>
    <s v="Montes libombos"/>
    <x v="176"/>
    <x v="23"/>
    <s v="MZ"/>
    <s v="Montana Namaacha"/>
    <x v="4"/>
    <n v="2"/>
  </r>
  <r>
    <n v="5607375004715"/>
    <s v="Molho de Soja / Soy Sauce"/>
    <x v="234"/>
    <x v="445"/>
    <s v="UK"/>
    <s v="UNKNOWN_ORG"/>
    <x v="4"/>
    <n v="1"/>
  </r>
  <r>
    <n v="5608242145630"/>
    <s v="Água de Mesa"/>
    <x v="35"/>
    <x v="446"/>
    <s v="AO"/>
    <s v="Refriango"/>
    <x v="17"/>
    <n v="4"/>
  </r>
  <r>
    <n v="5608242145630"/>
    <s v="Água de Mesa"/>
    <x v="35"/>
    <x v="446"/>
    <s v="AO"/>
    <s v="Refriango"/>
    <x v="4"/>
    <n v="1"/>
  </r>
  <r>
    <n v="5608242145647"/>
    <s v="Água de Mesa"/>
    <x v="0"/>
    <x v="446"/>
    <s v="AO"/>
    <s v="Refriango"/>
    <x v="17"/>
    <n v="18"/>
  </r>
  <r>
    <n v="5608242145685"/>
    <s v="Água de Mesa"/>
    <x v="93"/>
    <x v="446"/>
    <s v="AO"/>
    <s v="Refriango"/>
    <x v="17"/>
    <n v="6"/>
  </r>
  <r>
    <n v="56098358"/>
    <s v="Energy Drink"/>
    <x v="48"/>
    <x v="447"/>
    <s v="AO"/>
    <s v="Refriango"/>
    <x v="17"/>
    <n v="2"/>
  </r>
  <r>
    <n v="57030609"/>
    <s v="Fudge"/>
    <x v="187"/>
    <x v="129"/>
    <s v="US"/>
    <s v="Mondelēz International, Inc."/>
    <x v="2"/>
    <n v="1"/>
  </r>
  <r>
    <n v="5704947001148"/>
    <s v="Wood Glue"/>
    <x v="235"/>
    <x v="448"/>
    <s v="UK"/>
    <s v="UNKNOWN_ORG"/>
    <x v="2"/>
    <n v="1"/>
  </r>
  <r>
    <n v="5705994075090"/>
    <s v="Oleo Refinado De Soja"/>
    <x v="12"/>
    <x v="449"/>
    <s v="MZ"/>
    <s v="Maeva"/>
    <x v="4"/>
    <n v="86"/>
  </r>
  <r>
    <n v="5705994075922"/>
    <s v="Oleo Vegetal Refinado"/>
    <x v="11"/>
    <x v="449"/>
    <s v="MZ"/>
    <s v="Maeva"/>
    <x v="4"/>
    <n v="357"/>
  </r>
  <r>
    <n v="5705994075939"/>
    <s v="Oleo Vegetal"/>
    <x v="12"/>
    <x v="449"/>
    <s v="MZ"/>
    <s v="Maeva"/>
    <x v="4"/>
    <n v="510"/>
  </r>
  <r>
    <n v="5705994075946"/>
    <s v="Refined Vegetable Oil"/>
    <x v="13"/>
    <x v="449"/>
    <s v="MZ"/>
    <s v="Maeva"/>
    <x v="4"/>
    <n v="232"/>
  </r>
  <r>
    <n v="5760466976329"/>
    <s v="Starbucks Frappuccino"/>
    <x v="145"/>
    <x v="450"/>
    <s v="UK"/>
    <s v="UNKNOWN_ORG"/>
    <x v="2"/>
    <n v="1"/>
  </r>
  <r>
    <n v="5786180819803"/>
    <s v="Banana e Morango"/>
    <x v="0"/>
    <x v="451"/>
    <s v="MZ"/>
    <s v="Mozam IndustriesLda"/>
    <x v="4"/>
    <n v="2"/>
  </r>
  <r>
    <n v="5900002072973"/>
    <s v="hypoallergenic"/>
    <x v="0"/>
    <x v="249"/>
    <s v="US"/>
    <s v="Coca-Cola"/>
    <x v="12"/>
    <n v="1"/>
  </r>
  <r>
    <n v="5900334007919"/>
    <s v="Tymbark juice drink"/>
    <x v="3"/>
    <x v="452"/>
    <s v="PL"/>
    <s v="Tymbark"/>
    <x v="6"/>
    <n v="22"/>
  </r>
  <r>
    <n v="5900535006407"/>
    <s v="VanPur"/>
    <x v="0"/>
    <x v="453"/>
    <s v="PL"/>
    <s v="Van Pur S.A."/>
    <x v="13"/>
    <n v="5"/>
  </r>
  <r>
    <n v="5900951293610"/>
    <s v="Daim"/>
    <x v="236"/>
    <x v="319"/>
    <s v="US"/>
    <s v="Mars, Incorporated"/>
    <x v="2"/>
    <n v="1"/>
  </r>
  <r>
    <n v="5904232416200"/>
    <s v="mouchoirs tissues"/>
    <x v="73"/>
    <x v="454"/>
    <s v="CD"/>
    <s v="UNITY Manifacturing SARL"/>
    <x v="10"/>
    <n v="20"/>
  </r>
  <r>
    <n v="5905927001695"/>
    <s v="Soda"/>
    <x v="59"/>
    <x v="204"/>
    <s v="AO"/>
    <s v="Befco Industria Lda"/>
    <x v="2"/>
    <n v="1"/>
  </r>
  <r>
    <n v="6000820372190"/>
    <s v="Milk"/>
    <x v="47"/>
    <x v="94"/>
    <s v="GB"/>
    <s v="CO-OPERATIVE GROUP LIMITED"/>
    <x v="2"/>
    <n v="1"/>
  </r>
  <r>
    <n v="6001001848213"/>
    <s v="Still Water"/>
    <x v="35"/>
    <x v="14"/>
    <s v="CH"/>
    <s v="Nestlé S.A."/>
    <x v="8"/>
    <n v="3"/>
  </r>
  <r>
    <n v="6001008101403"/>
    <s v="Sunflower Oil"/>
    <x v="55"/>
    <x v="257"/>
    <s v="ZA"/>
    <s v="The Spar Group Ltd"/>
    <x v="8"/>
    <n v="1"/>
  </r>
  <r>
    <n v="6001008168123"/>
    <s v="Brown Spirit Vinegar"/>
    <x v="55"/>
    <x v="455"/>
    <s v="ZA"/>
    <s v="The Spar Group Ltd"/>
    <x v="4"/>
    <n v="1"/>
  </r>
  <r>
    <n v="6001008618666"/>
    <s v="Blue Mountain Filter Coffee - Medium Roast"/>
    <x v="10"/>
    <x v="257"/>
    <s v="ZA"/>
    <s v="The Spar Group Ltd"/>
    <x v="4"/>
    <n v="1"/>
  </r>
  <r>
    <n v="6001008657122"/>
    <s v="Cocktails Assorted Flavoured Snack"/>
    <x v="121"/>
    <x v="257"/>
    <s v="ZA"/>
    <s v="The Spar Group Ltd"/>
    <x v="4"/>
    <n v="1"/>
  </r>
  <r>
    <n v="6001008684579"/>
    <s v="Burst Dairy Fruit Blend"/>
    <x v="0"/>
    <x v="257"/>
    <s v="ZA"/>
    <s v="The Spar Group Ltd"/>
    <x v="3"/>
    <n v="50"/>
  </r>
  <r>
    <n v="6001008694097"/>
    <s v="Skin for Men Body Lotion"/>
    <x v="14"/>
    <x v="257"/>
    <s v="ZA"/>
    <s v="The Spar Group Ltd"/>
    <x v="4"/>
    <n v="1"/>
  </r>
  <r>
    <n v="6001008739446"/>
    <s v="Cream Soda"/>
    <x v="12"/>
    <x v="257"/>
    <s v="ZA"/>
    <s v="The Spar Group Ltd"/>
    <x v="4"/>
    <n v="1"/>
  </r>
  <r>
    <n v="6001008808395"/>
    <s v="Apple &amp; Blueberry 100% Fruit Juice Blend"/>
    <x v="13"/>
    <x v="257"/>
    <s v="ZA"/>
    <s v="The Spar Group Ltd"/>
    <x v="4"/>
    <n v="1"/>
  </r>
  <r>
    <n v="6001009013446"/>
    <s v="Breakfast Seed Mix"/>
    <x v="10"/>
    <x v="253"/>
    <s v="ZA"/>
    <s v="Woolworths Holdings Ltd"/>
    <x v="4"/>
    <n v="1"/>
  </r>
  <r>
    <n v="6001009020420"/>
    <s v="Fresh Full Cream Milk"/>
    <x v="12"/>
    <x v="253"/>
    <s v="ZA"/>
    <s v="Woolworths Holdings Ltd"/>
    <x v="8"/>
    <n v="1"/>
  </r>
  <r>
    <n v="6001009028051"/>
    <s v="Tin roof"/>
    <x v="12"/>
    <x v="256"/>
    <s v="ZA"/>
    <s v="Woolworths Holdings Ltd"/>
    <x v="8"/>
    <n v="5"/>
  </r>
  <r>
    <n v="6001009038463"/>
    <s v="Cream Flavoured Yoghurt"/>
    <x v="155"/>
    <x v="253"/>
    <s v="ZA"/>
    <s v="Woolworths Holdings Ltd"/>
    <x v="8"/>
    <n v="20"/>
  </r>
  <r>
    <n v="6001016400000"/>
    <s v="Antiseptic"/>
    <x v="55"/>
    <x v="355"/>
    <s v="GB"/>
    <s v="Reckitt Benckiser Group PLC"/>
    <x v="8"/>
    <n v="1"/>
  </r>
  <r>
    <n v="6001020020195"/>
    <s v="apple cider vinegar"/>
    <x v="237"/>
    <x v="456"/>
    <s v="BE"/>
    <s v="Anheuser-Busch InBev"/>
    <x v="4"/>
    <n v="3"/>
  </r>
  <r>
    <n v="6001021020002"/>
    <s v="Iodated Table Salt"/>
    <x v="121"/>
    <x v="66"/>
    <s v="ZA"/>
    <s v="The Bud Group"/>
    <x v="8"/>
    <n v="3"/>
  </r>
  <r>
    <n v="6001021021023"/>
    <s v="Iodated Table Salt"/>
    <x v="57"/>
    <x v="66"/>
    <s v="ZA"/>
    <s v="The Bud Group"/>
    <x v="3"/>
    <n v="2"/>
  </r>
  <r>
    <n v="6001021021023"/>
    <s v="Iodated Table Salt"/>
    <x v="57"/>
    <x v="66"/>
    <s v="ZA"/>
    <s v="The Bud Group"/>
    <x v="4"/>
    <n v="7"/>
  </r>
  <r>
    <n v="6001021021023"/>
    <s v="Iodated Table Salt"/>
    <x v="57"/>
    <x v="66"/>
    <s v="ZA"/>
    <s v="The Bud Group"/>
    <x v="8"/>
    <n v="2"/>
  </r>
  <r>
    <n v="6001021317355"/>
    <s v="Salt"/>
    <x v="4"/>
    <x v="66"/>
    <s v="ZA"/>
    <s v="The Bud Group"/>
    <x v="8"/>
    <n v="1"/>
  </r>
  <r>
    <n v="6001030002075"/>
    <s v="Sweet Chilli Sauce"/>
    <x v="0"/>
    <x v="457"/>
    <s v="ZA"/>
    <s v="Pioneer Foods (Pty)"/>
    <x v="8"/>
    <n v="1"/>
  </r>
  <r>
    <n v="6001038172558"/>
    <s v="Essence Vanilla Flavour"/>
    <x v="108"/>
    <x v="458"/>
    <s v="GB"/>
    <s v="Unilever Plc"/>
    <x v="4"/>
    <n v="1"/>
  </r>
  <r>
    <n v="6001049057806"/>
    <s v="Double Cream Plain Yoghurt"/>
    <x v="238"/>
    <x v="459"/>
    <s v="FR"/>
    <s v="Groupe Lactalis"/>
    <x v="4"/>
    <n v="1"/>
  </r>
  <r>
    <n v="6001049080613"/>
    <s v="Strawberry Medium Fat Yoghurt"/>
    <x v="147"/>
    <x v="459"/>
    <s v="FR"/>
    <s v="Groupe Lactalis"/>
    <x v="8"/>
    <n v="1"/>
  </r>
  <r>
    <n v="6001049089500"/>
    <s v="Strawberry medium fat yoghurt"/>
    <x v="91"/>
    <x v="459"/>
    <s v="FR"/>
    <s v="Groupe Lactalis"/>
    <x v="8"/>
    <n v="1"/>
  </r>
  <r>
    <n v="6001051000753"/>
    <s v="Nivea Men"/>
    <x v="14"/>
    <x v="285"/>
    <s v="DE"/>
    <s v="Beiersdorf AG"/>
    <x v="3"/>
    <n v="2"/>
  </r>
  <r>
    <n v="6001051001323"/>
    <s v="Shower Gel"/>
    <x v="48"/>
    <x v="285"/>
    <s v="DE"/>
    <s v="Beiersdorf AG"/>
    <x v="0"/>
    <n v="8"/>
  </r>
  <r>
    <n v="6001051002023"/>
    <s v="Oil In Lotion"/>
    <x v="111"/>
    <x v="285"/>
    <s v="DE"/>
    <s v="Beiersdorf AG"/>
    <x v="15"/>
    <n v="1"/>
  </r>
  <r>
    <n v="6001051002375"/>
    <s v="NIVEA Vanilla &amp; Almond Oil"/>
    <x v="111"/>
    <x v="285"/>
    <s v="DE"/>
    <s v="Beiersdorf AG"/>
    <x v="12"/>
    <n v="4"/>
  </r>
  <r>
    <n v="6001051003433"/>
    <s v="Care Shower Lemongrass &amp; Oil"/>
    <x v="48"/>
    <x v="285"/>
    <s v="DE"/>
    <s v="Beiersdorf AG"/>
    <x v="4"/>
    <n v="1"/>
  </r>
  <r>
    <n v="6001056294003"/>
    <s v="Ginger Nuts"/>
    <x v="64"/>
    <x v="460"/>
    <s v="UK"/>
    <s v="UNKNOWN_ORG"/>
    <x v="4"/>
    <n v="2"/>
  </r>
  <r>
    <n v="6001059954072"/>
    <s v="All Gold mustard sauce"/>
    <x v="0"/>
    <x v="461"/>
    <s v="ZA"/>
    <s v="Tiger Brands Ltd"/>
    <x v="5"/>
    <n v="8"/>
  </r>
  <r>
    <n v="6001059954072"/>
    <s v="All Gold mustard sauce"/>
    <x v="0"/>
    <x v="461"/>
    <s v="ZA"/>
    <s v="Tiger Brands Ltd"/>
    <x v="8"/>
    <n v="1"/>
  </r>
  <r>
    <n v="6001065601052"/>
    <s v="Dream Confectionery with Biscuits"/>
    <x v="89"/>
    <x v="129"/>
    <s v="US"/>
    <s v="Mondelēz International, Inc."/>
    <x v="4"/>
    <n v="1"/>
  </r>
  <r>
    <n v="6001065601069"/>
    <s v="Dairy Milk Chocolate"/>
    <x v="89"/>
    <x v="129"/>
    <s v="US"/>
    <s v="Mondelēz International, Inc."/>
    <x v="0"/>
    <n v="3"/>
  </r>
  <r>
    <n v="6001065601069"/>
    <s v="Dairy Milk Chocolate"/>
    <x v="89"/>
    <x v="129"/>
    <s v="US"/>
    <s v="Mondelēz International, Inc."/>
    <x v="4"/>
    <n v="1"/>
  </r>
  <r>
    <n v="6001065601069"/>
    <s v="Dairy Milk Chocolate"/>
    <x v="89"/>
    <x v="129"/>
    <s v="US"/>
    <s v="Mondelēz International, Inc."/>
    <x v="5"/>
    <n v="2"/>
  </r>
  <r>
    <n v="6001067007289"/>
    <s v="Toothbrush"/>
    <x v="101"/>
    <x v="462"/>
    <s v="US"/>
    <s v="Colgate-Palmolive Company"/>
    <x v="3"/>
    <n v="1"/>
  </r>
  <r>
    <n v="6001068371204"/>
    <s v="Breakfast Energy Drink"/>
    <x v="10"/>
    <x v="463"/>
    <s v="CH"/>
    <s v="Nestlé S.A."/>
    <x v="3"/>
    <n v="18"/>
  </r>
  <r>
    <n v="6001068379200"/>
    <s v="Hot Chocolate"/>
    <x v="4"/>
    <x v="14"/>
    <s v="CH"/>
    <s v="Nestlé S.A."/>
    <x v="8"/>
    <n v="1"/>
  </r>
  <r>
    <n v="6001085010346"/>
    <s v="Lemon Dishwashing Liquid"/>
    <x v="35"/>
    <x v="464"/>
    <s v="GB"/>
    <s v="Unilever Plc"/>
    <x v="4"/>
    <n v="176"/>
  </r>
  <r>
    <n v="6001085010346"/>
    <s v="Lemon Dishwashing Liquid"/>
    <x v="35"/>
    <x v="464"/>
    <s v="GB"/>
    <s v="Unilever Plc"/>
    <x v="8"/>
    <n v="5"/>
  </r>
  <r>
    <n v="6001085010469"/>
    <s v="Unstoppable"/>
    <x v="55"/>
    <x v="326"/>
    <s v="GB"/>
    <s v="Unilever Plc"/>
    <x v="8"/>
    <n v="7"/>
  </r>
  <r>
    <n v="6001085013149"/>
    <s v="Bleach multi- purpose"/>
    <x v="40"/>
    <x v="465"/>
    <s v="GB"/>
    <s v="Unilever Plc"/>
    <x v="8"/>
    <n v="1"/>
  </r>
  <r>
    <n v="6001085013156"/>
    <s v="Javel Multipurpose"/>
    <x v="40"/>
    <x v="465"/>
    <s v="GB"/>
    <s v="Unilever Plc"/>
    <x v="4"/>
    <n v="4"/>
  </r>
  <r>
    <n v="6001085061317"/>
    <s v="Multi Purpose Scourer Lemon Fresh"/>
    <x v="4"/>
    <x v="466"/>
    <s v="GB"/>
    <s v="Unilever Plc"/>
    <x v="4"/>
    <n v="1"/>
  </r>
  <r>
    <n v="6001085116956"/>
    <s v="Safer Toilets Bleach"/>
    <x v="40"/>
    <x v="326"/>
    <s v="GB"/>
    <s v="Unilever Plc"/>
    <x v="8"/>
    <n v="9"/>
  </r>
  <r>
    <n v="6001085120229"/>
    <s v="Toilet Cleaner"/>
    <x v="55"/>
    <x v="326"/>
    <s v="GB"/>
    <s v="Unilever Plc"/>
    <x v="8"/>
    <n v="3"/>
  </r>
  <r>
    <n v="6001087005647"/>
    <s v="Baby Jelly Protector"/>
    <x v="145"/>
    <x v="467"/>
    <s v="GB"/>
    <s v="Unilever Plc"/>
    <x v="8"/>
    <n v="2"/>
  </r>
  <r>
    <n v="6001087006057"/>
    <s v="Handy Andy Cream"/>
    <x v="55"/>
    <x v="468"/>
    <s v="GB"/>
    <s v="Unilever Plc"/>
    <x v="4"/>
    <n v="2"/>
  </r>
  <r>
    <n v="6001087006057"/>
    <s v="Handy Andy Cream"/>
    <x v="55"/>
    <x v="468"/>
    <s v="GB"/>
    <s v="Unilever Plc"/>
    <x v="8"/>
    <n v="7"/>
  </r>
  <r>
    <n v="6001087006095"/>
    <s v="Creme de Limpeza"/>
    <x v="55"/>
    <x v="468"/>
    <s v="GB"/>
    <s v="Unilever Plc"/>
    <x v="4"/>
    <n v="1"/>
  </r>
  <r>
    <n v="6001087009928"/>
    <s v="Men Body Lotion"/>
    <x v="14"/>
    <x v="469"/>
    <s v="GB"/>
    <s v="Unilever Plc"/>
    <x v="3"/>
    <n v="1"/>
  </r>
  <r>
    <n v="6001087012010"/>
    <s v="Men Repairing Moisturiser"/>
    <x v="14"/>
    <x v="467"/>
    <s v="GB"/>
    <s v="Unilever Plc"/>
    <x v="10"/>
    <n v="50"/>
  </r>
  <r>
    <n v="6001087012010"/>
    <s v="Men Repairing Moisturiser"/>
    <x v="14"/>
    <x v="467"/>
    <s v="GB"/>
    <s v="Unilever Plc"/>
    <x v="3"/>
    <n v="100"/>
  </r>
  <r>
    <n v="6001087012010"/>
    <s v="Men Repairing Moisturiser"/>
    <x v="14"/>
    <x v="467"/>
    <s v="GB"/>
    <s v="Unilever Plc"/>
    <x v="12"/>
    <n v="3"/>
  </r>
  <r>
    <n v="6001087012317"/>
    <s v="Body lotion"/>
    <x v="32"/>
    <x v="469"/>
    <s v="GB"/>
    <s v="Unilever Plc"/>
    <x v="4"/>
    <n v="1"/>
  </r>
  <r>
    <n v="6001087012348"/>
    <s v="Body Lotion Cocoa Butter"/>
    <x v="14"/>
    <x v="469"/>
    <s v="GB"/>
    <s v="Unilever Plc"/>
    <x v="10"/>
    <n v="1"/>
  </r>
  <r>
    <n v="6001087012348"/>
    <s v="Body Lotion Cocoa Butter"/>
    <x v="14"/>
    <x v="469"/>
    <s v="GB"/>
    <s v="Unilever Plc"/>
    <x v="4"/>
    <n v="2"/>
  </r>
  <r>
    <n v="6001087012348"/>
    <s v="Body Lotion Cocoa Butter"/>
    <x v="14"/>
    <x v="469"/>
    <s v="GB"/>
    <s v="Unilever Plc"/>
    <x v="8"/>
    <n v="2"/>
  </r>
  <r>
    <n v="6001087357050"/>
    <s v="Intensive Care Aloe Soothe Moisturiser"/>
    <x v="14"/>
    <x v="467"/>
    <s v="GB"/>
    <s v="Unilever Plc"/>
    <x v="10"/>
    <n v="1"/>
  </r>
  <r>
    <n v="6001087358743"/>
    <s v="Sunlight Liquid"/>
    <x v="55"/>
    <x v="464"/>
    <s v="GB"/>
    <s v="Unilever Plc"/>
    <x v="4"/>
    <n v="130"/>
  </r>
  <r>
    <n v="6001087358743"/>
    <s v="Sunlight Liquid"/>
    <x v="55"/>
    <x v="464"/>
    <s v="GB"/>
    <s v="Unilever Plc"/>
    <x v="8"/>
    <n v="9"/>
  </r>
  <r>
    <n v="6001087387798"/>
    <s v="Pine Gel"/>
    <x v="13"/>
    <x v="464"/>
    <s v="GB"/>
    <s v="Unilever Plc"/>
    <x v="4"/>
    <n v="2"/>
  </r>
  <r>
    <n v="6001087391733"/>
    <s v="Handy Andy Cream"/>
    <x v="40"/>
    <x v="468"/>
    <s v="GB"/>
    <s v="Unilever Plc"/>
    <x v="8"/>
    <n v="3"/>
  </r>
  <r>
    <n v="6001087392228"/>
    <s v="Organic Shea Butter Shampoo"/>
    <x v="13"/>
    <x v="470"/>
    <s v="GB"/>
    <s v="Unilever Plc"/>
    <x v="4"/>
    <n v="1"/>
  </r>
  <r>
    <n v="6001106100551"/>
    <s v="windolene"/>
    <x v="55"/>
    <x v="471"/>
    <s v="GB"/>
    <s v="Reckitt Benckiser Group PLC"/>
    <x v="8"/>
    <n v="4"/>
  </r>
  <r>
    <n v="6001106107031"/>
    <s v="Regular Bleach"/>
    <x v="55"/>
    <x v="472"/>
    <s v="GB"/>
    <s v="Reckitt Benckiser Group PLC"/>
    <x v="4"/>
    <n v="1"/>
  </r>
  <r>
    <n v="6001106107178"/>
    <s v="Bleach Pot Pourri"/>
    <x v="40"/>
    <x v="472"/>
    <s v="GB"/>
    <s v="Reckitt Benckiser Group PLC"/>
    <x v="4"/>
    <n v="1"/>
  </r>
  <r>
    <n v="6001106117047"/>
    <s v="Window and Glass Cleaner"/>
    <x v="55"/>
    <x v="471"/>
    <s v="GB"/>
    <s v="Reckitt Benckiser Group PLC"/>
    <x v="8"/>
    <n v="9"/>
  </r>
  <r>
    <n v="6001106120559"/>
    <s v="Hygiene Kitchen Cleaner"/>
    <x v="0"/>
    <x v="355"/>
    <s v="GB"/>
    <s v="Reckitt Benckiser Group PLC"/>
    <x v="4"/>
    <n v="2"/>
  </r>
  <r>
    <n v="6001106122966"/>
    <s v="Instant Hand Sanitizer"/>
    <x v="9"/>
    <x v="355"/>
    <s v="GB"/>
    <s v="Reckitt Benckiser Group PLC"/>
    <x v="4"/>
    <n v="1"/>
  </r>
  <r>
    <n v="6001106227616"/>
    <s v="Fabric"/>
    <x v="55"/>
    <x v="473"/>
    <s v="GB"/>
    <s v="Reckitt Benckiser Group PLC"/>
    <x v="5"/>
    <n v="11"/>
  </r>
  <r>
    <n v="6001106227616"/>
    <s v="Fabric"/>
    <x v="55"/>
    <x v="473"/>
    <s v="GB"/>
    <s v="Reckitt Benckiser Group PLC"/>
    <x v="8"/>
    <n v="1"/>
  </r>
  <r>
    <n v="6001106228095"/>
    <s v="Fresh anti-bacterial soap"/>
    <x v="239"/>
    <x v="355"/>
    <s v="GB"/>
    <s v="Reckitt Benckiser Group PLC"/>
    <x v="7"/>
    <n v="1"/>
  </r>
  <r>
    <n v="6001108028044"/>
    <s v="Savanna"/>
    <x v="158"/>
    <x v="474"/>
    <s v="ZA"/>
    <s v="Savannah Cider"/>
    <x v="7"/>
    <n v="48"/>
  </r>
  <r>
    <n v="6001134087305"/>
    <s v="Low Kilojoule Creme Soda Drink"/>
    <x v="12"/>
    <x v="99"/>
    <s v="US"/>
    <s v="Coca-Cola"/>
    <x v="4"/>
    <n v="1"/>
  </r>
  <r>
    <n v="6001134087305"/>
    <s v="Low Kilojoule Creme Soda Drink"/>
    <x v="12"/>
    <x v="99"/>
    <s v="US"/>
    <s v="Coca-Cola"/>
    <x v="8"/>
    <n v="1"/>
  </r>
  <r>
    <n v="6001134297308"/>
    <s v="Soft Drink"/>
    <x v="12"/>
    <x v="475"/>
    <s v="US"/>
    <s v="Coca-Cola"/>
    <x v="8"/>
    <n v="1"/>
  </r>
  <r>
    <n v="6001134707302"/>
    <s v="Ginger beer"/>
    <x v="12"/>
    <x v="419"/>
    <s v="US"/>
    <s v="Coca-Cola"/>
    <x v="8"/>
    <n v="3"/>
  </r>
  <r>
    <n v="6001135009450"/>
    <s v="Anti-bacterial Mouthwash"/>
    <x v="0"/>
    <x v="476"/>
    <s v="US"/>
    <s v="Johnson &amp; Johnson"/>
    <x v="4"/>
    <n v="1"/>
  </r>
  <r>
    <n v="6001135009450"/>
    <s v="Anti-bacterial Mouthwash"/>
    <x v="0"/>
    <x v="476"/>
    <s v="US"/>
    <s v="Johnson &amp; Johnson"/>
    <x v="7"/>
    <n v="1"/>
  </r>
  <r>
    <n v="6001135009450"/>
    <s v="Anti-bacterial Mouthwash"/>
    <x v="0"/>
    <x v="476"/>
    <s v="US"/>
    <s v="Johnson &amp; Johnson"/>
    <x v="8"/>
    <n v="1"/>
  </r>
  <r>
    <n v="6001137101398"/>
    <s v="gum protection"/>
    <x v="145"/>
    <x v="476"/>
    <s v="US"/>
    <s v="Johnson &amp; Johnson"/>
    <x v="8"/>
    <n v="1"/>
  </r>
  <r>
    <n v="6001240100073"/>
    <s v="Fruit Drink"/>
    <x v="13"/>
    <x v="477"/>
    <s v="ZA"/>
    <s v="Pioneer Foods (Pty)"/>
    <x v="6"/>
    <n v="165"/>
  </r>
  <r>
    <n v="6001240100660"/>
    <s v="Medley of Fruits Juice"/>
    <x v="13"/>
    <x v="477"/>
    <s v="ZA"/>
    <s v="Pioneer Foods (Pty)"/>
    <x v="4"/>
    <n v="1"/>
  </r>
  <r>
    <n v="6001240100714"/>
    <s v="Secrets of the Valley Fruit Juice"/>
    <x v="13"/>
    <x v="477"/>
    <s v="ZA"/>
    <s v="Pioneer Foods (Pty)"/>
    <x v="3"/>
    <n v="7"/>
  </r>
  <r>
    <n v="6001240100714"/>
    <s v="Secrets of the Valley Fruit Juice"/>
    <x v="13"/>
    <x v="477"/>
    <s v="ZA"/>
    <s v="Pioneer Foods (Pty)"/>
    <x v="4"/>
    <n v="3"/>
  </r>
  <r>
    <n v="6001240200018"/>
    <s v="Apple Juice"/>
    <x v="2"/>
    <x v="477"/>
    <s v="ZA"/>
    <s v="Pioneer Foods (Pty)"/>
    <x v="4"/>
    <n v="1"/>
  </r>
  <r>
    <n v="6001240229927"/>
    <s v="Lemon flavour ice tea"/>
    <x v="35"/>
    <x v="296"/>
    <s v="GB"/>
    <s v="Unilever Plc"/>
    <x v="4"/>
    <n v="1"/>
  </r>
  <r>
    <n v="6001240229927"/>
    <s v="Lemon flavour ice tea"/>
    <x v="35"/>
    <x v="296"/>
    <s v="GB"/>
    <s v="Unilever Plc"/>
    <x v="8"/>
    <n v="1"/>
  </r>
  <r>
    <n v="6001240229941"/>
    <s v="Peach flavour Ice Tea"/>
    <x v="35"/>
    <x v="296"/>
    <s v="GB"/>
    <s v="Unilever Plc"/>
    <x v="4"/>
    <n v="3"/>
  </r>
  <r>
    <n v="6001240240960"/>
    <s v="Caribbean Crush Nectar"/>
    <x v="22"/>
    <x v="477"/>
    <s v="ZA"/>
    <s v="Pioneer Foods (Pty)"/>
    <x v="4"/>
    <n v="1"/>
  </r>
  <r>
    <n v="6001285007122"/>
    <s v="Orange Dairy Blend Concentrate"/>
    <x v="13"/>
    <x v="477"/>
    <s v="ZA"/>
    <s v="Pioneer Foods (Pty)"/>
    <x v="4"/>
    <n v="2"/>
  </r>
  <r>
    <n v="6001285007146"/>
    <s v="Dairy Blend Concentrate"/>
    <x v="13"/>
    <x v="477"/>
    <s v="ZA"/>
    <s v="Pioneer Foods (Pty)"/>
    <x v="4"/>
    <n v="1"/>
  </r>
  <r>
    <n v="6001285007160"/>
    <s v="Sumo de Fruta"/>
    <x v="13"/>
    <x v="477"/>
    <s v="ZA"/>
    <s v="Pioneer Foods (Pty)"/>
    <x v="4"/>
    <n v="5"/>
  </r>
  <r>
    <n v="6001298043605"/>
    <s v="Advanced Toilet Cleaner"/>
    <x v="0"/>
    <x v="478"/>
    <s v="US"/>
    <s v="S. C. Johnson &amp; Son, Inc."/>
    <x v="8"/>
    <n v="4"/>
  </r>
  <r>
    <n v="6001299000270"/>
    <s v="full cream milk"/>
    <x v="12"/>
    <x v="284"/>
    <s v="ZA"/>
    <s v="Clover Industries"/>
    <x v="8"/>
    <n v="5"/>
  </r>
  <r>
    <n v="6001299003325"/>
    <s v="Clover Classic Yoghurt"/>
    <x v="4"/>
    <x v="284"/>
    <s v="ZA"/>
    <s v="Clover Industries"/>
    <x v="4"/>
    <n v="2"/>
  </r>
  <r>
    <n v="6001299003325"/>
    <s v="Clover Classic Yoghurt"/>
    <x v="4"/>
    <x v="284"/>
    <s v="ZA"/>
    <s v="Clover Industries"/>
    <x v="12"/>
    <n v="6"/>
  </r>
  <r>
    <n v="6001299007972"/>
    <s v="Tropika"/>
    <x v="0"/>
    <x v="284"/>
    <s v="ZA"/>
    <s v="Clover Industries"/>
    <x v="4"/>
    <n v="1"/>
  </r>
  <r>
    <n v="6001299008061"/>
    <s v="Orange"/>
    <x v="12"/>
    <x v="479"/>
    <s v="UK"/>
    <s v="UNKNOWN_ORG"/>
    <x v="4"/>
    <n v="2"/>
  </r>
  <r>
    <n v="6001299008122"/>
    <s v="Ananás Sumo com leite"/>
    <x v="12"/>
    <x v="479"/>
    <s v="UK"/>
    <s v="UNKNOWN_ORG"/>
    <x v="4"/>
    <n v="2"/>
  </r>
  <r>
    <n v="6001299016608"/>
    <s v="Tropika Drink Fruta Tropical"/>
    <x v="13"/>
    <x v="284"/>
    <s v="ZA"/>
    <s v="Clover Industries"/>
    <x v="3"/>
    <n v="50"/>
  </r>
  <r>
    <n v="6001299016608"/>
    <s v="Tropika Drink Fruta Tropical"/>
    <x v="13"/>
    <x v="284"/>
    <s v="ZA"/>
    <s v="Clover Industries"/>
    <x v="4"/>
    <n v="50"/>
  </r>
  <r>
    <n v="6001299019678"/>
    <s v="Leite Meio Gordo"/>
    <x v="22"/>
    <x v="284"/>
    <s v="ZA"/>
    <s v="Clover Industries"/>
    <x v="4"/>
    <n v="2"/>
  </r>
  <r>
    <n v="6001299024931"/>
    <s v="Full cream Milk"/>
    <x v="3"/>
    <x v="284"/>
    <s v="ZA"/>
    <s v="Clover Industries"/>
    <x v="8"/>
    <n v="25"/>
  </r>
  <r>
    <n v="6001299025402"/>
    <s v="Full Cream Fresh Milk"/>
    <x v="13"/>
    <x v="284"/>
    <s v="ZA"/>
    <s v="Clover Industries"/>
    <x v="8"/>
    <n v="1"/>
  </r>
  <r>
    <n v="6001299026973"/>
    <s v="Full Cream Milk UHT"/>
    <x v="13"/>
    <x v="284"/>
    <s v="ZA"/>
    <s v="Clover Industries"/>
    <x v="4"/>
    <n v="4"/>
  </r>
  <r>
    <n v="6001299027284"/>
    <s v="Low Fat Plain Yoghurt"/>
    <x v="238"/>
    <x v="284"/>
    <s v="ZA"/>
    <s v="Clover Industries"/>
    <x v="4"/>
    <n v="1"/>
  </r>
  <r>
    <n v="6001299033667"/>
    <s v="Bliss double cream black forest"/>
    <x v="240"/>
    <x v="284"/>
    <s v="ZA"/>
    <s v="Clover Industries"/>
    <x v="8"/>
    <n v="1"/>
  </r>
  <r>
    <n v="6001299033674"/>
    <s v="Bliss double cream choc chip"/>
    <x v="240"/>
    <x v="284"/>
    <s v="ZA"/>
    <s v="Clover Industries"/>
    <x v="8"/>
    <n v="1"/>
  </r>
  <r>
    <n v="6001299034763"/>
    <s v="Choc Chip Double Cream Yoghurt"/>
    <x v="17"/>
    <x v="284"/>
    <s v="ZA"/>
    <s v="Clover Industries"/>
    <x v="4"/>
    <n v="1"/>
  </r>
  <r>
    <n v="6001299043574"/>
    <s v="Tropika Cool Red Flavoured Dairy Fruit Drink"/>
    <x v="0"/>
    <x v="284"/>
    <s v="ZA"/>
    <s v="Clover Industries"/>
    <x v="4"/>
    <n v="5"/>
  </r>
  <r>
    <n v="6001299043574"/>
    <s v="Tropika Cool Red Flavoured Dairy Fruit Drink"/>
    <x v="0"/>
    <x v="284"/>
    <s v="ZA"/>
    <s v="Clover Industries"/>
    <x v="12"/>
    <n v="1"/>
  </r>
  <r>
    <n v="6001299044601"/>
    <s v="Super M"/>
    <x v="3"/>
    <x v="284"/>
    <s v="ZA"/>
    <s v="Clover Industries"/>
    <x v="3"/>
    <n v="38"/>
  </r>
  <r>
    <n v="6001299044601"/>
    <s v="Super M"/>
    <x v="3"/>
    <x v="284"/>
    <s v="ZA"/>
    <s v="Clover Industries"/>
    <x v="4"/>
    <n v="8"/>
  </r>
  <r>
    <n v="6001299044601"/>
    <s v="Super M"/>
    <x v="3"/>
    <x v="284"/>
    <s v="ZA"/>
    <s v="Clover Industries"/>
    <x v="8"/>
    <n v="1"/>
  </r>
  <r>
    <n v="6001299049668"/>
    <s v="Krush APPLE"/>
    <x v="0"/>
    <x v="284"/>
    <s v="ZA"/>
    <s v="Clover Industries"/>
    <x v="4"/>
    <n v="1"/>
  </r>
  <r>
    <n v="6001299620140"/>
    <s v="Ultra Leite Gordo"/>
    <x v="241"/>
    <x v="284"/>
    <s v="ZA"/>
    <s v="Clover Industries"/>
    <x v="4"/>
    <n v="4"/>
  </r>
  <r>
    <n v="6001299695216"/>
    <s v="Feta-Style Plain Semi-Hard Cheese"/>
    <x v="64"/>
    <x v="284"/>
    <s v="ZA"/>
    <s v="Clover Industries"/>
    <x v="4"/>
    <n v="1"/>
  </r>
  <r>
    <n v="6001299695216"/>
    <s v="Feta-Style Plain Semi-Hard Cheese"/>
    <x v="64"/>
    <x v="284"/>
    <s v="ZA"/>
    <s v="Clover Industries"/>
    <x v="8"/>
    <n v="1"/>
  </r>
  <r>
    <n v="6001299810312"/>
    <s v="Butro butter spread"/>
    <x v="4"/>
    <x v="284"/>
    <s v="ZA"/>
    <s v="Clover Industries"/>
    <x v="5"/>
    <n v="1"/>
  </r>
  <r>
    <n v="6001299810312"/>
    <s v="Butro butter spread"/>
    <x v="4"/>
    <x v="284"/>
    <s v="ZA"/>
    <s v="Clover Industries"/>
    <x v="8"/>
    <n v="8"/>
  </r>
  <r>
    <n v="6001324011172"/>
    <s v="Orange Squash"/>
    <x v="12"/>
    <x v="480"/>
    <s v="ZA"/>
    <s v="Tiger Brands Ltd"/>
    <x v="4"/>
    <n v="43"/>
  </r>
  <r>
    <n v="6001324011172"/>
    <s v="Orange Squash"/>
    <x v="12"/>
    <x v="480"/>
    <s v="ZA"/>
    <s v="Tiger Brands Ltd"/>
    <x v="8"/>
    <n v="2"/>
  </r>
  <r>
    <n v="6001324011202"/>
    <s v="Orange Squash"/>
    <x v="13"/>
    <x v="480"/>
    <s v="ZA"/>
    <s v="Tiger Brands Ltd"/>
    <x v="4"/>
    <n v="12"/>
  </r>
  <r>
    <n v="6001324217253"/>
    <s v="Naartjie Drink"/>
    <x v="0"/>
    <x v="481"/>
    <s v="ZA"/>
    <s v="Tiger Brands Ltd"/>
    <x v="4"/>
    <n v="42"/>
  </r>
  <r>
    <n v="6001324238173"/>
    <s v="Sport Drink"/>
    <x v="0"/>
    <x v="481"/>
    <s v="ZA"/>
    <s v="Tiger Brands Ltd"/>
    <x v="4"/>
    <n v="1"/>
  </r>
  <r>
    <n v="6001324238173"/>
    <s v="Sport Drink"/>
    <x v="0"/>
    <x v="481"/>
    <s v="ZA"/>
    <s v="Tiger Brands Ltd"/>
    <x v="8"/>
    <n v="3"/>
  </r>
  <r>
    <n v="6001324254371"/>
    <s v="Blueberry Flavoured Drink"/>
    <x v="0"/>
    <x v="481"/>
    <s v="ZA"/>
    <s v="Tiger Brands Ltd"/>
    <x v="8"/>
    <n v="4"/>
  </r>
  <r>
    <n v="6001324299556"/>
    <s v="Sports drink"/>
    <x v="0"/>
    <x v="481"/>
    <s v="ZA"/>
    <s v="Tiger Brands Ltd"/>
    <x v="4"/>
    <n v="1"/>
  </r>
  <r>
    <n v="6001351000521"/>
    <s v="Super Brake Fluid"/>
    <x v="32"/>
    <x v="482"/>
    <s v="GB"/>
    <s v="Shell"/>
    <x v="4"/>
    <n v="3"/>
  </r>
  <r>
    <n v="6001351000521"/>
    <s v="Super Brake Fluid"/>
    <x v="32"/>
    <x v="482"/>
    <s v="GB"/>
    <s v="Shell"/>
    <x v="12"/>
    <n v="5"/>
  </r>
  <r>
    <n v="6001351000521"/>
    <s v="Super Brake Fluid"/>
    <x v="32"/>
    <x v="482"/>
    <s v="GB"/>
    <s v="Shell"/>
    <x v="5"/>
    <n v="1"/>
  </r>
  <r>
    <n v="6001351000606"/>
    <s v="Engen Brake Fluid"/>
    <x v="0"/>
    <x v="482"/>
    <s v="GB"/>
    <s v="Shell"/>
    <x v="3"/>
    <n v="5"/>
  </r>
  <r>
    <n v="6001374013331"/>
    <s v="Peach Blossom Bubble Bath"/>
    <x v="12"/>
    <x v="483"/>
    <s v="ZA"/>
    <s v="Amka Products (Pty) Ltd"/>
    <x v="4"/>
    <n v="2"/>
  </r>
  <r>
    <n v="6001374081033"/>
    <s v="Boby cream cocoa butter"/>
    <x v="0"/>
    <x v="484"/>
    <s v="ZA"/>
    <s v="Amka Products (Pty) Ltd"/>
    <x v="8"/>
    <n v="1"/>
  </r>
  <r>
    <n v="6001374081491"/>
    <s v="Body cream cocoa butter"/>
    <x v="120"/>
    <x v="484"/>
    <s v="ZA"/>
    <s v="Amka Products (Pty) Ltd"/>
    <x v="8"/>
    <n v="1"/>
  </r>
  <r>
    <n v="6001374082245"/>
    <s v="INSTANT Hand Sanitiser"/>
    <x v="108"/>
    <x v="484"/>
    <s v="ZA"/>
    <s v="Amka Products (Pty) Ltd"/>
    <x v="3"/>
    <n v="50"/>
  </r>
  <r>
    <n v="6001374082245"/>
    <s v="INSTANT Hand Sanitiser"/>
    <x v="108"/>
    <x v="484"/>
    <s v="ZA"/>
    <s v="Amka Products (Pty) Ltd"/>
    <x v="4"/>
    <n v="1"/>
  </r>
  <r>
    <n v="6001461786056"/>
    <s v="Pure Sunflower Oil"/>
    <x v="11"/>
    <x v="485"/>
    <s v="ZA"/>
    <s v="Sealake Industries"/>
    <x v="4"/>
    <n v="24"/>
  </r>
  <r>
    <n v="6001495200146"/>
    <s v="Drostdy Hof"/>
    <x v="24"/>
    <x v="486"/>
    <s v="NL"/>
    <s v="Heineken N.V."/>
    <x v="7"/>
    <n v="6"/>
  </r>
  <r>
    <n v="6001495203055"/>
    <s v="Drostdy hof premier Grand Cru"/>
    <x v="55"/>
    <x v="486"/>
    <s v="NL"/>
    <s v="Heineken N.V."/>
    <x v="7"/>
    <n v="9"/>
  </r>
  <r>
    <n v="6001526050047"/>
    <s v="Bond Latex Additive"/>
    <x v="13"/>
    <x v="487"/>
    <s v="GB"/>
    <s v="Norcros Plc"/>
    <x v="4"/>
    <n v="1"/>
  </r>
  <r>
    <n v="6001526050047"/>
    <s v="Bond Latex Additive"/>
    <x v="13"/>
    <x v="487"/>
    <s v="GB"/>
    <s v="Norcros Plc"/>
    <x v="5"/>
    <n v="1"/>
  </r>
  <r>
    <n v="6001526052041"/>
    <s v="Keycoat latex primer"/>
    <x v="29"/>
    <x v="487"/>
    <s v="GB"/>
    <s v="Norcros Plc"/>
    <x v="8"/>
    <n v="1"/>
  </r>
  <r>
    <n v="6001565009020"/>
    <s v="Pure Cooking Oil"/>
    <x v="40"/>
    <x v="488"/>
    <s v="ZM"/>
    <s v="Trade Kings Group"/>
    <x v="15"/>
    <n v="1"/>
  </r>
  <r>
    <n v="6001565009037"/>
    <s v="Pure Cooking Oil"/>
    <x v="242"/>
    <x v="488"/>
    <s v="ZM"/>
    <s v="Trade Kings Group"/>
    <x v="3"/>
    <n v="3"/>
  </r>
  <r>
    <n v="6001565009037"/>
    <s v="Pure Cooking Oil"/>
    <x v="242"/>
    <x v="488"/>
    <s v="ZM"/>
    <s v="Trade Kings Group"/>
    <x v="4"/>
    <n v="1"/>
  </r>
  <r>
    <n v="6001565009037"/>
    <s v="Pure Cooking Oil"/>
    <x v="242"/>
    <x v="488"/>
    <s v="ZM"/>
    <s v="Trade Kings Group"/>
    <x v="15"/>
    <n v="1"/>
  </r>
  <r>
    <n v="6001565009044"/>
    <s v="Pure Cooking Oil"/>
    <x v="243"/>
    <x v="488"/>
    <s v="ZM"/>
    <s v="Trade Kings Group"/>
    <x v="4"/>
    <n v="1"/>
  </r>
  <r>
    <n v="6001565023835"/>
    <s v="Oleo Ouro"/>
    <x v="12"/>
    <x v="489"/>
    <s v="UK"/>
    <s v="UNKNOWN_ORG"/>
    <x v="4"/>
    <n v="59"/>
  </r>
  <r>
    <n v="6001565023842"/>
    <s v="Pure Cooking Oil"/>
    <x v="11"/>
    <x v="489"/>
    <s v="UK"/>
    <s v="UNKNOWN_ORG"/>
    <x v="4"/>
    <n v="21"/>
  </r>
  <r>
    <n v="6001572991318"/>
    <s v="Brake Fluid Dot 4"/>
    <x v="0"/>
    <x v="490"/>
    <s v="GB"/>
    <s v="Castrol Limited"/>
    <x v="4"/>
    <n v="1"/>
  </r>
  <r>
    <n v="6001582051095"/>
    <s v="Óleo Alimentar"/>
    <x v="11"/>
    <x v="491"/>
    <s v="SG"/>
    <s v="Wilmar International Limited"/>
    <x v="4"/>
    <n v="6"/>
  </r>
  <r>
    <n v="6001582051132"/>
    <s v="Sunflower oil"/>
    <x v="12"/>
    <x v="491"/>
    <s v="SG"/>
    <s v="Wilmar International Limited"/>
    <x v="4"/>
    <n v="4"/>
  </r>
  <r>
    <n v="6001651065497"/>
    <s v="Eau Gazeuse"/>
    <x v="0"/>
    <x v="492"/>
    <s v="RW"/>
    <s v="Vital'o"/>
    <x v="12"/>
    <n v="13"/>
  </r>
  <r>
    <n v="6001663003067"/>
    <s v="Brown Spirit Vinegar"/>
    <x v="40"/>
    <x v="493"/>
    <s v="ZA"/>
    <s v="Jumbo Brands"/>
    <x v="4"/>
    <n v="3"/>
  </r>
  <r>
    <n v="6001663003630"/>
    <s v="Lemon Juice"/>
    <x v="12"/>
    <x v="493"/>
    <s v="ZA"/>
    <s v="Jumbo Brands"/>
    <x v="4"/>
    <n v="1"/>
  </r>
  <r>
    <n v="6001663008055"/>
    <s v="Original Hot Chocolate"/>
    <x v="4"/>
    <x v="493"/>
    <s v="ZA"/>
    <s v="Jumbo Brands"/>
    <x v="4"/>
    <n v="1"/>
  </r>
  <r>
    <n v="60016973"/>
    <s v="Essence Caramel Flavour"/>
    <x v="244"/>
    <x v="458"/>
    <s v="GB"/>
    <s v="Unilever Plc"/>
    <x v="4"/>
    <n v="1"/>
  </r>
  <r>
    <n v="60017512"/>
    <s v="Soap"/>
    <x v="9"/>
    <x v="343"/>
    <s v="GB"/>
    <s v="Unilever Plc"/>
    <x v="6"/>
    <n v="1"/>
  </r>
  <r>
    <n v="6001760005490"/>
    <s v="Premium Lager"/>
    <x v="93"/>
    <x v="494"/>
    <s v="NA"/>
    <s v="Ohlthaver &amp; List Group of Companies"/>
    <x v="7"/>
    <n v="15"/>
  </r>
  <r>
    <n v="6001878004033"/>
    <s v="Lavender Air Freshener"/>
    <x v="245"/>
    <x v="495"/>
    <s v="ZA"/>
    <s v="Shield Chemicals"/>
    <x v="4"/>
    <n v="1"/>
  </r>
  <r>
    <n v="60019066"/>
    <s v="Vaseline Blueseal"/>
    <x v="108"/>
    <x v="467"/>
    <s v="GB"/>
    <s v="Unilever Plc"/>
    <x v="10"/>
    <n v="1"/>
  </r>
  <r>
    <n v="60019066"/>
    <s v="Vaseline Blueseal"/>
    <x v="108"/>
    <x v="467"/>
    <s v="GB"/>
    <s v="Unilever Plc"/>
    <x v="3"/>
    <n v="1"/>
  </r>
  <r>
    <n v="6001983110797"/>
    <s v="Ginger Wine"/>
    <x v="93"/>
    <x v="496"/>
    <s v="ZM"/>
    <s v="African Blessing Investments Ltd"/>
    <x v="3"/>
    <n v="22"/>
  </r>
  <r>
    <n v="6002004001360"/>
    <s v="Mayo Vanilla Fudge Dairy Snack"/>
    <x v="10"/>
    <x v="497"/>
    <s v="FR"/>
    <s v="Danone S.A."/>
    <x v="4"/>
    <n v="17"/>
  </r>
  <r>
    <n v="60024947"/>
    <s v="Apollo"/>
    <x v="9"/>
    <x v="77"/>
    <s v="GB"/>
    <s v="Unilever Plc"/>
    <x v="3"/>
    <n v="100"/>
  </r>
  <r>
    <n v="6002570550958"/>
    <s v="Daily multi v and minerals"/>
    <x v="88"/>
    <x v="498"/>
    <s v="UK"/>
    <s v="UNKNOWN_ORG"/>
    <x v="4"/>
    <n v="1"/>
  </r>
  <r>
    <n v="6002651043553"/>
    <s v="Purified Water"/>
    <x v="233"/>
    <x v="499"/>
    <s v="MW"/>
    <s v="Krazy Kool Beverages"/>
    <x v="3"/>
    <n v="399"/>
  </r>
  <r>
    <n v="6002742994436"/>
    <s v="Lemon Krush Sparkling Flavoured Drink"/>
    <x v="12"/>
    <x v="500"/>
    <s v="ZA"/>
    <s v="The Beverage Company"/>
    <x v="8"/>
    <n v="1"/>
  </r>
  <r>
    <n v="60028000767138"/>
    <s v="Uva"/>
    <x v="76"/>
    <x v="501"/>
    <s v="MZ"/>
    <s v="Yaafico Industrial Lda"/>
    <x v="3"/>
    <n v="50"/>
  </r>
  <r>
    <n v="6002833000336"/>
    <s v="Spirit Vinegar"/>
    <x v="55"/>
    <x v="502"/>
    <s v="IN"/>
    <s v="G.D. Foods Manufacturing (India) Pvt. Ltd."/>
    <x v="4"/>
    <n v="17"/>
  </r>
  <r>
    <n v="6002833000336"/>
    <s v="Spirit Vinegar"/>
    <x v="55"/>
    <x v="502"/>
    <s v="IN"/>
    <s v="G.D. Foods Manufacturing (India) Pvt. Ltd."/>
    <x v="5"/>
    <n v="1"/>
  </r>
  <r>
    <n v="600283300110"/>
    <s v="Lemon Juice"/>
    <x v="246"/>
    <x v="243"/>
    <s v="FR"/>
    <s v="Groupe Castel"/>
    <x v="4"/>
    <n v="6"/>
  </r>
  <r>
    <n v="6002833001104"/>
    <s v="Lemon Juice"/>
    <x v="12"/>
    <x v="503"/>
    <s v="ZA"/>
    <s v="Ribas Manufacturers"/>
    <x v="4"/>
    <n v="13"/>
  </r>
  <r>
    <n v="6002833001111"/>
    <s v="Lemon Juice"/>
    <x v="0"/>
    <x v="503"/>
    <s v="ZA"/>
    <s v="Ribas Manufacturers"/>
    <x v="4"/>
    <n v="1"/>
  </r>
  <r>
    <n v="6002833001128"/>
    <s v="Lemon Juice"/>
    <x v="145"/>
    <x v="243"/>
    <s v="FR"/>
    <s v="Groupe Castel"/>
    <x v="4"/>
    <n v="1"/>
  </r>
  <r>
    <n v="6003001015596"/>
    <s v="Mouthwash total Care"/>
    <x v="0"/>
    <x v="476"/>
    <s v="US"/>
    <s v="Johnson &amp; Johnson"/>
    <x v="7"/>
    <n v="1"/>
  </r>
  <r>
    <n v="6004052000319"/>
    <s v="Pine Whizz Sparkling Flavoured Drink"/>
    <x v="12"/>
    <x v="500"/>
    <s v="ZA"/>
    <s v="The Beverage Company"/>
    <x v="8"/>
    <n v="1"/>
  </r>
  <r>
    <n v="6004318000602"/>
    <s v="Mineral Water"/>
    <x v="35"/>
    <x v="39"/>
    <s v="CH"/>
    <s v="Nestlé S.A."/>
    <x v="4"/>
    <n v="2"/>
  </r>
  <r>
    <n v="6005118000311"/>
    <s v="Tomato Paste"/>
    <x v="247"/>
    <x v="504"/>
    <s v="ZA"/>
    <s v="Rhodes Food Group Holdings Ltd"/>
    <x v="8"/>
    <n v="9"/>
  </r>
  <r>
    <n v="6005118001943"/>
    <s v="Apple &amp; Cranberry"/>
    <x v="29"/>
    <x v="504"/>
    <s v="ZA"/>
    <s v="Rhodes Food Group Holdings Ltd"/>
    <x v="4"/>
    <n v="1"/>
  </r>
  <r>
    <n v="6005165000920"/>
    <s v="Beer"/>
    <x v="93"/>
    <x v="505"/>
    <s v="US"/>
    <s v="Coca-Cola"/>
    <x v="3"/>
    <n v="18"/>
  </r>
  <r>
    <n v="6005277000016"/>
    <s v="Fresh Full Cream Milk"/>
    <x v="13"/>
    <x v="506"/>
    <s v="ZA"/>
    <s v="Darling Romery"/>
    <x v="8"/>
    <n v="3"/>
  </r>
  <r>
    <n v="60059222"/>
    <s v="Ginger Beer"/>
    <x v="0"/>
    <x v="419"/>
    <s v="US"/>
    <s v="Coca-Cola"/>
    <x v="8"/>
    <n v="1"/>
  </r>
  <r>
    <n v="6006414000623"/>
    <s v="Top BROWN SPIRIT VINEGAR"/>
    <x v="40"/>
    <x v="502"/>
    <s v="IN"/>
    <s v="G.D. Foods Manufacturing (India) Pvt. Ltd."/>
    <x v="4"/>
    <n v="25"/>
  </r>
  <r>
    <n v="6006414000623"/>
    <s v="Top BROWN SPIRIT VINEGAR"/>
    <x v="40"/>
    <x v="502"/>
    <s v="IN"/>
    <s v="G.D. Foods Manufacturing (India) Pvt. Ltd."/>
    <x v="12"/>
    <n v="1"/>
  </r>
  <r>
    <n v="6006414000630"/>
    <s v="vinegar"/>
    <x v="12"/>
    <x v="502"/>
    <s v="IN"/>
    <s v="G.D. Foods Manufacturing (India) Pvt. Ltd."/>
    <x v="4"/>
    <n v="25"/>
  </r>
  <r>
    <n v="6006414000739"/>
    <s v="Tomato Sauce"/>
    <x v="248"/>
    <x v="503"/>
    <s v="ZA"/>
    <s v="Ribas Manufacturers"/>
    <x v="4"/>
    <n v="2"/>
  </r>
  <r>
    <n v="6006507004774"/>
    <s v="Extra Bold Peppercorns"/>
    <x v="249"/>
    <x v="507"/>
    <s v="ZA"/>
    <s v="Libstar Holdings Ltd"/>
    <x v="4"/>
    <n v="1"/>
  </r>
  <r>
    <n v="6006507005306"/>
    <s v="Himalayan Pink Salt"/>
    <x v="250"/>
    <x v="507"/>
    <s v="ZA"/>
    <s v="Libstar Holdings Ltd"/>
    <x v="4"/>
    <n v="1"/>
  </r>
  <r>
    <n v="6006507005313"/>
    <s v="Black Peppercorns"/>
    <x v="128"/>
    <x v="507"/>
    <s v="ZA"/>
    <s v="Libstar Holdings Ltd"/>
    <x v="4"/>
    <n v="3"/>
  </r>
  <r>
    <n v="6006564000030"/>
    <s v="Brake fluid"/>
    <x v="2"/>
    <x v="508"/>
    <s v="AU"/>
    <s v="Royal Precision Lubricants Pty Ltd"/>
    <x v="4"/>
    <n v="23"/>
  </r>
  <r>
    <n v="6006690040245"/>
    <s v="Natural Mineral Water"/>
    <x v="76"/>
    <x v="509"/>
    <s v="TZ"/>
    <s v="Zainab Bottlers Company limited"/>
    <x v="7"/>
    <n v="53"/>
  </r>
  <r>
    <n v="60067999"/>
    <s v="Butro Butter Spread"/>
    <x v="10"/>
    <x v="284"/>
    <s v="ZA"/>
    <s v="Clover Industries"/>
    <x v="4"/>
    <n v="1"/>
  </r>
  <r>
    <n v="60067999"/>
    <s v="Butro Butter Spread"/>
    <x v="10"/>
    <x v="284"/>
    <s v="ZA"/>
    <s v="Clover Industries"/>
    <x v="8"/>
    <n v="1"/>
  </r>
  <r>
    <n v="60068088"/>
    <s v="Pure Glycerine"/>
    <x v="117"/>
    <x v="484"/>
    <s v="ZA"/>
    <s v="Amka Products (Pty) Ltd"/>
    <x v="8"/>
    <n v="2"/>
  </r>
  <r>
    <n v="6007048002700"/>
    <s v="Premium Still Water"/>
    <x v="0"/>
    <x v="510"/>
    <s v="MW"/>
    <s v="Universal Industries Ltd"/>
    <x v="3"/>
    <n v="2823"/>
  </r>
  <r>
    <n v="6007048005749"/>
    <s v="Still Water"/>
    <x v="11"/>
    <x v="510"/>
    <s v="MW"/>
    <s v="Universal Industries Ltd"/>
    <x v="3"/>
    <n v="15"/>
  </r>
  <r>
    <n v="6007048006135"/>
    <s v="Cordial"/>
    <x v="12"/>
    <x v="510"/>
    <s v="MW"/>
    <s v="Universal Industries Ltd"/>
    <x v="3"/>
    <n v="63"/>
  </r>
  <r>
    <n v="6007048006289"/>
    <s v="Pineapple Cordial"/>
    <x v="12"/>
    <x v="510"/>
    <s v="MW"/>
    <s v="Universal Industries Ltd"/>
    <x v="3"/>
    <n v="234"/>
  </r>
  <r>
    <n v="6007048006432"/>
    <s v="Orange Squash"/>
    <x v="12"/>
    <x v="511"/>
    <s v="MW"/>
    <s v="Universal Industries Ltd"/>
    <x v="3"/>
    <n v="58"/>
  </r>
  <r>
    <n v="6007048006449"/>
    <s v="Orange Squash"/>
    <x v="11"/>
    <x v="511"/>
    <s v="MW"/>
    <s v="Universal Industries Ltd"/>
    <x v="3"/>
    <n v="17"/>
  </r>
  <r>
    <n v="6007048006593"/>
    <s v="Kazinga Cooking Oil"/>
    <x v="39"/>
    <x v="512"/>
    <s v="MW"/>
    <s v="Universal Industries Ltd"/>
    <x v="3"/>
    <n v="25"/>
  </r>
  <r>
    <n v="6007048006807"/>
    <s v="Dairy Blend Concentrate"/>
    <x v="13"/>
    <x v="513"/>
    <s v="MW"/>
    <s v="Universal Industries Ltd"/>
    <x v="3"/>
    <n v="94"/>
  </r>
  <r>
    <n v="6007048006845"/>
    <s v="Smooth Orange"/>
    <x v="13"/>
    <x v="513"/>
    <s v="MW"/>
    <s v="Universal Industries Ltd"/>
    <x v="3"/>
    <n v="50"/>
  </r>
  <r>
    <n v="6007048006975"/>
    <s v="Lime Cordial"/>
    <x v="12"/>
    <x v="510"/>
    <s v="MW"/>
    <s v="Universal Industries Ltd"/>
    <x v="3"/>
    <n v="47"/>
  </r>
  <r>
    <n v="6007497100798"/>
    <s v="Jam - Mixed Fruit"/>
    <x v="4"/>
    <x v="514"/>
    <s v="ZW"/>
    <s v="Cairns Holdings Limited"/>
    <x v="8"/>
    <n v="4"/>
  </r>
  <r>
    <n v="6007575000569"/>
    <s v="Drinking Yoghurt Peach Flavour"/>
    <x v="0"/>
    <x v="515"/>
    <s v="ZA"/>
    <s v="Lowveld Favourites"/>
    <x v="4"/>
    <n v="6"/>
  </r>
  <r>
    <n v="6007575000569"/>
    <s v="Drinking Yoghurt Peach Flavour"/>
    <x v="0"/>
    <x v="515"/>
    <s v="ZA"/>
    <s v="Lowveld Favourites"/>
    <x v="12"/>
    <n v="1"/>
  </r>
  <r>
    <n v="6007575000576"/>
    <s v="Peach Flavour Drinking Yoghurt"/>
    <x v="0"/>
    <x v="515"/>
    <s v="ZA"/>
    <s v="Lowveld Favourites"/>
    <x v="4"/>
    <n v="1"/>
  </r>
  <r>
    <n v="6007575000606"/>
    <s v="Low Fat Cream Soda Yoghurt Drink"/>
    <x v="0"/>
    <x v="515"/>
    <s v="ZA"/>
    <s v="Lowveld Favourites"/>
    <x v="4"/>
    <n v="7"/>
  </r>
  <r>
    <n v="6007575003119"/>
    <s v="Low fat yoghurt with peach fruit"/>
    <x v="76"/>
    <x v="515"/>
    <s v="ZA"/>
    <s v="Lowveld Favourites"/>
    <x v="4"/>
    <n v="1"/>
  </r>
  <r>
    <n v="6007842701670"/>
    <s v="water"/>
    <x v="0"/>
    <x v="516"/>
    <s v="MW"/>
    <s v="Moyo Madzi"/>
    <x v="3"/>
    <n v="5"/>
  </r>
  <r>
    <n v="6007856098414"/>
    <s v="Natural Spring Water"/>
    <x v="93"/>
    <x v="517"/>
    <s v="US"/>
    <s v="Mattel Inc."/>
    <x v="4"/>
    <n v="1"/>
  </r>
  <r>
    <n v="6007875488371"/>
    <s v="Double Cream Plain Yoghurt"/>
    <x v="147"/>
    <x v="253"/>
    <s v="ZA"/>
    <s v="Woolworths Holdings Ltd"/>
    <x v="4"/>
    <n v="1"/>
  </r>
  <r>
    <n v="6008000440813"/>
    <s v="mayonnaise"/>
    <x v="251"/>
    <x v="253"/>
    <s v="ZA"/>
    <s v="Woolworths Holdings Ltd"/>
    <x v="8"/>
    <n v="1"/>
  </r>
  <r>
    <n v="6008000555951"/>
    <s v="Cape Seed Bread"/>
    <x v="4"/>
    <x v="253"/>
    <s v="ZA"/>
    <s v="Woolworths Holdings Ltd"/>
    <x v="4"/>
    <n v="2"/>
  </r>
  <r>
    <n v="6008155002027"/>
    <s v="Cowbell coffee"/>
    <x v="102"/>
    <x v="518"/>
    <s v="GH"/>
    <s v="Promisador"/>
    <x v="6"/>
    <n v="381"/>
  </r>
  <r>
    <n v="6008155002300"/>
    <s v="Cowbell strawberry fraise"/>
    <x v="102"/>
    <x v="518"/>
    <s v="GH"/>
    <s v="Promisador"/>
    <x v="6"/>
    <n v="56"/>
  </r>
  <r>
    <n v="6008155004373"/>
    <s v="Promasidor"/>
    <x v="101"/>
    <x v="518"/>
    <s v="GH"/>
    <s v="Promisador"/>
    <x v="6"/>
    <n v="3"/>
  </r>
  <r>
    <n v="6008155007534"/>
    <s v="Miksi chocolate"/>
    <x v="72"/>
    <x v="519"/>
    <s v="GH"/>
    <s v="Promisador"/>
    <x v="6"/>
    <n v="33"/>
  </r>
  <r>
    <n v="6008155008029"/>
    <s v="ONGA"/>
    <x v="122"/>
    <x v="520"/>
    <s v="GH"/>
    <s v="Promisador"/>
    <x v="6"/>
    <n v="39"/>
  </r>
  <r>
    <n v="6008155011470"/>
    <s v="lait en poudre"/>
    <x v="17"/>
    <x v="518"/>
    <s v="GH"/>
    <s v="Promisador"/>
    <x v="10"/>
    <n v="58"/>
  </r>
  <r>
    <n v="6008155015324"/>
    <s v="Onga stew seasoning"/>
    <x v="73"/>
    <x v="520"/>
    <s v="GH"/>
    <s v="Promisador"/>
    <x v="6"/>
    <n v="25"/>
  </r>
  <r>
    <n v="6008155018967"/>
    <s v="promasidor"/>
    <x v="252"/>
    <x v="518"/>
    <s v="GH"/>
    <s v="Promisador"/>
    <x v="6"/>
    <n v="8"/>
  </r>
  <r>
    <n v="60084590"/>
    <s v="Mango juice drink"/>
    <x v="76"/>
    <x v="521"/>
    <s v="KE"/>
    <s v="Kevian Kenya Limited"/>
    <x v="0"/>
    <n v="2"/>
  </r>
  <r>
    <n v="60084590"/>
    <s v="Mango juice drink"/>
    <x v="76"/>
    <x v="521"/>
    <s v="KE"/>
    <s v="Kevian Kenya Limited"/>
    <x v="5"/>
    <n v="1"/>
  </r>
  <r>
    <n v="6008459000019"/>
    <s v="Natural Drinking Water"/>
    <x v="0"/>
    <x v="522"/>
    <s v="US"/>
    <s v="Coca-Cola"/>
    <x v="0"/>
    <n v="16"/>
  </r>
  <r>
    <n v="6008459000033"/>
    <s v="drinking water"/>
    <x v="35"/>
    <x v="522"/>
    <s v="US"/>
    <s v="Coca-Cola"/>
    <x v="0"/>
    <n v="3"/>
  </r>
  <r>
    <n v="6008459000033"/>
    <s v="drinking water"/>
    <x v="35"/>
    <x v="522"/>
    <s v="US"/>
    <s v="Coca-Cola"/>
    <x v="5"/>
    <n v="4"/>
  </r>
  <r>
    <n v="6008459000330"/>
    <s v="Multi-Vitamin Fruit Juice"/>
    <x v="0"/>
    <x v="521"/>
    <s v="KE"/>
    <s v="Kevian Kenya Limited"/>
    <x v="0"/>
    <n v="1"/>
  </r>
  <r>
    <n v="6008459000330"/>
    <s v="Multi-Vitamin Fruit Juice"/>
    <x v="0"/>
    <x v="521"/>
    <s v="KE"/>
    <s v="Kevian Kenya Limited"/>
    <x v="5"/>
    <n v="1"/>
  </r>
  <r>
    <n v="6008459000446"/>
    <s v="Multi Vitamin Drink"/>
    <x v="3"/>
    <x v="521"/>
    <s v="KE"/>
    <s v="Kevian Kenya Limited"/>
    <x v="0"/>
    <n v="12"/>
  </r>
  <r>
    <n v="6008459000453"/>
    <s v="Mango Juice"/>
    <x v="0"/>
    <x v="521"/>
    <s v="KE"/>
    <s v="Kevian Kenya Limited"/>
    <x v="0"/>
    <n v="163"/>
  </r>
  <r>
    <n v="6008459000453"/>
    <s v="Mango Juice"/>
    <x v="0"/>
    <x v="521"/>
    <s v="KE"/>
    <s v="Kevian Kenya Limited"/>
    <x v="12"/>
    <n v="45"/>
  </r>
  <r>
    <n v="6008459000453"/>
    <s v="Mango Juice"/>
    <x v="0"/>
    <x v="521"/>
    <s v="KE"/>
    <s v="Kevian Kenya Limited"/>
    <x v="7"/>
    <n v="35"/>
  </r>
  <r>
    <n v="6008459000453"/>
    <s v="Mango Juice"/>
    <x v="0"/>
    <x v="521"/>
    <s v="KE"/>
    <s v="Kevian Kenya Limited"/>
    <x v="5"/>
    <n v="1"/>
  </r>
  <r>
    <n v="6008459000507"/>
    <s v="Mango"/>
    <x v="120"/>
    <x v="79"/>
    <s v="TZ"/>
    <s v="Watercom (T) Ltd"/>
    <x v="0"/>
    <n v="43"/>
  </r>
  <r>
    <n v="6008459000507"/>
    <s v="Mango"/>
    <x v="120"/>
    <x v="79"/>
    <s v="TZ"/>
    <s v="Watercom (T) Ltd"/>
    <x v="7"/>
    <n v="5"/>
  </r>
  <r>
    <n v="6008459000972"/>
    <s v="Mixed Fruit Juice"/>
    <x v="0"/>
    <x v="521"/>
    <s v="KE"/>
    <s v="Kevian Kenya Limited"/>
    <x v="0"/>
    <n v="9"/>
  </r>
  <r>
    <n v="6008459000972"/>
    <s v="Mixed Fruit Juice"/>
    <x v="0"/>
    <x v="521"/>
    <s v="KE"/>
    <s v="Kevian Kenya Limited"/>
    <x v="12"/>
    <n v="1"/>
  </r>
  <r>
    <n v="6008835001470"/>
    <s v="TOMATO SAUCE"/>
    <x v="147"/>
    <x v="523"/>
    <s v="KE"/>
    <s v="Premier Foods Limited"/>
    <x v="0"/>
    <n v="11"/>
  </r>
  <r>
    <n v="6008835001470"/>
    <s v="TOMATO SAUCE"/>
    <x v="147"/>
    <x v="523"/>
    <s v="KE"/>
    <s v="Premier Foods Limited"/>
    <x v="7"/>
    <n v="11"/>
  </r>
  <r>
    <n v="6008874329030"/>
    <s v="Ginger Wine"/>
    <x v="93"/>
    <x v="496"/>
    <s v="ZM"/>
    <s v="African Blessing Investments Ltd"/>
    <x v="3"/>
    <n v="20"/>
  </r>
  <r>
    <n v="6009000980026"/>
    <s v="Água Lepo"/>
    <x v="253"/>
    <x v="524"/>
    <s v="MZ"/>
    <s v="Yuesheng Lda"/>
    <x v="4"/>
    <n v="2"/>
  </r>
  <r>
    <n v="6009000980040"/>
    <s v="Sumo de laranja"/>
    <x v="48"/>
    <x v="524"/>
    <s v="MZ"/>
    <s v="Yuesheng Lda"/>
    <x v="4"/>
    <n v="151"/>
  </r>
  <r>
    <n v="6009000980057"/>
    <s v="Água Purificada"/>
    <x v="76"/>
    <x v="524"/>
    <s v="MZ"/>
    <s v="Yuesheng Lda"/>
    <x v="4"/>
    <n v="51"/>
  </r>
  <r>
    <n v="6009000980057"/>
    <s v="Água Purificada"/>
    <x v="76"/>
    <x v="524"/>
    <s v="MZ"/>
    <s v="Yuesheng Lda"/>
    <x v="5"/>
    <n v="7"/>
  </r>
  <r>
    <n v="6009000980071"/>
    <s v="Mango sumo de fruta"/>
    <x v="93"/>
    <x v="524"/>
    <s v="MZ"/>
    <s v="Yuesheng Lda"/>
    <x v="4"/>
    <n v="605"/>
  </r>
  <r>
    <n v="6009000980088"/>
    <s v="Sumo Laranja"/>
    <x v="76"/>
    <x v="524"/>
    <s v="MZ"/>
    <s v="Yuesheng Lda"/>
    <x v="4"/>
    <n v="330"/>
  </r>
  <r>
    <n v="6009000982211"/>
    <s v="Super Maçã"/>
    <x v="0"/>
    <x v="525"/>
    <s v="MZ"/>
    <s v="Magnifico Moçambique Lda"/>
    <x v="4"/>
    <n v="1"/>
  </r>
  <r>
    <n v="6009000982259"/>
    <s v="Super Uva"/>
    <x v="0"/>
    <x v="525"/>
    <s v="MZ"/>
    <s v="Magnifico Moçambique Lda"/>
    <x v="4"/>
    <n v="4"/>
  </r>
  <r>
    <n v="6009101070824"/>
    <s v="Herb Salad"/>
    <x v="69"/>
    <x v="253"/>
    <s v="ZA"/>
    <s v="Woolworths Holdings Ltd"/>
    <x v="8"/>
    <n v="1"/>
  </r>
  <r>
    <n v="6009101708574"/>
    <s v="Berry Muesli"/>
    <x v="147"/>
    <x v="253"/>
    <s v="ZA"/>
    <s v="Woolworths Holdings Ltd"/>
    <x v="8"/>
    <n v="1"/>
  </r>
  <r>
    <n v="6009101961788"/>
    <s v="Spirit Vinegar"/>
    <x v="55"/>
    <x v="253"/>
    <s v="ZA"/>
    <s v="Woolworths Holdings Ltd"/>
    <x v="8"/>
    <n v="1"/>
  </r>
  <r>
    <n v="6009171831134"/>
    <s v="white wine vinegar"/>
    <x v="48"/>
    <x v="253"/>
    <s v="ZA"/>
    <s v="Woolworths Holdings Ltd"/>
    <x v="8"/>
    <n v="1"/>
  </r>
  <r>
    <n v="6009171929749"/>
    <s v="seafood rub"/>
    <x v="184"/>
    <x v="253"/>
    <s v="ZA"/>
    <s v="Woolworths Holdings Ltd"/>
    <x v="8"/>
    <n v="3"/>
  </r>
  <r>
    <n v="6009173456816"/>
    <s v="air sprizt"/>
    <x v="48"/>
    <x v="253"/>
    <s v="ZA"/>
    <s v="Woolworths Holdings Ltd"/>
    <x v="8"/>
    <n v="1"/>
  </r>
  <r>
    <n v="6009173967152"/>
    <s v="apple juice"/>
    <x v="35"/>
    <x v="253"/>
    <s v="ZA"/>
    <s v="Woolworths Holdings Ltd"/>
    <x v="8"/>
    <n v="1"/>
  </r>
  <r>
    <n v="6009175095907"/>
    <s v="crema of italy"/>
    <x v="48"/>
    <x v="253"/>
    <s v="ZA"/>
    <s v="Woolworths Holdings Ltd"/>
    <x v="8"/>
    <n v="1"/>
  </r>
  <r>
    <n v="6009175199971"/>
    <s v="Ground Coffee Hazelnut Flavoured"/>
    <x v="10"/>
    <x v="253"/>
    <s v="ZA"/>
    <s v="Woolworths Holdings Ltd"/>
    <x v="4"/>
    <n v="2"/>
  </r>
  <r>
    <n v="6009175199995"/>
    <s v="Ground Coffeee Vanilla Flavoured"/>
    <x v="254"/>
    <x v="253"/>
    <s v="ZA"/>
    <s v="Woolworths Holdings Ltd"/>
    <x v="4"/>
    <n v="1"/>
  </r>
  <r>
    <n v="6009175213356"/>
    <s v="low fat plain yoghurt"/>
    <x v="4"/>
    <x v="253"/>
    <s v="ZA"/>
    <s v="Woolworths Holdings Ltd"/>
    <x v="8"/>
    <n v="1"/>
  </r>
  <r>
    <n v="6009175423854"/>
    <s v="Lemonade"/>
    <x v="13"/>
    <x v="253"/>
    <s v="ZA"/>
    <s v="Woolworths Holdings Ltd"/>
    <x v="4"/>
    <n v="2"/>
  </r>
  <r>
    <n v="6009178222591"/>
    <s v="Local Seasonal Honey"/>
    <x v="255"/>
    <x v="253"/>
    <s v="ZA"/>
    <s v="Woolworths Holdings Ltd"/>
    <x v="4"/>
    <n v="1"/>
  </r>
  <r>
    <n v="6009178253977"/>
    <s v="Guava Yoghurt"/>
    <x v="155"/>
    <x v="253"/>
    <s v="ZA"/>
    <s v="Woolworths Holdings Ltd"/>
    <x v="8"/>
    <n v="6"/>
  </r>
  <r>
    <n v="6009178930830"/>
    <s v="Cream Soda"/>
    <x v="12"/>
    <x v="253"/>
    <s v="ZA"/>
    <s v="Woolworths Holdings Ltd"/>
    <x v="8"/>
    <n v="1"/>
  </r>
  <r>
    <n v="6009178931394"/>
    <s v="passionade"/>
    <x v="12"/>
    <x v="253"/>
    <s v="ZA"/>
    <s v="Woolworths Holdings Ltd"/>
    <x v="8"/>
    <n v="1"/>
  </r>
  <r>
    <n v="6009184110455"/>
    <s v="Sea Salt Hand Cooked Crisps"/>
    <x v="121"/>
    <x v="253"/>
    <s v="ZA"/>
    <s v="Woolworths Holdings Ltd"/>
    <x v="4"/>
    <n v="1"/>
  </r>
  <r>
    <n v="6009184138763"/>
    <s v="meat masala"/>
    <x v="122"/>
    <x v="253"/>
    <s v="ZA"/>
    <s v="Woolworths Holdings Ltd"/>
    <x v="8"/>
    <n v="1"/>
  </r>
  <r>
    <n v="6009184329970"/>
    <s v="White Tortilla Wraps"/>
    <x v="122"/>
    <x v="253"/>
    <s v="ZA"/>
    <s v="Woolworths Holdings Ltd"/>
    <x v="4"/>
    <n v="1"/>
  </r>
  <r>
    <n v="6009184634388"/>
    <s v="xylitol"/>
    <x v="146"/>
    <x v="253"/>
    <s v="ZA"/>
    <s v="Woolworths Holdings Ltd"/>
    <x v="8"/>
    <n v="1"/>
  </r>
  <r>
    <n v="6009188002213"/>
    <s v="Cocoa plain"/>
    <x v="72"/>
    <x v="526"/>
    <s v="CH"/>
    <s v="Nestlé S.A."/>
    <x v="4"/>
    <n v="2"/>
  </r>
  <r>
    <n v="6009189642401"/>
    <s v="Full cream Vanilla Flavoured Yoghurt"/>
    <x v="155"/>
    <x v="253"/>
    <s v="ZA"/>
    <s v="Woolworths Holdings Ltd"/>
    <x v="8"/>
    <n v="9"/>
  </r>
  <r>
    <n v="6009189862502"/>
    <s v="natural spring water"/>
    <x v="76"/>
    <x v="253"/>
    <s v="ZA"/>
    <s v="Woolworths Holdings Ltd"/>
    <x v="8"/>
    <n v="1"/>
  </r>
  <r>
    <n v="6009189862823"/>
    <s v="Sparkling Spring Drink Ginger &amp; Lime"/>
    <x v="35"/>
    <x v="253"/>
    <s v="ZA"/>
    <s v="Woolworths Holdings Ltd"/>
    <x v="4"/>
    <n v="1"/>
  </r>
  <r>
    <n v="6009189914997"/>
    <s v="Decaf Coffee Beans"/>
    <x v="10"/>
    <x v="253"/>
    <s v="ZA"/>
    <s v="Woolworths Holdings Ltd"/>
    <x v="4"/>
    <n v="1"/>
  </r>
  <r>
    <n v="6009189919466"/>
    <s v="Triple Layered Chocolate Gateau"/>
    <x v="256"/>
    <x v="253"/>
    <s v="ZA"/>
    <s v="Woolworths Holdings Ltd"/>
    <x v="4"/>
    <n v="1"/>
  </r>
  <r>
    <n v="6009195707972"/>
    <s v="olive oil"/>
    <x v="12"/>
    <x v="253"/>
    <s v="ZA"/>
    <s v="Woolworths Holdings Ltd"/>
    <x v="8"/>
    <n v="1"/>
  </r>
  <r>
    <n v="6009207356471"/>
    <s v="sparkling drink"/>
    <x v="35"/>
    <x v="253"/>
    <s v="ZA"/>
    <s v="Woolworths Holdings Ltd"/>
    <x v="8"/>
    <n v="1"/>
  </r>
  <r>
    <n v="6009207761978"/>
    <s v="steakhouse"/>
    <x v="257"/>
    <x v="253"/>
    <s v="ZA"/>
    <s v="Woolworths Holdings Ltd"/>
    <x v="8"/>
    <n v="2"/>
  </r>
  <r>
    <n v="6009207762050"/>
    <s v="chicken rub"/>
    <x v="184"/>
    <x v="253"/>
    <s v="ZA"/>
    <s v="Woolworths Holdings Ltd"/>
    <x v="8"/>
    <n v="2"/>
  </r>
  <r>
    <n v="6009211118904"/>
    <s v="Roasted Almonds"/>
    <x v="4"/>
    <x v="253"/>
    <s v="ZA"/>
    <s v="Woolworths Holdings Ltd"/>
    <x v="8"/>
    <n v="1"/>
  </r>
  <r>
    <n v="6009211171312"/>
    <s v="juice"/>
    <x v="48"/>
    <x v="253"/>
    <s v="ZA"/>
    <s v="Woolworths Holdings Ltd"/>
    <x v="8"/>
    <n v="3"/>
  </r>
  <r>
    <n v="6009211635166"/>
    <s v="lemon verbena"/>
    <x v="258"/>
    <x v="253"/>
    <s v="ZA"/>
    <s v="Woolworths Holdings Ltd"/>
    <x v="5"/>
    <n v="16"/>
  </r>
  <r>
    <n v="6009211635166"/>
    <s v="lemon verbena"/>
    <x v="258"/>
    <x v="253"/>
    <s v="ZA"/>
    <s v="Woolworths Holdings Ltd"/>
    <x v="8"/>
    <n v="1"/>
  </r>
  <r>
    <n v="6009217216369"/>
    <s v="Double Cream Lemon Curd Yoghurt"/>
    <x v="147"/>
    <x v="253"/>
    <s v="ZA"/>
    <s v="Woolworths Holdings Ltd"/>
    <x v="8"/>
    <n v="1"/>
  </r>
  <r>
    <n v="6009223529415"/>
    <s v="Plain Yoghurt with Strawberry"/>
    <x v="155"/>
    <x v="253"/>
    <s v="ZA"/>
    <s v="Woolworths Holdings Ltd"/>
    <x v="8"/>
    <n v="1"/>
  </r>
  <r>
    <n v="6009223535454"/>
    <s v="hot seasoning"/>
    <x v="151"/>
    <x v="253"/>
    <s v="ZA"/>
    <s v="Woolworths Holdings Ltd"/>
    <x v="8"/>
    <n v="1"/>
  </r>
  <r>
    <n v="6009223535461"/>
    <s v="Mild Seasoning"/>
    <x v="236"/>
    <x v="256"/>
    <s v="ZA"/>
    <s v="Woolworths Holdings Ltd"/>
    <x v="8"/>
    <n v="4"/>
  </r>
  <r>
    <n v="6009223763321"/>
    <s v="plain yoghurt"/>
    <x v="4"/>
    <x v="253"/>
    <s v="ZA"/>
    <s v="Woolworths Holdings Ltd"/>
    <x v="8"/>
    <n v="1"/>
  </r>
  <r>
    <n v="6009328205221"/>
    <s v="Agua Purificada"/>
    <x v="259"/>
    <x v="527"/>
    <s v="MZ"/>
    <s v="Mopani Internacional Lda"/>
    <x v="4"/>
    <n v="431"/>
  </r>
  <r>
    <n v="6009510804683"/>
    <s v="Niknaks Cheese Flavour"/>
    <x v="101"/>
    <x v="528"/>
    <s v="CD"/>
    <s v="MARSAVCO"/>
    <x v="4"/>
    <n v="2"/>
  </r>
  <r>
    <n v="6009510805840"/>
    <s v="Potato Chips Salted"/>
    <x v="260"/>
    <x v="116"/>
    <s v="US"/>
    <s v="Pepsico, Inc"/>
    <x v="10"/>
    <n v="13"/>
  </r>
  <r>
    <n v="6009510805840"/>
    <s v="Potato Chips Salted"/>
    <x v="260"/>
    <x v="116"/>
    <s v="US"/>
    <s v="Pepsico, Inc"/>
    <x v="4"/>
    <n v="5"/>
  </r>
  <r>
    <n v="6009510805857"/>
    <s v="Potatos Chips Caribean Onion &amp; Balsamic Vinegar Flavour"/>
    <x v="260"/>
    <x v="116"/>
    <s v="US"/>
    <s v="Pepsico, Inc"/>
    <x v="4"/>
    <n v="2"/>
  </r>
  <r>
    <n v="6009510805864"/>
    <s v="Potato Chips Spring Onion &amp; Cheese Flavour"/>
    <x v="260"/>
    <x v="116"/>
    <s v="US"/>
    <s v="Pepsico, Inc"/>
    <x v="4"/>
    <n v="1"/>
  </r>
  <r>
    <n v="6009510805888"/>
    <s v="Sweet Chilli Corn Chips"/>
    <x v="128"/>
    <x v="117"/>
    <s v="US"/>
    <s v="Pepsico, Inc"/>
    <x v="4"/>
    <n v="2"/>
  </r>
  <r>
    <n v="6009510805949"/>
    <s v="Chutney flavour Potato Chips"/>
    <x v="95"/>
    <x v="529"/>
    <s v="US"/>
    <s v="Pepsico, Inc"/>
    <x v="4"/>
    <n v="8"/>
  </r>
  <r>
    <n v="6009510805956"/>
    <s v="Smoked Beef"/>
    <x v="95"/>
    <x v="529"/>
    <s v="US"/>
    <s v="Pepsico, Inc"/>
    <x v="4"/>
    <n v="6"/>
  </r>
  <r>
    <n v="6009510806168"/>
    <s v="Salted Potato Chips"/>
    <x v="261"/>
    <x v="116"/>
    <s v="US"/>
    <s v="Pepsico, Inc"/>
    <x v="10"/>
    <n v="1"/>
  </r>
  <r>
    <n v="6009510806168"/>
    <s v="Salted Potato Chips"/>
    <x v="261"/>
    <x v="116"/>
    <s v="US"/>
    <s v="Pepsico, Inc"/>
    <x v="4"/>
    <n v="5"/>
  </r>
  <r>
    <n v="6009510806861"/>
    <s v="Cola"/>
    <x v="12"/>
    <x v="51"/>
    <s v="US"/>
    <s v="Pepsico, Inc"/>
    <x v="1"/>
    <n v="1"/>
  </r>
  <r>
    <n v="6009510806861"/>
    <s v="Cola"/>
    <x v="12"/>
    <x v="51"/>
    <s v="US"/>
    <s v="Pepsico, Inc"/>
    <x v="2"/>
    <n v="1"/>
  </r>
  <r>
    <n v="6009510806861"/>
    <s v="Cola"/>
    <x v="12"/>
    <x v="51"/>
    <s v="US"/>
    <s v="Pepsico, Inc"/>
    <x v="4"/>
    <n v="5"/>
  </r>
  <r>
    <n v="6009512420218"/>
    <s v="Javel Bleach"/>
    <x v="22"/>
    <x v="530"/>
    <s v="MZ"/>
    <s v="MODET - Sociedade Mocambicana de Detergentes, Lda"/>
    <x v="4"/>
    <n v="2"/>
  </r>
  <r>
    <n v="6009522300609"/>
    <s v="Peanut Butter"/>
    <x v="70"/>
    <x v="531"/>
    <s v="ZA"/>
    <s v="Tiger Brands Ltd"/>
    <x v="8"/>
    <n v="2"/>
  </r>
  <r>
    <n v="6009523603235"/>
    <s v="skin lotion"/>
    <x v="0"/>
    <x v="532"/>
    <s v="ZA"/>
    <s v="Tiger Brands Ltd"/>
    <x v="3"/>
    <n v="2"/>
  </r>
  <r>
    <n v="6009537015758"/>
    <s v="Shake 'n ship"/>
    <x v="145"/>
    <x v="533"/>
    <s v="ZM"/>
    <s v="Zambian Halaal Certifiers"/>
    <x v="10"/>
    <n v="54"/>
  </r>
  <r>
    <n v="6009537015758"/>
    <s v="Shake 'n ship"/>
    <x v="145"/>
    <x v="533"/>
    <s v="ZM"/>
    <s v="Zambian Halaal Certifiers"/>
    <x v="4"/>
    <n v="57"/>
  </r>
  <r>
    <n v="6009537015758"/>
    <s v="Shake 'n ship"/>
    <x v="145"/>
    <x v="533"/>
    <s v="ZM"/>
    <s v="Zambian Halaal Certifiers"/>
    <x v="15"/>
    <n v="11"/>
  </r>
  <r>
    <n v="6009537015765"/>
    <s v="Fruilt Milk"/>
    <x v="0"/>
    <x v="534"/>
    <s v="ZM"/>
    <s v="Trade Kings Group"/>
    <x v="10"/>
    <n v="9"/>
  </r>
  <r>
    <n v="6009537015765"/>
    <s v="Fruilt Milk"/>
    <x v="0"/>
    <x v="534"/>
    <s v="ZM"/>
    <s v="Trade Kings Group"/>
    <x v="3"/>
    <n v="11"/>
  </r>
  <r>
    <n v="6009537015765"/>
    <s v="Fruilt Milk"/>
    <x v="0"/>
    <x v="534"/>
    <s v="ZM"/>
    <s v="Trade Kings Group"/>
    <x v="4"/>
    <n v="20"/>
  </r>
  <r>
    <n v="6009537019435"/>
    <s v="Milk Maheu"/>
    <x v="262"/>
    <x v="535"/>
    <s v="ZM"/>
    <s v="Trade Kings Group"/>
    <x v="15"/>
    <n v="13"/>
  </r>
  <r>
    <n v="6009601541633"/>
    <s v="Bleach"/>
    <x v="55"/>
    <x v="175"/>
    <s v="KE"/>
    <s v="Orbit Products Africa Limited"/>
    <x v="12"/>
    <n v="31"/>
  </r>
  <r>
    <n v="6009601541633"/>
    <s v="Bleach"/>
    <x v="55"/>
    <x v="175"/>
    <s v="KE"/>
    <s v="Orbit Products Africa Limited"/>
    <x v="5"/>
    <n v="4"/>
  </r>
  <r>
    <n v="6009602000009"/>
    <s v="Still Mineral Water"/>
    <x v="35"/>
    <x v="536"/>
    <s v="MZ"/>
    <s v="Águas de Goba - Água de Nascente, Limitada"/>
    <x v="4"/>
    <n v="221"/>
  </r>
  <r>
    <n v="6009602000016"/>
    <s v="Água de nascente"/>
    <x v="0"/>
    <x v="536"/>
    <s v="MZ"/>
    <s v="Águas de Goba - Água de Nascente, Limitada"/>
    <x v="4"/>
    <n v="12"/>
  </r>
  <r>
    <n v="6009602379013"/>
    <s v="Still Mineral Water"/>
    <x v="0"/>
    <x v="537"/>
    <s v="ZA"/>
    <s v="Just Water"/>
    <x v="4"/>
    <n v="115"/>
  </r>
  <r>
    <n v="6009603570648"/>
    <s v="Bolacha Côco"/>
    <x v="17"/>
    <x v="538"/>
    <s v="UK"/>
    <s v="UNKNOWN_ORG"/>
    <x v="4"/>
    <n v="1"/>
  </r>
  <r>
    <n v="6009608440274"/>
    <s v="Mixed Fruit"/>
    <x v="57"/>
    <x v="539"/>
    <s v="UK"/>
    <s v="UNKNOWN_ORG"/>
    <x v="15"/>
    <n v="1"/>
  </r>
  <r>
    <n v="6009610390192"/>
    <s v="Ideal Glycerine"/>
    <x v="108"/>
    <x v="540"/>
    <s v="KE"/>
    <s v="Alison Products Kenya Limited"/>
    <x v="12"/>
    <n v="6"/>
  </r>
  <r>
    <n v="6009612470014"/>
    <s v="natural spring water"/>
    <x v="35"/>
    <x v="541"/>
    <s v="ZA"/>
    <s v="Aquelle"/>
    <x v="4"/>
    <n v="1"/>
  </r>
  <r>
    <n v="6009612470014"/>
    <s v="natural spring water"/>
    <x v="35"/>
    <x v="541"/>
    <s v="ZA"/>
    <s v="Aquelle"/>
    <x v="25"/>
    <n v="1"/>
  </r>
  <r>
    <n v="6009612470045"/>
    <s v="Natural still water still"/>
    <x v="0"/>
    <x v="541"/>
    <s v="ZA"/>
    <s v="Aquelle"/>
    <x v="4"/>
    <n v="1"/>
  </r>
  <r>
    <n v="6009612470045"/>
    <s v="Natural still water still"/>
    <x v="0"/>
    <x v="541"/>
    <s v="ZA"/>
    <s v="Aquelle"/>
    <x v="8"/>
    <n v="3"/>
  </r>
  <r>
    <n v="6009612470083"/>
    <s v="Natural Spring Water"/>
    <x v="35"/>
    <x v="541"/>
    <s v="ZA"/>
    <s v="Aquelle"/>
    <x v="4"/>
    <n v="5"/>
  </r>
  <r>
    <n v="6009612470083"/>
    <s v="Natural Spring Water"/>
    <x v="35"/>
    <x v="541"/>
    <s v="ZA"/>
    <s v="Aquelle"/>
    <x v="25"/>
    <n v="1"/>
  </r>
  <r>
    <n v="6009612470175"/>
    <s v="Sparkling flavoured drink LITCHI"/>
    <x v="0"/>
    <x v="541"/>
    <s v="ZA"/>
    <s v="Aquelle"/>
    <x v="4"/>
    <n v="1"/>
  </r>
  <r>
    <n v="6009612470298"/>
    <s v="Sparkling flavoured drink Litchi"/>
    <x v="35"/>
    <x v="541"/>
    <s v="ZA"/>
    <s v="Aquelle"/>
    <x v="4"/>
    <n v="1"/>
  </r>
  <r>
    <n v="6009612470502"/>
    <s v="Sparkling flavoured drink Limon"/>
    <x v="0"/>
    <x v="542"/>
    <s v="US"/>
    <s v="Sierra Nevada"/>
    <x v="4"/>
    <n v="1"/>
  </r>
  <r>
    <n v="6009612470533"/>
    <s v="Flavoured Drinking Water"/>
    <x v="35"/>
    <x v="541"/>
    <s v="ZA"/>
    <s v="Aquelle"/>
    <x v="8"/>
    <n v="7"/>
  </r>
  <r>
    <n v="6009612470649"/>
    <s v="Still Natural Spring Water"/>
    <x v="11"/>
    <x v="541"/>
    <s v="ZA"/>
    <s v="Aquelle"/>
    <x v="4"/>
    <n v="9"/>
  </r>
  <r>
    <n v="6009612470649"/>
    <s v="Still Natural Spring Water"/>
    <x v="11"/>
    <x v="541"/>
    <s v="ZA"/>
    <s v="Aquelle"/>
    <x v="8"/>
    <n v="3"/>
  </r>
  <r>
    <n v="6009612470694"/>
    <s v="Mineral Water"/>
    <x v="0"/>
    <x v="541"/>
    <s v="ZA"/>
    <s v="Aquelle"/>
    <x v="0"/>
    <n v="1"/>
  </r>
  <r>
    <n v="6009612470694"/>
    <s v="Mineral Water"/>
    <x v="0"/>
    <x v="541"/>
    <s v="ZA"/>
    <s v="Aquelle"/>
    <x v="4"/>
    <n v="899"/>
  </r>
  <r>
    <n v="6009612470717"/>
    <s v="Sparkling flavoured drink strawberry"/>
    <x v="35"/>
    <x v="541"/>
    <s v="ZA"/>
    <s v="Aquelle"/>
    <x v="4"/>
    <n v="7"/>
  </r>
  <r>
    <n v="6009612470717"/>
    <s v="Sparkling flavoured drink strawberry"/>
    <x v="35"/>
    <x v="541"/>
    <s v="ZA"/>
    <s v="Aquelle"/>
    <x v="8"/>
    <n v="2"/>
  </r>
  <r>
    <n v="6009612470878"/>
    <s v="SPARKLINS FLAVOURED PINEAPPLE"/>
    <x v="0"/>
    <x v="541"/>
    <s v="ZA"/>
    <s v="Aquelle"/>
    <x v="4"/>
    <n v="1"/>
  </r>
  <r>
    <n v="6009612471523"/>
    <s v="SPARKLING"/>
    <x v="0"/>
    <x v="541"/>
    <s v="ZA"/>
    <s v="Aquelle"/>
    <x v="4"/>
    <n v="1"/>
  </r>
  <r>
    <n v="6009612471707"/>
    <s v="Sports drink kalamansi"/>
    <x v="23"/>
    <x v="541"/>
    <s v="ZA"/>
    <s v="Aquelle"/>
    <x v="4"/>
    <n v="1"/>
  </r>
  <r>
    <n v="6009614733902"/>
    <s v="Apple Cider Vinegar"/>
    <x v="0"/>
    <x v="543"/>
    <s v="ZA"/>
    <s v="Health Connection Wholefoods (Pty) Ltd"/>
    <x v="4"/>
    <n v="22"/>
  </r>
  <r>
    <n v="6009616040558"/>
    <s v="Double Cream Plain Yoghurt"/>
    <x v="13"/>
    <x v="544"/>
    <s v="FR"/>
    <s v="Danone S.A."/>
    <x v="4"/>
    <n v="6"/>
  </r>
  <r>
    <n v="6009616040558"/>
    <s v="Double Cream Plain Yoghurt"/>
    <x v="13"/>
    <x v="544"/>
    <s v="FR"/>
    <s v="Danone S.A."/>
    <x v="12"/>
    <n v="20"/>
  </r>
  <r>
    <n v="6009616047533"/>
    <s v="Low Fat Fruit Cocktail Yoghurt"/>
    <x v="147"/>
    <x v="544"/>
    <s v="FR"/>
    <s v="Danone S.A."/>
    <x v="4"/>
    <n v="1"/>
  </r>
  <r>
    <n v="6009616049322"/>
    <s v="Yogi Sip"/>
    <x v="240"/>
    <x v="497"/>
    <s v="FR"/>
    <s v="Danone S.A."/>
    <x v="2"/>
    <n v="1"/>
  </r>
  <r>
    <n v="6009616049322"/>
    <s v="Yogi Sip"/>
    <x v="240"/>
    <x v="497"/>
    <s v="FR"/>
    <s v="Danone S.A."/>
    <x v="8"/>
    <n v="1"/>
  </r>
  <r>
    <n v="6009617221628"/>
    <s v="Double Cream Plain Yoghurt"/>
    <x v="147"/>
    <x v="545"/>
    <s v="ZA"/>
    <s v="Libstar Holdings Ltd"/>
    <x v="4"/>
    <n v="1"/>
  </r>
  <r>
    <n v="6009619870046"/>
    <s v="Orange Drink"/>
    <x v="12"/>
    <x v="546"/>
    <s v="KE"/>
    <s v="Excel Chemicals Limited"/>
    <x v="0"/>
    <n v="13"/>
  </r>
  <r>
    <n v="6009622620003"/>
    <s v="Mineral Water"/>
    <x v="35"/>
    <x v="422"/>
    <s v="US"/>
    <s v="Coca-Cola"/>
    <x v="24"/>
    <n v="2"/>
  </r>
  <r>
    <n v="6009622620003"/>
    <s v="Mineral Water"/>
    <x v="35"/>
    <x v="422"/>
    <s v="US"/>
    <s v="Coca-Cola"/>
    <x v="5"/>
    <n v="231"/>
  </r>
  <r>
    <n v="6009622620027"/>
    <s v="Mineral water"/>
    <x v="0"/>
    <x v="422"/>
    <s v="US"/>
    <s v="Coca-Cola"/>
    <x v="5"/>
    <n v="592"/>
  </r>
  <r>
    <n v="6009622620041"/>
    <s v="PureNatural Mineral Water"/>
    <x v="11"/>
    <x v="422"/>
    <s v="US"/>
    <s v="Coca-Cola"/>
    <x v="12"/>
    <n v="1"/>
  </r>
  <r>
    <n v="6009622620041"/>
    <s v="PureNatural Mineral Water"/>
    <x v="11"/>
    <x v="422"/>
    <s v="US"/>
    <s v="Coca-Cola"/>
    <x v="5"/>
    <n v="2"/>
  </r>
  <r>
    <n v="6009622620096"/>
    <s v="Mineral Water"/>
    <x v="263"/>
    <x v="422"/>
    <s v="US"/>
    <s v="Coca-Cola"/>
    <x v="5"/>
    <n v="1"/>
  </r>
  <r>
    <n v="60096226262003"/>
    <s v="Mineral Water"/>
    <x v="35"/>
    <x v="422"/>
    <s v="US"/>
    <s v="Coca-Cola"/>
    <x v="5"/>
    <n v="1"/>
  </r>
  <r>
    <n v="6009627080246"/>
    <s v="Sparkling Mineral Water"/>
    <x v="13"/>
    <x v="365"/>
    <s v="US"/>
    <s v="Coca-Cola"/>
    <x v="0"/>
    <n v="8"/>
  </r>
  <r>
    <n v="6009627320243"/>
    <s v="Maziwa Lala"/>
    <x v="4"/>
    <x v="547"/>
    <s v="KE"/>
    <s v="Brookside Dairy Limited"/>
    <x v="0"/>
    <n v="130"/>
  </r>
  <r>
    <n v="6009627320243"/>
    <s v="Maziwa Lala"/>
    <x v="4"/>
    <x v="547"/>
    <s v="KE"/>
    <s v="Brookside Dairy Limited"/>
    <x v="12"/>
    <n v="1"/>
  </r>
  <r>
    <n v="6009633160055"/>
    <s v="Água Montemor"/>
    <x v="0"/>
    <x v="548"/>
    <s v="MZ"/>
    <s v="Montemor SARL"/>
    <x v="4"/>
    <n v="388"/>
  </r>
  <r>
    <n v="6009633160154"/>
    <s v="Agua Mineral"/>
    <x v="35"/>
    <x v="548"/>
    <s v="MZ"/>
    <s v="Montemor SARL"/>
    <x v="4"/>
    <n v="548"/>
  </r>
  <r>
    <n v="6009633160505"/>
    <s v="Água Mineral da Nascente"/>
    <x v="11"/>
    <x v="548"/>
    <s v="MZ"/>
    <s v="Montemor SARL"/>
    <x v="4"/>
    <n v="58"/>
  </r>
  <r>
    <n v="6009644540372"/>
    <s v="tiger glucose biscuits"/>
    <x v="183"/>
    <x v="268"/>
    <s v="TZ"/>
    <s v="BAKHRESA GROUP DIVISIONS"/>
    <x v="7"/>
    <n v="8"/>
  </r>
  <r>
    <n v="6009644540433"/>
    <s v="Azamto flavoured ice"/>
    <x v="264"/>
    <x v="268"/>
    <s v="TZ"/>
    <s v="BAKHRESA GROUP DIVISIONS"/>
    <x v="7"/>
    <n v="1"/>
  </r>
  <r>
    <n v="6009644540440"/>
    <s v="fruity mango lolly"/>
    <x v="265"/>
    <x v="268"/>
    <s v="TZ"/>
    <s v="BAKHRESA GROUP DIVISIONS"/>
    <x v="7"/>
    <n v="3"/>
  </r>
  <r>
    <n v="6009644540655"/>
    <s v="Super Balllcone Vanilla Flavoured Ice Cream"/>
    <x v="266"/>
    <x v="268"/>
    <s v="TZ"/>
    <s v="BAKHRESA GROUP DIVISIONS"/>
    <x v="7"/>
    <n v="25"/>
  </r>
  <r>
    <n v="6009644540679"/>
    <s v="cool bar 50-50"/>
    <x v="267"/>
    <x v="268"/>
    <s v="TZ"/>
    <s v="BAKHRESA GROUP DIVISIONS"/>
    <x v="7"/>
    <n v="30"/>
  </r>
  <r>
    <n v="6009644540808"/>
    <s v="Kreema Toffee Milk Bar"/>
    <x v="265"/>
    <x v="268"/>
    <s v="TZ"/>
    <s v="BAKHRESA GROUP DIVISIONS"/>
    <x v="7"/>
    <n v="456"/>
  </r>
  <r>
    <n v="6009644541133"/>
    <s v="Ice cream"/>
    <x v="108"/>
    <x v="268"/>
    <s v="TZ"/>
    <s v="BAKHRESA GROUP DIVISIONS"/>
    <x v="7"/>
    <n v="3"/>
  </r>
  <r>
    <n v="6009644541133"/>
    <s v="Ice cream"/>
    <x v="108"/>
    <x v="268"/>
    <s v="TZ"/>
    <s v="BAKHRESA GROUP DIVISIONS"/>
    <x v="5"/>
    <n v="2"/>
  </r>
  <r>
    <n v="6009644546626"/>
    <s v="Apple malt"/>
    <x v="0"/>
    <x v="268"/>
    <s v="TZ"/>
    <s v="BAKHRESA GROUP DIVISIONS"/>
    <x v="10"/>
    <n v="56"/>
  </r>
  <r>
    <n v="6009644546626"/>
    <s v="Apple malt"/>
    <x v="0"/>
    <x v="268"/>
    <s v="TZ"/>
    <s v="BAKHRESA GROUP DIVISIONS"/>
    <x v="12"/>
    <n v="865"/>
  </r>
  <r>
    <n v="6009644546763"/>
    <s v="Cola Carbonated Soft Drink"/>
    <x v="3"/>
    <x v="268"/>
    <s v="TZ"/>
    <s v="BAKHRESA GROUP DIVISIONS"/>
    <x v="3"/>
    <n v="1"/>
  </r>
  <r>
    <n v="6009644546763"/>
    <s v="Cola Carbonated Soft Drink"/>
    <x v="3"/>
    <x v="268"/>
    <s v="TZ"/>
    <s v="BAKHRESA GROUP DIVISIONS"/>
    <x v="4"/>
    <n v="9"/>
  </r>
  <r>
    <n v="6009644546763"/>
    <s v="Cola Carbonated Soft Drink"/>
    <x v="3"/>
    <x v="268"/>
    <s v="TZ"/>
    <s v="BAKHRESA GROUP DIVISIONS"/>
    <x v="7"/>
    <n v="74"/>
  </r>
  <r>
    <n v="60096445469320"/>
    <s v="Energy Drink"/>
    <x v="3"/>
    <x v="268"/>
    <s v="TZ"/>
    <s v="BAKHRESA GROUP DIVISIONS"/>
    <x v="3"/>
    <n v="50"/>
  </r>
  <r>
    <n v="60096445469320"/>
    <s v="Energy Drink"/>
    <x v="3"/>
    <x v="268"/>
    <s v="TZ"/>
    <s v="BAKHRESA GROUP DIVISIONS"/>
    <x v="4"/>
    <n v="2"/>
  </r>
  <r>
    <n v="60096445469320"/>
    <s v="Energy Drink"/>
    <x v="3"/>
    <x v="268"/>
    <s v="TZ"/>
    <s v="BAKHRESA GROUP DIVISIONS"/>
    <x v="7"/>
    <n v="52"/>
  </r>
  <r>
    <n v="60096445469320"/>
    <s v="Energy Drink"/>
    <x v="3"/>
    <x v="268"/>
    <s v="TZ"/>
    <s v="BAKHRESA GROUP DIVISIONS"/>
    <x v="5"/>
    <n v="2"/>
  </r>
  <r>
    <n v="6009644547166"/>
    <s v="Choco Chix"/>
    <x v="268"/>
    <x v="268"/>
    <s v="TZ"/>
    <s v="BAKHRESA GROUP DIVISIONS"/>
    <x v="7"/>
    <n v="7"/>
  </r>
  <r>
    <n v="6009644547517"/>
    <s v="Natti's"/>
    <x v="268"/>
    <x v="268"/>
    <s v="TZ"/>
    <s v="BAKHRESA GROUP DIVISIONS"/>
    <x v="7"/>
    <n v="2"/>
  </r>
  <r>
    <n v="6009644547944"/>
    <s v="Fursana Carbonated Soft Drink"/>
    <x v="3"/>
    <x v="268"/>
    <s v="TZ"/>
    <s v="BAKHRESA GROUP DIVISIONS"/>
    <x v="7"/>
    <n v="50"/>
  </r>
  <r>
    <n v="6009644547982"/>
    <s v="Apple and Malt Flavoured"/>
    <x v="3"/>
    <x v="549"/>
    <s v="BE"/>
    <s v="Anheuser-Busch InBev"/>
    <x v="10"/>
    <n v="18"/>
  </r>
  <r>
    <n v="6009644547982"/>
    <s v="Apple and Malt Flavoured"/>
    <x v="3"/>
    <x v="549"/>
    <s v="BE"/>
    <s v="Anheuser-Busch InBev"/>
    <x v="3"/>
    <n v="384"/>
  </r>
  <r>
    <n v="6009644547982"/>
    <s v="Apple and Malt Flavoured"/>
    <x v="3"/>
    <x v="549"/>
    <s v="BE"/>
    <s v="Anheuser-Busch InBev"/>
    <x v="4"/>
    <n v="2"/>
  </r>
  <r>
    <n v="6009644547982"/>
    <s v="Apple and Malt Flavoured"/>
    <x v="3"/>
    <x v="549"/>
    <s v="BE"/>
    <s v="Anheuser-Busch InBev"/>
    <x v="12"/>
    <n v="17"/>
  </r>
  <r>
    <n v="6009644547982"/>
    <s v="Apple and Malt Flavoured"/>
    <x v="3"/>
    <x v="549"/>
    <s v="BE"/>
    <s v="Anheuser-Busch InBev"/>
    <x v="7"/>
    <n v="461"/>
  </r>
  <r>
    <n v="6009644548361"/>
    <s v="Coffee"/>
    <x v="120"/>
    <x v="549"/>
    <s v="BE"/>
    <s v="Anheuser-Busch InBev"/>
    <x v="0"/>
    <n v="2"/>
  </r>
  <r>
    <n v="6009644548361"/>
    <s v="Coffee"/>
    <x v="120"/>
    <x v="549"/>
    <s v="BE"/>
    <s v="Anheuser-Busch InBev"/>
    <x v="3"/>
    <n v="121"/>
  </r>
  <r>
    <n v="6009644548361"/>
    <s v="Coffee"/>
    <x v="120"/>
    <x v="549"/>
    <s v="BE"/>
    <s v="Anheuser-Busch InBev"/>
    <x v="4"/>
    <n v="5"/>
  </r>
  <r>
    <n v="6009644548361"/>
    <s v="Coffee"/>
    <x v="120"/>
    <x v="549"/>
    <s v="BE"/>
    <s v="Anheuser-Busch InBev"/>
    <x v="7"/>
    <n v="125"/>
  </r>
  <r>
    <n v="6009644548361"/>
    <s v="Coffee"/>
    <x v="120"/>
    <x v="549"/>
    <s v="BE"/>
    <s v="Anheuser-Busch InBev"/>
    <x v="5"/>
    <n v="1"/>
  </r>
  <r>
    <n v="6009644548767"/>
    <s v="Nice Coconut Flavoured Biscuits"/>
    <x v="72"/>
    <x v="268"/>
    <s v="TZ"/>
    <s v="BAKHRESA GROUP DIVISIONS"/>
    <x v="7"/>
    <n v="13"/>
  </r>
  <r>
    <n v="6009644548903"/>
    <s v="choco Vanila"/>
    <x v="269"/>
    <x v="268"/>
    <s v="TZ"/>
    <s v="BAKHRESA GROUP DIVISIONS"/>
    <x v="7"/>
    <n v="2"/>
  </r>
  <r>
    <n v="6009644549047"/>
    <s v="Non alcohol cofee"/>
    <x v="0"/>
    <x v="549"/>
    <s v="BE"/>
    <s v="Anheuser-Busch InBev"/>
    <x v="4"/>
    <n v="1"/>
  </r>
  <r>
    <n v="6009644549047"/>
    <s v="Non alcohol cofee"/>
    <x v="0"/>
    <x v="549"/>
    <s v="BE"/>
    <s v="Anheuser-Busch InBev"/>
    <x v="12"/>
    <n v="41"/>
  </r>
  <r>
    <n v="6009644549047"/>
    <s v="Non alcohol cofee"/>
    <x v="0"/>
    <x v="549"/>
    <s v="BE"/>
    <s v="Anheuser-Busch InBev"/>
    <x v="7"/>
    <n v="22"/>
  </r>
  <r>
    <n v="6009644549047"/>
    <s v="Non alcohol cofee"/>
    <x v="0"/>
    <x v="549"/>
    <s v="BE"/>
    <s v="Anheuser-Busch InBev"/>
    <x v="5"/>
    <n v="6"/>
  </r>
  <r>
    <n v="6009644549085"/>
    <s v="string duo"/>
    <x v="270"/>
    <x v="268"/>
    <s v="TZ"/>
    <s v="BAKHRESA GROUP DIVISIONS"/>
    <x v="7"/>
    <n v="5"/>
  </r>
  <r>
    <n v="6009644549269"/>
    <s v="Azam Swiss"/>
    <x v="3"/>
    <x v="550"/>
    <s v="TZ"/>
    <s v="BAKHRESA GROUP DIVISIONS"/>
    <x v="12"/>
    <n v="1"/>
  </r>
  <r>
    <n v="6009644549269"/>
    <s v="Azam Swiss"/>
    <x v="3"/>
    <x v="550"/>
    <s v="TZ"/>
    <s v="BAKHRESA GROUP DIVISIONS"/>
    <x v="7"/>
    <n v="8"/>
  </r>
  <r>
    <n v="6009644549276"/>
    <s v="Biskuti Milk Biscuits"/>
    <x v="72"/>
    <x v="268"/>
    <s v="TZ"/>
    <s v="BAKHRESA GROUP DIVISIONS"/>
    <x v="7"/>
    <n v="1"/>
  </r>
  <r>
    <n v="6009644549320"/>
    <s v="Energy drink"/>
    <x v="3"/>
    <x v="268"/>
    <s v="TZ"/>
    <s v="BAKHRESA GROUP DIVISIONS"/>
    <x v="0"/>
    <n v="668"/>
  </r>
  <r>
    <n v="6009644549320"/>
    <s v="Energy drink"/>
    <x v="3"/>
    <x v="268"/>
    <s v="TZ"/>
    <s v="BAKHRESA GROUP DIVISIONS"/>
    <x v="3"/>
    <n v="4246"/>
  </r>
  <r>
    <n v="6009644549320"/>
    <s v="Energy drink"/>
    <x v="3"/>
    <x v="268"/>
    <s v="TZ"/>
    <s v="BAKHRESA GROUP DIVISIONS"/>
    <x v="4"/>
    <n v="79"/>
  </r>
  <r>
    <n v="6009644549320"/>
    <s v="Energy drink"/>
    <x v="3"/>
    <x v="268"/>
    <s v="TZ"/>
    <s v="BAKHRESA GROUP DIVISIONS"/>
    <x v="12"/>
    <n v="3904"/>
  </r>
  <r>
    <n v="6009644549320"/>
    <s v="Energy drink"/>
    <x v="3"/>
    <x v="268"/>
    <s v="TZ"/>
    <s v="BAKHRESA GROUP DIVISIONS"/>
    <x v="7"/>
    <n v="2971"/>
  </r>
  <r>
    <n v="6009644549320"/>
    <s v="Energy drink"/>
    <x v="3"/>
    <x v="268"/>
    <s v="TZ"/>
    <s v="BAKHRESA GROUP DIVISIONS"/>
    <x v="5"/>
    <n v="17"/>
  </r>
  <r>
    <n v="6009644549337"/>
    <s v="Azam Passion"/>
    <x v="120"/>
    <x v="268"/>
    <s v="TZ"/>
    <s v="BAKHRESA GROUP DIVISIONS"/>
    <x v="7"/>
    <n v="7"/>
  </r>
  <r>
    <n v="6009644921003"/>
    <s v="YESS Fruit Punch"/>
    <x v="0"/>
    <x v="120"/>
    <s v="ZM"/>
    <s v="Acacia Food and Beverages Ltd"/>
    <x v="15"/>
    <n v="3"/>
  </r>
  <r>
    <n v="6009644921140"/>
    <s v="Maize drink"/>
    <x v="0"/>
    <x v="551"/>
    <s v="BE"/>
    <s v="Anheuser-Busch InBev"/>
    <x v="3"/>
    <n v="124"/>
  </r>
  <r>
    <n v="6009644921188"/>
    <s v="Chocolate &amp; Milk Flavoured Maize Drink"/>
    <x v="0"/>
    <x v="551"/>
    <s v="BE"/>
    <s v="Anheuser-Busch InBev"/>
    <x v="3"/>
    <n v="171"/>
  </r>
  <r>
    <n v="6009644921492"/>
    <s v="Fruity Milk"/>
    <x v="0"/>
    <x v="552"/>
    <s v="ZM"/>
    <s v="Trade Kings Group"/>
    <x v="3"/>
    <n v="52"/>
  </r>
  <r>
    <n v="6009644921492"/>
    <s v="Fruity Milk"/>
    <x v="0"/>
    <x v="552"/>
    <s v="ZM"/>
    <s v="Trade Kings Group"/>
    <x v="4"/>
    <n v="49"/>
  </r>
  <r>
    <n v="6009644921492"/>
    <s v="Fruity Milk"/>
    <x v="0"/>
    <x v="552"/>
    <s v="ZM"/>
    <s v="Trade Kings Group"/>
    <x v="15"/>
    <n v="9"/>
  </r>
  <r>
    <n v="6009644925575"/>
    <s v="Dish Washing Liquid"/>
    <x v="111"/>
    <x v="553"/>
    <s v="ZM"/>
    <s v="Trade Kings Group"/>
    <x v="15"/>
    <n v="1"/>
  </r>
  <r>
    <n v="6009644925605"/>
    <s v="Sparkle Plus Lemon Dishwashing Liquid"/>
    <x v="55"/>
    <x v="553"/>
    <s v="ZM"/>
    <s v="Trade Kings Group"/>
    <x v="10"/>
    <n v="2"/>
  </r>
  <r>
    <n v="6009644925605"/>
    <s v="Sparkle Plus Lemon Dishwashing Liquid"/>
    <x v="55"/>
    <x v="553"/>
    <s v="ZM"/>
    <s v="Trade Kings Group"/>
    <x v="4"/>
    <n v="1"/>
  </r>
  <r>
    <n v="6009644991198"/>
    <s v="Wildcat Energy Drink"/>
    <x v="0"/>
    <x v="554"/>
    <s v="ZM"/>
    <s v="Trade Kings Group"/>
    <x v="15"/>
    <n v="21"/>
  </r>
  <r>
    <n v="6009644991204"/>
    <s v="Wildcat Energy Drink"/>
    <x v="93"/>
    <x v="554"/>
    <s v="ZM"/>
    <s v="Trade Kings Group"/>
    <x v="15"/>
    <n v="3"/>
  </r>
  <r>
    <n v="6009644991266"/>
    <s v="Red Rock Cola, Big Tree Beverages"/>
    <x v="0"/>
    <x v="555"/>
    <s v="ZM"/>
    <s v="Trade Kings Group"/>
    <x v="5"/>
    <n v="1"/>
  </r>
  <r>
    <n v="6009644991266"/>
    <s v="Red Rock Cola, Big Tree Beverages"/>
    <x v="0"/>
    <x v="555"/>
    <s v="ZM"/>
    <s v="Trade Kings Group"/>
    <x v="15"/>
    <n v="8"/>
  </r>
  <r>
    <n v="6009644991389"/>
    <s v="Bleach"/>
    <x v="40"/>
    <x v="556"/>
    <s v="ZM"/>
    <s v="Trade Kings Group"/>
    <x v="15"/>
    <n v="1"/>
  </r>
  <r>
    <n v="6009644991778"/>
    <s v="Appy Apple"/>
    <x v="0"/>
    <x v="554"/>
    <s v="ZM"/>
    <s v="Trade Kings Group"/>
    <x v="4"/>
    <n v="35"/>
  </r>
  <r>
    <n v="6009644991778"/>
    <s v="Appy Apple"/>
    <x v="0"/>
    <x v="554"/>
    <s v="ZM"/>
    <s v="Trade Kings Group"/>
    <x v="15"/>
    <n v="23"/>
  </r>
  <r>
    <n v="6009644993284"/>
    <s v="Appy Pine"/>
    <x v="0"/>
    <x v="554"/>
    <s v="ZM"/>
    <s v="Trade Kings Group"/>
    <x v="15"/>
    <n v="9"/>
  </r>
  <r>
    <n v="6009644993628"/>
    <s v="Hand Sanitizer"/>
    <x v="14"/>
    <x v="557"/>
    <s v="ZM"/>
    <s v="Trade Kings Group"/>
    <x v="3"/>
    <n v="3"/>
  </r>
  <r>
    <n v="6009644993628"/>
    <s v="Hand Sanitizer"/>
    <x v="14"/>
    <x v="557"/>
    <s v="ZM"/>
    <s v="Trade Kings Group"/>
    <x v="15"/>
    <n v="1"/>
  </r>
  <r>
    <n v="6009644993772"/>
    <s v="Maize Drink"/>
    <x v="0"/>
    <x v="558"/>
    <s v="ZM"/>
    <s v="Trade Kings Group"/>
    <x v="10"/>
    <n v="16"/>
  </r>
  <r>
    <n v="6009644993772"/>
    <s v="Maize Drink"/>
    <x v="0"/>
    <x v="558"/>
    <s v="ZM"/>
    <s v="Trade Kings Group"/>
    <x v="15"/>
    <n v="29"/>
  </r>
  <r>
    <n v="6009644995790"/>
    <s v="Cola"/>
    <x v="93"/>
    <x v="559"/>
    <s v="ZM"/>
    <s v="Trade Kings Group"/>
    <x v="10"/>
    <n v="6"/>
  </r>
  <r>
    <n v="6009644995806"/>
    <s v="Mojo Orange"/>
    <x v="158"/>
    <x v="554"/>
    <s v="ZM"/>
    <s v="Trade Kings Group"/>
    <x v="10"/>
    <n v="15"/>
  </r>
  <r>
    <n v="6009644995806"/>
    <s v="Mojo Orange"/>
    <x v="158"/>
    <x v="554"/>
    <s v="ZM"/>
    <s v="Trade Kings Group"/>
    <x v="15"/>
    <n v="13"/>
  </r>
  <r>
    <n v="6009644995820"/>
    <s v="Pineapple"/>
    <x v="93"/>
    <x v="559"/>
    <s v="ZM"/>
    <s v="Trade Kings Group"/>
    <x v="10"/>
    <n v="5"/>
  </r>
  <r>
    <n v="6009644996186"/>
    <s v="Mojo Ginger"/>
    <x v="158"/>
    <x v="554"/>
    <s v="ZM"/>
    <s v="Trade Kings Group"/>
    <x v="4"/>
    <n v="1"/>
  </r>
  <r>
    <n v="6009644996186"/>
    <s v="Mojo Ginger"/>
    <x v="158"/>
    <x v="554"/>
    <s v="ZM"/>
    <s v="Trade Kings Group"/>
    <x v="15"/>
    <n v="15"/>
  </r>
  <r>
    <n v="6009644996995"/>
    <s v="Appy Grapo"/>
    <x v="0"/>
    <x v="554"/>
    <s v="ZM"/>
    <s v="Trade Kings Group"/>
    <x v="15"/>
    <n v="25"/>
  </r>
  <r>
    <n v="6009645820145"/>
    <s v="Mineral Water"/>
    <x v="40"/>
    <x v="560"/>
    <s v="MZ"/>
    <s v="Manzi Valley Limited"/>
    <x v="15"/>
    <n v="2"/>
  </r>
  <r>
    <n v="6009646580512"/>
    <s v="Óleo Puro de Soja"/>
    <x v="76"/>
    <x v="561"/>
    <s v="SG"/>
    <s v="Olam International Ltd"/>
    <x v="4"/>
    <n v="9"/>
  </r>
  <r>
    <n v="6009646580536"/>
    <s v="Óleo puro de soja"/>
    <x v="13"/>
    <x v="561"/>
    <s v="SG"/>
    <s v="Olam International Ltd"/>
    <x v="4"/>
    <n v="1"/>
  </r>
  <r>
    <n v="6009646580611"/>
    <s v="Óleo puro de soja"/>
    <x v="11"/>
    <x v="561"/>
    <s v="SG"/>
    <s v="Olam International Ltd"/>
    <x v="4"/>
    <n v="37"/>
  </r>
  <r>
    <n v="6009646580703"/>
    <s v="Fasorel"/>
    <x v="12"/>
    <x v="561"/>
    <s v="SG"/>
    <s v="Olam International Ltd"/>
    <x v="4"/>
    <n v="13"/>
  </r>
  <r>
    <n v="6009646580857"/>
    <s v="Sunseed"/>
    <x v="12"/>
    <x v="562"/>
    <s v="MZ"/>
    <s v="Fasorel- Óleos e Sabões"/>
    <x v="4"/>
    <n v="17"/>
  </r>
  <r>
    <n v="6009646580864"/>
    <s v="Oleo Puro"/>
    <x v="11"/>
    <x v="485"/>
    <s v="ZA"/>
    <s v="Sealake Industries"/>
    <x v="4"/>
    <n v="261"/>
  </r>
  <r>
    <n v="6009646580864"/>
    <s v="Oleo Puro"/>
    <x v="11"/>
    <x v="485"/>
    <s v="ZA"/>
    <s v="Sealake Industries"/>
    <x v="12"/>
    <n v="20"/>
  </r>
  <r>
    <n v="6009646581007"/>
    <s v="Mineral Water"/>
    <x v="35"/>
    <x v="563"/>
    <s v="MZ"/>
    <s v="Sociedade Águas Vumba, SA"/>
    <x v="4"/>
    <n v="7776"/>
  </r>
  <r>
    <n v="6009646581014"/>
    <s v="Vumba Mineral Water"/>
    <x v="0"/>
    <x v="563"/>
    <s v="MZ"/>
    <s v="Sociedade Águas Vumba, SA"/>
    <x v="4"/>
    <n v="13707"/>
  </r>
  <r>
    <n v="6009646581014"/>
    <s v="Vumba Mineral Water"/>
    <x v="0"/>
    <x v="563"/>
    <s v="MZ"/>
    <s v="Sociedade Águas Vumba, SA"/>
    <x v="7"/>
    <n v="1"/>
  </r>
  <r>
    <n v="6009652782757"/>
    <s v="Aqua Max"/>
    <x v="0"/>
    <x v="564"/>
    <s v="ZM"/>
    <s v="Californian Beverages Limited"/>
    <x v="15"/>
    <n v="31"/>
  </r>
  <r>
    <n v="6009652782955"/>
    <s v="Hubbly Bubbly"/>
    <x v="76"/>
    <x v="564"/>
    <s v="ZM"/>
    <s v="Californian Beverages Limited"/>
    <x v="15"/>
    <n v="11"/>
  </r>
  <r>
    <n v="6009652782962"/>
    <s v="Frooty"/>
    <x v="76"/>
    <x v="564"/>
    <s v="ZM"/>
    <s v="Californian Beverages Limited"/>
    <x v="4"/>
    <n v="50"/>
  </r>
  <r>
    <n v="6009652782962"/>
    <s v="Frooty"/>
    <x v="76"/>
    <x v="564"/>
    <s v="ZM"/>
    <s v="Californian Beverages Limited"/>
    <x v="15"/>
    <n v="21"/>
  </r>
  <r>
    <n v="6009655973381"/>
    <s v="Maracuja / Passion Fruit Dairy Blend Concentrate"/>
    <x v="13"/>
    <x v="565"/>
    <s v="ZA"/>
    <s v="Shoprite Holdings Ltd"/>
    <x v="4"/>
    <n v="11"/>
  </r>
  <r>
    <n v="6009655974272"/>
    <s v="Orange Dairy Blend Concentrate"/>
    <x v="13"/>
    <x v="565"/>
    <s v="ZA"/>
    <s v="Shoprite Holdings Ltd"/>
    <x v="4"/>
    <n v="19"/>
  </r>
  <r>
    <n v="6009660040214"/>
    <s v="Pure Drinking Water"/>
    <x v="35"/>
    <x v="566"/>
    <s v="TZ"/>
    <s v="Zainab Bottlers Company limited"/>
    <x v="0"/>
    <n v="1"/>
  </r>
  <r>
    <n v="6009660040214"/>
    <s v="Pure Drinking Water"/>
    <x v="35"/>
    <x v="566"/>
    <s v="TZ"/>
    <s v="Zainab Bottlers Company limited"/>
    <x v="4"/>
    <n v="47"/>
  </r>
  <r>
    <n v="6009660040214"/>
    <s v="Pure Drinking Water"/>
    <x v="35"/>
    <x v="566"/>
    <s v="TZ"/>
    <s v="Zainab Bottlers Company limited"/>
    <x v="7"/>
    <n v="147"/>
  </r>
  <r>
    <n v="6009660040221"/>
    <s v="Pure Drinking Water"/>
    <x v="0"/>
    <x v="566"/>
    <s v="TZ"/>
    <s v="Zainab Bottlers Company limited"/>
    <x v="7"/>
    <n v="437"/>
  </r>
  <r>
    <n v="6009660040238"/>
    <s v="Zan Aqua Pure Drinking Water"/>
    <x v="13"/>
    <x v="566"/>
    <s v="TZ"/>
    <s v="Zainab Bottlers Company limited"/>
    <x v="7"/>
    <n v="145"/>
  </r>
  <r>
    <n v="6009660040245"/>
    <s v="Natural Mineral Water"/>
    <x v="76"/>
    <x v="509"/>
    <s v="TZ"/>
    <s v="Zainab Bottlers Company limited"/>
    <x v="7"/>
    <n v="812"/>
  </r>
  <r>
    <n v="6009660040269"/>
    <s v="Pure Drinking Water"/>
    <x v="35"/>
    <x v="566"/>
    <s v="TZ"/>
    <s v="Zainab Bottlers Company limited"/>
    <x v="7"/>
    <n v="3"/>
  </r>
  <r>
    <n v="6009660903724"/>
    <s v="GINGER ALE sparkling ginger flavoured drink"/>
    <x v="2"/>
    <x v="567"/>
    <s v="ZA"/>
    <s v="Chill Beverages International"/>
    <x v="7"/>
    <n v="7"/>
  </r>
  <r>
    <n v="6009660903816"/>
    <s v="Indian Tonic"/>
    <x v="32"/>
    <x v="567"/>
    <s v="ZA"/>
    <s v="Chill Beverages International"/>
    <x v="7"/>
    <n v="8"/>
  </r>
  <r>
    <n v="6009661170118"/>
    <s v="Agua Purificada"/>
    <x v="35"/>
    <x v="198"/>
    <s v="US"/>
    <s v="Monarch Beverage Company Inc"/>
    <x v="4"/>
    <n v="64"/>
  </r>
  <r>
    <n v="6009661170118"/>
    <s v="Agua Purificada"/>
    <x v="35"/>
    <x v="198"/>
    <s v="US"/>
    <s v="Monarch Beverage Company Inc"/>
    <x v="12"/>
    <n v="6"/>
  </r>
  <r>
    <n v="6009661170125"/>
    <s v="Agua Purificada"/>
    <x v="0"/>
    <x v="198"/>
    <s v="US"/>
    <s v="Monarch Beverage Company Inc"/>
    <x v="4"/>
    <n v="91"/>
  </r>
  <r>
    <n v="6009661170125"/>
    <s v="Agua Purificada"/>
    <x v="0"/>
    <x v="198"/>
    <s v="US"/>
    <s v="Monarch Beverage Company Inc"/>
    <x v="12"/>
    <n v="43"/>
  </r>
  <r>
    <n v="6009661170255"/>
    <s v="Vimto Gasificado"/>
    <x v="0"/>
    <x v="127"/>
    <s v="GB"/>
    <s v="Nichols plc"/>
    <x v="4"/>
    <n v="163"/>
  </r>
  <r>
    <n v="6009661170262"/>
    <s v="Fiesta"/>
    <x v="12"/>
    <x v="147"/>
    <s v="MZ"/>
    <s v="Fiesta Moçambique Lda."/>
    <x v="4"/>
    <n v="70"/>
  </r>
  <r>
    <n v="6009661170279"/>
    <s v="Morango Refresco"/>
    <x v="0"/>
    <x v="147"/>
    <s v="MZ"/>
    <s v="Fiesta Moçambique Lda."/>
    <x v="4"/>
    <n v="309"/>
  </r>
  <r>
    <n v="6009661170279"/>
    <s v="Morango Refresco"/>
    <x v="0"/>
    <x v="147"/>
    <s v="MZ"/>
    <s v="Fiesta Moçambique Lda."/>
    <x v="5"/>
    <n v="2"/>
  </r>
  <r>
    <n v="6009661170309"/>
    <s v="Refresco Laranja"/>
    <x v="12"/>
    <x v="147"/>
    <s v="MZ"/>
    <s v="Fiesta Moçambique Lda."/>
    <x v="4"/>
    <n v="50"/>
  </r>
  <r>
    <n v="6009661170323"/>
    <s v="Fiesta"/>
    <x v="12"/>
    <x v="147"/>
    <s v="MZ"/>
    <s v="Fiesta Moçambique Lda."/>
    <x v="4"/>
    <n v="138"/>
  </r>
  <r>
    <n v="6009661170330"/>
    <s v="Fiesta Limão"/>
    <x v="0"/>
    <x v="147"/>
    <s v="MZ"/>
    <s v="Fiesta Moçambique Lda."/>
    <x v="4"/>
    <n v="1547"/>
  </r>
  <r>
    <n v="6009661170330"/>
    <s v="Fiesta Limão"/>
    <x v="0"/>
    <x v="147"/>
    <s v="MZ"/>
    <s v="Fiesta Moçambique Lda."/>
    <x v="5"/>
    <n v="10"/>
  </r>
  <r>
    <n v="6009661170347"/>
    <s v="Fiesta"/>
    <x v="12"/>
    <x v="147"/>
    <s v="MZ"/>
    <s v="Fiesta Moçambique Lda."/>
    <x v="4"/>
    <n v="146"/>
  </r>
  <r>
    <n v="6009661170354"/>
    <s v="Ananas/Pineapple Carbonated Soft Drink"/>
    <x v="0"/>
    <x v="147"/>
    <s v="MZ"/>
    <s v="Fiesta Moçambique Lda."/>
    <x v="4"/>
    <n v="2033"/>
  </r>
  <r>
    <n v="6009661170354"/>
    <s v="Ananas/Pineapple Carbonated Soft Drink"/>
    <x v="0"/>
    <x v="147"/>
    <s v="MZ"/>
    <s v="Fiesta Moçambique Lda."/>
    <x v="12"/>
    <n v="11"/>
  </r>
  <r>
    <n v="6009661170361"/>
    <s v="Fiesta"/>
    <x v="12"/>
    <x v="147"/>
    <s v="MZ"/>
    <s v="Fiesta Moçambique Lda."/>
    <x v="4"/>
    <n v="45"/>
  </r>
  <r>
    <n v="6009661170378"/>
    <s v="Grape - Carbonated Soft Drink"/>
    <x v="0"/>
    <x v="147"/>
    <s v="MZ"/>
    <s v="Fiesta Moçambique Lda."/>
    <x v="4"/>
    <n v="699"/>
  </r>
  <r>
    <n v="6009661219039"/>
    <s v="Moisturising Sun Spray"/>
    <x v="3"/>
    <x v="285"/>
    <s v="DE"/>
    <s v="Beiersdorf AG"/>
    <x v="8"/>
    <n v="2"/>
  </r>
  <r>
    <n v="6009661602848"/>
    <s v="Yaourt"/>
    <x v="57"/>
    <x v="568"/>
    <s v="CD"/>
    <s v="SOTICO"/>
    <x v="10"/>
    <n v="1"/>
  </r>
  <r>
    <n v="600966200003"/>
    <s v="Yaourt"/>
    <x v="151"/>
    <x v="568"/>
    <s v="CD"/>
    <s v="SOTICO"/>
    <x v="10"/>
    <n v="3"/>
  </r>
  <r>
    <n v="6009664104646"/>
    <s v="Boisson Gazeuse"/>
    <x v="0"/>
    <x v="569"/>
    <s v="CD"/>
    <s v="Amigo Foods"/>
    <x v="10"/>
    <n v="1"/>
  </r>
  <r>
    <n v="6009667480150"/>
    <s v="Clover Instant Yeast"/>
    <x v="4"/>
    <x v="570"/>
    <s v="ZM"/>
    <s v="Lee Yeast Zambia Limited"/>
    <x v="3"/>
    <n v="21"/>
  </r>
  <r>
    <n v="6009670370004"/>
    <s v="Mineral Water"/>
    <x v="35"/>
    <x v="261"/>
    <s v="MZ"/>
    <s v="Sociedade de Águas de Moçambique"/>
    <x v="4"/>
    <n v="11373"/>
  </r>
  <r>
    <n v="6009670370011"/>
    <s v="água"/>
    <x v="231"/>
    <x v="261"/>
    <s v="MZ"/>
    <s v="Sociedade de Águas de Moçambique"/>
    <x v="4"/>
    <n v="353"/>
  </r>
  <r>
    <n v="6009670370028"/>
    <s v="Namaacha Mineral Water"/>
    <x v="0"/>
    <x v="261"/>
    <s v="MZ"/>
    <s v="Sociedade de Águas de Moçambique"/>
    <x v="4"/>
    <n v="28132"/>
  </r>
  <r>
    <n v="600967037004"/>
    <s v="Água Mineral Natural"/>
    <x v="35"/>
    <x v="261"/>
    <s v="MZ"/>
    <s v="Sociedade de Águas de Moçambique"/>
    <x v="4"/>
    <n v="55"/>
  </r>
  <r>
    <n v="6009670370042"/>
    <s v="Agua mineral natural"/>
    <x v="220"/>
    <x v="261"/>
    <s v="MZ"/>
    <s v="Sociedade de Águas de Moçambique"/>
    <x v="4"/>
    <n v="23"/>
  </r>
  <r>
    <n v="6009670370509"/>
    <s v="Mineral Water"/>
    <x v="11"/>
    <x v="262"/>
    <s v="MZ"/>
    <s v="Sociedade de Águas de Moçambique"/>
    <x v="4"/>
    <n v="3032"/>
  </r>
  <r>
    <n v="6009670370516"/>
    <s v="Água Mineral Natural"/>
    <x v="35"/>
    <x v="262"/>
    <s v="MZ"/>
    <s v="Sociedade de Águas de Moçambique"/>
    <x v="4"/>
    <n v="517"/>
  </r>
  <r>
    <n v="6009670370523"/>
    <s v="Agua Mineral Natural"/>
    <x v="0"/>
    <x v="262"/>
    <s v="MZ"/>
    <s v="Sociedade de Águas de Moçambique"/>
    <x v="4"/>
    <n v="2336"/>
  </r>
  <r>
    <n v="6009670370530"/>
    <s v="Agua mineral natural"/>
    <x v="13"/>
    <x v="262"/>
    <s v="MZ"/>
    <s v="Sociedade de Águas de Moçambique"/>
    <x v="4"/>
    <n v="90"/>
  </r>
  <r>
    <n v="6009671260021"/>
    <s v="Mineral Water"/>
    <x v="0"/>
    <x v="571"/>
    <s v="ZM"/>
    <s v="Carribea Beverages Ltd"/>
    <x v="15"/>
    <n v="2"/>
  </r>
  <r>
    <n v="6009671260038"/>
    <s v="Aquavita"/>
    <x v="55"/>
    <x v="571"/>
    <s v="ZM"/>
    <s v="Carribea Beverages Ltd"/>
    <x v="15"/>
    <n v="22"/>
  </r>
  <r>
    <n v="6009672211664"/>
    <s v="Drinking Yoghurt"/>
    <x v="0"/>
    <x v="572"/>
    <s v="ZM"/>
    <s v="Trade Kings Group"/>
    <x v="12"/>
    <n v="1"/>
  </r>
  <r>
    <n v="6009672211664"/>
    <s v="Drinking Yoghurt"/>
    <x v="0"/>
    <x v="572"/>
    <s v="ZM"/>
    <s v="Trade Kings Group"/>
    <x v="15"/>
    <n v="2"/>
  </r>
  <r>
    <n v="6009674400172"/>
    <s v="Água mineral natural da montanha de Namuli"/>
    <x v="35"/>
    <x v="571"/>
    <s v="ZM"/>
    <s v="Carribea Beverages Ltd"/>
    <x v="4"/>
    <n v="49"/>
  </r>
  <r>
    <n v="6009674400189"/>
    <s v="Água mineral natural da montanha Namuli"/>
    <x v="0"/>
    <x v="571"/>
    <s v="ZM"/>
    <s v="Carribea Beverages Ltd"/>
    <x v="4"/>
    <n v="21"/>
  </r>
  <r>
    <n v="6009677500053"/>
    <s v="NATURAL SPRING WATER"/>
    <x v="35"/>
    <x v="573"/>
    <s v="UK"/>
    <s v="UNKNOWN_ORG"/>
    <x v="4"/>
    <n v="1"/>
  </r>
  <r>
    <n v="6009677971679"/>
    <s v="D3 1000"/>
    <x v="271"/>
    <x v="574"/>
    <s v="US"/>
    <s v="Metagenics Inc."/>
    <x v="8"/>
    <n v="1"/>
  </r>
  <r>
    <n v="6009678270450"/>
    <s v="orange"/>
    <x v="0"/>
    <x v="575"/>
    <s v="MW"/>
    <s v="Suncrest Creameries Ltd"/>
    <x v="3"/>
    <n v="20"/>
  </r>
  <r>
    <n v="6009678592316"/>
    <s v="Maheu Traditional"/>
    <x v="0"/>
    <x v="576"/>
    <s v="MW"/>
    <s v="Lilongwe Dairy (2001) Ltd"/>
    <x v="3"/>
    <n v="29"/>
  </r>
  <r>
    <n v="6009678592408"/>
    <s v="peach"/>
    <x v="0"/>
    <x v="577"/>
    <s v="MW"/>
    <s v="Lilongwe Dairy (2001) Ltd"/>
    <x v="3"/>
    <n v="102"/>
  </r>
  <r>
    <n v="6009678592415"/>
    <s v="Enjoy Tropical"/>
    <x v="0"/>
    <x v="578"/>
    <s v="MW"/>
    <s v="Lilongwe Dairy (2001) Ltd"/>
    <x v="3"/>
    <n v="20"/>
  </r>
  <r>
    <n v="6009678592798"/>
    <s v="More Long Life Yorghurt Drink"/>
    <x v="0"/>
    <x v="578"/>
    <s v="MW"/>
    <s v="Lilongwe Dairy (2001) Ltd"/>
    <x v="3"/>
    <n v="26"/>
  </r>
  <r>
    <n v="6009679916906"/>
    <s v="Zinc tablets"/>
    <x v="122"/>
    <x v="579"/>
    <s v="UK"/>
    <s v="UNKNOWN_ORG"/>
    <x v="4"/>
    <n v="2"/>
  </r>
  <r>
    <n v="6009681152330"/>
    <s v="Premium Purified Still Water"/>
    <x v="0"/>
    <x v="580"/>
    <s v="MW"/>
    <s v="Rab Processors Ltd"/>
    <x v="3"/>
    <n v="359"/>
  </r>
  <r>
    <n v="6009681152385"/>
    <s v="Thumbsup Lemon Carbonated Drink"/>
    <x v="76"/>
    <x v="581"/>
    <s v="MW"/>
    <s v="Rab Processors Ltd"/>
    <x v="3"/>
    <n v="695"/>
  </r>
  <r>
    <n v="6009681152408"/>
    <s v="Rab processors ltd"/>
    <x v="92"/>
    <x v="581"/>
    <s v="MW"/>
    <s v="Rab Processors Ltd"/>
    <x v="3"/>
    <n v="1"/>
  </r>
  <r>
    <n v="6009681152446"/>
    <s v="Orange Flavour Carbonated Drink"/>
    <x v="76"/>
    <x v="581"/>
    <s v="MW"/>
    <s v="Rab Processors Ltd"/>
    <x v="3"/>
    <n v="181"/>
  </r>
  <r>
    <n v="6009681152453"/>
    <s v="Drink"/>
    <x v="76"/>
    <x v="581"/>
    <s v="MW"/>
    <s v="Rab Processors Ltd"/>
    <x v="3"/>
    <n v="7"/>
  </r>
  <r>
    <n v="6009681152569"/>
    <s v="Pineapple Flavoured Carbonated Soft Drink"/>
    <x v="76"/>
    <x v="581"/>
    <s v="MW"/>
    <s v="Rab Processors Ltd"/>
    <x v="3"/>
    <n v="209"/>
  </r>
  <r>
    <n v="6009681152583"/>
    <s v="Cocopine Flavour Carbonated Drink"/>
    <x v="76"/>
    <x v="581"/>
    <s v="MW"/>
    <s v="Rab Processors Ltd"/>
    <x v="3"/>
    <n v="212"/>
  </r>
  <r>
    <n v="6009681260196"/>
    <s v="Pepsi"/>
    <x v="23"/>
    <x v="51"/>
    <s v="US"/>
    <s v="Pepsico, Inc"/>
    <x v="15"/>
    <n v="13"/>
  </r>
  <r>
    <n v="6009681260929"/>
    <s v="Carbonated Fruity Flavoured Soft Drink"/>
    <x v="39"/>
    <x v="240"/>
    <s v="US"/>
    <s v="Pepsico, Inc"/>
    <x v="10"/>
    <n v="1"/>
  </r>
  <r>
    <n v="6009681261209"/>
    <s v="Mirinda Grape Soft Drink"/>
    <x v="23"/>
    <x v="240"/>
    <s v="US"/>
    <s v="Pepsico, Inc"/>
    <x v="7"/>
    <n v="63"/>
  </r>
  <r>
    <n v="6009681261209"/>
    <s v="Mirinda Grape Soft Drink"/>
    <x v="23"/>
    <x v="240"/>
    <s v="US"/>
    <s v="Pepsico, Inc"/>
    <x v="15"/>
    <n v="7"/>
  </r>
  <r>
    <n v="6009681261285"/>
    <s v="Mirinda Soft Drink"/>
    <x v="23"/>
    <x v="240"/>
    <s v="US"/>
    <s v="Pepsico, Inc"/>
    <x v="15"/>
    <n v="6"/>
  </r>
  <r>
    <n v="6009681267102"/>
    <s v="Carbonated Drink"/>
    <x v="93"/>
    <x v="3"/>
    <s v="US"/>
    <s v="Keurig Dr Pepper Inc."/>
    <x v="3"/>
    <n v="23"/>
  </r>
  <r>
    <n v="6009681267102"/>
    <s v="Carbonated Drink"/>
    <x v="93"/>
    <x v="3"/>
    <s v="US"/>
    <s v="Keurig Dr Pepper Inc."/>
    <x v="15"/>
    <n v="1"/>
  </r>
  <r>
    <n v="6009681510093"/>
    <s v="Still Water"/>
    <x v="0"/>
    <x v="582"/>
    <s v="ZA"/>
    <s v="Cape Aqua"/>
    <x v="8"/>
    <n v="4"/>
  </r>
  <r>
    <n v="6009681511854"/>
    <s v="Natural Mineral Water"/>
    <x v="48"/>
    <x v="582"/>
    <s v="ZA"/>
    <s v="Cape Aqua"/>
    <x v="26"/>
    <n v="1"/>
  </r>
  <r>
    <n v="6009681511854"/>
    <s v="Natural Mineral Water"/>
    <x v="48"/>
    <x v="582"/>
    <s v="ZA"/>
    <s v="Cape Aqua"/>
    <x v="4"/>
    <n v="103"/>
  </r>
  <r>
    <n v="6009681511854"/>
    <s v="Natural Mineral Water"/>
    <x v="48"/>
    <x v="582"/>
    <s v="ZA"/>
    <s v="Cape Aqua"/>
    <x v="27"/>
    <n v="2"/>
  </r>
  <r>
    <n v="6009683330040"/>
    <s v="Premium Still Water"/>
    <x v="0"/>
    <x v="583"/>
    <s v="DK"/>
    <s v="Carlsberg Breweries A/S"/>
    <x v="3"/>
    <n v="21"/>
  </r>
  <r>
    <n v="6009683330989"/>
    <s v="Pineapple Squah"/>
    <x v="12"/>
    <x v="584"/>
    <s v="US"/>
    <s v="Coca-Cola"/>
    <x v="3"/>
    <n v="45"/>
  </r>
  <r>
    <n v="6009688130591"/>
    <s v="Vanilla yoghurt"/>
    <x v="10"/>
    <x v="585"/>
    <s v="TZ"/>
    <s v="Asas Group of companies"/>
    <x v="7"/>
    <n v="6"/>
  </r>
  <r>
    <n v="6009689440149"/>
    <s v="Kick Mineral Water"/>
    <x v="125"/>
    <x v="586"/>
    <s v="MW"/>
    <s v="Krazy Kool Beverages Ltd"/>
    <x v="3"/>
    <n v="92"/>
  </r>
  <r>
    <n v="6009690380038"/>
    <s v="Oasis Water"/>
    <x v="0"/>
    <x v="587"/>
    <s v="ZA"/>
    <s v="Oasis Water (Pty) Ltd"/>
    <x v="4"/>
    <n v="616"/>
  </r>
  <r>
    <n v="6009691350092"/>
    <s v="pineapple flavored soft drink"/>
    <x v="12"/>
    <x v="588"/>
    <s v="ZA"/>
    <s v="The Beverage Company"/>
    <x v="5"/>
    <n v="1"/>
  </r>
  <r>
    <n v="6009691350092"/>
    <s v="pineapple flavored soft drink"/>
    <x v="12"/>
    <x v="588"/>
    <s v="ZA"/>
    <s v="The Beverage Company"/>
    <x v="8"/>
    <n v="16"/>
  </r>
  <r>
    <n v="6009691350115"/>
    <s v="Iron Brew Soft Drink"/>
    <x v="12"/>
    <x v="588"/>
    <s v="ZA"/>
    <s v="The Beverage Company"/>
    <x v="5"/>
    <n v="1"/>
  </r>
  <r>
    <n v="6009691350115"/>
    <s v="Iron Brew Soft Drink"/>
    <x v="12"/>
    <x v="588"/>
    <s v="ZA"/>
    <s v="The Beverage Company"/>
    <x v="8"/>
    <n v="1"/>
  </r>
  <r>
    <n v="6009691350894"/>
    <s v="Pineapple flavoured soft drink"/>
    <x v="35"/>
    <x v="588"/>
    <s v="ZA"/>
    <s v="The Beverage Company"/>
    <x v="3"/>
    <n v="1"/>
  </r>
  <r>
    <n v="6009691350900"/>
    <s v="Refrigerante com aroma A IRON BREW"/>
    <x v="176"/>
    <x v="588"/>
    <s v="ZA"/>
    <s v="The Beverage Company"/>
    <x v="4"/>
    <n v="1"/>
  </r>
  <r>
    <n v="6009691350924"/>
    <s v="Apple flavoured soft drink"/>
    <x v="35"/>
    <x v="588"/>
    <s v="ZA"/>
    <s v="The Beverage Company"/>
    <x v="4"/>
    <n v="4"/>
  </r>
  <r>
    <n v="6009691353901"/>
    <s v="Mango flavoured soft drink"/>
    <x v="35"/>
    <x v="588"/>
    <s v="ZA"/>
    <s v="The Beverage Company"/>
    <x v="4"/>
    <n v="1"/>
  </r>
  <r>
    <n v="6009691358203"/>
    <s v="Litchi Flavoured Soft Drink"/>
    <x v="35"/>
    <x v="588"/>
    <s v="ZA"/>
    <s v="The Beverage Company"/>
    <x v="4"/>
    <n v="1"/>
  </r>
  <r>
    <n v="6009691800092"/>
    <s v="Vinegar"/>
    <x v="55"/>
    <x v="589"/>
    <s v="UK"/>
    <s v="UNKNOWN_ORG"/>
    <x v="4"/>
    <n v="35"/>
  </r>
  <r>
    <n v="6009691800115"/>
    <s v="Vinagre"/>
    <x v="76"/>
    <x v="589"/>
    <s v="UK"/>
    <s v="UNKNOWN_ORG"/>
    <x v="4"/>
    <n v="28"/>
  </r>
  <r>
    <n v="6009691800153"/>
    <s v="ÁGUA PURIFICADA"/>
    <x v="0"/>
    <x v="114"/>
    <s v="LR"/>
    <s v="Liberty Investment Ltd"/>
    <x v="4"/>
    <n v="1"/>
  </r>
  <r>
    <n v="6009691800887"/>
    <s v="Agua Purificada"/>
    <x v="35"/>
    <x v="114"/>
    <s v="LR"/>
    <s v="Liberty Investment Ltd"/>
    <x v="4"/>
    <n v="4"/>
  </r>
  <r>
    <n v="6009691800917"/>
    <s v="AGUA PURIFICADA"/>
    <x v="105"/>
    <x v="114"/>
    <s v="LR"/>
    <s v="Liberty Investment Ltd"/>
    <x v="4"/>
    <n v="1"/>
  </r>
  <r>
    <n v="6009694630559"/>
    <s v="PIneapple Flavoured Drink"/>
    <x v="0"/>
    <x v="590"/>
    <s v="ZA"/>
    <s v="Kingsley Beverages (Pty) Ltd."/>
    <x v="4"/>
    <n v="3"/>
  </r>
  <r>
    <n v="6009694630733"/>
    <s v="Cola Soft Drink"/>
    <x v="12"/>
    <x v="590"/>
    <s v="ZA"/>
    <s v="Kingsley Beverages (Pty) Ltd."/>
    <x v="4"/>
    <n v="13"/>
  </r>
  <r>
    <n v="6009694632140"/>
    <s v="Grape flavoured drink"/>
    <x v="35"/>
    <x v="590"/>
    <s v="ZA"/>
    <s v="Kingsley Beverages (Pty) Ltd."/>
    <x v="4"/>
    <n v="1"/>
  </r>
  <r>
    <n v="6009694633147"/>
    <s v="Apple Flavoured Drink"/>
    <x v="39"/>
    <x v="590"/>
    <s v="ZA"/>
    <s v="Kingsley Beverages (Pty) Ltd."/>
    <x v="4"/>
    <n v="1"/>
  </r>
  <r>
    <n v="6009694634045"/>
    <s v="Soft Drink"/>
    <x v="166"/>
    <x v="590"/>
    <s v="ZA"/>
    <s v="Kingsley Beverages (Pty) Ltd."/>
    <x v="4"/>
    <n v="1"/>
  </r>
  <r>
    <n v="6009698930129"/>
    <s v="Full Cream Milk Long Life"/>
    <x v="48"/>
    <x v="591"/>
    <s v="MW"/>
    <s v="New Capital Dairy (Pvt) Ltd"/>
    <x v="3"/>
    <n v="45"/>
  </r>
  <r>
    <n v="6009698930273"/>
    <s v="Mphamvu Orange Dairy Bread Juice"/>
    <x v="48"/>
    <x v="591"/>
    <s v="MW"/>
    <s v="New Capital Dairy (Pvt) Ltd"/>
    <x v="3"/>
    <n v="20"/>
  </r>
  <r>
    <n v="6009700620291"/>
    <s v="Gel Fixateur"/>
    <x v="272"/>
    <x v="592"/>
    <s v="CD"/>
    <s v="FEMCO"/>
    <x v="10"/>
    <n v="11"/>
  </r>
  <r>
    <n v="6009700620864"/>
    <s v="Poudre Bébé"/>
    <x v="254"/>
    <x v="593"/>
    <s v="CD"/>
    <s v="FEMCO"/>
    <x v="10"/>
    <n v="53"/>
  </r>
  <r>
    <n v="6009700621205"/>
    <s v="Shampooing aux Oeufs"/>
    <x v="156"/>
    <x v="594"/>
    <s v="CD"/>
    <s v="FEMCO"/>
    <x v="10"/>
    <n v="1"/>
  </r>
  <r>
    <n v="6009700621274"/>
    <s v="Poudre Parfum"/>
    <x v="239"/>
    <x v="595"/>
    <s v="CD"/>
    <s v="FEMCO"/>
    <x v="10"/>
    <n v="3"/>
  </r>
  <r>
    <n v="6009700621564"/>
    <s v="Lotion"/>
    <x v="0"/>
    <x v="596"/>
    <s v="CD"/>
    <s v="FEMCO"/>
    <x v="10"/>
    <n v="1"/>
  </r>
  <r>
    <n v="6009701816631"/>
    <s v="Mojo Energy Drink"/>
    <x v="93"/>
    <x v="554"/>
    <s v="ZM"/>
    <s v="Trade Kings Group"/>
    <x v="3"/>
    <n v="32"/>
  </r>
  <r>
    <n v="6009701816631"/>
    <s v="Mojo Energy Drink"/>
    <x v="93"/>
    <x v="554"/>
    <s v="ZM"/>
    <s v="Trade Kings Group"/>
    <x v="15"/>
    <n v="1"/>
  </r>
  <r>
    <n v="6009702440996"/>
    <s v="Irish Kettle Fried Chips"/>
    <x v="271"/>
    <x v="597"/>
    <s v="ZA"/>
    <s v="AVI Limited"/>
    <x v="4"/>
    <n v="1"/>
  </r>
  <r>
    <n v="6009702811178"/>
    <s v="Chewy vites"/>
    <x v="273"/>
    <x v="598"/>
    <s v="UK"/>
    <s v="UNKNOWN_ORG"/>
    <x v="7"/>
    <n v="1"/>
  </r>
  <r>
    <n v="6009702811178"/>
    <s v="Chewy vites"/>
    <x v="273"/>
    <x v="598"/>
    <s v="UK"/>
    <s v="UNKNOWN_ORG"/>
    <x v="5"/>
    <n v="1"/>
  </r>
  <r>
    <n v="6009704170860"/>
    <s v="Good Morning Breakfast Biscuits"/>
    <x v="122"/>
    <x v="460"/>
    <s v="UK"/>
    <s v="UNKNOWN_ORG"/>
    <x v="4"/>
    <n v="1"/>
  </r>
  <r>
    <n v="6009704171454"/>
    <s v="Provita Wholewheat Crispbread"/>
    <x v="254"/>
    <x v="460"/>
    <s v="UK"/>
    <s v="UNKNOWN_ORG"/>
    <x v="4"/>
    <n v="2"/>
  </r>
  <r>
    <n v="6009705290130"/>
    <s v="Yogi Sip"/>
    <x v="254"/>
    <x v="497"/>
    <s v="FR"/>
    <s v="Danone S.A."/>
    <x v="8"/>
    <n v="1"/>
  </r>
  <r>
    <n v="6009706160494"/>
    <s v="Pure Cooking Oil"/>
    <x v="40"/>
    <x v="599"/>
    <s v="ZW"/>
    <s v="Parrogate"/>
    <x v="15"/>
    <n v="23"/>
  </r>
  <r>
    <n v="6009706160937"/>
    <s v="Cooking Oil"/>
    <x v="0"/>
    <x v="599"/>
    <s v="ZW"/>
    <s v="Parrogate"/>
    <x v="15"/>
    <n v="6"/>
  </r>
  <r>
    <n v="6009706161149"/>
    <s v="Pure Soyabean Oil"/>
    <x v="12"/>
    <x v="600"/>
    <s v="ZW"/>
    <s v="Parrogate"/>
    <x v="3"/>
    <n v="32"/>
  </r>
  <r>
    <n v="6009707170775"/>
    <s v="Yogurt Líquido Oohlala Chocolate"/>
    <x v="0"/>
    <x v="601"/>
    <s v="UK"/>
    <s v="UNKNOWN_ORG"/>
    <x v="4"/>
    <n v="1"/>
  </r>
  <r>
    <n v="6009707171482"/>
    <s v="Sorvete Baunilha"/>
    <x v="13"/>
    <x v="601"/>
    <s v="UK"/>
    <s v="UNKNOWN_ORG"/>
    <x v="4"/>
    <n v="1"/>
  </r>
  <r>
    <n v="6009708461131"/>
    <s v="Plain Yoghurt"/>
    <x v="177"/>
    <x v="544"/>
    <s v="FR"/>
    <s v="Danone S.A."/>
    <x v="4"/>
    <n v="3"/>
  </r>
  <r>
    <n v="6009708461131"/>
    <s v="Plain Yoghurt"/>
    <x v="177"/>
    <x v="544"/>
    <s v="FR"/>
    <s v="Danone S.A."/>
    <x v="12"/>
    <n v="1"/>
  </r>
  <r>
    <n v="6009708461131"/>
    <s v="Plain Yoghurt"/>
    <x v="177"/>
    <x v="544"/>
    <s v="FR"/>
    <s v="Danone S.A."/>
    <x v="8"/>
    <n v="1"/>
  </r>
  <r>
    <n v="6009708461360"/>
    <s v="Double Cream plain yoghurt"/>
    <x v="177"/>
    <x v="544"/>
    <s v="FR"/>
    <s v="Danone S.A."/>
    <x v="4"/>
    <n v="1"/>
  </r>
  <r>
    <n v="6009708841810"/>
    <s v="Lait Caille Banane"/>
    <x v="22"/>
    <x v="602"/>
    <s v="CD"/>
    <s v="MAFRICOM"/>
    <x v="10"/>
    <n v="1"/>
  </r>
  <r>
    <n v="6009709570252"/>
    <s v="Intimate Wash"/>
    <x v="61"/>
    <x v="603"/>
    <s v="GB"/>
    <s v="Mundipharma International Limited"/>
    <x v="8"/>
    <n v="3"/>
  </r>
  <r>
    <n v="6009709822443"/>
    <s v="Appy Orange"/>
    <x v="0"/>
    <x v="554"/>
    <s v="ZM"/>
    <s v="Trade Kings Group"/>
    <x v="4"/>
    <n v="6"/>
  </r>
  <r>
    <n v="6009709822443"/>
    <s v="Appy Orange"/>
    <x v="0"/>
    <x v="554"/>
    <s v="ZM"/>
    <s v="Trade Kings Group"/>
    <x v="15"/>
    <n v="6"/>
  </r>
  <r>
    <n v="6009709823303"/>
    <s v="Toffee bar"/>
    <x v="274"/>
    <x v="604"/>
    <s v="ZM"/>
    <s v="Trade Kings Group"/>
    <x v="10"/>
    <n v="50"/>
  </r>
  <r>
    <n v="6009709823525"/>
    <s v="Juice Drink"/>
    <x v="275"/>
    <x v="605"/>
    <s v="ZM"/>
    <s v="Trade Kings Group"/>
    <x v="4"/>
    <n v="5"/>
  </r>
  <r>
    <n v="6009709823525"/>
    <s v="Juice Drink"/>
    <x v="275"/>
    <x v="605"/>
    <s v="ZM"/>
    <s v="Trade Kings Group"/>
    <x v="15"/>
    <n v="14"/>
  </r>
  <r>
    <n v="6009709823549"/>
    <s v="Fruticana Juice Drink"/>
    <x v="276"/>
    <x v="554"/>
    <s v="ZM"/>
    <s v="Trade Kings Group"/>
    <x v="15"/>
    <n v="4"/>
  </r>
  <r>
    <n v="6009709823556"/>
    <s v="Fruticana"/>
    <x v="275"/>
    <x v="554"/>
    <s v="ZM"/>
    <s v="Trade Kings Group"/>
    <x v="10"/>
    <n v="1"/>
  </r>
  <r>
    <n v="6009709823556"/>
    <s v="Fruticana"/>
    <x v="275"/>
    <x v="554"/>
    <s v="ZM"/>
    <s v="Trade Kings Group"/>
    <x v="15"/>
    <n v="46"/>
  </r>
  <r>
    <n v="6009709824348"/>
    <s v="Mineral Water"/>
    <x v="0"/>
    <x v="606"/>
    <s v="ZM"/>
    <s v="Trade Kings Group"/>
    <x v="15"/>
    <n v="62"/>
  </r>
  <r>
    <n v="6009709824775"/>
    <s v="Soft drink"/>
    <x v="277"/>
    <x v="559"/>
    <s v="ZM"/>
    <s v="Trade Kings Group"/>
    <x v="10"/>
    <n v="2"/>
  </r>
  <r>
    <n v="6009709824775"/>
    <s v="Soft drink"/>
    <x v="277"/>
    <x v="559"/>
    <s v="ZM"/>
    <s v="Trade Kings Group"/>
    <x v="3"/>
    <n v="2"/>
  </r>
  <r>
    <n v="6009709824775"/>
    <s v="Soft drink"/>
    <x v="277"/>
    <x v="559"/>
    <s v="ZM"/>
    <s v="Trade Kings Group"/>
    <x v="4"/>
    <n v="2"/>
  </r>
  <r>
    <n v="6009709824812"/>
    <s v="Sun Dance"/>
    <x v="76"/>
    <x v="607"/>
    <s v="ZM"/>
    <s v="Trade Kings Group"/>
    <x v="15"/>
    <n v="7"/>
  </r>
  <r>
    <n v="6009709825031"/>
    <s v="Toilet Cleaner Gel"/>
    <x v="0"/>
    <x v="608"/>
    <s v="ZM"/>
    <s v="Trade Kings Group"/>
    <x v="15"/>
    <n v="1"/>
  </r>
  <r>
    <n v="6009709825215"/>
    <s v="Mineral Water"/>
    <x v="55"/>
    <x v="606"/>
    <s v="ZM"/>
    <s v="Trade Kings Group"/>
    <x v="15"/>
    <n v="70"/>
  </r>
  <r>
    <n v="6009709825512"/>
    <s v="Fruticana Juice Drink Guava"/>
    <x v="275"/>
    <x v="554"/>
    <s v="ZM"/>
    <s v="Trade Kings Group"/>
    <x v="3"/>
    <n v="74"/>
  </r>
  <r>
    <n v="6009709825512"/>
    <s v="Fruticana Juice Drink Guava"/>
    <x v="275"/>
    <x v="554"/>
    <s v="ZM"/>
    <s v="Trade Kings Group"/>
    <x v="15"/>
    <n v="20"/>
  </r>
  <r>
    <n v="6009709826618"/>
    <s v="DAIRY FRUIT BLEND"/>
    <x v="276"/>
    <x v="605"/>
    <s v="ZM"/>
    <s v="Trade Kings Group"/>
    <x v="15"/>
    <n v="1"/>
  </r>
  <r>
    <n v="6009709826632"/>
    <s v="Mojo Energy Drink"/>
    <x v="93"/>
    <x v="554"/>
    <s v="ZM"/>
    <s v="Trade Kings Group"/>
    <x v="10"/>
    <n v="2"/>
  </r>
  <r>
    <n v="6009709826632"/>
    <s v="Mojo Energy Drink"/>
    <x v="93"/>
    <x v="554"/>
    <s v="ZM"/>
    <s v="Trade Kings Group"/>
    <x v="3"/>
    <n v="1239"/>
  </r>
  <r>
    <n v="6009709826632"/>
    <s v="Mojo Energy Drink"/>
    <x v="93"/>
    <x v="554"/>
    <s v="ZM"/>
    <s v="Trade Kings Group"/>
    <x v="7"/>
    <n v="8"/>
  </r>
  <r>
    <n v="6009709826632"/>
    <s v="Mojo Energy Drink"/>
    <x v="93"/>
    <x v="554"/>
    <s v="ZM"/>
    <s v="Trade Kings Group"/>
    <x v="5"/>
    <n v="1"/>
  </r>
  <r>
    <n v="6009709826632"/>
    <s v="Mojo Energy Drink"/>
    <x v="93"/>
    <x v="554"/>
    <s v="ZM"/>
    <s v="Trade Kings Group"/>
    <x v="15"/>
    <n v="102"/>
  </r>
  <r>
    <n v="6009709827141"/>
    <s v="Rice + Milk Drink"/>
    <x v="0"/>
    <x v="534"/>
    <s v="ZM"/>
    <s v="Trade Kings Group"/>
    <x v="15"/>
    <n v="1"/>
  </r>
  <r>
    <n v="6009709827899"/>
    <s v="Hygienix"/>
    <x v="278"/>
    <x v="609"/>
    <s v="ZM"/>
    <s v="Trade Kings Group"/>
    <x v="15"/>
    <n v="13"/>
  </r>
  <r>
    <n v="6009710390153"/>
    <s v="Light Spread"/>
    <x v="4"/>
    <x v="329"/>
    <s v="NL"/>
    <s v="Upfield Europe BV"/>
    <x v="5"/>
    <n v="6"/>
  </r>
  <r>
    <n v="6009710390153"/>
    <s v="Light Spread"/>
    <x v="4"/>
    <x v="329"/>
    <s v="NL"/>
    <s v="Upfield Europe BV"/>
    <x v="8"/>
    <n v="9"/>
  </r>
  <r>
    <n v="6009710720318"/>
    <s v="Potato Chips Thai Sweet Chill Flavour"/>
    <x v="260"/>
    <x v="116"/>
    <s v="US"/>
    <s v="Pepsico, Inc"/>
    <x v="4"/>
    <n v="1"/>
  </r>
  <r>
    <n v="6009710721537"/>
    <s v="Cheese Supreme Corn Chips"/>
    <x v="257"/>
    <x v="117"/>
    <s v="US"/>
    <s v="Pepsico, Inc"/>
    <x v="4"/>
    <n v="2"/>
  </r>
  <r>
    <n v="6009710723241"/>
    <s v="Cheese Supreme Coen Chips"/>
    <x v="257"/>
    <x v="117"/>
    <s v="US"/>
    <s v="Pepsico, Inc"/>
    <x v="4"/>
    <n v="10"/>
  </r>
  <r>
    <n v="6009710890127"/>
    <s v="Fruit &amp; Oats Crunch"/>
    <x v="279"/>
    <x v="610"/>
    <s v="US"/>
    <s v="Kellogg Company"/>
    <x v="4"/>
    <n v="1"/>
  </r>
  <r>
    <n v="6009711323983"/>
    <s v="Lemonade"/>
    <x v="0"/>
    <x v="611"/>
    <s v="ZM"/>
    <s v="Trade Kings Group"/>
    <x v="15"/>
    <n v="1"/>
  </r>
  <r>
    <n v="6009711324089"/>
    <s v="Big Daddy Energy Drink"/>
    <x v="93"/>
    <x v="554"/>
    <s v="ZM"/>
    <s v="Trade Kings Group"/>
    <x v="3"/>
    <n v="68"/>
  </r>
  <r>
    <n v="6009711324416"/>
    <s v="Boisson Énergétique"/>
    <x v="92"/>
    <x v="612"/>
    <s v="ZM"/>
    <s v="Trade Kings Group"/>
    <x v="10"/>
    <n v="15"/>
  </r>
  <r>
    <n v="6009711325154"/>
    <s v="Boisson Gazeuse"/>
    <x v="76"/>
    <x v="613"/>
    <s v="ZM"/>
    <s v="Trade Kings Group"/>
    <x v="10"/>
    <n v="48"/>
  </r>
  <r>
    <n v="6009711325161"/>
    <s v="Boisson Gazeuse"/>
    <x v="92"/>
    <x v="614"/>
    <s v="ZM"/>
    <s v="Trade Kings Group"/>
    <x v="10"/>
    <n v="5"/>
  </r>
  <r>
    <n v="6009711325185"/>
    <s v="Boisson Gazeuse"/>
    <x v="92"/>
    <x v="615"/>
    <s v="ZM"/>
    <s v="Trade Kings Group"/>
    <x v="10"/>
    <n v="6"/>
  </r>
  <r>
    <n v="6009711325192"/>
    <s v="Boisson Gazeuse"/>
    <x v="92"/>
    <x v="616"/>
    <s v="ZM"/>
    <s v="Trade Kings Group"/>
    <x v="10"/>
    <n v="13"/>
  </r>
  <r>
    <n v="6009711326809"/>
    <s v="Green Smoothie"/>
    <x v="0"/>
    <x v="605"/>
    <s v="ZM"/>
    <s v="Trade Kings Group"/>
    <x v="10"/>
    <n v="58"/>
  </r>
  <r>
    <n v="6009711326809"/>
    <s v="Green Smoothie"/>
    <x v="0"/>
    <x v="605"/>
    <s v="ZM"/>
    <s v="Trade Kings Group"/>
    <x v="4"/>
    <n v="1"/>
  </r>
  <r>
    <n v="6009713101503"/>
    <s v="Pine Apple Boisson Gazeuse"/>
    <x v="0"/>
    <x v="617"/>
    <s v="ZM"/>
    <s v="Trade Kings Group"/>
    <x v="10"/>
    <n v="4"/>
  </r>
  <r>
    <n v="6009713101510"/>
    <s v="Orange Boisson Gazeuse"/>
    <x v="0"/>
    <x v="617"/>
    <s v="ZM"/>
    <s v="Trade Kings Group"/>
    <x v="10"/>
    <n v="3"/>
  </r>
  <r>
    <n v="6009713101589"/>
    <s v="Mango Boisson Fruité"/>
    <x v="0"/>
    <x v="617"/>
    <s v="ZM"/>
    <s v="Trade Kings Group"/>
    <x v="10"/>
    <n v="91"/>
  </r>
  <r>
    <n v="6009713104979"/>
    <s v="XXTRA Boisson Énergétique"/>
    <x v="76"/>
    <x v="559"/>
    <s v="ZM"/>
    <s v="Trade Kings Group"/>
    <x v="10"/>
    <n v="1"/>
  </r>
  <r>
    <n v="6009713105020"/>
    <s v="Boisson Gazeuse Orange"/>
    <x v="76"/>
    <x v="618"/>
    <s v="TZ"/>
    <s v="Jambo Group"/>
    <x v="10"/>
    <n v="4"/>
  </r>
  <r>
    <n v="60097880"/>
    <s v="Dry Sprint"/>
    <x v="9"/>
    <x v="619"/>
    <s v="GB"/>
    <s v="Unilever Plc"/>
    <x v="3"/>
    <n v="100"/>
  </r>
  <r>
    <n v="60097880"/>
    <s v="Dry Sprint"/>
    <x v="9"/>
    <x v="619"/>
    <s v="GB"/>
    <s v="Unilever Plc"/>
    <x v="8"/>
    <n v="1"/>
  </r>
  <r>
    <n v="6009800891232"/>
    <s v="Yoza Maheu"/>
    <x v="262"/>
    <x v="575"/>
    <s v="MW"/>
    <s v="Suncrest Creameries Ltd"/>
    <x v="3"/>
    <n v="21"/>
  </r>
  <r>
    <n v="6009800891393"/>
    <s v="Tropical Smoothie Pineapple"/>
    <x v="0"/>
    <x v="575"/>
    <s v="MW"/>
    <s v="Suncrest Creameries Ltd"/>
    <x v="3"/>
    <n v="53"/>
  </r>
  <r>
    <n v="6009801332055"/>
    <s v="Turpentine"/>
    <x v="11"/>
    <x v="620"/>
    <s v="ZA"/>
    <s v="B &amp; R Products (Pty) Ltd."/>
    <x v="4"/>
    <n v="1"/>
  </r>
  <r>
    <n v="6009801423043"/>
    <s v="AQUASAVANA"/>
    <x v="0"/>
    <x v="621"/>
    <s v="ZM"/>
    <s v="Fairy Bottling Zambia Limited"/>
    <x v="15"/>
    <n v="58"/>
  </r>
  <r>
    <n v="6009801423050"/>
    <s v="Mineral Water"/>
    <x v="55"/>
    <x v="622"/>
    <s v="US"/>
    <s v="Coca-Cola"/>
    <x v="15"/>
    <n v="15"/>
  </r>
  <r>
    <n v="6009801699189"/>
    <s v="Vinagre"/>
    <x v="280"/>
    <x v="623"/>
    <s v="UK"/>
    <s v="UNKNOWN_ORG"/>
    <x v="4"/>
    <n v="23"/>
  </r>
  <r>
    <n v="6009801699196"/>
    <s v="Vinagre"/>
    <x v="281"/>
    <x v="623"/>
    <s v="UK"/>
    <s v="UNKNOWN_ORG"/>
    <x v="4"/>
    <n v="5"/>
  </r>
  <r>
    <n v="6009801699295"/>
    <s v="Oleo Alimentar Puro de Soja"/>
    <x v="12"/>
    <x v="624"/>
    <s v="MZ"/>
    <s v="COPROZMOL, Lda"/>
    <x v="4"/>
    <n v="26"/>
  </r>
  <r>
    <n v="6009801699301"/>
    <s v="Oleo Alimentar Puro de Soja"/>
    <x v="76"/>
    <x v="624"/>
    <s v="MZ"/>
    <s v="COPROZMOL, Lda"/>
    <x v="4"/>
    <n v="1"/>
  </r>
  <r>
    <n v="6009802033838"/>
    <s v="Hand Sanitiser 70%"/>
    <x v="0"/>
    <x v="625"/>
    <s v="UK"/>
    <s v="UNKNOWN_ORG"/>
    <x v="4"/>
    <n v="5"/>
  </r>
  <r>
    <n v="600980220957"/>
    <s v="água"/>
    <x v="231"/>
    <x v="626"/>
    <s v="MZ"/>
    <s v="Fonte da Vida Lda"/>
    <x v="4"/>
    <n v="142"/>
  </r>
  <r>
    <n v="6009802229019"/>
    <s v="Agua Natural"/>
    <x v="0"/>
    <x v="626"/>
    <s v="MZ"/>
    <s v="Fonte da Vida Lda"/>
    <x v="4"/>
    <n v="352"/>
  </r>
  <r>
    <n v="6009802229033"/>
    <s v="Agua Natural"/>
    <x v="35"/>
    <x v="626"/>
    <s v="MZ"/>
    <s v="Fonte da Vida Lda"/>
    <x v="4"/>
    <n v="237"/>
  </r>
  <r>
    <n v="6009802229057"/>
    <s v="Água Natural"/>
    <x v="259"/>
    <x v="626"/>
    <s v="MZ"/>
    <s v="Fonte da Vida Lda"/>
    <x v="4"/>
    <n v="80"/>
  </r>
  <r>
    <n v="6009802229057"/>
    <s v="Água Natural"/>
    <x v="259"/>
    <x v="626"/>
    <s v="MZ"/>
    <s v="Fonte da Vida Lda"/>
    <x v="12"/>
    <n v="1"/>
  </r>
  <r>
    <n v="6009802341964"/>
    <s v="Agua Purificada"/>
    <x v="282"/>
    <x v="627"/>
    <s v="MZ"/>
    <s v="Refrigerantes Spar Lda"/>
    <x v="4"/>
    <n v="1"/>
  </r>
  <r>
    <n v="6009802341971"/>
    <s v="Agua Purificada"/>
    <x v="259"/>
    <x v="627"/>
    <s v="MZ"/>
    <s v="Refrigerantes Spar Lda"/>
    <x v="4"/>
    <n v="873"/>
  </r>
  <r>
    <n v="6009802341988"/>
    <s v="Agua de Nascente / Spring Water"/>
    <x v="11"/>
    <x v="563"/>
    <s v="MZ"/>
    <s v="Sociedade Águas Vumba, SA"/>
    <x v="4"/>
    <n v="1689"/>
  </r>
  <r>
    <n v="6009802341995"/>
    <s v="Água pura da nascente"/>
    <x v="23"/>
    <x v="563"/>
    <s v="MZ"/>
    <s v="Sociedade Águas Vumba, SA"/>
    <x v="4"/>
    <n v="335"/>
  </r>
  <r>
    <n v="6009802591154"/>
    <s v="Champion Milky Drink"/>
    <x v="0"/>
    <x v="628"/>
    <s v="MW"/>
    <s v="Suncrest Creameries Ltd"/>
    <x v="3"/>
    <n v="10"/>
  </r>
  <r>
    <n v="6009802591277"/>
    <s v="Waka Waka Passion Fruit"/>
    <x v="92"/>
    <x v="629"/>
    <s v="MW"/>
    <s v="Mother's Food Limited"/>
    <x v="3"/>
    <n v="10"/>
  </r>
  <r>
    <n v="6009802591765"/>
    <s v="Waka Waka Ginger"/>
    <x v="76"/>
    <x v="630"/>
    <s v="MW"/>
    <s v="Mothers Holding Limited"/>
    <x v="3"/>
    <n v="154"/>
  </r>
  <r>
    <n v="6009802591802"/>
    <s v="Waka Waka Orange Drink"/>
    <x v="76"/>
    <x v="630"/>
    <s v="MW"/>
    <s v="Mothers Holding Limited"/>
    <x v="3"/>
    <n v="117"/>
  </r>
  <r>
    <n v="6009802591918"/>
    <s v="Waka Waka Grape"/>
    <x v="76"/>
    <x v="629"/>
    <s v="MW"/>
    <s v="Mother's Food Limited"/>
    <x v="3"/>
    <n v="74"/>
  </r>
  <r>
    <n v="6009802613023"/>
    <s v="Água mineral"/>
    <x v="0"/>
    <x v="631"/>
    <s v="MZ"/>
    <s v="Mafuia Group"/>
    <x v="4"/>
    <n v="42"/>
  </r>
  <r>
    <n v="6009802613023"/>
    <s v="Água mineral"/>
    <x v="0"/>
    <x v="631"/>
    <s v="MZ"/>
    <s v="Mafuia Group"/>
    <x v="12"/>
    <n v="4"/>
  </r>
  <r>
    <n v="6009802907016"/>
    <s v="Pure Soya Oil"/>
    <x v="13"/>
    <x v="632"/>
    <s v="UK"/>
    <s v="UNKNOWN_ORG"/>
    <x v="4"/>
    <n v="12"/>
  </r>
  <r>
    <n v="6009802913086"/>
    <s v="Água Kool"/>
    <x v="0"/>
    <x v="633"/>
    <s v="TZ"/>
    <s v="Zainab Bottlers Company limited"/>
    <x v="4"/>
    <n v="35"/>
  </r>
  <r>
    <n v="6009802913086"/>
    <s v="Água Kool"/>
    <x v="0"/>
    <x v="633"/>
    <s v="TZ"/>
    <s v="Zainab Bottlers Company limited"/>
    <x v="7"/>
    <n v="50"/>
  </r>
  <r>
    <n v="6009802913093"/>
    <s v="Agua Natural Purificada"/>
    <x v="35"/>
    <x v="633"/>
    <s v="TZ"/>
    <s v="Zainab Bottlers Company limited"/>
    <x v="3"/>
    <n v="50"/>
  </r>
  <r>
    <n v="6009802913093"/>
    <s v="Agua Natural Purificada"/>
    <x v="35"/>
    <x v="633"/>
    <s v="TZ"/>
    <s v="Zainab Bottlers Company limited"/>
    <x v="4"/>
    <n v="28"/>
  </r>
  <r>
    <n v="6009803227328"/>
    <s v="Drinking Water"/>
    <x v="0"/>
    <x v="634"/>
    <s v="US"/>
    <s v="Pepsico, Inc"/>
    <x v="15"/>
    <n v="24"/>
  </r>
  <r>
    <n v="6009803227342"/>
    <s v="Mineral Water"/>
    <x v="22"/>
    <x v="634"/>
    <s v="US"/>
    <s v="Pepsico, Inc"/>
    <x v="15"/>
    <n v="1"/>
  </r>
  <r>
    <n v="6009803612629"/>
    <s v="Flaming Hot Chilli Sauce"/>
    <x v="2"/>
    <x v="635"/>
    <s v="MW"/>
    <s v="Osman Foods"/>
    <x v="3"/>
    <n v="56"/>
  </r>
  <r>
    <n v="6009803612834"/>
    <s v="Peanut butter"/>
    <x v="147"/>
    <x v="636"/>
    <s v="DE"/>
    <s v="Intersnack Group"/>
    <x v="3"/>
    <n v="50"/>
  </r>
  <r>
    <n v="6009803612858"/>
    <s v="Peanut butter"/>
    <x v="10"/>
    <x v="636"/>
    <s v="DE"/>
    <s v="Intersnack Group"/>
    <x v="3"/>
    <n v="50"/>
  </r>
  <r>
    <n v="6009803612988"/>
    <s v="Pure Water"/>
    <x v="0"/>
    <x v="637"/>
    <s v="MW"/>
    <s v="Omega Beverages"/>
    <x v="3"/>
    <n v="16"/>
  </r>
  <r>
    <n v="6009803672241"/>
    <s v="Pepsi Carbonated Soft Drink"/>
    <x v="93"/>
    <x v="51"/>
    <s v="US"/>
    <s v="Pepsico, Inc"/>
    <x v="4"/>
    <n v="1"/>
  </r>
  <r>
    <n v="6009803672500"/>
    <s v="Natural Food"/>
    <x v="57"/>
    <x v="638"/>
    <s v="ZM"/>
    <s v="Trade Kings Group"/>
    <x v="3"/>
    <n v="114"/>
  </r>
  <r>
    <n v="6009803672500"/>
    <s v="Natural Food"/>
    <x v="57"/>
    <x v="638"/>
    <s v="ZM"/>
    <s v="Trade Kings Group"/>
    <x v="4"/>
    <n v="50"/>
  </r>
  <r>
    <n v="6009803672500"/>
    <s v="Natural Food"/>
    <x v="57"/>
    <x v="638"/>
    <s v="ZM"/>
    <s v="Trade Kings Group"/>
    <x v="15"/>
    <n v="2"/>
  </r>
  <r>
    <n v="6009803726821"/>
    <s v="Jam Fruity Strawberry Flavoured Biscuits"/>
    <x v="283"/>
    <x v="639"/>
    <s v="LS"/>
    <s v="Daisy Biscuits"/>
    <x v="4"/>
    <n v="1"/>
  </r>
  <r>
    <n v="6009804011018"/>
    <s v="Saveur De Fruit Boisson Gazeuse"/>
    <x v="0"/>
    <x v="240"/>
    <s v="US"/>
    <s v="Pepsico, Inc"/>
    <x v="10"/>
    <n v="13"/>
  </r>
  <r>
    <n v="6009804011056"/>
    <s v="Grenadine Boisson Gazeuse"/>
    <x v="0"/>
    <x v="240"/>
    <s v="US"/>
    <s v="Pepsico, Inc"/>
    <x v="10"/>
    <n v="8"/>
  </r>
  <r>
    <n v="6009804011070"/>
    <s v="Grenadine Boisson Gazeuse"/>
    <x v="39"/>
    <x v="240"/>
    <s v="US"/>
    <s v="Pepsico, Inc"/>
    <x v="10"/>
    <n v="1"/>
  </r>
  <r>
    <n v="6009804011100"/>
    <s v="Orange Boisson Gazeuse"/>
    <x v="0"/>
    <x v="240"/>
    <s v="US"/>
    <s v="Pepsico, Inc"/>
    <x v="10"/>
    <n v="2"/>
  </r>
  <r>
    <n v="6009804011148"/>
    <s v="Sans Sucre Saveur Orange"/>
    <x v="0"/>
    <x v="240"/>
    <s v="US"/>
    <s v="Pepsico, Inc"/>
    <x v="10"/>
    <n v="1"/>
  </r>
  <r>
    <n v="6009804011186"/>
    <s v="Ananas Boisson Gazeuse"/>
    <x v="0"/>
    <x v="240"/>
    <s v="US"/>
    <s v="Pepsico, Inc"/>
    <x v="10"/>
    <n v="9"/>
  </r>
  <r>
    <n v="6009804011209"/>
    <s v="Ananas Boisson Gazeuse"/>
    <x v="178"/>
    <x v="240"/>
    <s v="US"/>
    <s v="Pepsico, Inc"/>
    <x v="10"/>
    <n v="1"/>
  </r>
  <r>
    <n v="6009804011223"/>
    <s v="Pepsi Cola"/>
    <x v="0"/>
    <x v="51"/>
    <s v="US"/>
    <s v="Pepsico, Inc"/>
    <x v="10"/>
    <n v="70"/>
  </r>
  <r>
    <n v="6009804011261"/>
    <s v="Sans Sucre"/>
    <x v="0"/>
    <x v="51"/>
    <s v="US"/>
    <s v="Pepsico, Inc"/>
    <x v="10"/>
    <n v="5"/>
  </r>
  <r>
    <n v="6009804011278"/>
    <s v="Sans Sucre"/>
    <x v="22"/>
    <x v="51"/>
    <s v="US"/>
    <s v="Pepsico, Inc"/>
    <x v="10"/>
    <n v="6"/>
  </r>
  <r>
    <n v="6009804011346"/>
    <s v="Citron Boisson Gazeuse"/>
    <x v="0"/>
    <x v="3"/>
    <s v="US"/>
    <s v="Keurig Dr Pepper Inc."/>
    <x v="10"/>
    <n v="8"/>
  </r>
  <r>
    <n v="6009804011353"/>
    <s v="Citron Boisson Gazeuse"/>
    <x v="22"/>
    <x v="3"/>
    <s v="US"/>
    <s v="Keurig Dr Pepper Inc."/>
    <x v="10"/>
    <n v="1"/>
  </r>
  <r>
    <n v="6009804011452"/>
    <s v="Energy Drink"/>
    <x v="48"/>
    <x v="640"/>
    <s v="CD"/>
    <s v="VARUM BEVERAGES RDC SAS"/>
    <x v="10"/>
    <n v="3"/>
  </r>
  <r>
    <n v="6009804011551"/>
    <s v="Cola"/>
    <x v="14"/>
    <x v="51"/>
    <s v="US"/>
    <s v="Pepsico, Inc"/>
    <x v="10"/>
    <n v="14"/>
  </r>
  <r>
    <n v="6009804011568"/>
    <s v="Sans Sucre"/>
    <x v="14"/>
    <x v="51"/>
    <s v="US"/>
    <s v="Pepsico, Inc"/>
    <x v="10"/>
    <n v="10"/>
  </r>
  <r>
    <n v="6009804011575"/>
    <s v="Grenadine Boisson Gazeuse"/>
    <x v="14"/>
    <x v="240"/>
    <s v="US"/>
    <s v="Pepsico, Inc"/>
    <x v="10"/>
    <n v="5"/>
  </r>
  <r>
    <n v="6009804011599"/>
    <s v="Orange Boisson Gazeuse"/>
    <x v="14"/>
    <x v="240"/>
    <s v="US"/>
    <s v="Pepsico, Inc"/>
    <x v="10"/>
    <n v="7"/>
  </r>
  <r>
    <n v="6009804020072"/>
    <s v="cooking oil"/>
    <x v="39"/>
    <x v="641"/>
    <s v="UK"/>
    <s v="UNKNOWN_ORG"/>
    <x v="3"/>
    <n v="5"/>
  </r>
  <r>
    <n v="6009804040506"/>
    <s v="Vinagre Branco"/>
    <x v="55"/>
    <x v="414"/>
    <s v="MZ"/>
    <s v="Águas de Ribaue Lda"/>
    <x v="4"/>
    <n v="35"/>
  </r>
  <r>
    <n v="6009804040612"/>
    <s v="Água de Mesa"/>
    <x v="0"/>
    <x v="642"/>
    <s v="MZ"/>
    <s v="Águas de Ribaue Lda"/>
    <x v="4"/>
    <n v="1507"/>
  </r>
  <r>
    <n v="6009804040629"/>
    <s v="Água de Mesa"/>
    <x v="35"/>
    <x v="642"/>
    <s v="MZ"/>
    <s v="Águas de Ribaue Lda"/>
    <x v="4"/>
    <n v="1049"/>
  </r>
  <r>
    <n v="6009804040636"/>
    <s v="Agua purificada"/>
    <x v="284"/>
    <x v="642"/>
    <s v="MZ"/>
    <s v="Águas de Ribaue Lda"/>
    <x v="4"/>
    <n v="1"/>
  </r>
  <r>
    <n v="6009804040919"/>
    <s v="Água de mesa purificada"/>
    <x v="105"/>
    <x v="642"/>
    <s v="MZ"/>
    <s v="Águas de Ribaue Lda"/>
    <x v="4"/>
    <n v="85"/>
  </r>
  <r>
    <n v="6009804040926"/>
    <s v="Mineral water"/>
    <x v="259"/>
    <x v="642"/>
    <s v="MZ"/>
    <s v="Águas de Ribaue Lda"/>
    <x v="4"/>
    <n v="206"/>
  </r>
  <r>
    <n v="6009804040971"/>
    <s v="Mineral Water"/>
    <x v="0"/>
    <x v="414"/>
    <s v="MZ"/>
    <s v="Águas de Ribaue Lda"/>
    <x v="4"/>
    <n v="3831"/>
  </r>
  <r>
    <n v="6009804040988"/>
    <s v="Agua Mineral"/>
    <x v="35"/>
    <x v="414"/>
    <s v="MZ"/>
    <s v="Águas de Ribaue Lda"/>
    <x v="4"/>
    <n v="827"/>
  </r>
  <r>
    <n v="6009815370005"/>
    <s v="Biscuits"/>
    <x v="285"/>
    <x v="220"/>
    <s v="MY"/>
    <s v="Julie's Manufacturing"/>
    <x v="7"/>
    <n v="1"/>
  </r>
  <r>
    <n v="6009816450003"/>
    <s v="TANGY"/>
    <x v="92"/>
    <x v="643"/>
    <s v="UK"/>
    <s v="UNKNOWN_ORG"/>
    <x v="5"/>
    <n v="15"/>
  </r>
  <r>
    <n v="6009816450003"/>
    <s v="TANGY"/>
    <x v="92"/>
    <x v="643"/>
    <s v="UK"/>
    <s v="UNKNOWN_ORG"/>
    <x v="15"/>
    <n v="3"/>
  </r>
  <r>
    <n v="6009816450102"/>
    <s v="Crazy Cola"/>
    <x v="92"/>
    <x v="643"/>
    <s v="UK"/>
    <s v="UNKNOWN_ORG"/>
    <x v="15"/>
    <n v="2"/>
  </r>
  <r>
    <n v="6009816450492"/>
    <s v="Lemon &amp; Lime"/>
    <x v="92"/>
    <x v="643"/>
    <s v="UK"/>
    <s v="UNKNOWN_ORG"/>
    <x v="5"/>
    <n v="1"/>
  </r>
  <r>
    <n v="6009816450492"/>
    <s v="Lemon &amp; Lime"/>
    <x v="92"/>
    <x v="643"/>
    <s v="UK"/>
    <s v="UNKNOWN_ORG"/>
    <x v="15"/>
    <n v="1"/>
  </r>
  <r>
    <n v="600981699295"/>
    <s v="Oleo Alimentar Puro de Soja"/>
    <x v="12"/>
    <x v="624"/>
    <s v="MZ"/>
    <s v="COPROZMOL, Lda"/>
    <x v="4"/>
    <n v="1"/>
  </r>
  <r>
    <n v="6009817150001"/>
    <s v="Purified water"/>
    <x v="0"/>
    <x v="644"/>
    <s v="UK"/>
    <s v="UNKNOWN_ORG"/>
    <x v="15"/>
    <n v="1"/>
  </r>
  <r>
    <n v="6009818350257"/>
    <s v="Coco Pine Soft Drink"/>
    <x v="12"/>
    <x v="645"/>
    <s v="UK"/>
    <s v="UNKNOWN_ORG"/>
    <x v="4"/>
    <n v="4"/>
  </r>
  <r>
    <n v="6009818350257"/>
    <s v="Coco Pine Soft Drink"/>
    <x v="12"/>
    <x v="645"/>
    <s v="UK"/>
    <s v="UNKNOWN_ORG"/>
    <x v="12"/>
    <n v="1"/>
  </r>
  <r>
    <n v="6009818350738"/>
    <s v="Grape flavoured carbonated soft drink"/>
    <x v="226"/>
    <x v="645"/>
    <s v="UK"/>
    <s v="UNKNOWN_ORG"/>
    <x v="4"/>
    <n v="1"/>
  </r>
  <r>
    <n v="6009822340954"/>
    <s v="Agua Purificada"/>
    <x v="11"/>
    <x v="646"/>
    <s v="MZ"/>
    <s v="Água Vengo"/>
    <x v="4"/>
    <n v="20"/>
  </r>
  <r>
    <n v="6009822340961"/>
    <s v="agua vengo Manica"/>
    <x v="158"/>
    <x v="646"/>
    <s v="MZ"/>
    <s v="Água Vengo"/>
    <x v="4"/>
    <n v="440"/>
  </r>
  <r>
    <n v="6009822340961"/>
    <s v="agua vengo Manica"/>
    <x v="158"/>
    <x v="646"/>
    <s v="MZ"/>
    <s v="Água Vengo"/>
    <x v="12"/>
    <n v="17"/>
  </r>
  <r>
    <n v="6009822340978"/>
    <s v="Vengo Mineral Water"/>
    <x v="0"/>
    <x v="646"/>
    <s v="MZ"/>
    <s v="Água Vengo"/>
    <x v="4"/>
    <n v="837"/>
  </r>
  <r>
    <n v="6009822340985"/>
    <s v="Água mineral"/>
    <x v="35"/>
    <x v="646"/>
    <s v="MZ"/>
    <s v="Água Vengo"/>
    <x v="4"/>
    <n v="359"/>
  </r>
  <r>
    <n v="6009824524659"/>
    <s v="Pure natural mineral water"/>
    <x v="13"/>
    <x v="637"/>
    <s v="MW"/>
    <s v="Omega Beverages"/>
    <x v="3"/>
    <n v="5"/>
  </r>
  <r>
    <n v="6009827410027"/>
    <s v="Cooking Oil"/>
    <x v="12"/>
    <x v="647"/>
    <s v="MW"/>
    <s v="Capital Oil Refining Industries Ltd"/>
    <x v="3"/>
    <n v="124"/>
  </r>
  <r>
    <n v="6009827410027"/>
    <s v="Cooking Oil"/>
    <x v="12"/>
    <x v="647"/>
    <s v="MW"/>
    <s v="Capital Oil Refining Industries Ltd"/>
    <x v="5"/>
    <n v="13"/>
  </r>
  <r>
    <n v="6009827410041"/>
    <s v="Cooking Oil"/>
    <x v="48"/>
    <x v="647"/>
    <s v="MW"/>
    <s v="Capital Oil Refining Industries Ltd"/>
    <x v="3"/>
    <n v="79"/>
  </r>
  <r>
    <n v="6009827410058"/>
    <s v="Cooking Oil"/>
    <x v="11"/>
    <x v="647"/>
    <s v="MW"/>
    <s v="Capital Oil Refining Industries Ltd"/>
    <x v="3"/>
    <n v="10"/>
  </r>
  <r>
    <n v="6009827410089"/>
    <s v="Cooking Oil"/>
    <x v="12"/>
    <x v="647"/>
    <s v="MW"/>
    <s v="Capital Oil Refining Industries Ltd"/>
    <x v="3"/>
    <n v="23"/>
  </r>
  <r>
    <n v="600982903223"/>
    <s v="Lait Caille Banane"/>
    <x v="0"/>
    <x v="602"/>
    <s v="CD"/>
    <s v="MAFRICOM"/>
    <x v="10"/>
    <n v="1"/>
  </r>
  <r>
    <n v="6009832820019"/>
    <s v="Fizz orange"/>
    <x v="76"/>
    <x v="648"/>
    <s v="MZ"/>
    <s v="Mopani Internacional Lda"/>
    <x v="4"/>
    <n v="520"/>
  </r>
  <r>
    <n v="6009832820033"/>
    <s v="Cola Drink"/>
    <x v="76"/>
    <x v="648"/>
    <s v="MZ"/>
    <s v="Mopani Internacional Lda"/>
    <x v="4"/>
    <n v="1832"/>
  </r>
  <r>
    <n v="6009832820033"/>
    <s v="Cola Drink"/>
    <x v="76"/>
    <x v="648"/>
    <s v="MZ"/>
    <s v="Mopani Internacional Lda"/>
    <x v="7"/>
    <n v="6"/>
  </r>
  <r>
    <n v="6009832820033"/>
    <s v="Cola Drink"/>
    <x v="76"/>
    <x v="648"/>
    <s v="MZ"/>
    <s v="Mopani Internacional Lda"/>
    <x v="5"/>
    <n v="23"/>
  </r>
  <r>
    <n v="6009832820040"/>
    <s v="Lemon / Limao"/>
    <x v="76"/>
    <x v="648"/>
    <s v="MZ"/>
    <s v="Mopani Internacional Lda"/>
    <x v="4"/>
    <n v="6706"/>
  </r>
  <r>
    <n v="6009832820095"/>
    <s v="Fizz"/>
    <x v="76"/>
    <x v="648"/>
    <s v="MZ"/>
    <s v="Mopani Internacional Lda"/>
    <x v="4"/>
    <n v="3620"/>
  </r>
  <r>
    <n v="6009832820095"/>
    <s v="Fizz"/>
    <x v="76"/>
    <x v="648"/>
    <s v="MZ"/>
    <s v="Mopani Internacional Lda"/>
    <x v="12"/>
    <n v="1"/>
  </r>
  <r>
    <n v="6009832820132"/>
    <s v="Carbonated Soft Drink"/>
    <x v="76"/>
    <x v="648"/>
    <s v="MZ"/>
    <s v="Mopani Internacional Lda"/>
    <x v="4"/>
    <n v="49"/>
  </r>
  <r>
    <n v="6009832820149"/>
    <s v="Fizz"/>
    <x v="76"/>
    <x v="648"/>
    <s v="MZ"/>
    <s v="Mopani Internacional Lda"/>
    <x v="4"/>
    <n v="18960"/>
  </r>
  <r>
    <n v="6009832820156"/>
    <s v="Mineral Water"/>
    <x v="35"/>
    <x v="527"/>
    <s v="MZ"/>
    <s v="Mopani Internacional Lda"/>
    <x v="4"/>
    <n v="441"/>
  </r>
  <r>
    <n v="6009832820163"/>
    <s v="Fizz"/>
    <x v="76"/>
    <x v="648"/>
    <s v="MZ"/>
    <s v="Mopani Internacional Lda"/>
    <x v="4"/>
    <n v="1601"/>
  </r>
  <r>
    <n v="6009832820170"/>
    <s v="Energy Drink"/>
    <x v="76"/>
    <x v="648"/>
    <s v="MZ"/>
    <s v="Mopani Internacional Lda"/>
    <x v="4"/>
    <n v="16146"/>
  </r>
  <r>
    <n v="6009832820170"/>
    <s v="Energy Drink"/>
    <x v="76"/>
    <x v="648"/>
    <s v="MZ"/>
    <s v="Mopani Internacional Lda"/>
    <x v="12"/>
    <n v="150"/>
  </r>
  <r>
    <n v="6009832820170"/>
    <s v="Energy Drink"/>
    <x v="76"/>
    <x v="648"/>
    <s v="MZ"/>
    <s v="Mopani Internacional Lda"/>
    <x v="7"/>
    <n v="1"/>
  </r>
  <r>
    <n v="6009832820507"/>
    <s v="Mineral Water"/>
    <x v="23"/>
    <x v="527"/>
    <s v="MZ"/>
    <s v="Mopani Internacional Lda"/>
    <x v="0"/>
    <n v="1"/>
  </r>
  <r>
    <n v="6009832820507"/>
    <s v="Mineral Water"/>
    <x v="23"/>
    <x v="527"/>
    <s v="MZ"/>
    <s v="Mopani Internacional Lda"/>
    <x v="4"/>
    <n v="5009"/>
  </r>
  <r>
    <n v="6009832820507"/>
    <s v="Mineral Water"/>
    <x v="23"/>
    <x v="527"/>
    <s v="MZ"/>
    <s v="Mopani Internacional Lda"/>
    <x v="7"/>
    <n v="2"/>
  </r>
  <r>
    <n v="6009832820521"/>
    <s v="Aquaplus Mineral Water"/>
    <x v="259"/>
    <x v="527"/>
    <s v="MZ"/>
    <s v="Mopani Internacional Lda"/>
    <x v="4"/>
    <n v="4640"/>
  </r>
  <r>
    <n v="6009832820521"/>
    <s v="Aquaplus Mineral Water"/>
    <x v="259"/>
    <x v="527"/>
    <s v="MZ"/>
    <s v="Mopani Internacional Lda"/>
    <x v="5"/>
    <n v="11"/>
  </r>
  <r>
    <n v="6009832820576"/>
    <s v="Água mineral"/>
    <x v="100"/>
    <x v="527"/>
    <s v="MZ"/>
    <s v="Mopani Internacional Lda"/>
    <x v="4"/>
    <n v="2734"/>
  </r>
  <r>
    <n v="6009832820644"/>
    <s v="Water Melon Melancia"/>
    <x v="76"/>
    <x v="649"/>
    <s v="MZ"/>
    <s v="Mopani Internacional Lda"/>
    <x v="4"/>
    <n v="92"/>
  </r>
  <r>
    <n v="6009832820651"/>
    <s v="Dry Lemon Limonada"/>
    <x v="76"/>
    <x v="649"/>
    <s v="MZ"/>
    <s v="Mopani Internacional Lda"/>
    <x v="4"/>
    <n v="25"/>
  </r>
  <r>
    <n v="6009832820668"/>
    <s v="Apple and Mint Maca e Menta"/>
    <x v="76"/>
    <x v="649"/>
    <s v="MZ"/>
    <s v="Mopani Internacional Lda"/>
    <x v="4"/>
    <n v="23"/>
  </r>
  <r>
    <n v="6009832820675"/>
    <s v="Cherry and Lemonade Limonada de Cereja"/>
    <x v="76"/>
    <x v="649"/>
    <s v="MZ"/>
    <s v="Mopani Internacional Lda"/>
    <x v="4"/>
    <n v="74"/>
  </r>
  <r>
    <n v="600983612858"/>
    <s v="Peanut butter"/>
    <x v="10"/>
    <x v="636"/>
    <s v="DE"/>
    <s v="Intersnack Group"/>
    <x v="3"/>
    <n v="50"/>
  </r>
  <r>
    <n v="6009879713046"/>
    <s v="Green apple"/>
    <x v="76"/>
    <x v="501"/>
    <s v="MZ"/>
    <s v="Yaafico Industrial Lda"/>
    <x v="4"/>
    <n v="535"/>
  </r>
  <r>
    <n v="6009879713077"/>
    <s v="Refresco Manga / Mango"/>
    <x v="76"/>
    <x v="501"/>
    <s v="MZ"/>
    <s v="Yaafico Industrial Lda"/>
    <x v="4"/>
    <n v="153"/>
  </r>
  <r>
    <n v="6009879713084"/>
    <s v="Cola"/>
    <x v="76"/>
    <x v="501"/>
    <s v="MZ"/>
    <s v="Yaafico Industrial Lda"/>
    <x v="4"/>
    <n v="2"/>
  </r>
  <r>
    <n v="6009879713091"/>
    <s v="Frozy"/>
    <x v="12"/>
    <x v="501"/>
    <s v="MZ"/>
    <s v="Yaafico Industrial Lda"/>
    <x v="3"/>
    <n v="34"/>
  </r>
  <r>
    <n v="6009879713091"/>
    <s v="Frozy"/>
    <x v="12"/>
    <x v="501"/>
    <s v="MZ"/>
    <s v="Yaafico Industrial Lda"/>
    <x v="4"/>
    <n v="621"/>
  </r>
  <r>
    <n v="6009879713107"/>
    <s v="Frozy"/>
    <x v="12"/>
    <x v="501"/>
    <s v="MZ"/>
    <s v="Yaafico Industrial Lda"/>
    <x v="4"/>
    <n v="264"/>
  </r>
  <r>
    <n v="6009879713121"/>
    <s v="Laranja"/>
    <x v="12"/>
    <x v="501"/>
    <s v="MZ"/>
    <s v="Yaafico Industrial Lda"/>
    <x v="4"/>
    <n v="1"/>
  </r>
  <r>
    <n v="6009879713138"/>
    <s v="Frozy Coco Ananás"/>
    <x v="12"/>
    <x v="501"/>
    <s v="MZ"/>
    <s v="Yaafico Industrial Lda"/>
    <x v="4"/>
    <n v="24"/>
  </r>
  <r>
    <n v="6009879713145"/>
    <s v="Refresco Manga / Mango"/>
    <x v="12"/>
    <x v="501"/>
    <s v="MZ"/>
    <s v="Yaafico Industrial Lda"/>
    <x v="4"/>
    <n v="3"/>
  </r>
  <r>
    <n v="6009879713152"/>
    <s v="Frozy"/>
    <x v="12"/>
    <x v="501"/>
    <s v="MZ"/>
    <s v="Yaafico Industrial Lda"/>
    <x v="4"/>
    <n v="56"/>
  </r>
  <r>
    <n v="6009879794236"/>
    <s v="Eau de Source"/>
    <x v="55"/>
    <x v="650"/>
    <s v="CD"/>
    <s v="Amigo Foods"/>
    <x v="10"/>
    <n v="196"/>
  </r>
  <r>
    <n v="6009879794250"/>
    <s v="Boisson Sucré"/>
    <x v="92"/>
    <x v="651"/>
    <s v="CD"/>
    <s v="Amigo Foods"/>
    <x v="10"/>
    <n v="45"/>
  </r>
  <r>
    <n v="6009879794434"/>
    <s v="Boisson sucré"/>
    <x v="76"/>
    <x v="652"/>
    <s v="CD"/>
    <s v="Amigo Foods"/>
    <x v="10"/>
    <n v="212"/>
  </r>
  <r>
    <n v="6009879794441"/>
    <s v="Boisson sucré"/>
    <x v="13"/>
    <x v="652"/>
    <s v="CD"/>
    <s v="Amigo Foods"/>
    <x v="10"/>
    <n v="59"/>
  </r>
  <r>
    <n v="6009879794441"/>
    <s v="Boisson sucré"/>
    <x v="13"/>
    <x v="652"/>
    <s v="CD"/>
    <s v="Amigo Foods"/>
    <x v="5"/>
    <n v="6"/>
  </r>
  <r>
    <n v="6009879794519"/>
    <s v="Boisson Gazeuse"/>
    <x v="286"/>
    <x v="653"/>
    <s v="CD"/>
    <s v="Amigo Foods"/>
    <x v="10"/>
    <n v="9"/>
  </r>
  <r>
    <n v="6009879794526"/>
    <s v="Boisson Gazeuse"/>
    <x v="286"/>
    <x v="654"/>
    <s v="CD"/>
    <s v="Amigo Foods"/>
    <x v="10"/>
    <n v="12"/>
  </r>
  <r>
    <n v="6009879794533"/>
    <s v="Boisson Gazeuse"/>
    <x v="287"/>
    <x v="655"/>
    <s v="CD"/>
    <s v="Amigo Foods"/>
    <x v="10"/>
    <n v="5"/>
  </r>
  <r>
    <n v="6009879794540"/>
    <s v="Boisson gazeuse"/>
    <x v="286"/>
    <x v="569"/>
    <s v="CD"/>
    <s v="Amigo Foods"/>
    <x v="10"/>
    <n v="27"/>
  </r>
  <r>
    <n v="6009879794618"/>
    <s v="Boisson Gazeuse"/>
    <x v="0"/>
    <x v="653"/>
    <s v="CD"/>
    <s v="Amigo Foods"/>
    <x v="10"/>
    <n v="332"/>
  </r>
  <r>
    <n v="6009879794632"/>
    <s v="Boisson Gazeuse Grenadine"/>
    <x v="0"/>
    <x v="654"/>
    <s v="CD"/>
    <s v="Amigo Foods"/>
    <x v="10"/>
    <n v="662"/>
  </r>
  <r>
    <n v="6009879794649"/>
    <s v="Boisson Gazeuse"/>
    <x v="0"/>
    <x v="655"/>
    <s v="CD"/>
    <s v="Amigo Foods"/>
    <x v="10"/>
    <n v="399"/>
  </r>
  <r>
    <n v="6009879794656"/>
    <s v="Boisson Gazeuse"/>
    <x v="0"/>
    <x v="569"/>
    <s v="CD"/>
    <s v="Amigo Foods"/>
    <x v="10"/>
    <n v="503"/>
  </r>
  <r>
    <n v="6009879794663"/>
    <s v="Boisson Gazeuse"/>
    <x v="0"/>
    <x v="656"/>
    <s v="CD"/>
    <s v="Amigo Foods"/>
    <x v="10"/>
    <n v="79"/>
  </r>
  <r>
    <n v="6009879794663"/>
    <s v="Boisson Gazeuse"/>
    <x v="0"/>
    <x v="656"/>
    <s v="CD"/>
    <s v="Amigo Foods"/>
    <x v="28"/>
    <n v="2"/>
  </r>
  <r>
    <n v="6009879794670"/>
    <s v="Boisson Énergisante"/>
    <x v="0"/>
    <x v="657"/>
    <s v="CD"/>
    <s v="Amigo Foods"/>
    <x v="10"/>
    <n v="261"/>
  </r>
  <r>
    <n v="6009879794687"/>
    <s v="Boisson sucré"/>
    <x v="0"/>
    <x v="652"/>
    <s v="CD"/>
    <s v="Amigo Foods"/>
    <x v="10"/>
    <n v="257"/>
  </r>
  <r>
    <n v="6009879794700"/>
    <s v="Boisson Energisante"/>
    <x v="286"/>
    <x v="657"/>
    <s v="CD"/>
    <s v="Amigo Foods"/>
    <x v="10"/>
    <n v="27"/>
  </r>
  <r>
    <n v="6009880003037"/>
    <s v="Eau de Source"/>
    <x v="76"/>
    <x v="168"/>
    <s v="CD"/>
    <s v="Mega Congo SARL"/>
    <x v="10"/>
    <n v="4"/>
  </r>
  <r>
    <n v="6009880106011"/>
    <s v="Izy Laranja"/>
    <x v="85"/>
    <x v="658"/>
    <s v="MZ"/>
    <s v="Moz Beverages Lda"/>
    <x v="4"/>
    <n v="149"/>
  </r>
  <r>
    <n v="6009880106035"/>
    <s v="IZY Lemon Dew"/>
    <x v="85"/>
    <x v="658"/>
    <s v="MZ"/>
    <s v="Moz Beverages Lda"/>
    <x v="4"/>
    <n v="1379"/>
  </r>
  <r>
    <n v="6009880106066"/>
    <s v="Cola"/>
    <x v="85"/>
    <x v="658"/>
    <s v="MZ"/>
    <s v="Moz Beverages Lda"/>
    <x v="4"/>
    <n v="525"/>
  </r>
  <r>
    <n v="6009880106073"/>
    <s v="Cream Soda"/>
    <x v="85"/>
    <x v="658"/>
    <s v="MZ"/>
    <s v="Moz Beverages Lda"/>
    <x v="4"/>
    <n v="113"/>
  </r>
  <r>
    <n v="6009880106097"/>
    <s v="Litchi Drink"/>
    <x v="85"/>
    <x v="658"/>
    <s v="MZ"/>
    <s v="Moz Beverages Lda"/>
    <x v="4"/>
    <n v="873"/>
  </r>
  <r>
    <n v="6009880106110"/>
    <s v="Izy Coco Pine"/>
    <x v="85"/>
    <x v="658"/>
    <s v="MZ"/>
    <s v="Moz Beverages Lda"/>
    <x v="4"/>
    <n v="164"/>
  </r>
  <r>
    <n v="6009880106127"/>
    <s v="Coco Pine"/>
    <x v="112"/>
    <x v="658"/>
    <s v="MZ"/>
    <s v="Moz Beverages Lda"/>
    <x v="4"/>
    <n v="1"/>
  </r>
  <r>
    <n v="6009880106134"/>
    <s v="Apple / Maça Carbonated Soft Drink"/>
    <x v="85"/>
    <x v="658"/>
    <s v="MZ"/>
    <s v="Moz Beverages Lda"/>
    <x v="4"/>
    <n v="28"/>
  </r>
  <r>
    <n v="6009880106134"/>
    <s v="Apple / Maça Carbonated Soft Drink"/>
    <x v="85"/>
    <x v="658"/>
    <s v="MZ"/>
    <s v="Moz Beverages Lda"/>
    <x v="12"/>
    <n v="20"/>
  </r>
  <r>
    <n v="6009880106158"/>
    <s v="Mango / Manga"/>
    <x v="85"/>
    <x v="658"/>
    <s v="MZ"/>
    <s v="Moz Beverages Lda"/>
    <x v="4"/>
    <n v="27"/>
  </r>
  <r>
    <n v="6009880106172"/>
    <s v="Bovinto"/>
    <x v="93"/>
    <x v="658"/>
    <s v="MZ"/>
    <s v="Moz Beverages Lda"/>
    <x v="4"/>
    <n v="189"/>
  </r>
  <r>
    <n v="6009880106196"/>
    <s v="A melhor forma de refrescar"/>
    <x v="85"/>
    <x v="658"/>
    <s v="MZ"/>
    <s v="Moz Beverages Lda"/>
    <x v="4"/>
    <n v="620"/>
  </r>
  <r>
    <n v="6009880106257"/>
    <s v="Água natural"/>
    <x v="35"/>
    <x v="658"/>
    <s v="MZ"/>
    <s v="Moz Beverages Lda"/>
    <x v="4"/>
    <n v="3"/>
  </r>
  <r>
    <n v="6009880106295"/>
    <s v="Strawberry"/>
    <x v="85"/>
    <x v="658"/>
    <s v="MZ"/>
    <s v="Moz Beverages Lda"/>
    <x v="4"/>
    <n v="209"/>
  </r>
  <r>
    <n v="6009880243013"/>
    <s v="Still Natural Spring Water"/>
    <x v="0"/>
    <x v="659"/>
    <s v="ZA"/>
    <s v="Normandien Farms (Pty) Ltd"/>
    <x v="4"/>
    <n v="1"/>
  </r>
  <r>
    <n v="6009880243013"/>
    <s v="Still Natural Spring Water"/>
    <x v="0"/>
    <x v="659"/>
    <s v="ZA"/>
    <s v="Normandien Farms (Pty) Ltd"/>
    <x v="8"/>
    <n v="1"/>
  </r>
  <r>
    <n v="6009880243075"/>
    <s v="Natural Spring Water"/>
    <x v="93"/>
    <x v="659"/>
    <s v="ZA"/>
    <s v="Normandien Farms (Pty) Ltd"/>
    <x v="4"/>
    <n v="1"/>
  </r>
  <r>
    <n v="6009880251582"/>
    <s v="Nano Triple Refined Cooking Oil"/>
    <x v="110"/>
    <x v="485"/>
    <s v="ZA"/>
    <s v="Sealake Industries"/>
    <x v="3"/>
    <n v="12"/>
  </r>
  <r>
    <n v="6009880251599"/>
    <s v="Oil"/>
    <x v="12"/>
    <x v="485"/>
    <s v="ZA"/>
    <s v="Sealake Industries"/>
    <x v="3"/>
    <n v="1"/>
  </r>
  <r>
    <n v="6009880251599"/>
    <s v="Oil"/>
    <x v="12"/>
    <x v="485"/>
    <s v="ZA"/>
    <s v="Sealake Industries"/>
    <x v="4"/>
    <n v="7"/>
  </r>
  <r>
    <n v="6009880372799"/>
    <s v="alimo spaghetti"/>
    <x v="66"/>
    <x v="660"/>
    <s v="UK"/>
    <s v="UNKNOWN_ORG"/>
    <x v="10"/>
    <n v="5"/>
  </r>
  <r>
    <n v="6009880412518"/>
    <s v="Cola"/>
    <x v="12"/>
    <x v="661"/>
    <s v="ZA"/>
    <s v="Twizza"/>
    <x v="4"/>
    <n v="23"/>
  </r>
  <r>
    <n v="6009880442485"/>
    <s v="Carbonated Drink"/>
    <x v="76"/>
    <x v="662"/>
    <s v="MW"/>
    <s v="Zamm Investments"/>
    <x v="3"/>
    <n v="1"/>
  </r>
  <r>
    <n v="6009880442492"/>
    <s v="Carbonated Drink"/>
    <x v="76"/>
    <x v="662"/>
    <s v="MW"/>
    <s v="Zamm Investments"/>
    <x v="3"/>
    <n v="158"/>
  </r>
  <r>
    <n v="6009880442539"/>
    <s v="Raspberry Drink"/>
    <x v="76"/>
    <x v="662"/>
    <s v="MW"/>
    <s v="Zamm Investments"/>
    <x v="3"/>
    <n v="79"/>
  </r>
  <r>
    <n v="6009880442607"/>
    <s v="Natural Mineral Water"/>
    <x v="55"/>
    <x v="663"/>
    <s v="MW"/>
    <s v="Zamm Investments"/>
    <x v="3"/>
    <n v="4"/>
  </r>
  <r>
    <n v="6009880442706"/>
    <s v="Mango Coconut"/>
    <x v="76"/>
    <x v="662"/>
    <s v="MW"/>
    <s v="Zamm Investments"/>
    <x v="3"/>
    <n v="15"/>
  </r>
  <r>
    <n v="6009880652051"/>
    <s v="Tropical Smoothie Pineapple"/>
    <x v="11"/>
    <x v="575"/>
    <s v="MW"/>
    <s v="Suncrest Creameries Ltd"/>
    <x v="3"/>
    <n v="18"/>
  </r>
  <r>
    <n v="6009880652297"/>
    <s v="zuza"/>
    <x v="12"/>
    <x v="575"/>
    <s v="MW"/>
    <s v="Suncrest Creameries Ltd"/>
    <x v="3"/>
    <n v="106"/>
  </r>
  <r>
    <n v="6009880792108"/>
    <s v="Full cream milk"/>
    <x v="0"/>
    <x v="664"/>
    <s v="ZA"/>
    <s v="Spring Meadow Dairy Farm (PTY) LTD"/>
    <x v="8"/>
    <n v="1"/>
  </r>
  <r>
    <n v="6009880792313"/>
    <s v="Low Fat Peach Apricot Yoghurt"/>
    <x v="147"/>
    <x v="664"/>
    <s v="ZA"/>
    <s v="Spring Meadow Dairy Farm (PTY) LTD"/>
    <x v="8"/>
    <n v="1"/>
  </r>
  <r>
    <n v="6009880792481"/>
    <s v="Granadilla yoghurt"/>
    <x v="147"/>
    <x v="664"/>
    <s v="ZA"/>
    <s v="Spring Meadow Dairy Farm (PTY) LTD"/>
    <x v="8"/>
    <n v="1"/>
  </r>
  <r>
    <n v="6009880792603"/>
    <s v="Tropical flavoured dairy fruit blend"/>
    <x v="0"/>
    <x v="664"/>
    <s v="ZA"/>
    <s v="Spring Meadow Dairy Farm (PTY) LTD"/>
    <x v="8"/>
    <n v="1"/>
  </r>
  <r>
    <n v="6009880839100"/>
    <s v="juice"/>
    <x v="288"/>
    <x v="506"/>
    <s v="ZA"/>
    <s v="Darling Romery"/>
    <x v="8"/>
    <n v="1"/>
  </r>
  <r>
    <n v="6009880916108"/>
    <s v="Soya Rich"/>
    <x v="12"/>
    <x v="665"/>
    <s v="MW"/>
    <s v="Sungold Food Processing Ltd"/>
    <x v="3"/>
    <n v="29"/>
  </r>
  <r>
    <n v="6009881099138"/>
    <s v="Divine Power Kombucha Tea"/>
    <x v="93"/>
    <x v="247"/>
    <s v="MW"/>
    <s v="Nutricom Food &amp; Beverages Ltd"/>
    <x v="10"/>
    <n v="1"/>
  </r>
  <r>
    <n v="6009881099138"/>
    <s v="Divine Power Kombucha Tea"/>
    <x v="93"/>
    <x v="247"/>
    <s v="MW"/>
    <s v="Nutricom Food &amp; Beverages Ltd"/>
    <x v="3"/>
    <n v="725"/>
  </r>
  <r>
    <n v="6009888701027"/>
    <s v="Pepsi Max"/>
    <x v="0"/>
    <x v="51"/>
    <s v="US"/>
    <s v="Pepsico, Inc"/>
    <x v="15"/>
    <n v="1"/>
  </r>
  <r>
    <n v="6009900076607"/>
    <s v="Carbonated Soft Drink"/>
    <x v="76"/>
    <x v="501"/>
    <s v="MZ"/>
    <s v="Yaafico Industrial Lda"/>
    <x v="4"/>
    <n v="112"/>
  </r>
  <r>
    <n v="6009900076683"/>
    <s v="Limao Soft Drink"/>
    <x v="92"/>
    <x v="501"/>
    <s v="MZ"/>
    <s v="Yaafico Industrial Lda"/>
    <x v="3"/>
    <n v="134"/>
  </r>
  <r>
    <n v="6009900076683"/>
    <s v="Limao Soft Drink"/>
    <x v="92"/>
    <x v="501"/>
    <s v="MZ"/>
    <s v="Yaafico Industrial Lda"/>
    <x v="4"/>
    <n v="960"/>
  </r>
  <r>
    <n v="6009900076713"/>
    <s v="Coco Ananas Cocopine"/>
    <x v="76"/>
    <x v="501"/>
    <s v="MZ"/>
    <s v="Yaafico Industrial Lda"/>
    <x v="3"/>
    <n v="123"/>
  </r>
  <r>
    <n v="6009900076713"/>
    <s v="Coco Ananas Cocopine"/>
    <x v="76"/>
    <x v="501"/>
    <s v="MZ"/>
    <s v="Yaafico Industrial Lda"/>
    <x v="4"/>
    <n v="171"/>
  </r>
  <r>
    <n v="6009900076720"/>
    <s v="Refrigerante Framboesa"/>
    <x v="76"/>
    <x v="501"/>
    <s v="MZ"/>
    <s v="Yaafico Industrial Lda"/>
    <x v="4"/>
    <n v="49"/>
  </r>
  <r>
    <n v="6009900076737"/>
    <s v="Frozy"/>
    <x v="76"/>
    <x v="501"/>
    <s v="MZ"/>
    <s v="Yaafico Industrial Lda"/>
    <x v="3"/>
    <n v="203"/>
  </r>
  <r>
    <n v="6009900076737"/>
    <s v="Frozy"/>
    <x v="76"/>
    <x v="501"/>
    <s v="MZ"/>
    <s v="Yaafico Industrial Lda"/>
    <x v="4"/>
    <n v="7305"/>
  </r>
  <r>
    <n v="6009900076744"/>
    <s v="Orange Drink"/>
    <x v="76"/>
    <x v="501"/>
    <s v="MZ"/>
    <s v="Yaafico Industrial Lda"/>
    <x v="3"/>
    <n v="303"/>
  </r>
  <r>
    <n v="6009900076744"/>
    <s v="Orange Drink"/>
    <x v="76"/>
    <x v="501"/>
    <s v="MZ"/>
    <s v="Yaafico Industrial Lda"/>
    <x v="4"/>
    <n v="1703"/>
  </r>
  <r>
    <n v="6009900076768"/>
    <s v="Frozy"/>
    <x v="12"/>
    <x v="501"/>
    <s v="MZ"/>
    <s v="Yaafico Industrial Lda"/>
    <x v="4"/>
    <n v="2"/>
  </r>
  <r>
    <n v="6009900076775"/>
    <s v="Litchi Carbonated Soft Drink"/>
    <x v="76"/>
    <x v="501"/>
    <s v="MZ"/>
    <s v="Yaafico Industrial Lda"/>
    <x v="4"/>
    <n v="4"/>
  </r>
  <r>
    <n v="6009900262307"/>
    <s v="Amaryllis Hotel"/>
    <x v="0"/>
    <x v="663"/>
    <s v="MW"/>
    <s v="Zamm Investments"/>
    <x v="3"/>
    <n v="174"/>
  </r>
  <r>
    <n v="6009900262314"/>
    <s v="Drinking Water"/>
    <x v="13"/>
    <x v="663"/>
    <s v="MW"/>
    <s v="Zamm Investments"/>
    <x v="3"/>
    <n v="103"/>
  </r>
  <r>
    <n v="6009900269061"/>
    <s v="yaourte"/>
    <x v="93"/>
    <x v="666"/>
    <s v="CD"/>
    <s v="Swissta RDC S.A.R.L"/>
    <x v="10"/>
    <n v="4"/>
  </r>
  <r>
    <n v="6009900270302"/>
    <s v="Pastis Apéritif Anise"/>
    <x v="22"/>
    <x v="306"/>
    <s v="CD"/>
    <s v="afro american industries sarl"/>
    <x v="10"/>
    <n v="5"/>
  </r>
  <r>
    <n v="6009900374314"/>
    <s v="Eau de Table"/>
    <x v="86"/>
    <x v="667"/>
    <s v="CD"/>
    <s v="VALLEY SARL"/>
    <x v="10"/>
    <n v="1"/>
  </r>
  <r>
    <n v="6009900374352"/>
    <s v="Eau de Table"/>
    <x v="289"/>
    <x v="667"/>
    <s v="CD"/>
    <s v="VALLEY SARL"/>
    <x v="10"/>
    <n v="191"/>
  </r>
  <r>
    <n v="6009900502182"/>
    <s v="Boisson Gazeuse"/>
    <x v="0"/>
    <x v="668"/>
    <s v="CD"/>
    <s v="Ets ALEKO"/>
    <x v="10"/>
    <n v="1"/>
  </r>
  <r>
    <n v="6009900507354"/>
    <s v="Drinking Water"/>
    <x v="0"/>
    <x v="669"/>
    <s v="UK"/>
    <s v="UNKNOWN_ORG"/>
    <x v="15"/>
    <n v="4"/>
  </r>
  <r>
    <n v="6014444972902"/>
    <s v="Vinagre"/>
    <x v="11"/>
    <x v="623"/>
    <s v="UK"/>
    <s v="UNKNOWN_ORG"/>
    <x v="4"/>
    <n v="3"/>
  </r>
  <r>
    <n v="6017610373428"/>
    <s v="Touch of Fruit Low Sugar Lemon &amp; Lime"/>
    <x v="35"/>
    <x v="244"/>
    <s v="FR"/>
    <s v="Danone S.A."/>
    <x v="2"/>
    <n v="1"/>
  </r>
  <r>
    <n v="6019879794617"/>
    <s v="Zest"/>
    <x v="0"/>
    <x v="653"/>
    <s v="CD"/>
    <s v="Amigo Foods"/>
    <x v="10"/>
    <n v="1"/>
  </r>
  <r>
    <n v="6030057220414"/>
    <s v="Washing Powder"/>
    <x v="17"/>
    <x v="670"/>
    <s v="CN"/>
    <s v="Konje Detergent &amp; Cleaning Products Ltd."/>
    <x v="6"/>
    <n v="175"/>
  </r>
  <r>
    <n v="6030057220988"/>
    <s v="Washing Powder"/>
    <x v="122"/>
    <x v="670"/>
    <s v="CN"/>
    <s v="Konje Detergent &amp; Cleaning Products Ltd."/>
    <x v="6"/>
    <n v="22"/>
  </r>
  <r>
    <n v="6030057221015"/>
    <s v="Washing Powder"/>
    <x v="290"/>
    <x v="671"/>
    <s v="CN"/>
    <s v="KONJE Detergent &amp; Cleaning Products Ltd"/>
    <x v="6"/>
    <n v="50"/>
  </r>
  <r>
    <n v="6033000083159"/>
    <s v="Nestle Cerelac"/>
    <x v="122"/>
    <x v="672"/>
    <s v="CH"/>
    <s v="Nestlé S.A."/>
    <x v="6"/>
    <n v="50"/>
  </r>
  <r>
    <n v="6033000086419"/>
    <s v="Nido"/>
    <x v="252"/>
    <x v="14"/>
    <s v="CH"/>
    <s v="Nestlé S.A."/>
    <x v="6"/>
    <n v="128"/>
  </r>
  <r>
    <n v="603300008662"/>
    <s v="Carnation tea creamer"/>
    <x v="165"/>
    <x v="14"/>
    <s v="CH"/>
    <s v="Nestlé S.A."/>
    <x v="6"/>
    <n v="51"/>
  </r>
  <r>
    <n v="6033000086815"/>
    <s v="Cerelac"/>
    <x v="122"/>
    <x v="14"/>
    <s v="CH"/>
    <s v="Nestlé S.A."/>
    <x v="6"/>
    <n v="1"/>
  </r>
  <r>
    <n v="6033000087256"/>
    <s v="Nescafe 3 in1"/>
    <x v="102"/>
    <x v="673"/>
    <s v="CH"/>
    <s v="Nestlé S.A."/>
    <x v="6"/>
    <n v="18"/>
  </r>
  <r>
    <n v="6033000087300"/>
    <s v="Chocolim"/>
    <x v="110"/>
    <x v="14"/>
    <s v="CH"/>
    <s v="Nestlé S.A."/>
    <x v="6"/>
    <n v="1"/>
  </r>
  <r>
    <n v="6033000087973"/>
    <s v="Drink"/>
    <x v="101"/>
    <x v="463"/>
    <s v="CH"/>
    <s v="Nestlé S.A."/>
    <x v="6"/>
    <n v="91"/>
  </r>
  <r>
    <n v="6033000088116"/>
    <s v="Ideal Milk"/>
    <x v="165"/>
    <x v="14"/>
    <s v="CH"/>
    <s v="Nestlé S.A."/>
    <x v="6"/>
    <n v="49"/>
  </r>
  <r>
    <n v="6033000088246"/>
    <s v="Malted Chocolate Drink"/>
    <x v="291"/>
    <x v="463"/>
    <s v="CH"/>
    <s v="Nestlé S.A."/>
    <x v="6"/>
    <n v="2"/>
  </r>
  <r>
    <n v="6033000089274"/>
    <s v="Milo Nestle"/>
    <x v="291"/>
    <x v="463"/>
    <s v="CH"/>
    <s v="Nestlé S.A."/>
    <x v="6"/>
    <n v="86"/>
  </r>
  <r>
    <n v="6033000292469"/>
    <s v="KEY ADEPA MULTIPURPOSE SOAP"/>
    <x v="10"/>
    <x v="674"/>
    <s v="GB"/>
    <s v="Unilever Plc"/>
    <x v="6"/>
    <n v="150"/>
  </r>
  <r>
    <n v="6033000293961"/>
    <s v="Pepsodent Toothpaste"/>
    <x v="292"/>
    <x v="675"/>
    <s v="GB"/>
    <s v="Unilever Plc"/>
    <x v="6"/>
    <n v="1"/>
  </r>
  <r>
    <n v="6033000294807"/>
    <s v="Sunlight Multi-Purpose Soap"/>
    <x v="271"/>
    <x v="464"/>
    <s v="GB"/>
    <s v="Unilever Plc"/>
    <x v="6"/>
    <n v="100"/>
  </r>
  <r>
    <n v="6033000295071"/>
    <s v="Geisha Nourishing Shea Butter &amp; Honey Soap"/>
    <x v="17"/>
    <x v="676"/>
    <s v="GB"/>
    <s v="Unilever Plc"/>
    <x v="6"/>
    <n v="100"/>
  </r>
  <r>
    <n v="6033000299246"/>
    <s v="KEY SOAP"/>
    <x v="70"/>
    <x v="674"/>
    <s v="GB"/>
    <s v="Unilever Plc"/>
    <x v="6"/>
    <n v="50"/>
  </r>
  <r>
    <n v="6033000300140"/>
    <s v="Tomato sachet"/>
    <x v="17"/>
    <x v="677"/>
    <s v="SG"/>
    <s v="Olam International Ltd"/>
    <x v="6"/>
    <n v="493"/>
  </r>
  <r>
    <n v="6033000300621"/>
    <s v="King cracker"/>
    <x v="122"/>
    <x v="678"/>
    <s v="SG"/>
    <s v="Olam Group"/>
    <x v="6"/>
    <n v="10"/>
  </r>
  <r>
    <n v="6033000302007"/>
    <s v="NutriSnax Oats Digestive Biscuits"/>
    <x v="21"/>
    <x v="679"/>
    <s v="SG"/>
    <s v="Olam Group"/>
    <x v="6"/>
    <n v="100"/>
  </r>
  <r>
    <n v="6033000302397"/>
    <s v="Royal Breakfast Banana Oat Biscuits"/>
    <x v="128"/>
    <x v="680"/>
    <s v="SG"/>
    <s v="Olam Group"/>
    <x v="6"/>
    <n v="100"/>
  </r>
  <r>
    <n v="6033000302557"/>
    <s v="Cracker Biscuits"/>
    <x v="293"/>
    <x v="678"/>
    <s v="SG"/>
    <s v="Olam Group"/>
    <x v="6"/>
    <n v="111"/>
  </r>
  <r>
    <n v="6033000303974"/>
    <s v="Tomato Mix"/>
    <x v="17"/>
    <x v="677"/>
    <s v="SG"/>
    <s v="Olam International Ltd"/>
    <x v="6"/>
    <n v="86"/>
  </r>
  <r>
    <n v="6033000303981"/>
    <s v="Tomato Mix"/>
    <x v="294"/>
    <x v="677"/>
    <s v="SG"/>
    <s v="Olam International Ltd"/>
    <x v="6"/>
    <n v="191"/>
  </r>
  <r>
    <n v="6033000303998"/>
    <s v="Enriched Tomato Mix"/>
    <x v="17"/>
    <x v="677"/>
    <s v="SG"/>
    <s v="Olam International Ltd"/>
    <x v="6"/>
    <n v="94"/>
  </r>
  <r>
    <n v="6033000340085"/>
    <s v="Carbonated Energy Drink"/>
    <x v="0"/>
    <x v="681"/>
    <s v="GH"/>
    <s v="Kasapreko Company Limited"/>
    <x v="6"/>
    <n v="1680"/>
  </r>
  <r>
    <n v="6033000340351"/>
    <s v="Superstar multi fruit"/>
    <x v="0"/>
    <x v="682"/>
    <s v="GH"/>
    <s v="Kasapreko Company Limited"/>
    <x v="6"/>
    <n v="78"/>
  </r>
  <r>
    <n v="6033000340474"/>
    <s v="Choco MALT"/>
    <x v="0"/>
    <x v="683"/>
    <s v="GH"/>
    <s v="Kasapreko Company Limited"/>
    <x v="24"/>
    <n v="1"/>
  </r>
  <r>
    <n v="6033000340474"/>
    <s v="Choco MALT"/>
    <x v="0"/>
    <x v="683"/>
    <s v="GH"/>
    <s v="Kasapreko Company Limited"/>
    <x v="6"/>
    <n v="1466"/>
  </r>
  <r>
    <n v="6033000340733"/>
    <s v="Purified Drinking Water"/>
    <x v="55"/>
    <x v="684"/>
    <s v="GH"/>
    <s v="Kasapreko Company Limited"/>
    <x v="6"/>
    <n v="1313"/>
  </r>
  <r>
    <n v="6033000341143"/>
    <s v="Multifruit juice drink"/>
    <x v="48"/>
    <x v="685"/>
    <s v="GH"/>
    <s v="Kasapreko Company Limited"/>
    <x v="6"/>
    <n v="25"/>
  </r>
  <r>
    <n v="6033000342010"/>
    <s v="Superstar Multi Fruit"/>
    <x v="76"/>
    <x v="682"/>
    <s v="GH"/>
    <s v="Kasapreko Company Limited"/>
    <x v="6"/>
    <n v="231"/>
  </r>
  <r>
    <n v="6033000342027"/>
    <s v="Chocho malt"/>
    <x v="76"/>
    <x v="683"/>
    <s v="GH"/>
    <s v="Kasapreko Company Limited"/>
    <x v="6"/>
    <n v="432"/>
  </r>
  <r>
    <n v="6033000342034"/>
    <s v="Storm energy drink"/>
    <x v="76"/>
    <x v="681"/>
    <s v="GH"/>
    <s v="Kasapreko Company Limited"/>
    <x v="6"/>
    <n v="867"/>
  </r>
  <r>
    <n v="6033000342348"/>
    <s v="Kasapreko lime cordial"/>
    <x v="9"/>
    <x v="686"/>
    <s v="GH"/>
    <s v="Kasapreko Company Limited"/>
    <x v="6"/>
    <n v="45"/>
  </r>
  <r>
    <n v="6033000342362"/>
    <s v="Carnival strawberry liqueur"/>
    <x v="9"/>
    <x v="687"/>
    <s v="GH"/>
    <s v="Kasapreko Company Limited"/>
    <x v="6"/>
    <n v="241"/>
  </r>
  <r>
    <n v="6033000342775"/>
    <s v="Rambo Citrus flavour Drink"/>
    <x v="76"/>
    <x v="688"/>
    <s v="GH"/>
    <s v="Kasapreko Company Limited"/>
    <x v="6"/>
    <n v="73"/>
  </r>
  <r>
    <n v="6033000350398"/>
    <s v="Happy Delight Juice with Milk"/>
    <x v="61"/>
    <x v="689"/>
    <s v="GH"/>
    <s v="Kina Group"/>
    <x v="6"/>
    <n v="50"/>
  </r>
  <r>
    <n v="6033000380081"/>
    <s v="Royal Aroma"/>
    <x v="238"/>
    <x v="690"/>
    <s v="SG"/>
    <s v="Temasek Holdings (Private) Limited"/>
    <x v="6"/>
    <n v="50"/>
  </r>
  <r>
    <n v="6033000414816"/>
    <s v="Washing Powder"/>
    <x v="4"/>
    <x v="239"/>
    <s v="CN"/>
    <s v="Sunda International"/>
    <x v="6"/>
    <n v="103"/>
  </r>
  <r>
    <n v="6033000430373"/>
    <s v="Rice"/>
    <x v="295"/>
    <x v="691"/>
    <s v="UK"/>
    <s v="UNKNOWN_ORG"/>
    <x v="6"/>
    <n v="94"/>
  </r>
  <r>
    <n v="6033000430861"/>
    <s v="Abena Rice"/>
    <x v="30"/>
    <x v="691"/>
    <s v="UK"/>
    <s v="UNKNOWN_ORG"/>
    <x v="6"/>
    <n v="101"/>
  </r>
  <r>
    <n v="6033000520616"/>
    <s v="Digestive Biscuits"/>
    <x v="128"/>
    <x v="101"/>
    <s v="GH"/>
    <s v="Twellium Industry Limited"/>
    <x v="6"/>
    <n v="1"/>
  </r>
  <r>
    <n v="6033000522146"/>
    <s v="London Shortbread Biscuit"/>
    <x v="17"/>
    <x v="692"/>
    <s v="GH"/>
    <s v="Twellium Industry Limited"/>
    <x v="6"/>
    <n v="1"/>
  </r>
  <r>
    <n v="6033000522535"/>
    <s v="Pure Delight"/>
    <x v="102"/>
    <x v="101"/>
    <s v="GH"/>
    <s v="Twellium Industry Limited"/>
    <x v="6"/>
    <n v="50"/>
  </r>
  <r>
    <n v="6033000523532"/>
    <s v="Cocktail"/>
    <x v="76"/>
    <x v="230"/>
    <s v="US"/>
    <s v="Monarch Beverage Company Inc"/>
    <x v="6"/>
    <n v="21"/>
  </r>
  <r>
    <n v="6033000523648"/>
    <s v="Bigoo Grape"/>
    <x v="76"/>
    <x v="105"/>
    <s v="GH"/>
    <s v="Twellium Industry Limited"/>
    <x v="6"/>
    <n v="17"/>
  </r>
  <r>
    <n v="6033000523877"/>
    <s v="Rich Tea Classic"/>
    <x v="296"/>
    <x v="101"/>
    <s v="GH"/>
    <s v="Twellium Industry Limited"/>
    <x v="6"/>
    <n v="100"/>
  </r>
  <r>
    <n v="6033000524362"/>
    <s v="Hocho Bite"/>
    <x v="297"/>
    <x v="101"/>
    <s v="GH"/>
    <s v="Twellium Industry Limited"/>
    <x v="6"/>
    <n v="1"/>
  </r>
  <r>
    <n v="6033000524577"/>
    <s v="Casandra apple drink"/>
    <x v="76"/>
    <x v="693"/>
    <s v="GH"/>
    <s v="Twellium Industry Limited"/>
    <x v="6"/>
    <n v="25"/>
  </r>
  <r>
    <n v="6033000524843"/>
    <s v="Rich Tea Cream"/>
    <x v="4"/>
    <x v="101"/>
    <s v="GH"/>
    <s v="Twellium Industry Limited"/>
    <x v="6"/>
    <n v="101"/>
  </r>
  <r>
    <n v="6033000550231"/>
    <s v="Pukka Xtra"/>
    <x v="93"/>
    <x v="694"/>
    <s v="GH"/>
    <s v="Blow Group"/>
    <x v="6"/>
    <n v="27"/>
  </r>
  <r>
    <n v="6033000550255"/>
    <s v="Squeeze grape"/>
    <x v="76"/>
    <x v="695"/>
    <s v="GH"/>
    <s v="Blow Group"/>
    <x v="6"/>
    <n v="18"/>
  </r>
  <r>
    <n v="6033000550408"/>
    <s v="Bel 7 star energy drink"/>
    <x v="93"/>
    <x v="696"/>
    <s v="GH"/>
    <s v="Blow Group"/>
    <x v="6"/>
    <n v="79"/>
  </r>
  <r>
    <n v="6033000570109"/>
    <s v="Frytol"/>
    <x v="298"/>
    <x v="697"/>
    <s v="SG"/>
    <s v="Wilmar International Limited"/>
    <x v="6"/>
    <n v="50"/>
  </r>
  <r>
    <n v="6034000003017"/>
    <s v="Crispy Peanut Snack"/>
    <x v="66"/>
    <x v="698"/>
    <s v="UK"/>
    <s v="UNKNOWN_ORG"/>
    <x v="6"/>
    <n v="12"/>
  </r>
  <r>
    <n v="6034000004021"/>
    <s v="Peanuts snack"/>
    <x v="15"/>
    <x v="699"/>
    <s v="GH"/>
    <s v="Frank Gyimah Industries"/>
    <x v="6"/>
    <n v="280"/>
  </r>
  <r>
    <n v="6034000004472"/>
    <s v="Carbonated Soft Drink"/>
    <x v="0"/>
    <x v="700"/>
    <s v="NG"/>
    <s v="SevenUp Bottling Company Ltd."/>
    <x v="16"/>
    <n v="1"/>
  </r>
  <r>
    <n v="6034000005202"/>
    <s v="Carbonated Soft Drink"/>
    <x v="0"/>
    <x v="3"/>
    <s v="US"/>
    <s v="Keurig Dr Pepper Inc."/>
    <x v="16"/>
    <n v="6"/>
  </r>
  <r>
    <n v="6034000005424"/>
    <s v="Drinking Water"/>
    <x v="55"/>
    <x v="55"/>
    <s v="US"/>
    <s v="Pepsico, Inc"/>
    <x v="16"/>
    <n v="9"/>
  </r>
  <r>
    <n v="6034000005462"/>
    <s v="Bitter Lemon"/>
    <x v="0"/>
    <x v="700"/>
    <s v="NG"/>
    <s v="SevenUp Bottling Company Ltd."/>
    <x v="16"/>
    <n v="10"/>
  </r>
  <r>
    <n v="6034000028034"/>
    <s v="Mandingo Premium"/>
    <x v="9"/>
    <x v="701"/>
    <s v="GB"/>
    <s v="Gihoc Distilleries CompanyLtd"/>
    <x v="6"/>
    <n v="729"/>
  </r>
  <r>
    <n v="6034000028072"/>
    <s v="Castle Bridge London Gin"/>
    <x v="9"/>
    <x v="702"/>
    <s v="GB"/>
    <s v="Gihoc Distilleries CompanyLtd"/>
    <x v="6"/>
    <n v="773"/>
  </r>
  <r>
    <n v="6034000048001"/>
    <s v="Mineral water"/>
    <x v="35"/>
    <x v="703"/>
    <s v="US"/>
    <s v="Coca-Cola"/>
    <x v="6"/>
    <n v="198"/>
  </r>
  <r>
    <n v="6034000048001"/>
    <s v="Mineral water"/>
    <x v="35"/>
    <x v="703"/>
    <s v="US"/>
    <s v="Coca-Cola"/>
    <x v="29"/>
    <n v="1"/>
  </r>
  <r>
    <n v="6034000048018"/>
    <s v="Mineral Water"/>
    <x v="55"/>
    <x v="703"/>
    <s v="US"/>
    <s v="Coca-Cola"/>
    <x v="6"/>
    <n v="524"/>
  </r>
  <r>
    <n v="6034000048032"/>
    <s v="Mineral Water"/>
    <x v="0"/>
    <x v="703"/>
    <s v="US"/>
    <s v="Coca-Cola"/>
    <x v="6"/>
    <n v="2873"/>
  </r>
  <r>
    <n v="60340000510744"/>
    <s v="Vim-oh energy drink"/>
    <x v="0"/>
    <x v="704"/>
    <s v="GH"/>
    <s v="Twellium Industry Limited"/>
    <x v="6"/>
    <n v="2"/>
  </r>
  <r>
    <n v="6034000053609"/>
    <s v="Perfumed Mosquito Repellent"/>
    <x v="299"/>
    <x v="705"/>
    <s v="GH"/>
    <s v="Menkish Impex Limited"/>
    <x v="6"/>
    <n v="150"/>
  </r>
  <r>
    <n v="6034000083019"/>
    <s v="Royal Cola"/>
    <x v="0"/>
    <x v="706"/>
    <s v="GH"/>
    <s v="Kasapreko Company Limited"/>
    <x v="6"/>
    <n v="13"/>
  </r>
  <r>
    <n v="6034000083026"/>
    <s v="Alomo Bitters"/>
    <x v="2"/>
    <x v="707"/>
    <s v="GH"/>
    <s v="Kasapreko Company Limited"/>
    <x v="6"/>
    <n v="61"/>
  </r>
  <r>
    <n v="6034000083026"/>
    <s v="Alomo Bitters"/>
    <x v="2"/>
    <x v="707"/>
    <s v="GH"/>
    <s v="Kasapreko Company Limited"/>
    <x v="4"/>
    <n v="1"/>
  </r>
  <r>
    <n v="6034000083101"/>
    <s v="ALOMBO BITTERS"/>
    <x v="300"/>
    <x v="708"/>
    <s v="GH"/>
    <s v="Kasapreko Company Limited"/>
    <x v="6"/>
    <n v="1221"/>
  </r>
  <r>
    <n v="6034000083545"/>
    <s v="Purified Drinking Water"/>
    <x v="0"/>
    <x v="684"/>
    <s v="GH"/>
    <s v="Kasapreko Company Limited"/>
    <x v="6"/>
    <n v="506"/>
  </r>
  <r>
    <n v="6034000106404"/>
    <s v="Orijin Bitters"/>
    <x v="55"/>
    <x v="709"/>
    <s v="GB"/>
    <s v="Diageo Plc"/>
    <x v="6"/>
    <n v="27"/>
  </r>
  <r>
    <n v="6034000106893"/>
    <s v="Malta Guinness"/>
    <x v="93"/>
    <x v="327"/>
    <s v="GB"/>
    <s v="Diageo Plc"/>
    <x v="6"/>
    <n v="47"/>
  </r>
  <r>
    <n v="6034000117240"/>
    <s v="U-FRESH Pineapple"/>
    <x v="48"/>
    <x v="282"/>
    <s v="TZ"/>
    <s v="U Fresh Juice"/>
    <x v="6"/>
    <n v="1"/>
  </r>
  <r>
    <n v="6034000118100"/>
    <s v="Juice"/>
    <x v="93"/>
    <x v="32"/>
    <s v="CA"/>
    <s v="Primo Foods Inc."/>
    <x v="29"/>
    <n v="1"/>
  </r>
  <r>
    <n v="6034000130010"/>
    <s v="fanice"/>
    <x v="0"/>
    <x v="710"/>
    <s v="CH"/>
    <s v="Nestlé S.A."/>
    <x v="6"/>
    <n v="74"/>
  </r>
  <r>
    <n v="6034000130065"/>
    <s v="fanice vanilla"/>
    <x v="17"/>
    <x v="710"/>
    <s v="CH"/>
    <s v="Nestlé S.A."/>
    <x v="6"/>
    <n v="806"/>
  </r>
  <r>
    <n v="6034000130607"/>
    <s v="fanIce strawberry"/>
    <x v="48"/>
    <x v="710"/>
    <s v="CH"/>
    <s v="Nestlé S.A."/>
    <x v="6"/>
    <n v="14"/>
  </r>
  <r>
    <n v="6034000130768"/>
    <s v="FanYogo"/>
    <x v="175"/>
    <x v="711"/>
    <s v="CH"/>
    <s v="Nestlé S.A."/>
    <x v="6"/>
    <n v="1451"/>
  </r>
  <r>
    <n v="6034000130775"/>
    <s v="Chocolate Flavoured Milk Drink"/>
    <x v="175"/>
    <x v="712"/>
    <s v="FR"/>
    <s v="Danone S.A."/>
    <x v="6"/>
    <n v="959"/>
  </r>
  <r>
    <n v="6034000145953"/>
    <s v="Rice"/>
    <x v="301"/>
    <x v="690"/>
    <s v="SG"/>
    <s v="Temasek Holdings (Private) Limited"/>
    <x v="6"/>
    <n v="30"/>
  </r>
  <r>
    <n v="6034000170207"/>
    <s v="Ice Drop"/>
    <x v="55"/>
    <x v="713"/>
    <s v="TZ"/>
    <s v="Ice Drop Co Ltd."/>
    <x v="6"/>
    <n v="73"/>
  </r>
  <r>
    <n v="6034000178340"/>
    <s v="Dada apple juice drink"/>
    <x v="48"/>
    <x v="714"/>
    <s v="UK"/>
    <s v="UNKNOWN_ORG"/>
    <x v="6"/>
    <n v="2"/>
  </r>
  <r>
    <n v="6034000180107"/>
    <s v="Malt Drink"/>
    <x v="93"/>
    <x v="715"/>
    <s v="BE"/>
    <s v="Anheuser-Busch InBev"/>
    <x v="6"/>
    <n v="2016"/>
  </r>
  <r>
    <n v="6034000181036"/>
    <s v="Mineral Water"/>
    <x v="0"/>
    <x v="251"/>
    <s v="GH"/>
    <s v="Blow Group"/>
    <x v="6"/>
    <n v="519"/>
  </r>
  <r>
    <n v="6034000181043"/>
    <s v="Mineral Water"/>
    <x v="113"/>
    <x v="251"/>
    <s v="GH"/>
    <s v="Blow Group"/>
    <x v="6"/>
    <n v="131"/>
  </r>
  <r>
    <n v="6034000181128"/>
    <s v="Mineral Water"/>
    <x v="302"/>
    <x v="251"/>
    <s v="GH"/>
    <s v="Blow Group"/>
    <x v="6"/>
    <n v="31"/>
  </r>
  <r>
    <n v="6034000181142"/>
    <s v="Mineral Water"/>
    <x v="55"/>
    <x v="251"/>
    <s v="GH"/>
    <s v="Blow Group"/>
    <x v="6"/>
    <n v="7971"/>
  </r>
  <r>
    <n v="6034000181142"/>
    <s v="Mineral Water"/>
    <x v="55"/>
    <x v="251"/>
    <s v="GH"/>
    <s v="Blow Group"/>
    <x v="4"/>
    <n v="2"/>
  </r>
  <r>
    <n v="6034000181357"/>
    <s v="bottles water"/>
    <x v="55"/>
    <x v="251"/>
    <s v="GH"/>
    <s v="Blow Group"/>
    <x v="6"/>
    <n v="20"/>
  </r>
  <r>
    <n v="6034000190434"/>
    <s v="Classic Rice"/>
    <x v="238"/>
    <x v="716"/>
    <s v="SG"/>
    <s v="Wilmar International Limited"/>
    <x v="6"/>
    <n v="140"/>
  </r>
  <r>
    <n v="6034000190984"/>
    <s v="Fortune Margarine"/>
    <x v="10"/>
    <x v="716"/>
    <s v="SG"/>
    <s v="Wilmar International Limited"/>
    <x v="6"/>
    <n v="30"/>
  </r>
  <r>
    <n v="6034000210378"/>
    <s v="Cola"/>
    <x v="76"/>
    <x v="282"/>
    <s v="TZ"/>
    <s v="U Fresh Juice"/>
    <x v="6"/>
    <n v="112"/>
  </r>
  <r>
    <n v="6034000210385"/>
    <s v="U-Fresh orange"/>
    <x v="76"/>
    <x v="282"/>
    <s v="TZ"/>
    <s v="U Fresh Juice"/>
    <x v="6"/>
    <n v="48"/>
  </r>
  <r>
    <n v="6034000210392"/>
    <s v="U fresh apple soft drink"/>
    <x v="76"/>
    <x v="282"/>
    <s v="TZ"/>
    <s v="U Fresh Juice"/>
    <x v="6"/>
    <n v="11"/>
  </r>
  <r>
    <n v="6034000210446"/>
    <s v="Grape"/>
    <x v="76"/>
    <x v="282"/>
    <s v="TZ"/>
    <s v="U Fresh Juice"/>
    <x v="6"/>
    <n v="385"/>
  </r>
  <r>
    <n v="6034000210644"/>
    <s v="U fresh pineapple milk drink"/>
    <x v="44"/>
    <x v="282"/>
    <s v="TZ"/>
    <s v="U Fresh Juice"/>
    <x v="6"/>
    <n v="15"/>
  </r>
  <r>
    <n v="6034000210897"/>
    <s v="U fresh pineapple"/>
    <x v="76"/>
    <x v="717"/>
    <s v="UK"/>
    <s v="UNKNOWN_ORG"/>
    <x v="6"/>
    <n v="7"/>
  </r>
  <r>
    <n v="6034000210903"/>
    <s v="Juice"/>
    <x v="76"/>
    <x v="282"/>
    <s v="TZ"/>
    <s v="U Fresh Juice"/>
    <x v="6"/>
    <n v="316"/>
  </r>
  <r>
    <n v="6034000210927"/>
    <s v="Flavoured Drink"/>
    <x v="303"/>
    <x v="282"/>
    <s v="TZ"/>
    <s v="U Fresh Juice"/>
    <x v="6"/>
    <n v="81"/>
  </r>
  <r>
    <n v="6034000210927"/>
    <s v="Flavoured Drink"/>
    <x v="303"/>
    <x v="282"/>
    <s v="TZ"/>
    <s v="U Fresh Juice"/>
    <x v="0"/>
    <n v="1"/>
  </r>
  <r>
    <n v="6034000210927"/>
    <s v="Flavoured Drink"/>
    <x v="303"/>
    <x v="282"/>
    <s v="TZ"/>
    <s v="U Fresh Juice"/>
    <x v="5"/>
    <n v="2"/>
  </r>
  <r>
    <n v="6034000210958"/>
    <s v="U-FRESH Soy Milk"/>
    <x v="267"/>
    <x v="282"/>
    <s v="TZ"/>
    <s v="U Fresh Juice"/>
    <x v="6"/>
    <n v="53"/>
  </r>
  <r>
    <n v="6034000210972"/>
    <s v="U-FRESH soy milk"/>
    <x v="0"/>
    <x v="282"/>
    <s v="TZ"/>
    <s v="U Fresh Juice"/>
    <x v="6"/>
    <n v="1"/>
  </r>
  <r>
    <n v="6034000210989"/>
    <s v="U-FRESH Soy Milk"/>
    <x v="76"/>
    <x v="282"/>
    <s v="TZ"/>
    <s v="U Fresh Juice"/>
    <x v="6"/>
    <n v="481"/>
  </r>
  <r>
    <n v="6034000245004"/>
    <s v="Kaesar apple drink"/>
    <x v="76"/>
    <x v="718"/>
    <s v="GH"/>
    <s v="Multi Pac ltd"/>
    <x v="6"/>
    <n v="91"/>
  </r>
  <r>
    <n v="6034000245080"/>
    <s v="Chocho Malt"/>
    <x v="76"/>
    <x v="719"/>
    <s v="GH"/>
    <s v="Multi Pac ltd"/>
    <x v="6"/>
    <n v="25"/>
  </r>
  <r>
    <n v="6034000245097"/>
    <s v="5 star Malt"/>
    <x v="76"/>
    <x v="719"/>
    <s v="GH"/>
    <s v="Multi Pac ltd"/>
    <x v="6"/>
    <n v="21"/>
  </r>
  <r>
    <n v="6034000245189"/>
    <s v="Mineral Water"/>
    <x v="0"/>
    <x v="25"/>
    <s v="GH"/>
    <s v="Multi Pac ltd"/>
    <x v="6"/>
    <n v="1597"/>
  </r>
  <r>
    <n v="6034000245264"/>
    <s v="Vanda Ananas/Pineapple Carbonated Soft Drink"/>
    <x v="76"/>
    <x v="304"/>
    <s v="GH"/>
    <s v="Multi Pac ltd"/>
    <x v="6"/>
    <n v="128"/>
  </r>
  <r>
    <n v="6034000245301"/>
    <s v="Kaesar cocktails"/>
    <x v="76"/>
    <x v="718"/>
    <s v="GH"/>
    <s v="Multi Pac ltd"/>
    <x v="6"/>
    <n v="31"/>
  </r>
  <r>
    <n v="6034000252002"/>
    <s v="American cola"/>
    <x v="93"/>
    <x v="193"/>
    <s v="GH"/>
    <s v="Twellium Industry Limited"/>
    <x v="6"/>
    <n v="11"/>
  </r>
  <r>
    <n v="6034000252064"/>
    <s v="Rush! Energy"/>
    <x v="76"/>
    <x v="720"/>
    <s v="GH"/>
    <s v="Twellium Industry Limited"/>
    <x v="6"/>
    <n v="193"/>
  </r>
  <r>
    <n v="6034000252125"/>
    <s v="Natural Purified Water"/>
    <x v="0"/>
    <x v="721"/>
    <s v="GH"/>
    <s v="Twellium Industry Limited"/>
    <x v="6"/>
    <n v="212"/>
  </r>
  <r>
    <n v="6034000273014"/>
    <s v="Nero Water"/>
    <x v="55"/>
    <x v="722"/>
    <s v="GH"/>
    <s v="Sulu Investments"/>
    <x v="6"/>
    <n v="313"/>
  </r>
  <r>
    <n v="6034000307252"/>
    <s v="Washing Powder"/>
    <x v="146"/>
    <x v="186"/>
    <s v="SN"/>
    <s v="H&amp;D INDUSTRIES S.A"/>
    <x v="6"/>
    <n v="44"/>
  </r>
  <r>
    <n v="6034000307894"/>
    <s v="Kleesoft 3in1"/>
    <x v="228"/>
    <x v="239"/>
    <s v="CN"/>
    <s v="Sunda International"/>
    <x v="6"/>
    <n v="5"/>
  </r>
  <r>
    <n v="6034000307894"/>
    <s v="Kleesoft 3in1"/>
    <x v="228"/>
    <x v="239"/>
    <s v="CN"/>
    <s v="Sunda International"/>
    <x v="7"/>
    <n v="6"/>
  </r>
  <r>
    <n v="6034000339055"/>
    <s v="Ann Natural Mineral Water"/>
    <x v="0"/>
    <x v="723"/>
    <s v="UK"/>
    <s v="UNKNOWN_ORG"/>
    <x v="6"/>
    <n v="82"/>
  </r>
  <r>
    <n v="6034000351101"/>
    <s v="Cola Carbonated Soft Drink"/>
    <x v="76"/>
    <x v="724"/>
    <s v="GH"/>
    <s v="Blow Group"/>
    <x v="6"/>
    <n v="3513"/>
  </r>
  <r>
    <n v="6034000351149"/>
    <s v="Bel Tropical Splash"/>
    <x v="76"/>
    <x v="725"/>
    <s v="GH"/>
    <s v="Blow Group"/>
    <x v="6"/>
    <n v="214"/>
  </r>
  <r>
    <n v="6034000351170"/>
    <s v="Active Drink"/>
    <x v="0"/>
    <x v="251"/>
    <s v="GH"/>
    <s v="Blow Group"/>
    <x v="6"/>
    <n v="111"/>
  </r>
  <r>
    <n v="6034000351200"/>
    <s v="Carbonated Soft Drink"/>
    <x v="76"/>
    <x v="694"/>
    <s v="GH"/>
    <s v="Blow Group"/>
    <x v="6"/>
    <n v="1820"/>
  </r>
  <r>
    <n v="6034000351255"/>
    <s v="Chocolate Bel Malt Non Alcoholic Drink"/>
    <x v="0"/>
    <x v="726"/>
    <s v="GH"/>
    <s v="Blow Group"/>
    <x v="6"/>
    <n v="792"/>
  </r>
  <r>
    <n v="6034000351286"/>
    <s v="Tamarinda drink"/>
    <x v="76"/>
    <x v="727"/>
    <s v="GH"/>
    <s v="Blow Group"/>
    <x v="6"/>
    <n v="100"/>
  </r>
  <r>
    <n v="6034000351309"/>
    <s v="Bel Squeeze"/>
    <x v="76"/>
    <x v="695"/>
    <s v="GH"/>
    <s v="Blow Group"/>
    <x v="6"/>
    <n v="468"/>
  </r>
  <r>
    <n v="6034000351521"/>
    <s v="Bel Breeze"/>
    <x v="76"/>
    <x v="728"/>
    <s v="GH"/>
    <s v="Blow Group"/>
    <x v="6"/>
    <n v="80"/>
  </r>
  <r>
    <n v="6034000351552"/>
    <s v="Bel Portello drink"/>
    <x v="76"/>
    <x v="729"/>
    <s v="GH"/>
    <s v="Blow Group"/>
    <x v="6"/>
    <n v="12"/>
  </r>
  <r>
    <n v="6034000351682"/>
    <s v="Squeeze"/>
    <x v="76"/>
    <x v="695"/>
    <s v="GH"/>
    <s v="Blow Group"/>
    <x v="6"/>
    <n v="9"/>
  </r>
  <r>
    <n v="6034000351835"/>
    <s v="Bel ice vodka"/>
    <x v="93"/>
    <x v="730"/>
    <s v="GH"/>
    <s v="Blow Group"/>
    <x v="6"/>
    <n v="23"/>
  </r>
  <r>
    <n v="6034000351859"/>
    <s v="Bel ice alcoholic lemon flavoured drink"/>
    <x v="93"/>
    <x v="730"/>
    <s v="GH"/>
    <s v="Blow Group"/>
    <x v="6"/>
    <n v="463"/>
  </r>
  <r>
    <n v="6034000351873"/>
    <s v="Water"/>
    <x v="93"/>
    <x v="251"/>
    <s v="GH"/>
    <s v="Blow Group"/>
    <x v="6"/>
    <n v="155"/>
  </r>
  <r>
    <n v="6034000390070"/>
    <s v="Indomie Instant Noodles onion chicken flavour"/>
    <x v="151"/>
    <x v="731"/>
    <s v="NG"/>
    <s v="DUFIL Prima Foods Ltd"/>
    <x v="6"/>
    <n v="389"/>
  </r>
  <r>
    <n v="6034000390094"/>
    <s v="Extra Berry Flavor Carbonated Soft Drink"/>
    <x v="151"/>
    <x v="731"/>
    <s v="NG"/>
    <s v="DUFIL Prima Foods Ltd"/>
    <x v="6"/>
    <n v="209"/>
  </r>
  <r>
    <n v="6034000390124"/>
    <s v="Indomie Istant Noodles"/>
    <x v="271"/>
    <x v="731"/>
    <s v="NG"/>
    <s v="DUFIL Prima Foods Ltd"/>
    <x v="6"/>
    <n v="920"/>
  </r>
  <r>
    <n v="6034000390216"/>
    <s v="Indomie Istant Noodles"/>
    <x v="69"/>
    <x v="731"/>
    <s v="NG"/>
    <s v="DUFIL Prima Foods Ltd"/>
    <x v="6"/>
    <n v="100"/>
  </r>
  <r>
    <n v="6034000482003"/>
    <s v="Blue  Band Spread"/>
    <x v="296"/>
    <x v="732"/>
    <s v="NL"/>
    <s v="Upfield Europe BV"/>
    <x v="6"/>
    <n v="136"/>
  </r>
  <r>
    <n v="6034000482034"/>
    <s v="Spread for Bread"/>
    <x v="177"/>
    <x v="732"/>
    <s v="NL"/>
    <s v="Upfield Europe BV"/>
    <x v="6"/>
    <n v="3"/>
  </r>
  <r>
    <n v="6034000482539"/>
    <s v="Blue band spread"/>
    <x v="274"/>
    <x v="732"/>
    <s v="NL"/>
    <s v="Upfield Europe BV"/>
    <x v="6"/>
    <n v="20"/>
  </r>
  <r>
    <n v="6034000493160"/>
    <s v="Chocolate wafer"/>
    <x v="73"/>
    <x v="101"/>
    <s v="GH"/>
    <s v="Twellium Industry Limited"/>
    <x v="6"/>
    <n v="50"/>
  </r>
  <r>
    <n v="6034000510003"/>
    <s v="Purified Water"/>
    <x v="0"/>
    <x v="733"/>
    <s v="GH"/>
    <s v="Twellium Industry Limited"/>
    <x v="6"/>
    <n v="513"/>
  </r>
  <r>
    <n v="6034000510010"/>
    <s v="London Oat Digestive"/>
    <x v="89"/>
    <x v="734"/>
    <s v="GH"/>
    <s v="Twellium Industry Limited"/>
    <x v="6"/>
    <n v="100"/>
  </r>
  <r>
    <n v="6034000510034"/>
    <s v="London Oat Digestive"/>
    <x v="72"/>
    <x v="734"/>
    <s v="GH"/>
    <s v="Twellium Industry Limited"/>
    <x v="6"/>
    <n v="100"/>
  </r>
  <r>
    <n v="6034000510423"/>
    <s v="Verna Purified Water"/>
    <x v="304"/>
    <x v="721"/>
    <s v="GH"/>
    <s v="Twellium Industry Limited"/>
    <x v="6"/>
    <n v="3931"/>
  </r>
  <r>
    <n v="6034000510669"/>
    <s v="Slemfit water"/>
    <x v="55"/>
    <x v="733"/>
    <s v="GH"/>
    <s v="Twellium Industry Limited"/>
    <x v="6"/>
    <n v="24"/>
  </r>
  <r>
    <n v="6034000510744"/>
    <s v="Vim-oh energy drink"/>
    <x v="0"/>
    <x v="704"/>
    <s v="GH"/>
    <s v="Twellium Industry Limited"/>
    <x v="6"/>
    <n v="81"/>
  </r>
  <r>
    <n v="6034000510782"/>
    <s v="Drink"/>
    <x v="76"/>
    <x v="105"/>
    <s v="GH"/>
    <s v="Twellium Industry Limited"/>
    <x v="6"/>
    <n v="48"/>
  </r>
  <r>
    <n v="6034000552461"/>
    <s v="crumbs bourbon cream biscuit"/>
    <x v="305"/>
    <x v="101"/>
    <s v="GH"/>
    <s v="Twellium Industry Limited"/>
    <x v="6"/>
    <n v="22"/>
  </r>
  <r>
    <n v="6034000552492"/>
    <s v="Breakfast Cereal Biscuits"/>
    <x v="128"/>
    <x v="101"/>
    <s v="GH"/>
    <s v="Twellium Industry Limited"/>
    <x v="6"/>
    <n v="77"/>
  </r>
  <r>
    <n v="6034000584011"/>
    <s v="MAYS Crystal Purified Drinking Water"/>
    <x v="96"/>
    <x v="735"/>
    <s v="GH"/>
    <s v="Williemays Industries Limited"/>
    <x v="6"/>
    <n v="100"/>
  </r>
  <r>
    <n v="6034000639018"/>
    <s v="Bonita GEM Biscuit"/>
    <x v="274"/>
    <x v="736"/>
    <s v="GH"/>
    <s v="Mass Industries Limited"/>
    <x v="6"/>
    <n v="50"/>
  </r>
  <r>
    <n v="6034000931006"/>
    <s v="Chocho cola"/>
    <x v="76"/>
    <x v="719"/>
    <s v="GH"/>
    <s v="Multi Pac ltd"/>
    <x v="6"/>
    <n v="24"/>
  </r>
  <r>
    <n v="6034008822467"/>
    <s v="McBerry THE ORIGINAL London Oat Digestive"/>
    <x v="72"/>
    <x v="101"/>
    <s v="GH"/>
    <s v="Twellium Industry Limited"/>
    <x v="6"/>
    <n v="50"/>
  </r>
  <r>
    <n v="6034082253058"/>
    <s v="Lemon Drink"/>
    <x v="76"/>
    <x v="105"/>
    <s v="GH"/>
    <s v="Twellium Industry Limited"/>
    <x v="6"/>
    <n v="88"/>
  </r>
  <r>
    <n v="6034095253182"/>
    <s v="Cocktail drink"/>
    <x v="76"/>
    <x v="105"/>
    <s v="GH"/>
    <s v="Twellium Industry Limited"/>
    <x v="6"/>
    <n v="422"/>
  </r>
  <r>
    <n v="6034096253198"/>
    <s v="Bigoo"/>
    <x v="76"/>
    <x v="105"/>
    <s v="GH"/>
    <s v="Twellium Industry Limited"/>
    <x v="6"/>
    <n v="113"/>
  </r>
  <r>
    <n v="6034097253203"/>
    <s v="Lemon lite"/>
    <x v="76"/>
    <x v="105"/>
    <s v="GH"/>
    <s v="Twellium Industry Limited"/>
    <x v="6"/>
    <n v="137"/>
  </r>
  <r>
    <n v="6034098253219"/>
    <s v="Bigoo orange"/>
    <x v="76"/>
    <x v="105"/>
    <s v="GH"/>
    <s v="Twellium Industry Limited"/>
    <x v="6"/>
    <n v="154"/>
  </r>
  <r>
    <n v="6036000019814"/>
    <s v="Bottled water"/>
    <x v="0"/>
    <x v="737"/>
    <s v="GH"/>
    <s v="Special Ice Company"/>
    <x v="6"/>
    <n v="274"/>
  </r>
  <r>
    <n v="6036000020452"/>
    <s v="Kpoo Keke liquor"/>
    <x v="9"/>
    <x v="738"/>
    <s v="GH"/>
    <s v="Liberty Industries Ventures LTD"/>
    <x v="6"/>
    <n v="87"/>
  </r>
  <r>
    <n v="6036000038921"/>
    <s v="Joy Dadi bitters"/>
    <x v="55"/>
    <x v="739"/>
    <s v="GH"/>
    <s v="Joy Industries Limited"/>
    <x v="6"/>
    <n v="11"/>
  </r>
  <r>
    <n v="6036000057342"/>
    <s v="Orion Blended Gin"/>
    <x v="9"/>
    <x v="311"/>
    <s v="GB"/>
    <s v="GMR Group Africa"/>
    <x v="6"/>
    <n v="504"/>
  </r>
  <r>
    <n v="6036000057366"/>
    <s v="Darling Lemon Flavour"/>
    <x v="93"/>
    <x v="740"/>
    <s v="GB"/>
    <s v="GMR Group Africa"/>
    <x v="6"/>
    <n v="1047"/>
  </r>
  <r>
    <n v="6036000063466"/>
    <s v="Sankofa Natural Spices"/>
    <x v="95"/>
    <x v="741"/>
    <s v="GH"/>
    <s v="Gold Coast Food Group"/>
    <x v="6"/>
    <n v="28"/>
  </r>
  <r>
    <n v="6036000063497"/>
    <s v="Sankofa Natural Spices"/>
    <x v="305"/>
    <x v="741"/>
    <s v="GH"/>
    <s v="Gold Coast Food Group"/>
    <x v="6"/>
    <n v="12"/>
  </r>
  <r>
    <n v="6036000086700"/>
    <s v="Mineral Water"/>
    <x v="76"/>
    <x v="742"/>
    <s v="UK"/>
    <s v="UNKNOWN_ORG"/>
    <x v="6"/>
    <n v="53"/>
  </r>
  <r>
    <n v="6036000094316"/>
    <s v="Non-Dairy cremer"/>
    <x v="101"/>
    <x v="743"/>
    <s v="UK"/>
    <s v="UNKNOWN_ORG"/>
    <x v="6"/>
    <n v="18"/>
  </r>
  <r>
    <n v="6036000143069"/>
    <s v="APHRO PALM SPIRIT"/>
    <x v="306"/>
    <x v="744"/>
    <s v="UK"/>
    <s v="UNKNOWN_ORG"/>
    <x v="6"/>
    <n v="50"/>
  </r>
  <r>
    <n v="6036024852138"/>
    <s v="Chempe Rings"/>
    <x v="95"/>
    <x v="745"/>
    <s v="GB"/>
    <s v="Exeleos Company Limited"/>
    <x v="6"/>
    <n v="50"/>
  </r>
  <r>
    <n v="6044000013039"/>
    <s v="Ananas"/>
    <x v="93"/>
    <x v="746"/>
    <s v="CD"/>
    <s v="IBC - Congo Beverage Industry"/>
    <x v="10"/>
    <n v="1"/>
  </r>
  <r>
    <n v="6044000013121"/>
    <s v="Energy Drink"/>
    <x v="93"/>
    <x v="747"/>
    <s v="CD"/>
    <s v="IBC - Congo Beverage Industry"/>
    <x v="10"/>
    <n v="2"/>
  </r>
  <r>
    <n v="6044000013169"/>
    <s v="Cola"/>
    <x v="14"/>
    <x v="746"/>
    <s v="CD"/>
    <s v="IBC - Congo Beverage Industry"/>
    <x v="10"/>
    <n v="2"/>
  </r>
  <r>
    <n v="6044000013176"/>
    <s v="Boisson Gazeuse"/>
    <x v="111"/>
    <x v="746"/>
    <s v="CD"/>
    <s v="IBC - Congo Beverage Industry"/>
    <x v="10"/>
    <n v="32"/>
  </r>
  <r>
    <n v="6044000013190"/>
    <s v="Boisson Gazeuse"/>
    <x v="14"/>
    <x v="746"/>
    <s v="CD"/>
    <s v="IBC - Congo Beverage Industry"/>
    <x v="10"/>
    <n v="17"/>
  </r>
  <r>
    <n v="6044000013206"/>
    <s v="Limonade"/>
    <x v="111"/>
    <x v="746"/>
    <s v="CD"/>
    <s v="IBC - Congo Beverage Industry"/>
    <x v="10"/>
    <n v="1"/>
  </r>
  <r>
    <n v="6044000013244"/>
    <s v="Energy Drink"/>
    <x v="111"/>
    <x v="747"/>
    <s v="CD"/>
    <s v="IBC - Congo Beverage Industry"/>
    <x v="10"/>
    <n v="5"/>
  </r>
  <r>
    <n v="6044000013688"/>
    <s v="eau minérale naturelle"/>
    <x v="307"/>
    <x v="748"/>
    <s v="CD"/>
    <s v="Industries des Boissons au Congo"/>
    <x v="10"/>
    <n v="19"/>
  </r>
  <r>
    <n v="6046000006806"/>
    <s v="Eau De Source"/>
    <x v="86"/>
    <x v="748"/>
    <s v="CD"/>
    <s v="Industries des Boissons au Congo"/>
    <x v="10"/>
    <n v="7"/>
  </r>
  <r>
    <n v="6046000006868"/>
    <s v="Eau de source"/>
    <x v="110"/>
    <x v="748"/>
    <s v="CD"/>
    <s v="Industries des Boissons au Congo"/>
    <x v="10"/>
    <n v="32"/>
  </r>
  <r>
    <n v="6046000006875"/>
    <s v="Eau Gazeuse Naturelle"/>
    <x v="3"/>
    <x v="748"/>
    <s v="CD"/>
    <s v="Industries des Boissons au Congo"/>
    <x v="10"/>
    <n v="9"/>
  </r>
  <r>
    <n v="6046000006882"/>
    <s v="Eau Gazeuse Citron"/>
    <x v="120"/>
    <x v="748"/>
    <s v="CD"/>
    <s v="Industries des Boissons au Congo"/>
    <x v="10"/>
    <n v="3"/>
  </r>
  <r>
    <n v="605388881243"/>
    <s v="Natural Spring Water"/>
    <x v="0"/>
    <x v="119"/>
    <s v="US"/>
    <s v="Walmart Inc."/>
    <x v="1"/>
    <n v="38"/>
  </r>
  <r>
    <n v="606110410663"/>
    <s v="Agua Mineral"/>
    <x v="0"/>
    <x v="23"/>
    <s v="MZ"/>
    <s v="Montana Namaacha"/>
    <x v="4"/>
    <n v="26"/>
  </r>
  <r>
    <n v="60820211"/>
    <s v="Boisson Gazeuse UCB"/>
    <x v="93"/>
    <x v="125"/>
    <s v="CM"/>
    <s v="UCB"/>
    <x v="13"/>
    <n v="1"/>
  </r>
  <r>
    <n v="6103011160368"/>
    <s v="Uhai Pure Drinking Water"/>
    <x v="71"/>
    <x v="246"/>
    <s v="TZ"/>
    <s v="BAKHRESA GROUP DIVISIONS"/>
    <x v="7"/>
    <n v="44"/>
  </r>
  <r>
    <n v="6103018220713"/>
    <s v="mo energy"/>
    <x v="14"/>
    <x v="16"/>
    <s v="TZ"/>
    <s v="METL Group"/>
    <x v="7"/>
    <n v="1"/>
  </r>
  <r>
    <n v="6104007216281"/>
    <s v="tomato source"/>
    <x v="308"/>
    <x v="749"/>
    <s v="UK"/>
    <s v="UNKNOWN_ORG"/>
    <x v="5"/>
    <n v="5"/>
  </r>
  <r>
    <n v="6106000000911"/>
    <s v="Boisson Gazeuse"/>
    <x v="35"/>
    <x v="750"/>
    <s v="US"/>
    <s v="Coca-Cola"/>
    <x v="10"/>
    <n v="3"/>
  </r>
  <r>
    <n v="6106000000942"/>
    <s v="Boisson Gazeuse"/>
    <x v="3"/>
    <x v="750"/>
    <s v="US"/>
    <s v="Coca-Cola"/>
    <x v="10"/>
    <n v="11"/>
  </r>
  <r>
    <n v="6108145002027"/>
    <s v="Cowbell coffee cafe"/>
    <x v="102"/>
    <x v="518"/>
    <s v="GH"/>
    <s v="Promisador"/>
    <x v="6"/>
    <n v="10"/>
  </r>
  <r>
    <n v="613008754761"/>
    <s v="Arizona Green Tea Ginseng"/>
    <x v="110"/>
    <x v="130"/>
    <s v="US"/>
    <s v="AriZona Beverages"/>
    <x v="1"/>
    <n v="1"/>
  </r>
  <r>
    <n v="6130234001161"/>
    <s v="Drinking Water"/>
    <x v="86"/>
    <x v="751"/>
    <s v="DZ"/>
    <s v="Cevital"/>
    <x v="30"/>
    <n v="1"/>
  </r>
  <r>
    <n v="6131010523600"/>
    <s v="Purified drinking water"/>
    <x v="0"/>
    <x v="733"/>
    <s v="GH"/>
    <s v="Twellium Industry Limited"/>
    <x v="6"/>
    <n v="3"/>
  </r>
  <r>
    <n v="6132173241004"/>
    <s v="Coke Zero"/>
    <x v="0"/>
    <x v="1"/>
    <s v="US"/>
    <s v="Coca-Cola"/>
    <x v="18"/>
    <n v="1"/>
  </r>
  <r>
    <n v="6151100150226"/>
    <s v="Cola"/>
    <x v="23"/>
    <x v="51"/>
    <s v="US"/>
    <s v="Pepsico, Inc"/>
    <x v="16"/>
    <n v="13"/>
  </r>
  <r>
    <n v="6151100151070"/>
    <s v="Energy Drink"/>
    <x v="3"/>
    <x v="752"/>
    <s v="NG"/>
    <s v="SevenUp Bottling Company Ltd."/>
    <x v="16"/>
    <n v="2"/>
  </r>
  <r>
    <n v="6154000050078"/>
    <s v="TASTY TOM TOMATO MIX"/>
    <x v="17"/>
    <x v="677"/>
    <s v="SG"/>
    <s v="Olam International Ltd"/>
    <x v="6"/>
    <n v="50"/>
  </r>
  <r>
    <n v="6154000050115"/>
    <s v="tasty tom tomato mix"/>
    <x v="17"/>
    <x v="677"/>
    <s v="SG"/>
    <s v="Olam International Ltd"/>
    <x v="6"/>
    <n v="100"/>
  </r>
  <r>
    <n v="6154000057268"/>
    <s v="Beta Malt"/>
    <x v="93"/>
    <x v="715"/>
    <s v="BE"/>
    <s v="Anheuser-Busch InBev"/>
    <x v="6"/>
    <n v="518"/>
  </r>
  <r>
    <n v="6154000082079"/>
    <s v="Bigi cola"/>
    <x v="76"/>
    <x v="1"/>
    <s v="US"/>
    <s v="Coca-Cola"/>
    <x v="16"/>
    <n v="1"/>
  </r>
  <r>
    <n v="6156000233710"/>
    <s v="Rc cola"/>
    <x v="212"/>
    <x v="1"/>
    <s v="US"/>
    <s v="Coca-Cola"/>
    <x v="16"/>
    <n v="2"/>
  </r>
  <r>
    <n v="6156000233888"/>
    <s v="Cola"/>
    <x v="0"/>
    <x v="753"/>
    <s v="NL"/>
    <s v="Refresco Group"/>
    <x v="16"/>
    <n v="1"/>
  </r>
  <r>
    <n v="6156000261812"/>
    <s v="Wheat Flavoured Milk Drink"/>
    <x v="0"/>
    <x v="754"/>
    <s v="NG"/>
    <s v="Viju Industries Nigeria Limited"/>
    <x v="6"/>
    <n v="35"/>
  </r>
  <r>
    <n v="6156000264042"/>
    <s v="Premium Water"/>
    <x v="55"/>
    <x v="755"/>
    <s v="NG"/>
    <s v="Viju Industries Nigeria Limited"/>
    <x v="16"/>
    <n v="58"/>
  </r>
  <r>
    <n v="616000903014"/>
    <s v="drinking water"/>
    <x v="13"/>
    <x v="756"/>
    <s v="UG"/>
    <s v="Hema Beverges LTD"/>
    <x v="5"/>
    <n v="8"/>
  </r>
  <r>
    <n v="6160212800141"/>
    <s v="Remie beef seasoning powder"/>
    <x v="73"/>
    <x v="757"/>
    <s v="UK"/>
    <s v="UNKNOWN_ORG"/>
    <x v="6"/>
    <n v="40"/>
  </r>
  <r>
    <n v="6161100042216"/>
    <s v="Olive Oild Hair Relaxer"/>
    <x v="9"/>
    <x v="758"/>
    <s v="KE"/>
    <s v="HACO Industries Kenya Ltd"/>
    <x v="12"/>
    <n v="78"/>
  </r>
  <r>
    <n v="6161100042223"/>
    <s v="Olive Oil Hair Relaxer"/>
    <x v="66"/>
    <x v="758"/>
    <s v="KE"/>
    <s v="HACO Industries Kenya Ltd"/>
    <x v="12"/>
    <n v="18"/>
  </r>
  <r>
    <n v="6161100042865"/>
    <s v="Miadi"/>
    <x v="20"/>
    <x v="758"/>
    <s v="KE"/>
    <s v="HACO Industries Kenya Ltd"/>
    <x v="12"/>
    <n v="5"/>
  </r>
  <r>
    <n v="6161100043664"/>
    <s v="AMARA"/>
    <x v="14"/>
    <x v="759"/>
    <s v="KE"/>
    <s v="HACO Industries Kenya Ltd"/>
    <x v="12"/>
    <n v="4"/>
  </r>
  <r>
    <n v="6161100043671"/>
    <s v="Body product"/>
    <x v="14"/>
    <x v="759"/>
    <s v="KE"/>
    <s v="HACO Industries Kenya Ltd"/>
    <x v="12"/>
    <n v="3"/>
  </r>
  <r>
    <n v="6161100044234"/>
    <s v="Antibacterial Sanitizer"/>
    <x v="108"/>
    <x v="759"/>
    <s v="KE"/>
    <s v="HACO Industries Kenya Ltd"/>
    <x v="0"/>
    <n v="18"/>
  </r>
  <r>
    <n v="6161100045248"/>
    <s v="Body product"/>
    <x v="14"/>
    <x v="759"/>
    <s v="KE"/>
    <s v="HACO Industries Kenya Ltd"/>
    <x v="12"/>
    <n v="1"/>
  </r>
  <r>
    <n v="6161100047983"/>
    <s v="TOILET CLEANER"/>
    <x v="0"/>
    <x v="760"/>
    <s v="KE"/>
    <s v="HACO Industries Kenya Ltd"/>
    <x v="12"/>
    <n v="45"/>
  </r>
  <r>
    <n v="6161100049314"/>
    <s v="blow out relaxer"/>
    <x v="17"/>
    <x v="758"/>
    <s v="KE"/>
    <s v="HACO Industries Kenya Ltd"/>
    <x v="12"/>
    <n v="9"/>
  </r>
  <r>
    <n v="6161100049512"/>
    <s v="Toilet cleaner"/>
    <x v="0"/>
    <x v="760"/>
    <s v="KE"/>
    <s v="HACO Industries Kenya Ltd"/>
    <x v="12"/>
    <n v="9"/>
  </r>
  <r>
    <n v="6161100460393"/>
    <s v="Vanilla Yoghurt"/>
    <x v="48"/>
    <x v="761"/>
    <s v="KE"/>
    <s v="Kenya Co-operative Creameries Ltd"/>
    <x v="0"/>
    <n v="3"/>
  </r>
  <r>
    <n v="6161100460768"/>
    <s v="Vanilla Yoghurt"/>
    <x v="0"/>
    <x v="761"/>
    <s v="KE"/>
    <s v="Kenya Co-operative Creameries Ltd"/>
    <x v="0"/>
    <n v="7"/>
  </r>
  <r>
    <n v="6161100460980"/>
    <s v="Mala Original fermented milk"/>
    <x v="0"/>
    <x v="762"/>
    <s v="KE"/>
    <s v="Kenya Co-operative Creameries Ltd"/>
    <x v="0"/>
    <n v="17"/>
  </r>
  <r>
    <n v="6161100461307"/>
    <s v="Mala Drink"/>
    <x v="48"/>
    <x v="762"/>
    <s v="KE"/>
    <s v="Kenya Co-operative Creameries Ltd"/>
    <x v="0"/>
    <n v="37"/>
  </r>
  <r>
    <n v="6161100602267"/>
    <s v="Margarie"/>
    <x v="10"/>
    <x v="732"/>
    <s v="NL"/>
    <s v="Upfield Europe BV"/>
    <x v="12"/>
    <n v="31"/>
  </r>
  <r>
    <n v="6161100604063"/>
    <s v="Lemon fresh Cleaner"/>
    <x v="4"/>
    <x v="466"/>
    <s v="GB"/>
    <s v="Unilever Plc"/>
    <x v="12"/>
    <n v="167"/>
  </r>
  <r>
    <n v="6161100604063"/>
    <s v="Lemon fresh Cleaner"/>
    <x v="4"/>
    <x v="466"/>
    <s v="GB"/>
    <s v="Unilever Plc"/>
    <x v="7"/>
    <n v="2"/>
  </r>
  <r>
    <n v="6161100604155"/>
    <s v="Margarine"/>
    <x v="4"/>
    <x v="732"/>
    <s v="NL"/>
    <s v="Upfield Europe BV"/>
    <x v="12"/>
    <n v="11"/>
  </r>
  <r>
    <n v="6161100604162"/>
    <s v="Margarine"/>
    <x v="147"/>
    <x v="732"/>
    <s v="NL"/>
    <s v="Upfield Europe BV"/>
    <x v="12"/>
    <n v="1"/>
  </r>
  <r>
    <n v="6161100605268"/>
    <s v="Petroleum Jelly"/>
    <x v="48"/>
    <x v="467"/>
    <s v="GB"/>
    <s v="Unilever Plc"/>
    <x v="12"/>
    <n v="1"/>
  </r>
  <r>
    <n v="6161100605442"/>
    <s v="Mchuzi mix"/>
    <x v="64"/>
    <x v="763"/>
    <s v="US"/>
    <s v="Mars, Incorporated"/>
    <x v="12"/>
    <n v="45"/>
  </r>
  <r>
    <n v="6161100605459"/>
    <s v="mchuzi mix"/>
    <x v="4"/>
    <x v="763"/>
    <s v="US"/>
    <s v="Mars, Incorporated"/>
    <x v="12"/>
    <n v="19"/>
  </r>
  <r>
    <n v="6161100661028"/>
    <s v="Drinking Water"/>
    <x v="193"/>
    <x v="764"/>
    <s v="KE"/>
    <s v="Good Water Co Limited"/>
    <x v="0"/>
    <n v="12"/>
  </r>
  <r>
    <n v="6161100700017"/>
    <s v="Kabazi purified water"/>
    <x v="13"/>
    <x v="765"/>
    <s v="KE"/>
    <s v="CARTUBOX INDUSTRIES (E A) LTD"/>
    <x v="0"/>
    <n v="9"/>
  </r>
  <r>
    <n v="6161100700024"/>
    <s v="Purified Drinking Water"/>
    <x v="13"/>
    <x v="765"/>
    <s v="KE"/>
    <s v="CARTUBOX INDUSTRIES (E A) LTD"/>
    <x v="0"/>
    <n v="6"/>
  </r>
  <r>
    <n v="6161100700031"/>
    <s v="Purified Drinking Water"/>
    <x v="176"/>
    <x v="765"/>
    <s v="KE"/>
    <s v="CARTUBOX INDUSTRIES (E A) LTD"/>
    <x v="0"/>
    <n v="1"/>
  </r>
  <r>
    <n v="6161100720015"/>
    <s v="Mineral Water"/>
    <x v="35"/>
    <x v="766"/>
    <s v="KE"/>
    <s v="Menengai Oil Refineries Ltd."/>
    <x v="0"/>
    <n v="2"/>
  </r>
  <r>
    <n v="6161100720251"/>
    <s v="Still water"/>
    <x v="0"/>
    <x v="766"/>
    <s v="KE"/>
    <s v="Menengai Oil Refineries Ltd."/>
    <x v="0"/>
    <n v="13"/>
  </r>
  <r>
    <n v="6161100720268"/>
    <s v="Oxyrich Mineral Water"/>
    <x v="13"/>
    <x v="766"/>
    <s v="KE"/>
    <s v="Menengai Oil Refineries Ltd."/>
    <x v="0"/>
    <n v="14"/>
  </r>
  <r>
    <n v="6161100720268"/>
    <s v="Oxyrich Mineral Water"/>
    <x v="13"/>
    <x v="766"/>
    <s v="KE"/>
    <s v="Menengai Oil Refineries Ltd."/>
    <x v="5"/>
    <n v="11"/>
  </r>
  <r>
    <n v="6161100720275"/>
    <s v="Sparkling Water"/>
    <x v="0"/>
    <x v="766"/>
    <s v="KE"/>
    <s v="Menengai Oil Refineries Ltd."/>
    <x v="0"/>
    <n v="8"/>
  </r>
  <r>
    <n v="6161100720275"/>
    <s v="Sparkling Water"/>
    <x v="0"/>
    <x v="766"/>
    <s v="KE"/>
    <s v="Menengai Oil Refineries Ltd."/>
    <x v="12"/>
    <n v="1"/>
  </r>
  <r>
    <n v="6161100720398"/>
    <s v="Qua Still Spring Water"/>
    <x v="0"/>
    <x v="766"/>
    <s v="KE"/>
    <s v="Menengai Oil Refineries Ltd."/>
    <x v="0"/>
    <n v="18"/>
  </r>
  <r>
    <n v="6161100720428"/>
    <s v="Oxyrich"/>
    <x v="309"/>
    <x v="766"/>
    <s v="KE"/>
    <s v="Menengai Oil Refineries Ltd."/>
    <x v="0"/>
    <n v="1"/>
  </r>
  <r>
    <n v="6161100763081"/>
    <s v="Liquid Hand Wash"/>
    <x v="0"/>
    <x v="767"/>
    <s v="KE"/>
    <s v="Chandaria Industries Ltd"/>
    <x v="0"/>
    <n v="11"/>
  </r>
  <r>
    <n v="6161100810112"/>
    <s v="Office Glue"/>
    <x v="196"/>
    <x v="719"/>
    <s v="GH"/>
    <s v="Multi Pac ltd"/>
    <x v="0"/>
    <n v="50"/>
  </r>
  <r>
    <n v="6161100913394"/>
    <s v="Chicken Masala Spice Seasoning"/>
    <x v="17"/>
    <x v="768"/>
    <s v="KE"/>
    <s v="Tropical Heat Limited"/>
    <x v="4"/>
    <n v="1"/>
  </r>
  <r>
    <n v="6161100913394"/>
    <s v="Chicken Masala Spice Seasoning"/>
    <x v="17"/>
    <x v="768"/>
    <s v="KE"/>
    <s v="Tropical Heat Limited"/>
    <x v="12"/>
    <n v="1"/>
  </r>
  <r>
    <n v="6161100913394"/>
    <s v="Chicken Masala Spice Seasoning"/>
    <x v="17"/>
    <x v="768"/>
    <s v="KE"/>
    <s v="Tropical Heat Limited"/>
    <x v="7"/>
    <n v="1"/>
  </r>
  <r>
    <n v="6161100913462"/>
    <s v="fish masala"/>
    <x v="17"/>
    <x v="768"/>
    <s v="KE"/>
    <s v="Tropical Heat Limited"/>
    <x v="12"/>
    <n v="4"/>
  </r>
  <r>
    <n v="6161100950047"/>
    <s v="acid"/>
    <x v="0"/>
    <x v="355"/>
    <s v="GB"/>
    <s v="Reckitt Benckiser Group PLC"/>
    <x v="7"/>
    <n v="5"/>
  </r>
  <r>
    <n v="6161100952430"/>
    <s v="Power Plus"/>
    <x v="0"/>
    <x v="769"/>
    <s v="GB"/>
    <s v="Reckitt Benckiser Group PLC"/>
    <x v="0"/>
    <n v="1"/>
  </r>
  <r>
    <n v="6161101000833"/>
    <s v="Vanilla flavoured yoghurt"/>
    <x v="48"/>
    <x v="547"/>
    <s v="KE"/>
    <s v="Brookside Dairy Limited"/>
    <x v="0"/>
    <n v="17"/>
  </r>
  <r>
    <n v="6161101060585"/>
    <s v="Mixed Fruit Jam"/>
    <x v="4"/>
    <x v="523"/>
    <s v="KE"/>
    <s v="Premier Foods Limited"/>
    <x v="0"/>
    <n v="12"/>
  </r>
  <r>
    <n v="616110118735"/>
    <s v="gausana glycérine"/>
    <x v="121"/>
    <x v="770"/>
    <s v="RW"/>
    <s v="Sulfo Rwanda Industries"/>
    <x v="12"/>
    <n v="5"/>
  </r>
  <r>
    <n v="6161101280211"/>
    <s v="Purified Drinking Water"/>
    <x v="0"/>
    <x v="771"/>
    <s v="KE"/>
    <s v="Kensalt Ltd"/>
    <x v="0"/>
    <n v="58"/>
  </r>
  <r>
    <n v="6161101280228"/>
    <s v="Purified Drinking Water"/>
    <x v="35"/>
    <x v="771"/>
    <s v="KE"/>
    <s v="Kensalt Ltd"/>
    <x v="0"/>
    <n v="2"/>
  </r>
  <r>
    <n v="6161101280235"/>
    <s v="Purified drinking water"/>
    <x v="35"/>
    <x v="771"/>
    <s v="KE"/>
    <s v="Kensalt Ltd"/>
    <x v="0"/>
    <n v="3"/>
  </r>
  <r>
    <n v="6161101450591"/>
    <s v="Energy Drink"/>
    <x v="76"/>
    <x v="501"/>
    <s v="MZ"/>
    <s v="Yaafico Industrial Lda"/>
    <x v="4"/>
    <n v="9581"/>
  </r>
  <r>
    <n v="6161101450591"/>
    <s v="Energy Drink"/>
    <x v="76"/>
    <x v="501"/>
    <s v="MZ"/>
    <s v="Yaafico Industrial Lda"/>
    <x v="8"/>
    <n v="1"/>
  </r>
  <r>
    <n v="6161101571739"/>
    <s v="Table vinegar"/>
    <x v="13"/>
    <x v="772"/>
    <s v="TZ"/>
    <s v="CHEMICOTEX"/>
    <x v="7"/>
    <n v="2"/>
  </r>
  <r>
    <n v="6161101575669"/>
    <s v="Blackcurrant flavoured drink"/>
    <x v="0"/>
    <x v="773"/>
    <s v="TZ"/>
    <s v="CHEMICOTEX"/>
    <x v="7"/>
    <n v="5"/>
  </r>
  <r>
    <n v="6161101577977"/>
    <s v="Baby Soft Pure Petroleum Jelly"/>
    <x v="97"/>
    <x v="774"/>
    <s v="TZ"/>
    <s v="CHEMICOTEX"/>
    <x v="7"/>
    <n v="2"/>
  </r>
  <r>
    <n v="6161101600521"/>
    <s v="UGANDA WARAGI"/>
    <x v="2"/>
    <x v="775"/>
    <s v="UG"/>
    <s v="Uganda Breweries Ltd. (UBL)"/>
    <x v="5"/>
    <n v="51"/>
  </r>
  <r>
    <n v="6161101606363"/>
    <s v="Don Spirit"/>
    <x v="32"/>
    <x v="776"/>
    <s v="TZ"/>
    <s v="Serengeti Breweries Ltd"/>
    <x v="7"/>
    <n v="8"/>
  </r>
  <r>
    <n v="6161101661843"/>
    <s v="The gentle detergent"/>
    <x v="17"/>
    <x v="777"/>
    <s v="KE"/>
    <s v="Kapa Oil Refineries Ltd"/>
    <x v="0"/>
    <n v="1"/>
  </r>
  <r>
    <n v="6161101661850"/>
    <s v="Detergent"/>
    <x v="2"/>
    <x v="777"/>
    <s v="KE"/>
    <s v="Kapa Oil Refineries Ltd"/>
    <x v="0"/>
    <n v="17"/>
  </r>
  <r>
    <n v="6161101661867"/>
    <s v="The gentle detergent"/>
    <x v="4"/>
    <x v="777"/>
    <s v="KE"/>
    <s v="Kapa Oil Refineries Ltd"/>
    <x v="7"/>
    <n v="2"/>
  </r>
  <r>
    <n v="6161101661881"/>
    <s v="The gentle detergent"/>
    <x v="147"/>
    <x v="777"/>
    <s v="KE"/>
    <s v="Kapa Oil Refineries Ltd"/>
    <x v="0"/>
    <n v="15"/>
  </r>
  <r>
    <n v="6161101663533"/>
    <s v="sunflower oil"/>
    <x v="29"/>
    <x v="778"/>
    <s v="KE"/>
    <s v="Kapa Oil Refineries Ltd"/>
    <x v="0"/>
    <n v="1"/>
  </r>
  <r>
    <n v="6161101663557"/>
    <s v="sunflower oil"/>
    <x v="310"/>
    <x v="778"/>
    <s v="KE"/>
    <s v="Kapa Oil Refineries Ltd"/>
    <x v="0"/>
    <n v="1"/>
  </r>
  <r>
    <n v="6161101663564"/>
    <s v="sunflower oil"/>
    <x v="116"/>
    <x v="778"/>
    <s v="KE"/>
    <s v="Kapa Oil Refineries Ltd"/>
    <x v="0"/>
    <n v="1"/>
  </r>
  <r>
    <n v="6161101663564"/>
    <s v="sunflower oil"/>
    <x v="116"/>
    <x v="778"/>
    <s v="KE"/>
    <s v="Kapa Oil Refineries Ltd"/>
    <x v="12"/>
    <n v="20"/>
  </r>
  <r>
    <n v="6161101666060"/>
    <s v="White Washing Powder"/>
    <x v="4"/>
    <x v="777"/>
    <s v="KE"/>
    <s v="Kapa Oil Refineries Ltd"/>
    <x v="0"/>
    <n v="2"/>
  </r>
  <r>
    <n v="6161101666565"/>
    <s v="the gentle detergent"/>
    <x v="4"/>
    <x v="777"/>
    <s v="KE"/>
    <s v="Kapa Oil Refineries Ltd"/>
    <x v="0"/>
    <n v="23"/>
  </r>
  <r>
    <n v="6161101680417"/>
    <s v="Maziwa Lala"/>
    <x v="0"/>
    <x v="779"/>
    <s v="KE"/>
    <s v="Brookside Dairy Limited"/>
    <x v="0"/>
    <n v="86"/>
  </r>
  <r>
    <n v="616110184143"/>
    <s v="Spot Scouring Powder"/>
    <x v="4"/>
    <x v="770"/>
    <s v="RW"/>
    <s v="Sulfo Rwanda Industries"/>
    <x v="12"/>
    <n v="1"/>
  </r>
  <r>
    <n v="6161101870061"/>
    <s v="Sousana Glycerine"/>
    <x v="184"/>
    <x v="770"/>
    <s v="RW"/>
    <s v="Sulfo Rwanda Industries"/>
    <x v="12"/>
    <n v="8"/>
  </r>
  <r>
    <n v="6161101870061"/>
    <s v="Sousana Glycerine"/>
    <x v="184"/>
    <x v="770"/>
    <s v="RW"/>
    <s v="Sulfo Rwanda Industries"/>
    <x v="5"/>
    <n v="1"/>
  </r>
  <r>
    <n v="6161101870177"/>
    <s v="Poudre Talc"/>
    <x v="17"/>
    <x v="780"/>
    <s v="CD"/>
    <s v="Orbit Entreprise SARL"/>
    <x v="10"/>
    <n v="3"/>
  </r>
  <r>
    <n v="6161101870467"/>
    <s v="Eau de Source"/>
    <x v="35"/>
    <x v="781"/>
    <s v="CD"/>
    <s v="Orbit Entreprise SARL"/>
    <x v="10"/>
    <n v="203"/>
  </r>
  <r>
    <n v="6161101870610"/>
    <s v="Eau Pure"/>
    <x v="243"/>
    <x v="781"/>
    <s v="CD"/>
    <s v="Orbit Entreprise SARL"/>
    <x v="10"/>
    <n v="2"/>
  </r>
  <r>
    <n v="6161101870634"/>
    <s v="Drinking Water"/>
    <x v="35"/>
    <x v="782"/>
    <s v="RW"/>
    <s v="Sulfo Rwanda Industries"/>
    <x v="12"/>
    <n v="410"/>
  </r>
  <r>
    <n v="6161101871143"/>
    <s v="spot with lemon"/>
    <x v="4"/>
    <x v="770"/>
    <s v="RW"/>
    <s v="Sulfo Rwanda Industries"/>
    <x v="12"/>
    <n v="27"/>
  </r>
  <r>
    <n v="6161101871303"/>
    <s v="Drinking Wter"/>
    <x v="11"/>
    <x v="782"/>
    <s v="RW"/>
    <s v="Sulfo Rwanda Industries"/>
    <x v="12"/>
    <n v="1"/>
  </r>
  <r>
    <n v="6161101872058"/>
    <s v="Nil drinking water"/>
    <x v="0"/>
    <x v="782"/>
    <s v="RW"/>
    <s v="Sulfo Rwanda Industries"/>
    <x v="12"/>
    <n v="792"/>
  </r>
  <r>
    <n v="6161101872553"/>
    <s v="Eau de source"/>
    <x v="3"/>
    <x v="781"/>
    <s v="CD"/>
    <s v="Orbit Entreprise SARL"/>
    <x v="10"/>
    <n v="20"/>
  </r>
  <r>
    <n v="6161101872829"/>
    <s v="Boisson Gazeuse"/>
    <x v="35"/>
    <x v="783"/>
    <s v="CD"/>
    <s v="Orbit Entreprise SARL"/>
    <x v="10"/>
    <n v="4"/>
  </r>
  <r>
    <n v="6161101873253"/>
    <s v="Poudre Talc"/>
    <x v="311"/>
    <x v="784"/>
    <s v="CD"/>
    <s v="Orbit Entreprise SARL"/>
    <x v="10"/>
    <n v="1"/>
  </r>
  <r>
    <n v="6161101873543"/>
    <s v="Vague"/>
    <x v="0"/>
    <x v="770"/>
    <s v="RW"/>
    <s v="Sulfo Rwanda Industries"/>
    <x v="12"/>
    <n v="2"/>
  </r>
  <r>
    <n v="6161101873574"/>
    <s v="vague liquid wash"/>
    <x v="0"/>
    <x v="770"/>
    <s v="RW"/>
    <s v="Sulfo Rwanda Industries"/>
    <x v="12"/>
    <n v="8"/>
  </r>
  <r>
    <n v="6161101873598"/>
    <s v="Glycérine"/>
    <x v="121"/>
    <x v="770"/>
    <s v="RW"/>
    <s v="Sulfo Rwanda Industries"/>
    <x v="12"/>
    <n v="4"/>
  </r>
  <r>
    <n v="6161101873628"/>
    <s v="Mineral Water"/>
    <x v="166"/>
    <x v="782"/>
    <s v="RW"/>
    <s v="Sulfo Rwanda Industries"/>
    <x v="12"/>
    <n v="62"/>
  </r>
  <r>
    <n v="6161101873666"/>
    <s v="maman be`be`"/>
    <x v="10"/>
    <x v="770"/>
    <s v="RW"/>
    <s v="Sulfo Rwanda Industries"/>
    <x v="12"/>
    <n v="7"/>
  </r>
  <r>
    <n v="6161101873765"/>
    <s v="pure petroleum jelly"/>
    <x v="10"/>
    <x v="785"/>
    <s v="CD"/>
    <s v="Orbit Entreprise SARL"/>
    <x v="12"/>
    <n v="10"/>
  </r>
  <r>
    <n v="6161101873802"/>
    <s v="malaika"/>
    <x v="64"/>
    <x v="770"/>
    <s v="RW"/>
    <s v="Sulfo Rwanda Industries"/>
    <x v="12"/>
    <n v="2"/>
  </r>
  <r>
    <n v="6161101874564"/>
    <s v="boissons gazeuses"/>
    <x v="92"/>
    <x v="786"/>
    <s v="CD"/>
    <s v="Orbit Entreprise SARL"/>
    <x v="10"/>
    <n v="120"/>
  </r>
  <r>
    <n v="6161101874571"/>
    <s v="Boisson Gazeuse"/>
    <x v="76"/>
    <x v="783"/>
    <s v="CD"/>
    <s v="Orbit Entreprise SARL"/>
    <x v="10"/>
    <n v="100"/>
  </r>
  <r>
    <n v="6161101874588"/>
    <s v="Canadian Lemon"/>
    <x v="76"/>
    <x v="787"/>
    <s v="CD"/>
    <s v="Orbit Entreprise SARL"/>
    <x v="10"/>
    <n v="29"/>
  </r>
  <r>
    <n v="6161101874595"/>
    <s v="Boisson Gazeuse"/>
    <x v="76"/>
    <x v="788"/>
    <s v="CD"/>
    <s v="Orbit Entreprise SARL"/>
    <x v="10"/>
    <n v="61"/>
  </r>
  <r>
    <n v="6161101874601"/>
    <s v="Boison Gazeuse"/>
    <x v="76"/>
    <x v="789"/>
    <s v="CD"/>
    <s v="Orbit Entreprise SARL"/>
    <x v="10"/>
    <n v="117"/>
  </r>
  <r>
    <n v="6161101874618"/>
    <s v="Canadian Ginger"/>
    <x v="76"/>
    <x v="787"/>
    <s v="CD"/>
    <s v="Orbit Entreprise SARL"/>
    <x v="10"/>
    <n v="36"/>
  </r>
  <r>
    <n v="6161101875493"/>
    <s v="Eau de source"/>
    <x v="55"/>
    <x v="781"/>
    <s v="CD"/>
    <s v="Orbit Entreprise SARL"/>
    <x v="10"/>
    <n v="2218"/>
  </r>
  <r>
    <n v="6161101876025"/>
    <s v="Blue Orange"/>
    <x v="14"/>
    <x v="790"/>
    <s v="CD"/>
    <s v="Orbit Entreprise SARL"/>
    <x v="10"/>
    <n v="6"/>
  </r>
  <r>
    <n v="6161101876186"/>
    <s v="Boisson Sucré"/>
    <x v="0"/>
    <x v="791"/>
    <s v="CD"/>
    <s v="Orbit Entreprise SARL"/>
    <x v="10"/>
    <n v="183"/>
  </r>
  <r>
    <n v="6161102006971"/>
    <s v="Flamingo Hand wash"/>
    <x v="0"/>
    <x v="314"/>
    <s v="GB"/>
    <s v="PZ Cussons PLC"/>
    <x v="0"/>
    <n v="8"/>
  </r>
  <r>
    <n v="6161102007718"/>
    <s v="PROSSOL"/>
    <x v="128"/>
    <x v="792"/>
    <s v="GB"/>
    <s v="PZ Cussons International Ltd."/>
    <x v="12"/>
    <n v="15"/>
  </r>
  <r>
    <n v="6161102050011"/>
    <s v="Delightfully Refreshing Drinking Water"/>
    <x v="0"/>
    <x v="793"/>
    <s v="KE"/>
    <s v="HIGHLANDS DRINKS LIMITED"/>
    <x v="0"/>
    <n v="50"/>
  </r>
  <r>
    <n v="6161102050103"/>
    <s v="Cola"/>
    <x v="76"/>
    <x v="794"/>
    <s v="KE"/>
    <s v="HIGHLANDS DRINKS LIMITED"/>
    <x v="0"/>
    <n v="88"/>
  </r>
  <r>
    <n v="6161102050110"/>
    <s v="Lemon Soda"/>
    <x v="76"/>
    <x v="794"/>
    <s v="KE"/>
    <s v="HIGHLANDS DRINKS LIMITED"/>
    <x v="0"/>
    <n v="133"/>
  </r>
  <r>
    <n v="6161102050127"/>
    <s v="Orange Flavour Carbonated Drink"/>
    <x v="76"/>
    <x v="794"/>
    <s v="KE"/>
    <s v="HIGHLANDS DRINKS LIMITED"/>
    <x v="0"/>
    <n v="116"/>
  </r>
  <r>
    <n v="6161102050127"/>
    <s v="Orange Flavour Carbonated Drink"/>
    <x v="76"/>
    <x v="794"/>
    <s v="KE"/>
    <s v="HIGHLANDS DRINKS LIMITED"/>
    <x v="12"/>
    <n v="2"/>
  </r>
  <r>
    <n v="6161102050387"/>
    <s v="Orange Soda"/>
    <x v="12"/>
    <x v="794"/>
    <s v="KE"/>
    <s v="HIGHLANDS DRINKS LIMITED"/>
    <x v="0"/>
    <n v="2"/>
  </r>
  <r>
    <n v="6161102050417"/>
    <s v="Blackcurrant Flavour Soda"/>
    <x v="76"/>
    <x v="794"/>
    <s v="KE"/>
    <s v="HIGHLANDS DRINKS LIMITED"/>
    <x v="0"/>
    <n v="98"/>
  </r>
  <r>
    <n v="6161102050424"/>
    <s v="pineapple"/>
    <x v="92"/>
    <x v="794"/>
    <s v="KE"/>
    <s v="HIGHLANDS DRINKS LIMITED"/>
    <x v="0"/>
    <n v="13"/>
  </r>
  <r>
    <n v="6161102050462"/>
    <s v="Passion Fruit Soda"/>
    <x v="112"/>
    <x v="794"/>
    <s v="KE"/>
    <s v="HIGHLANDS DRINKS LIMITED"/>
    <x v="0"/>
    <n v="3"/>
  </r>
  <r>
    <n v="6161102050868"/>
    <s v="Energy Drink"/>
    <x v="0"/>
    <x v="795"/>
    <s v="KE"/>
    <s v="HIGHLANDS DRINKS LIMITED"/>
    <x v="0"/>
    <n v="20"/>
  </r>
  <r>
    <n v="6161102051162"/>
    <s v="Pineapple Cordial"/>
    <x v="312"/>
    <x v="793"/>
    <s v="KE"/>
    <s v="HIGHLANDS DRINKS LIMITED"/>
    <x v="0"/>
    <n v="1"/>
  </r>
  <r>
    <n v="6161102061192"/>
    <s v="fruit flavoured drink"/>
    <x v="110"/>
    <x v="474"/>
    <s v="ZA"/>
    <s v="Savannah Cider"/>
    <x v="0"/>
    <n v="12"/>
  </r>
  <r>
    <n v="6161102062250"/>
    <s v="tropical fruit drink"/>
    <x v="0"/>
    <x v="796"/>
    <s v="KE"/>
    <s v="Jetlak Foods Ltd"/>
    <x v="0"/>
    <n v="7"/>
  </r>
  <r>
    <n v="6161102062250"/>
    <s v="tropical fruit drink"/>
    <x v="0"/>
    <x v="796"/>
    <s v="KE"/>
    <s v="Jetlak Foods Ltd"/>
    <x v="5"/>
    <n v="5"/>
  </r>
  <r>
    <n v="6161103120270"/>
    <s v="Sunseed"/>
    <x v="11"/>
    <x v="797"/>
    <s v="UG"/>
    <s v="Mukwano Industries Uganda Ltd"/>
    <x v="12"/>
    <n v="4"/>
  </r>
  <r>
    <n v="6161103120270"/>
    <s v="Sunseed"/>
    <x v="11"/>
    <x v="797"/>
    <s v="UG"/>
    <s v="Mukwano Industries Uganda Ltd"/>
    <x v="5"/>
    <n v="8"/>
  </r>
  <r>
    <n v="6161103120287"/>
    <s v="sunseed"/>
    <x v="110"/>
    <x v="798"/>
    <s v="UG"/>
    <s v="A.K. OILS AND FATS UGANDA LIMITED"/>
    <x v="3"/>
    <n v="50"/>
  </r>
  <r>
    <n v="6161103120287"/>
    <s v="sunseed"/>
    <x v="110"/>
    <x v="798"/>
    <s v="UG"/>
    <s v="A.K. OILS AND FATS UGANDA LIMITED"/>
    <x v="12"/>
    <n v="6"/>
  </r>
  <r>
    <n v="6161103120287"/>
    <s v="sunseed"/>
    <x v="110"/>
    <x v="798"/>
    <s v="UG"/>
    <s v="A.K. OILS AND FATS UGANDA LIMITED"/>
    <x v="5"/>
    <n v="21"/>
  </r>
  <r>
    <n v="6161103120805"/>
    <s v="Fortified Sunflower Cooking Oil"/>
    <x v="12"/>
    <x v="485"/>
    <s v="ZA"/>
    <s v="Sealake Industries"/>
    <x v="4"/>
    <n v="70"/>
  </r>
  <r>
    <n v="6161103120805"/>
    <s v="Fortified Sunflower Cooking Oil"/>
    <x v="12"/>
    <x v="485"/>
    <s v="ZA"/>
    <s v="Sealake Industries"/>
    <x v="5"/>
    <n v="4"/>
  </r>
  <r>
    <n v="6161103121659"/>
    <s v="drinking water"/>
    <x v="35"/>
    <x v="799"/>
    <s v="UG"/>
    <s v="Mukwano Industries Uganda Ltd"/>
    <x v="12"/>
    <n v="9"/>
  </r>
  <r>
    <n v="6161103121659"/>
    <s v="drinking water"/>
    <x v="35"/>
    <x v="799"/>
    <s v="UG"/>
    <s v="Mukwano Industries Uganda Ltd"/>
    <x v="5"/>
    <n v="16"/>
  </r>
  <r>
    <n v="6161103121673"/>
    <s v="Packaged Drinking Water"/>
    <x v="0"/>
    <x v="799"/>
    <s v="UG"/>
    <s v="Mukwano Industries Uganda Ltd"/>
    <x v="5"/>
    <n v="208"/>
  </r>
  <r>
    <n v="6161103122731"/>
    <s v="drinkig water"/>
    <x v="22"/>
    <x v="799"/>
    <s v="UG"/>
    <s v="Mukwano Industries Uganda Ltd"/>
    <x v="5"/>
    <n v="4"/>
  </r>
  <r>
    <n v="6161103376042"/>
    <s v="Orange Crunch Milk Chocolate"/>
    <x v="90"/>
    <x v="800"/>
    <s v="KE"/>
    <s v="Glacier Products Ltd"/>
    <x v="7"/>
    <n v="1"/>
  </r>
  <r>
    <n v="6161104216019"/>
    <s v="drinking water"/>
    <x v="0"/>
    <x v="801"/>
    <s v="KE"/>
    <s v="njoro CANNING Factory (k) Ltd"/>
    <x v="0"/>
    <n v="2"/>
  </r>
  <r>
    <n v="6161104216019"/>
    <s v="drinking water"/>
    <x v="0"/>
    <x v="801"/>
    <s v="KE"/>
    <s v="njoro CANNING Factory (k) Ltd"/>
    <x v="7"/>
    <n v="100"/>
  </r>
  <r>
    <n v="6161104216026"/>
    <s v="Drinking water"/>
    <x v="193"/>
    <x v="801"/>
    <s v="KE"/>
    <s v="njoro CANNING Factory (k) Ltd"/>
    <x v="0"/>
    <n v="16"/>
  </r>
  <r>
    <n v="6161104340127"/>
    <s v="Pure Glycerine"/>
    <x v="215"/>
    <x v="802"/>
    <s v="UK"/>
    <s v="UNKNOWN_ORG"/>
    <x v="12"/>
    <n v="8"/>
  </r>
  <r>
    <n v="6161104401132"/>
    <s v="Lemon treat flavoured drink"/>
    <x v="0"/>
    <x v="546"/>
    <s v="KE"/>
    <s v="Excel Chemicals Limited"/>
    <x v="7"/>
    <n v="3"/>
  </r>
  <r>
    <n v="6161104401545"/>
    <s v="Quencher Junior"/>
    <x v="61"/>
    <x v="546"/>
    <s v="KE"/>
    <s v="Excel Chemicals Limited"/>
    <x v="0"/>
    <n v="41"/>
  </r>
  <r>
    <n v="6161104401828"/>
    <s v="Premium Drinking Water"/>
    <x v="0"/>
    <x v="546"/>
    <s v="KE"/>
    <s v="Excel Chemicals Limited"/>
    <x v="0"/>
    <n v="302"/>
  </r>
  <r>
    <n v="6161104401835"/>
    <s v="Premium drinking water"/>
    <x v="13"/>
    <x v="546"/>
    <s v="KE"/>
    <s v="Excel Chemicals Limited"/>
    <x v="0"/>
    <n v="56"/>
  </r>
  <r>
    <n v="6161104401842"/>
    <s v="Premium Drinking Water"/>
    <x v="35"/>
    <x v="546"/>
    <s v="KE"/>
    <s v="Excel Chemicals Limited"/>
    <x v="0"/>
    <n v="3"/>
  </r>
  <r>
    <n v="6161104401859"/>
    <s v="Premium Drinking Water"/>
    <x v="11"/>
    <x v="546"/>
    <s v="KE"/>
    <s v="Excel Chemicals Limited"/>
    <x v="0"/>
    <n v="2"/>
  </r>
  <r>
    <n v="6161104402061"/>
    <s v="Orange Flavoured Drink"/>
    <x v="166"/>
    <x v="546"/>
    <s v="KE"/>
    <s v="Excel Chemicals Limited"/>
    <x v="0"/>
    <n v="22"/>
  </r>
  <r>
    <n v="6161104402528"/>
    <s v="Fizto Mixed Flavour Fruit Drink"/>
    <x v="313"/>
    <x v="546"/>
    <s v="KE"/>
    <s v="Excel Chemicals Limited"/>
    <x v="0"/>
    <n v="7"/>
  </r>
  <r>
    <n v="6161104940068"/>
    <s v="iodised editable salt"/>
    <x v="4"/>
    <x v="803"/>
    <s v="KE"/>
    <s v="Malindi Salt Works Ltd"/>
    <x v="7"/>
    <n v="5"/>
  </r>
  <r>
    <n v="6161105296690"/>
    <s v="passion drink"/>
    <x v="172"/>
    <x v="90"/>
    <s v="TZ"/>
    <s v="METL Group"/>
    <x v="7"/>
    <n v="2"/>
  </r>
  <r>
    <n v="6161105297703"/>
    <s v="Bomba Energy Drink"/>
    <x v="172"/>
    <x v="90"/>
    <s v="TZ"/>
    <s v="METL Group"/>
    <x v="12"/>
    <n v="15"/>
  </r>
  <r>
    <n v="6161105299455"/>
    <s v="Mango Drink"/>
    <x v="3"/>
    <x v="804"/>
    <s v="TZ"/>
    <s v="METL Group"/>
    <x v="7"/>
    <n v="47"/>
  </r>
  <r>
    <n v="6161105381099"/>
    <s v="Purified Drinking Water"/>
    <x v="0"/>
    <x v="634"/>
    <s v="US"/>
    <s v="Pepsico, Inc"/>
    <x v="0"/>
    <n v="107"/>
  </r>
  <r>
    <n v="6161105381105"/>
    <s v="Purified Drinking Water"/>
    <x v="13"/>
    <x v="634"/>
    <s v="US"/>
    <s v="Pepsico, Inc"/>
    <x v="0"/>
    <n v="21"/>
  </r>
  <r>
    <n v="6161105381112"/>
    <s v="Purified Drinking Water"/>
    <x v="35"/>
    <x v="634"/>
    <s v="US"/>
    <s v="Pepsico, Inc"/>
    <x v="0"/>
    <n v="4"/>
  </r>
  <r>
    <n v="6161105381112"/>
    <s v="Purified Drinking Water"/>
    <x v="35"/>
    <x v="634"/>
    <s v="US"/>
    <s v="Pepsico, Inc"/>
    <x v="4"/>
    <n v="1"/>
  </r>
  <r>
    <n v="6161105450030"/>
    <s v="Energy Drink"/>
    <x v="152"/>
    <x v="805"/>
    <s v="UG"/>
    <s v="Hariss International Ltd"/>
    <x v="12"/>
    <n v="2"/>
  </r>
  <r>
    <n v="6161105450160"/>
    <s v="Harss international"/>
    <x v="113"/>
    <x v="250"/>
    <s v="UG"/>
    <s v="Hariss International Ltd"/>
    <x v="5"/>
    <n v="23"/>
  </r>
  <r>
    <n v="6161105450283"/>
    <s v="Natural mineral water"/>
    <x v="23"/>
    <x v="250"/>
    <s v="UG"/>
    <s v="Hariss International Ltd"/>
    <x v="5"/>
    <n v="52"/>
  </r>
  <r>
    <n v="6161105450597"/>
    <s v="Energy Drink"/>
    <x v="76"/>
    <x v="501"/>
    <s v="MZ"/>
    <s v="Yaafico Industrial Lda"/>
    <x v="3"/>
    <n v="25"/>
  </r>
  <r>
    <n v="6161105450597"/>
    <s v="Energy Drink"/>
    <x v="76"/>
    <x v="501"/>
    <s v="MZ"/>
    <s v="Yaafico Industrial Lda"/>
    <x v="4"/>
    <n v="2311"/>
  </r>
  <r>
    <n v="6161105450597"/>
    <s v="Energy Drink"/>
    <x v="76"/>
    <x v="501"/>
    <s v="MZ"/>
    <s v="Yaafico Industrial Lda"/>
    <x v="12"/>
    <n v="16"/>
  </r>
  <r>
    <n v="6161105450597"/>
    <s v="Energy Drink"/>
    <x v="76"/>
    <x v="501"/>
    <s v="MZ"/>
    <s v="Yaafico Industrial Lda"/>
    <x v="5"/>
    <n v="109"/>
  </r>
  <r>
    <n v="6161105451266"/>
    <s v="Mango Fruit Drink"/>
    <x v="0"/>
    <x v="806"/>
    <s v="UG"/>
    <s v="Hariss International Ltd"/>
    <x v="5"/>
    <n v="48"/>
  </r>
  <r>
    <n v="6161105451273"/>
    <s v="Apple fruit drink"/>
    <x v="0"/>
    <x v="806"/>
    <s v="UG"/>
    <s v="Hariss International Ltd"/>
    <x v="5"/>
    <n v="55"/>
  </r>
  <r>
    <n v="6161105451365"/>
    <s v="Lavita Pineapple flavoured drink"/>
    <x v="152"/>
    <x v="250"/>
    <s v="UG"/>
    <s v="Hariss International Ltd"/>
    <x v="12"/>
    <n v="2"/>
  </r>
  <r>
    <n v="6161105451365"/>
    <s v="Lavita Pineapple flavoured drink"/>
    <x v="152"/>
    <x v="250"/>
    <s v="UG"/>
    <s v="Hariss International Ltd"/>
    <x v="5"/>
    <n v="17"/>
  </r>
  <r>
    <n v="6161105451549"/>
    <s v="Carbonated Coffee &amp; Malt Flavoured Drink"/>
    <x v="152"/>
    <x v="250"/>
    <s v="UG"/>
    <s v="Hariss International Ltd"/>
    <x v="5"/>
    <n v="116"/>
  </r>
  <r>
    <n v="6161105451587"/>
    <s v="Soda Water"/>
    <x v="152"/>
    <x v="250"/>
    <s v="UG"/>
    <s v="Hariss International Ltd"/>
    <x v="5"/>
    <n v="54"/>
  </r>
  <r>
    <n v="6161105453550"/>
    <s v="Pineaple fruit drink"/>
    <x v="0"/>
    <x v="806"/>
    <s v="UG"/>
    <s v="Hariss International Ltd"/>
    <x v="5"/>
    <n v="1"/>
  </r>
  <r>
    <n v="6161105453567"/>
    <s v="Natural mineral water"/>
    <x v="0"/>
    <x v="807"/>
    <s v="UG"/>
    <s v="Hariss International Ltd"/>
    <x v="12"/>
    <n v="1"/>
  </r>
  <r>
    <n v="6161105453567"/>
    <s v="Natural mineral water"/>
    <x v="0"/>
    <x v="807"/>
    <s v="UG"/>
    <s v="Hariss International Ltd"/>
    <x v="5"/>
    <n v="38"/>
  </r>
  <r>
    <n v="6161105453680"/>
    <s v="Water"/>
    <x v="152"/>
    <x v="250"/>
    <s v="UG"/>
    <s v="Hariss International Ltd"/>
    <x v="5"/>
    <n v="6"/>
  </r>
  <r>
    <n v="6161105454182"/>
    <s v="Exotic tamarind"/>
    <x v="141"/>
    <x v="250"/>
    <s v="UG"/>
    <s v="Hariss International Ltd"/>
    <x v="5"/>
    <n v="34"/>
  </r>
  <r>
    <n v="6161105454441"/>
    <s v="apple drink"/>
    <x v="3"/>
    <x v="806"/>
    <s v="UK"/>
    <s v="UNKNOWN_ORG"/>
    <x v="5"/>
    <n v="6"/>
  </r>
  <r>
    <n v="6161105770008"/>
    <s v="Purified drinking water"/>
    <x v="0"/>
    <x v="808"/>
    <s v="KE"/>
    <s v="Natures Cool Limited"/>
    <x v="0"/>
    <n v="54"/>
  </r>
  <r>
    <n v="6161105770008"/>
    <s v="Purified drinking water"/>
    <x v="0"/>
    <x v="808"/>
    <s v="KE"/>
    <s v="Natures Cool Limited"/>
    <x v="5"/>
    <n v="1"/>
  </r>
  <r>
    <n v="6161105770022"/>
    <s v="Purified water"/>
    <x v="35"/>
    <x v="808"/>
    <s v="KE"/>
    <s v="Natures Cool Limited"/>
    <x v="0"/>
    <n v="3"/>
  </r>
  <r>
    <n v="6161105770022"/>
    <s v="Purified water"/>
    <x v="35"/>
    <x v="808"/>
    <s v="KE"/>
    <s v="Natures Cool Limited"/>
    <x v="7"/>
    <n v="20"/>
  </r>
  <r>
    <n v="6161105770022"/>
    <s v="Purified water"/>
    <x v="35"/>
    <x v="808"/>
    <s v="KE"/>
    <s v="Natures Cool Limited"/>
    <x v="5"/>
    <n v="1"/>
  </r>
  <r>
    <n v="6161106380121"/>
    <s v="Drinking Water"/>
    <x v="0"/>
    <x v="809"/>
    <s v="RW"/>
    <s v="Inyange Industries Ltd"/>
    <x v="12"/>
    <n v="23"/>
  </r>
  <r>
    <n v="6161106380121"/>
    <s v="Drinking Water"/>
    <x v="0"/>
    <x v="809"/>
    <s v="RW"/>
    <s v="Inyange Industries Ltd"/>
    <x v="5"/>
    <n v="1"/>
  </r>
  <r>
    <n v="6161106380138"/>
    <s v="VHT whole milk"/>
    <x v="13"/>
    <x v="809"/>
    <s v="RW"/>
    <s v="Inyange Industries Ltd"/>
    <x v="12"/>
    <n v="3"/>
  </r>
  <r>
    <n v="6161106380343"/>
    <s v="yoghurt"/>
    <x v="10"/>
    <x v="809"/>
    <s v="RW"/>
    <s v="Inyange Industries Ltd"/>
    <x v="12"/>
    <n v="5"/>
  </r>
  <r>
    <n v="6161106380350"/>
    <s v="Plain Yoghurt"/>
    <x v="10"/>
    <x v="809"/>
    <s v="RW"/>
    <s v="Inyange Industries Ltd"/>
    <x v="12"/>
    <n v="1"/>
  </r>
  <r>
    <n v="6161106380459"/>
    <s v="Apple Fruit Drink"/>
    <x v="0"/>
    <x v="809"/>
    <s v="RW"/>
    <s v="Inyange Industries Ltd"/>
    <x v="12"/>
    <n v="83"/>
  </r>
  <r>
    <n v="6161106380473"/>
    <s v="Mango Fruit Drink"/>
    <x v="0"/>
    <x v="809"/>
    <s v="RW"/>
    <s v="Inyange Industries Ltd"/>
    <x v="12"/>
    <n v="109"/>
  </r>
  <r>
    <n v="6161106380602"/>
    <s v="Drinking Water"/>
    <x v="0"/>
    <x v="809"/>
    <s v="RW"/>
    <s v="Inyange Industries Ltd"/>
    <x v="12"/>
    <n v="203"/>
  </r>
  <r>
    <n v="6161106380619"/>
    <s v="Natural Mineral Water"/>
    <x v="13"/>
    <x v="809"/>
    <s v="RW"/>
    <s v="Inyange Industries Ltd"/>
    <x v="12"/>
    <n v="138"/>
  </r>
  <r>
    <n v="6161106380732"/>
    <s v="Drinking Yoghurt Peach Flavour"/>
    <x v="66"/>
    <x v="809"/>
    <s v="RW"/>
    <s v="Inyange Industries Ltd"/>
    <x v="12"/>
    <n v="18"/>
  </r>
  <r>
    <n v="6161106880003"/>
    <s v="strawberry flavoured yoghurt"/>
    <x v="0"/>
    <x v="810"/>
    <s v="RW"/>
    <s v="Masaka Creamery Limited"/>
    <x v="12"/>
    <n v="6"/>
  </r>
  <r>
    <n v="6161106880027"/>
    <s v="vanila yogurt"/>
    <x v="0"/>
    <x v="810"/>
    <s v="RW"/>
    <s v="Masaka Creamery Limited"/>
    <x v="12"/>
    <n v="2"/>
  </r>
  <r>
    <n v="6161106888450"/>
    <s v="MASAKA FARMS"/>
    <x v="14"/>
    <x v="810"/>
    <s v="RW"/>
    <s v="Masaka Creamery Limited"/>
    <x v="12"/>
    <n v="4"/>
  </r>
  <r>
    <n v="6161106962181"/>
    <s v="Cerelac"/>
    <x v="122"/>
    <x v="14"/>
    <s v="CH"/>
    <s v="Nestlé S.A."/>
    <x v="7"/>
    <n v="1"/>
  </r>
  <r>
    <n v="6161107150709"/>
    <s v="Farm fresh Maziwa Lala"/>
    <x v="4"/>
    <x v="811"/>
    <s v="KE"/>
    <s v="Brookside Dairy Limited"/>
    <x v="0"/>
    <n v="8"/>
  </r>
  <r>
    <n v="6161107150730"/>
    <s v="Farm Fresh Maziwa Lala"/>
    <x v="0"/>
    <x v="811"/>
    <s v="KE"/>
    <s v="Brookside Dairy Limited"/>
    <x v="0"/>
    <n v="109"/>
  </r>
  <r>
    <n v="6161107151027"/>
    <s v="forest berry"/>
    <x v="314"/>
    <x v="547"/>
    <s v="KE"/>
    <s v="Brookside Dairy Limited"/>
    <x v="0"/>
    <n v="1"/>
  </r>
  <r>
    <n v="6161107151720"/>
    <s v="Strawberry Yoghurt"/>
    <x v="66"/>
    <x v="779"/>
    <s v="KE"/>
    <s v="Brookside Dairy Limited"/>
    <x v="0"/>
    <n v="8"/>
  </r>
  <r>
    <n v="6161107151737"/>
    <s v="Vanilla"/>
    <x v="14"/>
    <x v="779"/>
    <s v="KE"/>
    <s v="Brookside Dairy Limited"/>
    <x v="0"/>
    <n v="1"/>
  </r>
  <r>
    <n v="6161107151775"/>
    <s v="Maziwa Lala"/>
    <x v="147"/>
    <x v="811"/>
    <s v="KE"/>
    <s v="Brookside Dairy Limited"/>
    <x v="0"/>
    <n v="8"/>
  </r>
  <r>
    <n v="6161107151782"/>
    <s v="Farm Fresh"/>
    <x v="147"/>
    <x v="811"/>
    <s v="KE"/>
    <s v="Brookside Dairy Limited"/>
    <x v="0"/>
    <n v="43"/>
  </r>
  <r>
    <n v="6161107220648"/>
    <s v="BraidSpray"/>
    <x v="266"/>
    <x v="812"/>
    <s v="UG"/>
    <s v="Movit Products Ltd"/>
    <x v="12"/>
    <n v="5"/>
  </r>
  <r>
    <n v="6161107220648"/>
    <s v="BraidSpray"/>
    <x v="266"/>
    <x v="812"/>
    <s v="UG"/>
    <s v="Movit Products Ltd"/>
    <x v="7"/>
    <n v="2"/>
  </r>
  <r>
    <n v="6161107222666"/>
    <s v="movit baby gel"/>
    <x v="315"/>
    <x v="813"/>
    <s v="UG"/>
    <s v="Movit Products Ltd"/>
    <x v="12"/>
    <n v="1"/>
  </r>
  <r>
    <n v="6161107471279"/>
    <s v="Purified Drinking Water"/>
    <x v="35"/>
    <x v="814"/>
    <s v="KE"/>
    <s v="Naivas Supermarket Limited"/>
    <x v="0"/>
    <n v="21"/>
  </r>
  <r>
    <n v="6161107520083"/>
    <s v="Water"/>
    <x v="0"/>
    <x v="173"/>
    <s v="CD"/>
    <s v="PREMIDIS SARL"/>
    <x v="12"/>
    <n v="5"/>
  </r>
  <r>
    <n v="6161107770266"/>
    <s v="Corn Cooking Oil"/>
    <x v="166"/>
    <x v="815"/>
    <s v="KE"/>
    <s v="BIDCO Africa Limited"/>
    <x v="0"/>
    <n v="8"/>
  </r>
  <r>
    <n v="6161107770266"/>
    <s v="Corn Cooking Oil"/>
    <x v="166"/>
    <x v="815"/>
    <s v="KE"/>
    <s v="BIDCO Africa Limited"/>
    <x v="12"/>
    <n v="1"/>
  </r>
  <r>
    <n v="6161107775087"/>
    <s v="Pure sunflower seed oil"/>
    <x v="11"/>
    <x v="816"/>
    <s v="KE"/>
    <s v="BIDCO Africa Limited"/>
    <x v="0"/>
    <n v="3"/>
  </r>
  <r>
    <n v="6161107775087"/>
    <s v="Pure sunflower seed oil"/>
    <x v="11"/>
    <x v="816"/>
    <s v="KE"/>
    <s v="BIDCO Africa Limited"/>
    <x v="4"/>
    <n v="15"/>
  </r>
  <r>
    <n v="6161107775087"/>
    <s v="Pure sunflower seed oil"/>
    <x v="11"/>
    <x v="816"/>
    <s v="KE"/>
    <s v="BIDCO Africa Limited"/>
    <x v="12"/>
    <n v="10"/>
  </r>
  <r>
    <n v="6161108006029"/>
    <s v="Fresh whole milk"/>
    <x v="12"/>
    <x v="817"/>
    <s v="KE"/>
    <s v="Bio Food Products Ltd"/>
    <x v="0"/>
    <n v="16"/>
  </r>
  <r>
    <n v="6161108920561"/>
    <s v="Mineral Water"/>
    <x v="0"/>
    <x v="766"/>
    <s v="KE"/>
    <s v="Menengai Oil Refineries Ltd."/>
    <x v="0"/>
    <n v="23"/>
  </r>
  <r>
    <n v="6161108920578"/>
    <s v="Mineral Water"/>
    <x v="13"/>
    <x v="766"/>
    <s v="KE"/>
    <s v="Menengai Oil Refineries Ltd."/>
    <x v="0"/>
    <n v="4"/>
  </r>
  <r>
    <n v="6161109311047"/>
    <s v="Lait en Poudre Nestle"/>
    <x v="252"/>
    <x v="818"/>
    <s v="CH"/>
    <s v="Nestlé S.A."/>
    <x v="10"/>
    <n v="27"/>
  </r>
  <r>
    <n v="6161109650207"/>
    <s v="Energy Drink Tonto"/>
    <x v="3"/>
    <x v="819"/>
    <s v="UG"/>
    <s v="Kdb Kyarenga Wines Smc Limited"/>
    <x v="5"/>
    <n v="96"/>
  </r>
  <r>
    <n v="6161109780003"/>
    <s v="Cola"/>
    <x v="76"/>
    <x v="820"/>
    <s v="CD"/>
    <s v="REVIN SARL"/>
    <x v="10"/>
    <n v="9"/>
  </r>
  <r>
    <n v="6161109780027"/>
    <s v="Cheers Eau de Table"/>
    <x v="113"/>
    <x v="821"/>
    <s v="CD"/>
    <s v="REVIN SARL"/>
    <x v="10"/>
    <n v="10"/>
  </r>
  <r>
    <n v="6161109780072"/>
    <s v="Revin tangawizi"/>
    <x v="2"/>
    <x v="822"/>
    <s v="ZM"/>
    <s v="Revin Zambia Limited"/>
    <x v="10"/>
    <n v="2"/>
  </r>
  <r>
    <n v="6161109780072"/>
    <s v="Revin tangawizi"/>
    <x v="2"/>
    <x v="822"/>
    <s v="ZM"/>
    <s v="Revin Zambia Limited"/>
    <x v="15"/>
    <n v="6"/>
  </r>
  <r>
    <n v="6161109780416"/>
    <s v="Natural Power High Energy"/>
    <x v="145"/>
    <x v="823"/>
    <s v="ZM"/>
    <s v="Revin Zambia Limited"/>
    <x v="10"/>
    <n v="6"/>
  </r>
  <r>
    <n v="6161109780416"/>
    <s v="Natural Power High Energy"/>
    <x v="145"/>
    <x v="823"/>
    <s v="ZM"/>
    <s v="Revin Zambia Limited"/>
    <x v="4"/>
    <n v="2"/>
  </r>
  <r>
    <n v="6161109780416"/>
    <s v="Natural Power High Energy"/>
    <x v="145"/>
    <x v="823"/>
    <s v="ZM"/>
    <s v="Revin Zambia Limited"/>
    <x v="12"/>
    <n v="1"/>
  </r>
  <r>
    <n v="6161109780416"/>
    <s v="Natural Power High Energy"/>
    <x v="145"/>
    <x v="823"/>
    <s v="ZM"/>
    <s v="Revin Zambia Limited"/>
    <x v="15"/>
    <n v="20"/>
  </r>
  <r>
    <n v="6161109780669"/>
    <s v="Eau de Table"/>
    <x v="71"/>
    <x v="821"/>
    <s v="CD"/>
    <s v="REVIN SARL"/>
    <x v="10"/>
    <n v="192"/>
  </r>
  <r>
    <n v="6161109780676"/>
    <s v="Eau de Table"/>
    <x v="76"/>
    <x v="821"/>
    <s v="CD"/>
    <s v="REVIN SARL"/>
    <x v="10"/>
    <n v="2"/>
  </r>
  <r>
    <n v="6161109780867"/>
    <s v="Power plus"/>
    <x v="316"/>
    <x v="824"/>
    <s v="UK"/>
    <s v="UNKNOWN_ORG"/>
    <x v="10"/>
    <n v="6"/>
  </r>
  <r>
    <n v="6161109780867"/>
    <s v="Power plus"/>
    <x v="316"/>
    <x v="824"/>
    <s v="UK"/>
    <s v="UNKNOWN_ORG"/>
    <x v="7"/>
    <n v="1"/>
  </r>
  <r>
    <n v="6161109781079"/>
    <s v="Jus Tangawisi"/>
    <x v="14"/>
    <x v="825"/>
    <s v="CD"/>
    <s v="REVIN"/>
    <x v="10"/>
    <n v="3"/>
  </r>
  <r>
    <n v="6161109781345"/>
    <s v="Energy Drink"/>
    <x v="111"/>
    <x v="826"/>
    <s v="ZM"/>
    <s v="Revin Zambia Limited"/>
    <x v="3"/>
    <n v="18"/>
  </r>
  <r>
    <n v="6161109781345"/>
    <s v="Energy Drink"/>
    <x v="111"/>
    <x v="826"/>
    <s v="ZM"/>
    <s v="Revin Zambia Limited"/>
    <x v="7"/>
    <n v="20"/>
  </r>
  <r>
    <n v="6161109781345"/>
    <s v="Energy Drink"/>
    <x v="111"/>
    <x v="826"/>
    <s v="ZM"/>
    <s v="Revin Zambia Limited"/>
    <x v="15"/>
    <n v="1"/>
  </r>
  <r>
    <n v="6161109781482"/>
    <s v="Boisson Gazeuse"/>
    <x v="111"/>
    <x v="827"/>
    <s v="CD"/>
    <s v="REVIN SARL"/>
    <x v="10"/>
    <n v="1"/>
  </r>
  <r>
    <n v="6161109781505"/>
    <s v="Boisson Gazeuse"/>
    <x v="111"/>
    <x v="828"/>
    <s v="CD"/>
    <s v="REVIN SARL"/>
    <x v="10"/>
    <n v="1"/>
  </r>
  <r>
    <n v="6161109781512"/>
    <s v="Boisson Gazeuse"/>
    <x v="111"/>
    <x v="829"/>
    <s v="CD"/>
    <s v="REVIN SARL"/>
    <x v="10"/>
    <n v="3"/>
  </r>
  <r>
    <n v="6161109782540"/>
    <s v="Boisson Énergisante"/>
    <x v="14"/>
    <x v="830"/>
    <s v="CD"/>
    <s v="REVIN"/>
    <x v="10"/>
    <n v="6"/>
  </r>
  <r>
    <n v="6161109783158"/>
    <s v="Orange"/>
    <x v="76"/>
    <x v="831"/>
    <s v="ZM"/>
    <s v="AVANTO COMPANY LIMITED"/>
    <x v="10"/>
    <n v="2"/>
  </r>
  <r>
    <n v="6161109783172"/>
    <s v="Pineapple"/>
    <x v="76"/>
    <x v="831"/>
    <s v="ZM"/>
    <s v="AVANTO COMPANY LIMITED"/>
    <x v="10"/>
    <n v="1"/>
  </r>
  <r>
    <n v="6161109783875"/>
    <s v="Boisson Gazeuse"/>
    <x v="76"/>
    <x v="827"/>
    <s v="CD"/>
    <s v="REVIN SARL"/>
    <x v="10"/>
    <n v="18"/>
  </r>
  <r>
    <n v="6161109783882"/>
    <s v="Boissons gazeuses"/>
    <x v="92"/>
    <x v="820"/>
    <s v="CD"/>
    <s v="REVIN SARL"/>
    <x v="10"/>
    <n v="5"/>
  </r>
  <r>
    <n v="6161109783899"/>
    <s v="Boisson Gazeuse"/>
    <x v="92"/>
    <x v="828"/>
    <s v="CD"/>
    <s v="REVIN SARL"/>
    <x v="10"/>
    <n v="3"/>
  </r>
  <r>
    <n v="6161109783905"/>
    <s v="Boisson Gazeuse"/>
    <x v="76"/>
    <x v="829"/>
    <s v="CD"/>
    <s v="REVIN SARL"/>
    <x v="10"/>
    <n v="4"/>
  </r>
  <r>
    <n v="6161109783912"/>
    <s v="boissons gazeuses"/>
    <x v="76"/>
    <x v="832"/>
    <s v="IN"/>
    <s v="Parle Agro Pvt. Ltd."/>
    <x v="10"/>
    <n v="9"/>
  </r>
  <r>
    <n v="6161109783929"/>
    <s v="Tangawisi"/>
    <x v="76"/>
    <x v="820"/>
    <s v="CD"/>
    <s v="REVIN SARL"/>
    <x v="10"/>
    <n v="14"/>
  </r>
  <r>
    <n v="6161109784070"/>
    <s v="Boisson Gazeuse Tamarind"/>
    <x v="76"/>
    <x v="820"/>
    <s v="CD"/>
    <s v="REVIN SARL"/>
    <x v="10"/>
    <n v="5"/>
  </r>
  <r>
    <n v="6161109784636"/>
    <s v="Eau de Table Purifiée"/>
    <x v="55"/>
    <x v="821"/>
    <s v="CD"/>
    <s v="REVIN SARL"/>
    <x v="10"/>
    <n v="7"/>
  </r>
  <r>
    <n v="6161109981714"/>
    <s v="Purified Drinking Water"/>
    <x v="0"/>
    <x v="833"/>
    <s v="KE"/>
    <s v="Githunguri Dairy Farmers Co-Operative Society Ltd"/>
    <x v="0"/>
    <n v="13"/>
  </r>
  <r>
    <n v="6161109981721"/>
    <s v="Purified Drinking Water"/>
    <x v="0"/>
    <x v="833"/>
    <s v="KE"/>
    <s v="Githunguri Dairy Farmers Co-Operative Society Ltd"/>
    <x v="0"/>
    <n v="9"/>
  </r>
  <r>
    <n v="61611108"/>
    <s v="Orange"/>
    <x v="0"/>
    <x v="521"/>
    <s v="KE"/>
    <s v="Kevian Kenya Limited"/>
    <x v="0"/>
    <n v="6"/>
  </r>
  <r>
    <n v="61611108"/>
    <s v="Orange"/>
    <x v="0"/>
    <x v="521"/>
    <s v="KE"/>
    <s v="Kevian Kenya Limited"/>
    <x v="7"/>
    <n v="1"/>
  </r>
  <r>
    <n v="6161110810713"/>
    <s v="Mango Fruit Drinks"/>
    <x v="55"/>
    <x v="521"/>
    <s v="KE"/>
    <s v="Kevian Kenya Limited"/>
    <x v="0"/>
    <n v="2"/>
  </r>
  <r>
    <n v="6161111480267"/>
    <s v="Strawberry Banana Juice Blend"/>
    <x v="13"/>
    <x v="834"/>
    <s v="KE"/>
    <s v="Sky Foods LTD"/>
    <x v="0"/>
    <n v="26"/>
  </r>
  <r>
    <n v="6161111480328"/>
    <s v="Boost Energy Drink"/>
    <x v="0"/>
    <x v="241"/>
    <s v="JP"/>
    <s v="Suntory Holdings Limited"/>
    <x v="0"/>
    <n v="8"/>
  </r>
  <r>
    <n v="6161111480434"/>
    <s v="Purified Drinking Water"/>
    <x v="13"/>
    <x v="834"/>
    <s v="KE"/>
    <s v="Sky Foods LTD"/>
    <x v="0"/>
    <n v="11"/>
  </r>
  <r>
    <n v="6161111910160"/>
    <s v="kombucha"/>
    <x v="158"/>
    <x v="835"/>
    <s v="ZM"/>
    <s v="Gavi Beverages Ltd."/>
    <x v="3"/>
    <n v="28"/>
  </r>
  <r>
    <n v="6161111910160"/>
    <s v="kombucha"/>
    <x v="158"/>
    <x v="835"/>
    <s v="ZM"/>
    <s v="Gavi Beverages Ltd."/>
    <x v="4"/>
    <n v="468"/>
  </r>
  <r>
    <n v="6161111910160"/>
    <s v="kombucha"/>
    <x v="158"/>
    <x v="835"/>
    <s v="ZM"/>
    <s v="Gavi Beverages Ltd."/>
    <x v="5"/>
    <n v="10"/>
  </r>
  <r>
    <n v="6161111910160"/>
    <s v="kombucha"/>
    <x v="158"/>
    <x v="835"/>
    <s v="ZM"/>
    <s v="Gavi Beverages Ltd."/>
    <x v="15"/>
    <n v="52"/>
  </r>
  <r>
    <n v="6161112462736"/>
    <s v="Drinking Chocolate"/>
    <x v="17"/>
    <x v="836"/>
    <s v="MZ"/>
    <s v="Kenafric Industries Limited"/>
    <x v="12"/>
    <n v="2"/>
  </r>
  <r>
    <n v="6161112462743"/>
    <s v="Drinking Chocolate"/>
    <x v="64"/>
    <x v="836"/>
    <s v="MZ"/>
    <s v="Kenafric Industries Limited"/>
    <x v="12"/>
    <n v="13"/>
  </r>
  <r>
    <n v="6161112464198"/>
    <s v="Pure Water"/>
    <x v="0"/>
    <x v="184"/>
    <s v="KE"/>
    <s v="Safi Water Limited"/>
    <x v="0"/>
    <n v="45"/>
  </r>
  <r>
    <n v="6161112464198"/>
    <s v="Pure Water"/>
    <x v="0"/>
    <x v="184"/>
    <s v="KE"/>
    <s v="Safi Water Limited"/>
    <x v="4"/>
    <n v="1"/>
  </r>
  <r>
    <n v="6161112464198"/>
    <s v="Pure Water"/>
    <x v="0"/>
    <x v="184"/>
    <s v="KE"/>
    <s v="Safi Water Limited"/>
    <x v="7"/>
    <n v="15"/>
  </r>
  <r>
    <n v="6161112464204"/>
    <s v="pure water, perfect taste"/>
    <x v="193"/>
    <x v="184"/>
    <s v="KE"/>
    <s v="Safi Water Limited"/>
    <x v="0"/>
    <n v="32"/>
  </r>
  <r>
    <n v="6161112464204"/>
    <s v="pure water, perfect taste"/>
    <x v="193"/>
    <x v="184"/>
    <s v="KE"/>
    <s v="Safi Water Limited"/>
    <x v="4"/>
    <n v="1"/>
  </r>
  <r>
    <n v="6161112464204"/>
    <s v="pure water, perfect taste"/>
    <x v="193"/>
    <x v="184"/>
    <s v="KE"/>
    <s v="Safi Water Limited"/>
    <x v="7"/>
    <n v="3"/>
  </r>
  <r>
    <n v="6161112464242"/>
    <s v="Energy Drink"/>
    <x v="14"/>
    <x v="837"/>
    <s v="MZ"/>
    <s v="Kenafric Industries Limited"/>
    <x v="0"/>
    <n v="59"/>
  </r>
  <r>
    <n v="616111246499"/>
    <s v="Pure Water"/>
    <x v="0"/>
    <x v="184"/>
    <s v="KE"/>
    <s v="Safi Water Limited"/>
    <x v="0"/>
    <n v="8"/>
  </r>
  <r>
    <n v="616111246499"/>
    <s v="Pure Water"/>
    <x v="0"/>
    <x v="184"/>
    <s v="KE"/>
    <s v="Safi Water Limited"/>
    <x v="7"/>
    <n v="1"/>
  </r>
  <r>
    <n v="6161112465065"/>
    <s v="Orange Flavoured"/>
    <x v="14"/>
    <x v="838"/>
    <s v="UK"/>
    <s v="UNKNOWN_ORG"/>
    <x v="0"/>
    <n v="2"/>
  </r>
  <r>
    <n v="6161112465065"/>
    <s v="Orange Flavoured"/>
    <x v="14"/>
    <x v="838"/>
    <s v="UK"/>
    <s v="UNKNOWN_ORG"/>
    <x v="4"/>
    <n v="10"/>
  </r>
  <r>
    <n v="6161112465157"/>
    <s v="Energy Drink"/>
    <x v="3"/>
    <x v="837"/>
    <s v="MZ"/>
    <s v="Kenafric Industries Limited"/>
    <x v="0"/>
    <n v="42"/>
  </r>
  <r>
    <n v="6161113670000"/>
    <s v="Flavoured Drink"/>
    <x v="0"/>
    <x v="380"/>
    <s v="JP"/>
    <s v="Suntory Holdings Limited"/>
    <x v="0"/>
    <n v="3"/>
  </r>
  <r>
    <n v="6161113791996"/>
    <s v="Body Wash"/>
    <x v="0"/>
    <x v="839"/>
    <s v="KE"/>
    <s v="Yenbu"/>
    <x v="0"/>
    <n v="12"/>
  </r>
  <r>
    <n v="61611177"/>
    <s v="Tropical drinking water"/>
    <x v="120"/>
    <x v="840"/>
    <s v="UK"/>
    <s v="UNKNOWN_ORG"/>
    <x v="0"/>
    <n v="3"/>
  </r>
  <r>
    <n v="6161117770065"/>
    <s v="mixed berry"/>
    <x v="3"/>
    <x v="230"/>
    <s v="US"/>
    <s v="Monarch Beverage Company Inc"/>
    <x v="0"/>
    <n v="1"/>
  </r>
  <r>
    <n v="6161117770065"/>
    <s v="mixed berry"/>
    <x v="3"/>
    <x v="230"/>
    <s v="US"/>
    <s v="Monarch Beverage Company Inc"/>
    <x v="4"/>
    <n v="5"/>
  </r>
  <r>
    <n v="6161117770225"/>
    <s v="Aqua Drinking Water"/>
    <x v="0"/>
    <x v="230"/>
    <s v="US"/>
    <s v="Monarch Beverage Company Inc"/>
    <x v="10"/>
    <n v="3"/>
  </r>
  <r>
    <n v="6161117770225"/>
    <s v="Aqua Drinking Water"/>
    <x v="0"/>
    <x v="230"/>
    <s v="US"/>
    <s v="Monarch Beverage Company Inc"/>
    <x v="0"/>
    <n v="28"/>
  </r>
  <r>
    <n v="6161117770294"/>
    <s v="Simba Energy drink"/>
    <x v="3"/>
    <x v="229"/>
    <s v="FR"/>
    <s v="Monarch Beverages Paris"/>
    <x v="0"/>
    <n v="6"/>
  </r>
  <r>
    <n v="6161117770294"/>
    <s v="Simba Energy drink"/>
    <x v="3"/>
    <x v="229"/>
    <s v="FR"/>
    <s v="Monarch Beverages Paris"/>
    <x v="12"/>
    <n v="56"/>
  </r>
  <r>
    <n v="6161117770560"/>
    <s v="Mango Fruit Drink"/>
    <x v="35"/>
    <x v="840"/>
    <s v="UK"/>
    <s v="UNKNOWN_ORG"/>
    <x v="0"/>
    <n v="1"/>
  </r>
  <r>
    <n v="6161235458920"/>
    <s v="Eau de Table"/>
    <x v="23"/>
    <x v="841"/>
    <s v="CD"/>
    <s v="BLUE FOUNTAIN SARL"/>
    <x v="10"/>
    <n v="12"/>
  </r>
  <r>
    <n v="6161235458937"/>
    <s v="Eau de Table"/>
    <x v="35"/>
    <x v="841"/>
    <s v="CD"/>
    <s v="BLUE FOUNTAIN SARL"/>
    <x v="10"/>
    <n v="3"/>
  </r>
  <r>
    <n v="61614000"/>
    <s v="Margarine"/>
    <x v="17"/>
    <x v="732"/>
    <s v="NL"/>
    <s v="Upfield Europe BV"/>
    <x v="12"/>
    <n v="2"/>
  </r>
  <r>
    <n v="61614000"/>
    <s v="Margarine"/>
    <x v="17"/>
    <x v="732"/>
    <s v="NL"/>
    <s v="Upfield Europe BV"/>
    <x v="7"/>
    <n v="3"/>
  </r>
  <r>
    <n v="6162000020014"/>
    <s v="zesta tomato sauce"/>
    <x v="317"/>
    <x v="842"/>
    <s v="KE"/>
    <s v="Trufoods Ltd"/>
    <x v="0"/>
    <n v="1"/>
  </r>
  <r>
    <n v="6162000048698"/>
    <s v="Peanut Butter"/>
    <x v="70"/>
    <x v="842"/>
    <s v="KE"/>
    <s v="Trufoods Ltd"/>
    <x v="0"/>
    <n v="23"/>
  </r>
  <r>
    <n v="6162006601170"/>
    <s v="Lotion"/>
    <x v="14"/>
    <x v="676"/>
    <s v="GB"/>
    <s v="Unilever Plc"/>
    <x v="12"/>
    <n v="1"/>
  </r>
  <r>
    <n v="6162006605772"/>
    <s v="Petroleum Jelly"/>
    <x v="48"/>
    <x v="467"/>
    <s v="GB"/>
    <s v="Unilever Plc"/>
    <x v="12"/>
    <n v="1"/>
  </r>
  <r>
    <n v="6162006608681"/>
    <s v="Cocoa"/>
    <x v="14"/>
    <x v="467"/>
    <s v="GB"/>
    <s v="Unilever Plc"/>
    <x v="12"/>
    <n v="7"/>
  </r>
  <r>
    <n v="6162400124190"/>
    <s v="Anti-dandruff Hair Cream"/>
    <x v="269"/>
    <x v="812"/>
    <s v="UG"/>
    <s v="Movit Products Ltd"/>
    <x v="7"/>
    <n v="1"/>
  </r>
  <r>
    <n v="6162567777772"/>
    <s v="Waragi Flavoured Gin"/>
    <x v="2"/>
    <x v="843"/>
    <s v="UG"/>
    <s v="Sanyuka Natural Living Products Ltd"/>
    <x v="5"/>
    <n v="2"/>
  </r>
  <r>
    <n v="6163411216881"/>
    <s v="hillwater limited"/>
    <x v="0"/>
    <x v="92"/>
    <s v="TZ"/>
    <s v="Hill Group"/>
    <x v="5"/>
    <n v="24"/>
  </r>
  <r>
    <n v="6164000012440"/>
    <s v="Multi-Vitamin Fruit Juice"/>
    <x v="113"/>
    <x v="521"/>
    <s v="KE"/>
    <s v="Kevian Kenya Limited"/>
    <x v="0"/>
    <n v="22"/>
  </r>
  <r>
    <n v="6164000015601"/>
    <s v="Antibacterial hand wash"/>
    <x v="0"/>
    <x v="844"/>
    <s v="KE"/>
    <s v="Supersleek Ltd"/>
    <x v="0"/>
    <n v="15"/>
  </r>
  <r>
    <n v="6164000046001"/>
    <s v="Purified Drinking Water"/>
    <x v="0"/>
    <x v="541"/>
    <s v="ZA"/>
    <s v="Aquelle"/>
    <x v="0"/>
    <n v="1"/>
  </r>
  <r>
    <n v="6164000046001"/>
    <s v="Purified Drinking Water"/>
    <x v="0"/>
    <x v="541"/>
    <s v="ZA"/>
    <s v="Aquelle"/>
    <x v="3"/>
    <n v="38"/>
  </r>
  <r>
    <n v="6164000046001"/>
    <s v="Purified Drinking Water"/>
    <x v="0"/>
    <x v="541"/>
    <s v="ZA"/>
    <s v="Aquelle"/>
    <x v="4"/>
    <n v="99"/>
  </r>
  <r>
    <n v="6164000049125"/>
    <s v="Purified Drinking water"/>
    <x v="13"/>
    <x v="845"/>
    <s v="KE"/>
    <s v="Zam Zam"/>
    <x v="0"/>
    <n v="21"/>
  </r>
  <r>
    <n v="6164000049545"/>
    <s v="Drinking Water"/>
    <x v="0"/>
    <x v="845"/>
    <s v="KE"/>
    <s v="Zam Zam"/>
    <x v="0"/>
    <n v="42"/>
  </r>
  <r>
    <n v="6164000116308"/>
    <s v="Kristal drinking water"/>
    <x v="0"/>
    <x v="846"/>
    <s v="KE"/>
    <s v="Khetia Drapers Limited"/>
    <x v="0"/>
    <n v="1"/>
  </r>
  <r>
    <n v="6164000116308"/>
    <s v="Kristal drinking water"/>
    <x v="0"/>
    <x v="846"/>
    <s v="KE"/>
    <s v="Khetia Drapers Limited"/>
    <x v="5"/>
    <n v="12"/>
  </r>
  <r>
    <n v="6164000250064"/>
    <s v="Purified drinking water"/>
    <x v="0"/>
    <x v="847"/>
    <s v="KE"/>
    <s v="Alpine Coolers Ltd"/>
    <x v="0"/>
    <n v="16"/>
  </r>
  <r>
    <n v="6164000436703"/>
    <s v="Mineral Water"/>
    <x v="120"/>
    <x v="848"/>
    <s v="UG"/>
    <s v="House of Eden"/>
    <x v="5"/>
    <n v="1"/>
  </r>
  <r>
    <n v="6164000436710"/>
    <s v="Mineral Water"/>
    <x v="0"/>
    <x v="848"/>
    <s v="UG"/>
    <s v="House of Eden"/>
    <x v="5"/>
    <n v="3"/>
  </r>
  <r>
    <n v="6164000436734"/>
    <s v="Natural mineral water"/>
    <x v="71"/>
    <x v="848"/>
    <s v="UG"/>
    <s v="House of Eden"/>
    <x v="5"/>
    <n v="3"/>
  </r>
  <r>
    <n v="6164000451201"/>
    <s v="Goal Cane Spirit"/>
    <x v="9"/>
    <x v="849"/>
    <s v="GH"/>
    <s v="Prime Care Industries ltd"/>
    <x v="6"/>
    <n v="446"/>
  </r>
  <r>
    <n v="6164000472022"/>
    <s v="Agashya Squash Strawberry"/>
    <x v="13"/>
    <x v="850"/>
    <s v="RW"/>
    <s v="Entreprise Urwibutso"/>
    <x v="12"/>
    <n v="3"/>
  </r>
  <r>
    <n v="6164000472039"/>
    <s v="Agashya Pineapple"/>
    <x v="13"/>
    <x v="850"/>
    <s v="RW"/>
    <s v="Entreprise Urwibutso"/>
    <x v="12"/>
    <n v="11"/>
  </r>
  <r>
    <n v="6164000472077"/>
    <s v="Anointing Water"/>
    <x v="0"/>
    <x v="850"/>
    <s v="RW"/>
    <s v="Entreprise Urwibutso"/>
    <x v="12"/>
    <n v="2"/>
  </r>
  <r>
    <n v="6164000472107"/>
    <s v="Agashya Strawberry Soft Drink"/>
    <x v="0"/>
    <x v="850"/>
    <s v="RW"/>
    <s v="Entreprise Urwibutso"/>
    <x v="12"/>
    <n v="86"/>
  </r>
  <r>
    <n v="6164000472404"/>
    <s v="Agashya Squash"/>
    <x v="0"/>
    <x v="850"/>
    <s v="RW"/>
    <s v="Entreprise Urwibutso"/>
    <x v="12"/>
    <n v="124"/>
  </r>
  <r>
    <n v="6164000472411"/>
    <s v="Agashya Squash"/>
    <x v="0"/>
    <x v="850"/>
    <s v="RW"/>
    <s v="Entreprise Urwibutso"/>
    <x v="12"/>
    <n v="20"/>
  </r>
  <r>
    <n v="6164000472930"/>
    <s v="Natural Mineral Water"/>
    <x v="35"/>
    <x v="851"/>
    <s v="RW"/>
    <s v="Entreprise Urwibutso"/>
    <x v="12"/>
    <n v="53"/>
  </r>
  <r>
    <n v="6164000472954"/>
    <s v="Agashya Sugar Cane Juice"/>
    <x v="0"/>
    <x v="850"/>
    <s v="RW"/>
    <s v="Entreprise Urwibutso"/>
    <x v="12"/>
    <n v="117"/>
  </r>
  <r>
    <n v="6164000505287"/>
    <s v="Mango juice drink"/>
    <x v="48"/>
    <x v="852"/>
    <s v="RW"/>
    <s v="Sana Drinks Africa"/>
    <x v="12"/>
    <n v="16"/>
  </r>
  <r>
    <n v="6164000505331"/>
    <s v="Mango juice drink"/>
    <x v="93"/>
    <x v="852"/>
    <s v="RW"/>
    <s v="Sana Drinks Africa"/>
    <x v="12"/>
    <n v="22"/>
  </r>
  <r>
    <n v="6164000505348"/>
    <s v="Jus de orange"/>
    <x v="93"/>
    <x v="852"/>
    <s v="RW"/>
    <s v="Sana Drinks Africa"/>
    <x v="12"/>
    <n v="5"/>
  </r>
  <r>
    <n v="6164000505379"/>
    <s v="JUS DE POMME / Apple Juice"/>
    <x v="48"/>
    <x v="852"/>
    <s v="RW"/>
    <s v="Sana Drinks Africa"/>
    <x v="12"/>
    <n v="20"/>
  </r>
  <r>
    <n v="6164000552069"/>
    <s v="Vanilla Yoghurt"/>
    <x v="48"/>
    <x v="833"/>
    <s v="KE"/>
    <s v="Githunguri Dairy Farmers Co-Operative Society Ltd"/>
    <x v="0"/>
    <n v="1"/>
  </r>
  <r>
    <n v="6164000552717"/>
    <s v="Nutriday Yoghurt"/>
    <x v="13"/>
    <x v="833"/>
    <s v="KE"/>
    <s v="Githunguri Dairy Farmers Co-Operative Society Ltd"/>
    <x v="0"/>
    <n v="5"/>
  </r>
  <r>
    <n v="6164000613050"/>
    <s v="baby jelly"/>
    <x v="10"/>
    <x v="813"/>
    <s v="UG"/>
    <s v="Movit Products Ltd"/>
    <x v="12"/>
    <n v="40"/>
  </r>
  <r>
    <n v="6164000613401"/>
    <s v="Anti Dandruff Hair Cream"/>
    <x v="318"/>
    <x v="812"/>
    <s v="UG"/>
    <s v="Movit Products Ltd"/>
    <x v="7"/>
    <n v="1"/>
  </r>
  <r>
    <n v="6164000613685"/>
    <s v="Hair Relaxer"/>
    <x v="155"/>
    <x v="813"/>
    <s v="UG"/>
    <s v="Movit Products Ltd"/>
    <x v="12"/>
    <n v="28"/>
  </r>
  <r>
    <n v="6164000613708"/>
    <s v="Movit"/>
    <x v="155"/>
    <x v="813"/>
    <s v="UG"/>
    <s v="Movit Products Ltd"/>
    <x v="12"/>
    <n v="15"/>
  </r>
  <r>
    <n v="6164000613845"/>
    <s v="Body Milk"/>
    <x v="10"/>
    <x v="813"/>
    <s v="UG"/>
    <s v="Movit Products Ltd"/>
    <x v="12"/>
    <n v="6"/>
  </r>
  <r>
    <n v="6164000624117"/>
    <s v="Tomato Paste"/>
    <x v="236"/>
    <x v="853"/>
    <s v="TZ"/>
    <s v="Red Gold Tomato Source"/>
    <x v="7"/>
    <n v="1"/>
  </r>
  <r>
    <n v="6164000815706"/>
    <s v="Azania Marhaba Washing Powder"/>
    <x v="4"/>
    <x v="854"/>
    <s v="TZ"/>
    <s v="Azania Group"/>
    <x v="7"/>
    <n v="26"/>
  </r>
  <r>
    <n v="6164000817045"/>
    <s v="detergent powder"/>
    <x v="64"/>
    <x v="855"/>
    <s v="EG"/>
    <s v="Marhaba Impex"/>
    <x v="7"/>
    <n v="32"/>
  </r>
  <r>
    <n v="6164000903014"/>
    <s v="Natural Mineral Water"/>
    <x v="35"/>
    <x v="756"/>
    <s v="UG"/>
    <s v="Hema Beverges LTD"/>
    <x v="5"/>
    <n v="149"/>
  </r>
  <r>
    <n v="6164000903137"/>
    <s v="Mineral Water"/>
    <x v="209"/>
    <x v="756"/>
    <s v="UG"/>
    <s v="Hema Beverges LTD"/>
    <x v="5"/>
    <n v="77"/>
  </r>
  <r>
    <n v="6164000903649"/>
    <s v="JAJJA Pineapple Wine"/>
    <x v="93"/>
    <x v="856"/>
    <s v="MW"/>
    <s v="High Five Investments Ltd"/>
    <x v="3"/>
    <n v="198"/>
  </r>
  <r>
    <n v="6164000903694"/>
    <s v="Jajja Non-Alcoholic Kombucha Drink"/>
    <x v="3"/>
    <x v="857"/>
    <s v="UG"/>
    <s v="Nutricom Food and Beverages Limited"/>
    <x v="5"/>
    <n v="6"/>
  </r>
  <r>
    <n v="6164001011053"/>
    <s v="Max"/>
    <x v="93"/>
    <x v="51"/>
    <s v="US"/>
    <s v="Pepsico, Inc"/>
    <x v="5"/>
    <n v="17"/>
  </r>
  <r>
    <n v="6164001011183"/>
    <s v="Carbonated Soft Drink"/>
    <x v="12"/>
    <x v="51"/>
    <s v="US"/>
    <s v="Pepsico, Inc"/>
    <x v="5"/>
    <n v="29"/>
  </r>
  <r>
    <n v="6164001011190"/>
    <s v="Gatorade Carbonated Sports Drink"/>
    <x v="0"/>
    <x v="54"/>
    <s v="US"/>
    <s v="Pepsico, Inc"/>
    <x v="12"/>
    <n v="7"/>
  </r>
  <r>
    <n v="6164001011190"/>
    <s v="Gatorade Carbonated Sports Drink"/>
    <x v="0"/>
    <x v="54"/>
    <s v="US"/>
    <s v="Pepsico, Inc"/>
    <x v="5"/>
    <n v="28"/>
  </r>
  <r>
    <n v="6164001011206"/>
    <s v="Carbonated Soft Drink"/>
    <x v="12"/>
    <x v="54"/>
    <s v="US"/>
    <s v="Pepsico, Inc"/>
    <x v="5"/>
    <n v="34"/>
  </r>
  <r>
    <n v="6164001011213"/>
    <s v="Carbonated Soft drink"/>
    <x v="0"/>
    <x v="240"/>
    <s v="US"/>
    <s v="Pepsico, Inc"/>
    <x v="5"/>
    <n v="35"/>
  </r>
  <r>
    <n v="6164001011220"/>
    <s v="Carbonated Mixed Berry"/>
    <x v="12"/>
    <x v="240"/>
    <s v="US"/>
    <s v="Pepsico, Inc"/>
    <x v="5"/>
    <n v="55"/>
  </r>
  <r>
    <n v="6164001011251"/>
    <s v="Carbonated Orange Drink"/>
    <x v="0"/>
    <x v="240"/>
    <s v="US"/>
    <s v="Pepsico, Inc"/>
    <x v="5"/>
    <n v="1"/>
  </r>
  <r>
    <n v="6164001011268"/>
    <s v="mirinda orange"/>
    <x v="178"/>
    <x v="858"/>
    <s v="US"/>
    <s v="Pepsico, Inc"/>
    <x v="5"/>
    <n v="26"/>
  </r>
  <r>
    <n v="6164001011305"/>
    <s v="Natural Mineral Water"/>
    <x v="0"/>
    <x v="859"/>
    <s v="US"/>
    <s v="Pepsico, Inc"/>
    <x v="5"/>
    <n v="80"/>
  </r>
  <r>
    <n v="6164001011350"/>
    <s v="Apple Flavored Carbonated Soft Drink"/>
    <x v="0"/>
    <x v="240"/>
    <s v="US"/>
    <s v="Pepsico, Inc"/>
    <x v="5"/>
    <n v="9"/>
  </r>
  <r>
    <n v="6164001011367"/>
    <s v="Green Apple Flavored Drink"/>
    <x v="12"/>
    <x v="240"/>
    <s v="US"/>
    <s v="Pepsico, Inc"/>
    <x v="5"/>
    <n v="25"/>
  </r>
  <r>
    <n v="6164001011398"/>
    <s v="Carbonated Soft drink"/>
    <x v="0"/>
    <x v="51"/>
    <s v="US"/>
    <s v="Pepsico, Inc"/>
    <x v="5"/>
    <n v="21"/>
  </r>
  <r>
    <n v="6164001011534"/>
    <s v="Pepsi"/>
    <x v="93"/>
    <x v="51"/>
    <s v="US"/>
    <s v="Pepsico, Inc"/>
    <x v="5"/>
    <n v="246"/>
  </r>
  <r>
    <n v="6164001011541"/>
    <s v="Carbonated oft Drink"/>
    <x v="93"/>
    <x v="54"/>
    <s v="US"/>
    <s v="Pepsico, Inc"/>
    <x v="5"/>
    <n v="262"/>
  </r>
  <r>
    <n v="6164001011558"/>
    <s v="Carbonated Soft Drink"/>
    <x v="93"/>
    <x v="240"/>
    <s v="US"/>
    <s v="Pepsico, Inc"/>
    <x v="12"/>
    <n v="1"/>
  </r>
  <r>
    <n v="6164001011558"/>
    <s v="Carbonated Soft Drink"/>
    <x v="93"/>
    <x v="240"/>
    <s v="US"/>
    <s v="Pepsico, Inc"/>
    <x v="5"/>
    <n v="443"/>
  </r>
  <r>
    <n v="6164001011565"/>
    <s v="Carbonated Orange Flavour Soft Drink"/>
    <x v="93"/>
    <x v="240"/>
    <s v="US"/>
    <s v="Pepsico, Inc"/>
    <x v="5"/>
    <n v="39"/>
  </r>
  <r>
    <n v="6164001011572"/>
    <s v="Pineapple Drink"/>
    <x v="93"/>
    <x v="240"/>
    <s v="US"/>
    <s v="Pepsico, Inc"/>
    <x v="5"/>
    <n v="10"/>
  </r>
  <r>
    <n v="6164001011589"/>
    <s v="carbonated Green apple drink"/>
    <x v="93"/>
    <x v="240"/>
    <s v="US"/>
    <s v="Pepsico, Inc"/>
    <x v="5"/>
    <n v="154"/>
  </r>
  <r>
    <n v="6164001011626"/>
    <s v="Sting energy drink"/>
    <x v="93"/>
    <x v="51"/>
    <s v="US"/>
    <s v="Pepsico, Inc"/>
    <x v="5"/>
    <n v="1"/>
  </r>
  <r>
    <n v="6164001011633"/>
    <s v="Energy Drink"/>
    <x v="158"/>
    <x v="640"/>
    <s v="US"/>
    <s v="Pepsico, Inc"/>
    <x v="5"/>
    <n v="83"/>
  </r>
  <r>
    <n v="6164001199010"/>
    <s v="Fresh Oxy Rich Water"/>
    <x v="13"/>
    <x v="860"/>
    <s v="KE"/>
    <s v="Bounty Ltd"/>
    <x v="0"/>
    <n v="49"/>
  </r>
  <r>
    <n v="6164001199034"/>
    <s v="Purified Drinking Water"/>
    <x v="0"/>
    <x v="860"/>
    <s v="KE"/>
    <s v="Bounty Ltd"/>
    <x v="0"/>
    <n v="298"/>
  </r>
  <r>
    <n v="6164001199331"/>
    <s v="Lemonade"/>
    <x v="3"/>
    <x v="456"/>
    <s v="BE"/>
    <s v="Anheuser-Busch InBev"/>
    <x v="0"/>
    <n v="98"/>
  </r>
  <r>
    <n v="6164001280336"/>
    <s v="VODKA"/>
    <x v="2"/>
    <x v="861"/>
    <s v="UG"/>
    <s v="Premier Distillers Ltd"/>
    <x v="5"/>
    <n v="38"/>
  </r>
  <r>
    <n v="6164001315182"/>
    <s v="Vanilla"/>
    <x v="0"/>
    <x v="862"/>
    <s v="UK"/>
    <s v="UNKNOWN_ORG"/>
    <x v="0"/>
    <n v="49"/>
  </r>
  <r>
    <n v="6164001315243"/>
    <s v="Mursik Original"/>
    <x v="0"/>
    <x v="862"/>
    <s v="UK"/>
    <s v="UNKNOWN_ORG"/>
    <x v="0"/>
    <n v="23"/>
  </r>
  <r>
    <n v="6164001384072"/>
    <s v="Drinking water"/>
    <x v="0"/>
    <x v="863"/>
    <s v="UG"/>
    <s v="Banna font"/>
    <x v="5"/>
    <n v="14"/>
  </r>
  <r>
    <n v="6164001496072"/>
    <s v="purified drinking water"/>
    <x v="110"/>
    <x v="860"/>
    <s v="KE"/>
    <s v="Bounty Ltd"/>
    <x v="0"/>
    <n v="4"/>
  </r>
  <r>
    <n v="6164001496072"/>
    <s v="purified drinking water"/>
    <x v="110"/>
    <x v="860"/>
    <s v="KE"/>
    <s v="Bounty Ltd"/>
    <x v="12"/>
    <n v="41"/>
  </r>
  <r>
    <n v="6164001514004"/>
    <s v="Drinking Water"/>
    <x v="0"/>
    <x v="864"/>
    <s v="TZ"/>
    <s v="Asilia Enterprises Limited"/>
    <x v="0"/>
    <n v="77"/>
  </r>
  <r>
    <n v="61640016"/>
    <s v="Vanilla"/>
    <x v="108"/>
    <x v="865"/>
    <s v="KE"/>
    <s v="Wimssy Limited"/>
    <x v="0"/>
    <n v="4"/>
  </r>
  <r>
    <n v="6164001638021"/>
    <s v="Red Tonic"/>
    <x v="76"/>
    <x v="866"/>
    <s v="UG"/>
    <s v="Kazire"/>
    <x v="5"/>
    <n v="2"/>
  </r>
  <r>
    <n v="6164001638038"/>
    <s v="Aloe Green Tea"/>
    <x v="172"/>
    <x v="866"/>
    <s v="UG"/>
    <s v="Kazire"/>
    <x v="5"/>
    <n v="26"/>
  </r>
  <r>
    <n v="6164001638052"/>
    <s v="Drink"/>
    <x v="76"/>
    <x v="866"/>
    <s v="UG"/>
    <s v="Kazire"/>
    <x v="5"/>
    <n v="6"/>
  </r>
  <r>
    <n v="6164001665331"/>
    <s v="fanaka Guava"/>
    <x v="0"/>
    <x v="867"/>
    <s v="KE"/>
    <s v="Agri pro pak ltd"/>
    <x v="5"/>
    <n v="13"/>
  </r>
  <r>
    <n v="6164001689016"/>
    <s v="Drinking Water"/>
    <x v="0"/>
    <x v="868"/>
    <s v="KE"/>
    <s v="Josmis Suppliers Limited"/>
    <x v="0"/>
    <n v="59"/>
  </r>
  <r>
    <n v="6164001689023"/>
    <s v="Drinking water"/>
    <x v="13"/>
    <x v="868"/>
    <s v="KE"/>
    <s v="Josmis Suppliers Limited"/>
    <x v="0"/>
    <n v="32"/>
  </r>
  <r>
    <n v="6164001861764"/>
    <s v="Strawberry"/>
    <x v="61"/>
    <x v="865"/>
    <s v="KE"/>
    <s v="Wimssy Limited"/>
    <x v="0"/>
    <n v="7"/>
  </r>
  <r>
    <n v="6164001868008"/>
    <s v="Strawberry"/>
    <x v="108"/>
    <x v="865"/>
    <s v="KE"/>
    <s v="Wimssy Limited"/>
    <x v="0"/>
    <n v="3"/>
  </r>
  <r>
    <n v="6164001868121"/>
    <s v="Strawberry"/>
    <x v="48"/>
    <x v="865"/>
    <s v="KE"/>
    <s v="Wimssy Limited"/>
    <x v="0"/>
    <n v="1"/>
  </r>
  <r>
    <n v="6164001868145"/>
    <s v="Strawberry"/>
    <x v="0"/>
    <x v="865"/>
    <s v="KE"/>
    <s v="Wimssy Limited"/>
    <x v="0"/>
    <n v="10"/>
  </r>
  <r>
    <n v="6164001871121"/>
    <s v="Purified drinking water"/>
    <x v="0"/>
    <x v="869"/>
    <s v="KE"/>
    <s v="Warda Water Supplies"/>
    <x v="0"/>
    <n v="18"/>
  </r>
  <r>
    <n v="6164001871145"/>
    <s v="Purified drinking water"/>
    <x v="319"/>
    <x v="869"/>
    <s v="KE"/>
    <s v="Warda Water Supplies"/>
    <x v="0"/>
    <n v="5"/>
  </r>
  <r>
    <n v="6164002049000"/>
    <s v="naturalsprie"/>
    <x v="0"/>
    <x v="182"/>
    <s v="UK"/>
    <s v="UNKNOWN_ORG"/>
    <x v="0"/>
    <n v="1"/>
  </r>
  <r>
    <n v="6164002081017"/>
    <s v="Purified Drinking Water"/>
    <x v="0"/>
    <x v="870"/>
    <s v="UK"/>
    <s v="UNKNOWN_ORG"/>
    <x v="0"/>
    <n v="1"/>
  </r>
  <r>
    <n v="6164002081017"/>
    <s v="Purified Drinking Water"/>
    <x v="0"/>
    <x v="870"/>
    <s v="UK"/>
    <s v="UNKNOWN_ORG"/>
    <x v="4"/>
    <n v="5"/>
  </r>
  <r>
    <n v="6164002081017"/>
    <s v="Purified Drinking Water"/>
    <x v="0"/>
    <x v="870"/>
    <s v="UK"/>
    <s v="UNKNOWN_ORG"/>
    <x v="5"/>
    <n v="1"/>
  </r>
  <r>
    <n v="6164002088016"/>
    <s v="Drinking Water"/>
    <x v="0"/>
    <x v="871"/>
    <s v="KE"/>
    <s v="Danmar Entreprises Limited"/>
    <x v="0"/>
    <n v="60"/>
  </r>
  <r>
    <n v="6164002099012"/>
    <s v="purified drinking water"/>
    <x v="0"/>
    <x v="804"/>
    <s v="TZ"/>
    <s v="METL Group"/>
    <x v="0"/>
    <n v="9"/>
  </r>
  <r>
    <n v="6164002440005"/>
    <s v="Purified Natural Drinking Water"/>
    <x v="0"/>
    <x v="872"/>
    <s v="UK"/>
    <s v="UNKNOWN_ORG"/>
    <x v="0"/>
    <n v="2"/>
  </r>
  <r>
    <n v="6164002465008"/>
    <s v="Drinking Water"/>
    <x v="0"/>
    <x v="207"/>
    <s v="KE"/>
    <s v="Tesouros"/>
    <x v="0"/>
    <n v="50"/>
  </r>
  <r>
    <n v="6164002465015"/>
    <s v="Drinking Water"/>
    <x v="13"/>
    <x v="207"/>
    <s v="KE"/>
    <s v="Tesouros"/>
    <x v="0"/>
    <n v="29"/>
  </r>
  <r>
    <n v="6164002465053"/>
    <s v="drinking water"/>
    <x v="120"/>
    <x v="207"/>
    <s v="KE"/>
    <s v="Tesouros"/>
    <x v="0"/>
    <n v="2"/>
  </r>
  <r>
    <n v="6164002583054"/>
    <s v="yoghurt"/>
    <x v="2"/>
    <x v="873"/>
    <s v="RW"/>
    <s v="Green Food Ltd"/>
    <x v="12"/>
    <n v="13"/>
  </r>
  <r>
    <n v="6164002583108"/>
    <s v="Dairy Ice Cream"/>
    <x v="0"/>
    <x v="873"/>
    <s v="RW"/>
    <s v="Green Food Ltd"/>
    <x v="12"/>
    <n v="78"/>
  </r>
  <r>
    <n v="6164002583115"/>
    <s v="Vanilla Yoghurt"/>
    <x v="0"/>
    <x v="873"/>
    <s v="RW"/>
    <s v="Green Food Ltd"/>
    <x v="12"/>
    <n v="35"/>
  </r>
  <r>
    <n v="6164002583191"/>
    <s v="yorghurt"/>
    <x v="266"/>
    <x v="873"/>
    <s v="RW"/>
    <s v="Green Food Ltd"/>
    <x v="12"/>
    <n v="1"/>
  </r>
  <r>
    <n v="6164002583207"/>
    <s v="imena dairy ice cream"/>
    <x v="266"/>
    <x v="873"/>
    <s v="RW"/>
    <s v="Green Food Ltd"/>
    <x v="12"/>
    <n v="5"/>
  </r>
  <r>
    <n v="6164002614017"/>
    <s v="Pure Drinking Water"/>
    <x v="13"/>
    <x v="874"/>
    <s v="TZ"/>
    <s v="Aqua Cool Ltd"/>
    <x v="0"/>
    <n v="5"/>
  </r>
  <r>
    <n v="6164002614024"/>
    <s v="Pure Drinking Water"/>
    <x v="0"/>
    <x v="874"/>
    <s v="TZ"/>
    <s v="Aqua Cool Ltd"/>
    <x v="0"/>
    <n v="14"/>
  </r>
  <r>
    <n v="6164002650152"/>
    <s v="Drinking Water"/>
    <x v="193"/>
    <x v="207"/>
    <s v="KE"/>
    <s v="Tesouros"/>
    <x v="0"/>
    <n v="1"/>
  </r>
  <r>
    <n v="6164002669024"/>
    <s v="Strawberry Flavoured Yoghurt"/>
    <x v="48"/>
    <x v="875"/>
    <s v="RW"/>
    <s v="Blessed Dairies Ltd"/>
    <x v="12"/>
    <n v="60"/>
  </r>
  <r>
    <n v="6164002669031"/>
    <s v="strawberry yoghurt"/>
    <x v="0"/>
    <x v="875"/>
    <s v="RW"/>
    <s v="Blessed Dairies Ltd"/>
    <x v="12"/>
    <n v="7"/>
  </r>
  <r>
    <n v="6164002669062"/>
    <s v="Vanilla Flavoured Yoghurt"/>
    <x v="0"/>
    <x v="875"/>
    <s v="RW"/>
    <s v="Blessed Dairies Ltd"/>
    <x v="12"/>
    <n v="10"/>
  </r>
  <r>
    <n v="6164002669178"/>
    <s v="Salted Butter"/>
    <x v="4"/>
    <x v="875"/>
    <s v="RW"/>
    <s v="Blessed Dairies Ltd"/>
    <x v="12"/>
    <n v="5"/>
  </r>
  <r>
    <n v="6164002669222"/>
    <s v="Yoghurt"/>
    <x v="2"/>
    <x v="875"/>
    <s v="RW"/>
    <s v="Blessed Dairies Ltd"/>
    <x v="12"/>
    <n v="28"/>
  </r>
  <r>
    <n v="6164002881020"/>
    <s v="Purified Drinking Water"/>
    <x v="0"/>
    <x v="876"/>
    <s v="KE"/>
    <s v="Simple Life Trading Company Ltd"/>
    <x v="0"/>
    <n v="55"/>
  </r>
  <r>
    <n v="6164002881044"/>
    <s v="Purified Drinking Water"/>
    <x v="113"/>
    <x v="876"/>
    <s v="KE"/>
    <s v="Simple Life Trading Company Ltd"/>
    <x v="10"/>
    <n v="2"/>
  </r>
  <r>
    <n v="6164002881044"/>
    <s v="Purified Drinking Water"/>
    <x v="113"/>
    <x v="876"/>
    <s v="KE"/>
    <s v="Simple Life Trading Company Ltd"/>
    <x v="0"/>
    <n v="17"/>
  </r>
  <r>
    <n v="6164003104012"/>
    <s v="Vanilla Yoghurt"/>
    <x v="108"/>
    <x v="877"/>
    <s v="KE"/>
    <s v="Ndumberi Dairy Farmers Co-operative Ltd"/>
    <x v="0"/>
    <n v="5"/>
  </r>
  <r>
    <n v="6164003104029"/>
    <s v="Strawberry Yoghurt"/>
    <x v="108"/>
    <x v="877"/>
    <s v="KE"/>
    <s v="Ndumberi Dairy Farmers Co-operative Ltd"/>
    <x v="0"/>
    <n v="5"/>
  </r>
  <r>
    <n v="6164003255165"/>
    <s v="mosafi"/>
    <x v="0"/>
    <x v="182"/>
    <s v="UK"/>
    <s v="UNKNOWN_ORG"/>
    <x v="0"/>
    <n v="1"/>
  </r>
  <r>
    <n v="6164003477390"/>
    <s v="Energy Drink"/>
    <x v="3"/>
    <x v="241"/>
    <s v="JP"/>
    <s v="Suntory Holdings Limited"/>
    <x v="2"/>
    <n v="1"/>
  </r>
  <r>
    <n v="6164003477390"/>
    <s v="Energy Drink"/>
    <x v="3"/>
    <x v="241"/>
    <s v="JP"/>
    <s v="Suntory Holdings Limited"/>
    <x v="7"/>
    <n v="1"/>
  </r>
  <r>
    <n v="6164003477772"/>
    <s v="Boost Energy Fast Drink"/>
    <x v="48"/>
    <x v="241"/>
    <s v="JP"/>
    <s v="Suntory Holdings Limited"/>
    <x v="0"/>
    <n v="2"/>
  </r>
  <r>
    <n v="6164003477772"/>
    <s v="Boost Energy Fast Drink"/>
    <x v="48"/>
    <x v="241"/>
    <s v="JP"/>
    <s v="Suntory Holdings Limited"/>
    <x v="4"/>
    <n v="1"/>
  </r>
  <r>
    <n v="6164003477789"/>
    <s v="Orange juice blend"/>
    <x v="13"/>
    <x v="834"/>
    <s v="KE"/>
    <s v="Sky Foods LTD"/>
    <x v="0"/>
    <n v="27"/>
  </r>
  <r>
    <n v="6164003477994"/>
    <s v="Flavoured Drink"/>
    <x v="48"/>
    <x v="380"/>
    <s v="JP"/>
    <s v="Suntory Holdings Limited"/>
    <x v="0"/>
    <n v="18"/>
  </r>
  <r>
    <n v="6164003555050"/>
    <s v="Purified drinking water"/>
    <x v="0"/>
    <x v="878"/>
    <s v="KE"/>
    <s v="Dutch water limited"/>
    <x v="0"/>
    <n v="18"/>
  </r>
  <r>
    <n v="6164003591034"/>
    <s v="Purified Drinking Water"/>
    <x v="0"/>
    <x v="879"/>
    <s v="KE"/>
    <s v="Bamba Water"/>
    <x v="0"/>
    <n v="135"/>
  </r>
  <r>
    <n v="6164003591041"/>
    <s v="Water"/>
    <x v="319"/>
    <x v="879"/>
    <s v="KE"/>
    <s v="Bamba Water"/>
    <x v="0"/>
    <n v="5"/>
  </r>
  <r>
    <n v="616400363029"/>
    <s v="Purified drinking water"/>
    <x v="0"/>
    <x v="219"/>
    <s v="KE"/>
    <s v="Rayan Ice Water"/>
    <x v="0"/>
    <n v="12"/>
  </r>
  <r>
    <n v="6164003751018"/>
    <s v="Delight Yoghurt"/>
    <x v="48"/>
    <x v="88"/>
    <s v="RW"/>
    <s v="ZIRAKAMWA MEZA NYANZA DAIRY LTD"/>
    <x v="12"/>
    <n v="39"/>
  </r>
  <r>
    <n v="6164003751025"/>
    <s v="delight yoghurt"/>
    <x v="0"/>
    <x v="88"/>
    <s v="RW"/>
    <s v="ZIRAKAMWA MEZA NYANZA DAIRY LTD"/>
    <x v="12"/>
    <n v="14"/>
  </r>
  <r>
    <n v="6164003751070"/>
    <s v="vanilla yoghurt"/>
    <x v="9"/>
    <x v="88"/>
    <s v="RW"/>
    <s v="ZIRAKAMWA MEZA NYANZA DAIRY LTD"/>
    <x v="12"/>
    <n v="8"/>
  </r>
  <r>
    <n v="6164003751094"/>
    <s v="Delight Yoghurt"/>
    <x v="2"/>
    <x v="88"/>
    <s v="RW"/>
    <s v="ZIRAKAMWA MEZA NYANZA DAIRY LTD"/>
    <x v="12"/>
    <n v="42"/>
  </r>
  <r>
    <n v="616400391602"/>
    <s v="Strawberry"/>
    <x v="145"/>
    <x v="880"/>
    <s v="KE"/>
    <s v="Bahati Agro Processors Ltd"/>
    <x v="0"/>
    <n v="3"/>
  </r>
  <r>
    <n v="6164003916059"/>
    <s v="Vanilla Yoghurt"/>
    <x v="61"/>
    <x v="880"/>
    <s v="KE"/>
    <s v="Bahati Agro Processors Ltd"/>
    <x v="0"/>
    <n v="19"/>
  </r>
  <r>
    <n v="6164003916073"/>
    <s v="Vanilla"/>
    <x v="0"/>
    <x v="880"/>
    <s v="KE"/>
    <s v="Bahati Agro Processors Ltd"/>
    <x v="0"/>
    <n v="1"/>
  </r>
  <r>
    <n v="6164003916325"/>
    <s v="Strawberry"/>
    <x v="32"/>
    <x v="880"/>
    <s v="KE"/>
    <s v="Bahati Agro Processors Ltd"/>
    <x v="0"/>
    <n v="1"/>
  </r>
  <r>
    <n v="6164004075076"/>
    <s v="Lemon Lime Carbonated Soft Drink"/>
    <x v="120"/>
    <x v="881"/>
    <s v="KE"/>
    <s v="Brava Food Industries Ltd"/>
    <x v="0"/>
    <n v="1"/>
  </r>
  <r>
    <n v="6164004075090"/>
    <s v="Bravado energy drink"/>
    <x v="120"/>
    <x v="881"/>
    <s v="KE"/>
    <s v="Brava Food Industries Ltd"/>
    <x v="0"/>
    <n v="1"/>
  </r>
  <r>
    <n v="6164004075120"/>
    <s v="Brava Mango"/>
    <x v="120"/>
    <x v="881"/>
    <s v="KE"/>
    <s v="Brava Food Industries Ltd"/>
    <x v="0"/>
    <n v="1"/>
  </r>
  <r>
    <n v="6164004075199"/>
    <s v="Malto Coffee Malt Non alcohol drink"/>
    <x v="13"/>
    <x v="881"/>
    <s v="KE"/>
    <s v="Brava Food Industries Ltd"/>
    <x v="0"/>
    <n v="13"/>
  </r>
  <r>
    <n v="6164004075212"/>
    <s v="Mango fruit juice drink"/>
    <x v="0"/>
    <x v="881"/>
    <s v="KE"/>
    <s v="Brava Food Industries Ltd"/>
    <x v="0"/>
    <n v="1"/>
  </r>
  <r>
    <n v="6164004075274"/>
    <s v="Carbonated Flavoured Drink"/>
    <x v="3"/>
    <x v="881"/>
    <s v="KE"/>
    <s v="Brava Food Industries Ltd"/>
    <x v="0"/>
    <n v="21"/>
  </r>
  <r>
    <n v="6164004242027"/>
    <s v="Purified drinking water"/>
    <x v="0"/>
    <x v="218"/>
    <s v="KE"/>
    <s v="Salama ICE Drinking Water"/>
    <x v="0"/>
    <n v="1419"/>
  </r>
  <r>
    <n v="6164004242034"/>
    <s v="purified drinking water"/>
    <x v="0"/>
    <x v="218"/>
    <s v="KE"/>
    <s v="Salama ICE Drinking Water"/>
    <x v="0"/>
    <n v="50"/>
  </r>
  <r>
    <n v="6164004242041"/>
    <s v="purified drinking water"/>
    <x v="35"/>
    <x v="218"/>
    <s v="KE"/>
    <s v="Salama ICE Drinking Water"/>
    <x v="0"/>
    <n v="40"/>
  </r>
  <r>
    <n v="6164004243024"/>
    <s v="purified drinking water"/>
    <x v="0"/>
    <x v="882"/>
    <s v="AE"/>
    <s v="Ahlan Bottled Drinking Water Co LLC"/>
    <x v="0"/>
    <n v="26"/>
  </r>
  <r>
    <n v="6164004243048"/>
    <s v="Purified drinking water"/>
    <x v="35"/>
    <x v="882"/>
    <s v="AE"/>
    <s v="Ahlan Bottled Drinking Water Co LLC"/>
    <x v="0"/>
    <n v="8"/>
  </r>
  <r>
    <n v="6164004363029"/>
    <s v="Purified drinking water"/>
    <x v="0"/>
    <x v="883"/>
    <s v="KE"/>
    <s v="Rayan Ice Water"/>
    <x v="0"/>
    <n v="80"/>
  </r>
  <r>
    <n v="6164004363043"/>
    <s v="Purified Drinking Water"/>
    <x v="35"/>
    <x v="219"/>
    <s v="KE"/>
    <s v="Rayan Ice Water"/>
    <x v="0"/>
    <n v="27"/>
  </r>
  <r>
    <n v="6164004509014"/>
    <s v="Purified drinking water"/>
    <x v="0"/>
    <x v="884"/>
    <s v="KE"/>
    <s v="Halal Ice Water Company Limited"/>
    <x v="0"/>
    <n v="17"/>
  </r>
  <r>
    <n v="6164004509038"/>
    <s v="purified drinking water"/>
    <x v="176"/>
    <x v="884"/>
    <s v="KE"/>
    <s v="Halal Ice Water Company Limited"/>
    <x v="0"/>
    <n v="3"/>
  </r>
  <r>
    <n v="6164004579994"/>
    <s v="Packaged Drinking Water"/>
    <x v="0"/>
    <x v="885"/>
    <s v="UG"/>
    <s v="Kiri bottling"/>
    <x v="5"/>
    <n v="20"/>
  </r>
  <r>
    <n v="6164004625325"/>
    <s v="Body Lotion"/>
    <x v="14"/>
    <x v="676"/>
    <s v="GB"/>
    <s v="Unilever Plc"/>
    <x v="12"/>
    <n v="1"/>
  </r>
  <r>
    <n v="6164004675177"/>
    <s v="Lemon Fresh"/>
    <x v="0"/>
    <x v="464"/>
    <s v="GB"/>
    <s v="Unilever Plc"/>
    <x v="12"/>
    <n v="31"/>
  </r>
  <r>
    <n v="6164004675177"/>
    <s v="Lemon Fresh"/>
    <x v="0"/>
    <x v="464"/>
    <s v="GB"/>
    <s v="Unilever Plc"/>
    <x v="5"/>
    <n v="1"/>
  </r>
  <r>
    <n v="6164004675597"/>
    <s v="Body Lotion for Men"/>
    <x v="14"/>
    <x v="467"/>
    <s v="GB"/>
    <s v="Unilever Plc"/>
    <x v="12"/>
    <n v="6"/>
  </r>
  <r>
    <n v="6164004676068"/>
    <s v="Peanut Butter"/>
    <x v="66"/>
    <x v="732"/>
    <s v="NL"/>
    <s v="Upfield Europe BV"/>
    <x v="0"/>
    <n v="24"/>
  </r>
  <r>
    <n v="6164004676068"/>
    <s v="Peanut Butter"/>
    <x v="66"/>
    <x v="732"/>
    <s v="NL"/>
    <s v="Upfield Europe BV"/>
    <x v="12"/>
    <n v="2"/>
  </r>
  <r>
    <n v="6164004676068"/>
    <s v="Peanut Butter"/>
    <x v="66"/>
    <x v="732"/>
    <s v="NL"/>
    <s v="Upfield Europe BV"/>
    <x v="8"/>
    <n v="1"/>
  </r>
  <r>
    <n v="6164004676211"/>
    <s v="Margarine"/>
    <x v="147"/>
    <x v="732"/>
    <s v="NL"/>
    <s v="Upfield Europe BV"/>
    <x v="3"/>
    <n v="1"/>
  </r>
  <r>
    <n v="6164004676211"/>
    <s v="Margarine"/>
    <x v="147"/>
    <x v="732"/>
    <s v="NL"/>
    <s v="Upfield Europe BV"/>
    <x v="12"/>
    <n v="47"/>
  </r>
  <r>
    <n v="6164004676211"/>
    <s v="Margarine"/>
    <x v="147"/>
    <x v="732"/>
    <s v="NL"/>
    <s v="Upfield Europe BV"/>
    <x v="7"/>
    <n v="2"/>
  </r>
  <r>
    <n v="6164004676228"/>
    <s v="Margarine"/>
    <x v="4"/>
    <x v="732"/>
    <s v="NL"/>
    <s v="Upfield Europe BV"/>
    <x v="12"/>
    <n v="15"/>
  </r>
  <r>
    <n v="6164004676235"/>
    <s v="Original Margarine"/>
    <x v="10"/>
    <x v="732"/>
    <s v="NL"/>
    <s v="Upfield Europe BV"/>
    <x v="12"/>
    <n v="36"/>
  </r>
  <r>
    <n v="6164004676235"/>
    <s v="Original Margarine"/>
    <x v="10"/>
    <x v="732"/>
    <s v="NL"/>
    <s v="Upfield Europe BV"/>
    <x v="7"/>
    <n v="2"/>
  </r>
  <r>
    <n v="6164004676471"/>
    <s v="Margarine"/>
    <x v="177"/>
    <x v="732"/>
    <s v="NL"/>
    <s v="Upfield Europe BV"/>
    <x v="10"/>
    <n v="3"/>
  </r>
  <r>
    <n v="6164004676488"/>
    <s v="Margarine"/>
    <x v="30"/>
    <x v="732"/>
    <s v="NL"/>
    <s v="Upfield Europe BV"/>
    <x v="10"/>
    <n v="78"/>
  </r>
  <r>
    <n v="6164004679090"/>
    <s v="Liqueur"/>
    <x v="32"/>
    <x v="886"/>
    <s v="UG"/>
    <s v="Yuti Breweriies"/>
    <x v="5"/>
    <n v="38"/>
  </r>
  <r>
    <n v="616400475777"/>
    <s v="Drinking water"/>
    <x v="76"/>
    <x v="559"/>
    <s v="ZM"/>
    <s v="Trade Kings Group"/>
    <x v="5"/>
    <n v="4"/>
  </r>
  <r>
    <n v="6164004801668"/>
    <s v="Dish Washing Liquid"/>
    <x v="55"/>
    <x v="464"/>
    <s v="GB"/>
    <s v="Unilever Plc"/>
    <x v="4"/>
    <n v="3"/>
  </r>
  <r>
    <n v="6164004801668"/>
    <s v="Dish Washing Liquid"/>
    <x v="55"/>
    <x v="464"/>
    <s v="GB"/>
    <s v="Unilever Plc"/>
    <x v="5"/>
    <n v="1"/>
  </r>
  <r>
    <n v="6164004887013"/>
    <s v="Purified drinking water"/>
    <x v="0"/>
    <x v="870"/>
    <s v="UK"/>
    <s v="UNKNOWN_ORG"/>
    <x v="0"/>
    <n v="48"/>
  </r>
  <r>
    <n v="6164081011585"/>
    <s v="Mirinda Soft Drink"/>
    <x v="93"/>
    <x v="240"/>
    <s v="US"/>
    <s v="Pepsico, Inc"/>
    <x v="5"/>
    <n v="4"/>
  </r>
  <r>
    <n v="6164607415835"/>
    <s v="flavoured drink"/>
    <x v="2"/>
    <x v="748"/>
    <s v="CD"/>
    <s v="Industries des Boissons au Congo"/>
    <x v="5"/>
    <n v="4"/>
  </r>
  <r>
    <n v="6165118812960"/>
    <s v="Mango"/>
    <x v="76"/>
    <x v="887"/>
    <s v="UG"/>
    <s v="Sunshare Investment Company Limited"/>
    <x v="5"/>
    <n v="33"/>
  </r>
  <r>
    <n v="6165443276130"/>
    <s v="purified water"/>
    <x v="23"/>
    <x v="888"/>
    <s v="SA"/>
    <s v="Hana Food Industries Company"/>
    <x v="5"/>
    <n v="26"/>
  </r>
  <r>
    <n v="6166000017623"/>
    <s v="Natural Mineral Water"/>
    <x v="0"/>
    <x v="889"/>
    <s v="UG"/>
    <s v="Wavah Water Limited"/>
    <x v="5"/>
    <n v="16"/>
  </r>
  <r>
    <n v="6166000030332"/>
    <s v="gold honey"/>
    <x v="0"/>
    <x v="890"/>
    <s v="UK"/>
    <s v="UNKNOWN_ORG"/>
    <x v="0"/>
    <n v="1"/>
  </r>
  <r>
    <n v="6166000095324"/>
    <s v="Pure Drinking Water"/>
    <x v="13"/>
    <x v="891"/>
    <s v="UK"/>
    <s v="UNKNOWN_ORG"/>
    <x v="0"/>
    <n v="2"/>
  </r>
  <r>
    <n v="6166000108024"/>
    <s v="Hand Washing Soap"/>
    <x v="72"/>
    <x v="465"/>
    <s v="GB"/>
    <s v="Unilever Plc"/>
    <x v="7"/>
    <n v="4"/>
  </r>
  <r>
    <n v="6166000111215"/>
    <s v="Purified Drinking Water"/>
    <x v="0"/>
    <x v="892"/>
    <s v="UK"/>
    <s v="UNKNOWN_ORG"/>
    <x v="0"/>
    <n v="8"/>
  </r>
  <r>
    <n v="6166000111222"/>
    <s v="purified water"/>
    <x v="29"/>
    <x v="892"/>
    <s v="UK"/>
    <s v="UNKNOWN_ORG"/>
    <x v="0"/>
    <n v="2"/>
  </r>
  <r>
    <n v="6166000141212"/>
    <s v="spray sanitizer"/>
    <x v="320"/>
    <x v="893"/>
    <s v="GB"/>
    <s v="Star Brite Chemicals"/>
    <x v="0"/>
    <n v="11"/>
  </r>
  <r>
    <n v="6166000141663"/>
    <s v="Germiguard Liquid hand wash"/>
    <x v="0"/>
    <x v="676"/>
    <s v="GB"/>
    <s v="Unilever Plc"/>
    <x v="0"/>
    <n v="12"/>
  </r>
  <r>
    <n v="6171100130028"/>
    <s v="Vegetable oil"/>
    <x v="22"/>
    <x v="894"/>
    <s v="CM"/>
    <s v="Prometal"/>
    <x v="13"/>
    <n v="20"/>
  </r>
  <r>
    <n v="6174000001207"/>
    <s v="Top Ananas"/>
    <x v="76"/>
    <x v="243"/>
    <s v="FR"/>
    <s v="Groupe Castel"/>
    <x v="13"/>
    <n v="3"/>
  </r>
  <r>
    <n v="6174000001214"/>
    <s v="Grenadine"/>
    <x v="76"/>
    <x v="243"/>
    <s v="FR"/>
    <s v="Groupe Castel"/>
    <x v="13"/>
    <n v="1"/>
  </r>
  <r>
    <n v="6174000001320"/>
    <s v="Orange"/>
    <x v="76"/>
    <x v="243"/>
    <s v="FR"/>
    <s v="Groupe Castel"/>
    <x v="13"/>
    <n v="2"/>
  </r>
  <r>
    <n v="6174000001559"/>
    <s v="Top Grenadine"/>
    <x v="22"/>
    <x v="895"/>
    <s v="FR"/>
    <s v="Groupe Castel"/>
    <x v="13"/>
    <n v="61"/>
  </r>
  <r>
    <n v="6174000001566"/>
    <s v="Top pamplemousse"/>
    <x v="22"/>
    <x v="243"/>
    <s v="FR"/>
    <s v="Groupe Castel"/>
    <x v="13"/>
    <n v="18"/>
  </r>
  <r>
    <n v="6174000001573"/>
    <s v="Planet Cocktail"/>
    <x v="232"/>
    <x v="230"/>
    <s v="US"/>
    <s v="Monarch Beverage Company Inc"/>
    <x v="13"/>
    <n v="13"/>
  </r>
  <r>
    <n v="6174000003003"/>
    <s v="Eau Minerale"/>
    <x v="0"/>
    <x v="896"/>
    <s v="FR"/>
    <s v="Groupe Castel"/>
    <x v="13"/>
    <n v="2"/>
  </r>
  <r>
    <n v="6174000003133"/>
    <s v="Eau Minerale"/>
    <x v="93"/>
    <x v="896"/>
    <s v="FR"/>
    <s v="Groupe Castel"/>
    <x v="13"/>
    <n v="3"/>
  </r>
  <r>
    <n v="6174000003164"/>
    <s v="Eau Minérale"/>
    <x v="22"/>
    <x v="896"/>
    <s v="FR"/>
    <s v="Groupe Castel"/>
    <x v="13"/>
    <n v="3"/>
  </r>
  <r>
    <n v="6174000099143"/>
    <s v="Planet Pamplemousse"/>
    <x v="48"/>
    <x v="230"/>
    <s v="US"/>
    <s v="Monarch Beverage Company Inc"/>
    <x v="13"/>
    <n v="1"/>
  </r>
  <r>
    <n v="6176000000976"/>
    <s v="Boisson Gazeuse"/>
    <x v="93"/>
    <x v="126"/>
    <s v="CM"/>
    <s v="UCB"/>
    <x v="13"/>
    <n v="3"/>
  </r>
  <r>
    <n v="6176000001003"/>
    <s v="Boisson Sans alcool"/>
    <x v="22"/>
    <x v="126"/>
    <s v="CM"/>
    <s v="UCB"/>
    <x v="13"/>
    <n v="7"/>
  </r>
  <r>
    <n v="6176000001041"/>
    <s v="Boisson gazeuse"/>
    <x v="22"/>
    <x v="126"/>
    <s v="CM"/>
    <s v="UCB"/>
    <x v="13"/>
    <n v="1"/>
  </r>
  <r>
    <n v="6176000001058"/>
    <s v="Mineral water"/>
    <x v="0"/>
    <x v="897"/>
    <s v="CM"/>
    <s v="UCB"/>
    <x v="13"/>
    <n v="2"/>
  </r>
  <r>
    <n v="6176000001096"/>
    <s v="Eau Minérale"/>
    <x v="35"/>
    <x v="897"/>
    <s v="CM"/>
    <s v="UCB"/>
    <x v="13"/>
    <n v="23"/>
  </r>
  <r>
    <n v="6176000001683"/>
    <s v="Eau Minérale"/>
    <x v="35"/>
    <x v="898"/>
    <s v="CM"/>
    <s v="Source du Pays S.A"/>
    <x v="13"/>
    <n v="29"/>
  </r>
  <r>
    <n v="6176000001690"/>
    <s v="Opur"/>
    <x v="86"/>
    <x v="85"/>
    <s v="CM"/>
    <s v="Source du Pays S.A"/>
    <x v="13"/>
    <n v="3"/>
  </r>
  <r>
    <n v="6181100324150"/>
    <s v="Crème clarifiante"/>
    <x v="3"/>
    <x v="899"/>
    <s v="CD"/>
    <s v="SIVOP"/>
    <x v="10"/>
    <n v="1"/>
  </r>
  <r>
    <n v="6181100324150"/>
    <s v="Crème clarifiante"/>
    <x v="3"/>
    <x v="899"/>
    <s v="CD"/>
    <s v="SIVOP"/>
    <x v="7"/>
    <n v="1"/>
  </r>
  <r>
    <n v="6181100530407"/>
    <s v="Skin Lightening Beauty Cream"/>
    <x v="61"/>
    <x v="900"/>
    <s v="CI"/>
    <s v="Dream Cosmetics"/>
    <x v="4"/>
    <n v="1"/>
  </r>
  <r>
    <n v="6181100535990"/>
    <s v="Belair"/>
    <x v="61"/>
    <x v="901"/>
    <s v="CI"/>
    <s v="Dream Cosmetics"/>
    <x v="4"/>
    <n v="11"/>
  </r>
  <r>
    <n v="6181100743401"/>
    <s v="Margarine"/>
    <x v="321"/>
    <x v="902"/>
    <s v="CD"/>
    <s v="FoodLife"/>
    <x v="10"/>
    <n v="13"/>
  </r>
  <r>
    <n v="6181100743418"/>
    <s v="Margarine"/>
    <x v="322"/>
    <x v="902"/>
    <s v="CD"/>
    <s v="FoodLife"/>
    <x v="10"/>
    <n v="2"/>
  </r>
  <r>
    <n v="6182000116845"/>
    <s v="Anti Transpirant"/>
    <x v="9"/>
    <x v="903"/>
    <s v="CD"/>
    <s v="Ghandour Cosmetics"/>
    <x v="10"/>
    <n v="1"/>
  </r>
  <r>
    <n v="6182000118535"/>
    <s v="Eau de parfum"/>
    <x v="117"/>
    <x v="904"/>
    <s v="CD"/>
    <s v="Ghandour Cosmetics"/>
    <x v="10"/>
    <n v="2"/>
  </r>
  <r>
    <n v="6182000126714"/>
    <s v="Anti-transpirant"/>
    <x v="117"/>
    <x v="903"/>
    <s v="CD"/>
    <s v="Ghandour Cosmetics"/>
    <x v="10"/>
    <n v="6"/>
  </r>
  <r>
    <n v="6186000195336"/>
    <s v="MAGICO"/>
    <x v="10"/>
    <x v="905"/>
    <s v="CI"/>
    <s v="S.A.R.C.I.S.A  Société Africaine de Raffinage en Côte d'Ivoire"/>
    <x v="6"/>
    <n v="100"/>
  </r>
  <r>
    <n v="6188000012859"/>
    <s v="Eau de Table"/>
    <x v="71"/>
    <x v="906"/>
    <s v="CD"/>
    <s v="EAUCIEL"/>
    <x v="10"/>
    <n v="1"/>
  </r>
  <r>
    <n v="6188522935001"/>
    <s v="Water"/>
    <x v="96"/>
    <x v="907"/>
    <s v="UG"/>
    <s v="Yaket International Ltd"/>
    <x v="5"/>
    <n v="518"/>
  </r>
  <r>
    <n v="620059152408"/>
    <s v="Natural Spring Water"/>
    <x v="0"/>
    <x v="133"/>
    <s v="US"/>
    <s v="Primo Water Corporation"/>
    <x v="1"/>
    <n v="12"/>
  </r>
  <r>
    <n v="6201100030315"/>
    <s v="Family care Powder"/>
    <x v="17"/>
    <x v="908"/>
    <s v="TZ"/>
    <s v="TPPL"/>
    <x v="12"/>
    <n v="27"/>
  </r>
  <r>
    <n v="6201100032593"/>
    <s v="vestine hair food"/>
    <x v="323"/>
    <x v="908"/>
    <s v="TZ"/>
    <s v="TPPL"/>
    <x v="12"/>
    <n v="2"/>
  </r>
  <r>
    <n v="6201100033439"/>
    <s v="Coconut oil"/>
    <x v="265"/>
    <x v="909"/>
    <s v="TZ"/>
    <s v="TPPL"/>
    <x v="7"/>
    <n v="32"/>
  </r>
  <r>
    <n v="6201100033583"/>
    <s v="Multi purpose Oil"/>
    <x v="98"/>
    <x v="447"/>
    <s v="AO"/>
    <s v="Refriango"/>
    <x v="7"/>
    <n v="1"/>
  </r>
  <r>
    <n v="6201100033651"/>
    <s v="Afrocare Petroleum Jelly"/>
    <x v="122"/>
    <x v="910"/>
    <s v="TZ"/>
    <s v="TANGA PHARMACEUTICAL &amp; PLASTICS LTD"/>
    <x v="10"/>
    <n v="50"/>
  </r>
  <r>
    <n v="6201100033736"/>
    <s v="Bodyspray"/>
    <x v="122"/>
    <x v="911"/>
    <s v="TZ"/>
    <s v="TPPL"/>
    <x v="3"/>
    <n v="50"/>
  </r>
  <r>
    <n v="6201100033736"/>
    <s v="Bodyspray"/>
    <x v="122"/>
    <x v="911"/>
    <s v="TZ"/>
    <s v="TPPL"/>
    <x v="7"/>
    <n v="1"/>
  </r>
  <r>
    <n v="6201100033774"/>
    <s v="Herbal Petroleum Jelly"/>
    <x v="122"/>
    <x v="912"/>
    <s v="TZ"/>
    <s v="TANGA PHARMACEUTICAL &amp; PLASTICS LTD"/>
    <x v="3"/>
    <n v="50"/>
  </r>
  <r>
    <n v="6201100033774"/>
    <s v="Herbal Petroleum Jelly"/>
    <x v="122"/>
    <x v="912"/>
    <s v="TZ"/>
    <s v="TANGA PHARMACEUTICAL &amp; PLASTICS LTD"/>
    <x v="7"/>
    <n v="2"/>
  </r>
  <r>
    <n v="6201100034580"/>
    <s v="Active Body Spray"/>
    <x v="9"/>
    <x v="911"/>
    <s v="TZ"/>
    <s v="TPPL"/>
    <x v="3"/>
    <n v="50"/>
  </r>
  <r>
    <n v="6201100034580"/>
    <s v="Active Body Spray"/>
    <x v="9"/>
    <x v="911"/>
    <s v="TZ"/>
    <s v="TPPL"/>
    <x v="12"/>
    <n v="1"/>
  </r>
  <r>
    <n v="6201100035457"/>
    <s v="MOISTURISING SKIN PROTECTION"/>
    <x v="98"/>
    <x v="912"/>
    <s v="TZ"/>
    <s v="TANGA PHARMACEUTICAL &amp; PLASTICS LTD"/>
    <x v="7"/>
    <n v="3"/>
  </r>
  <r>
    <n v="6201100060954"/>
    <s v="Lager"/>
    <x v="324"/>
    <x v="456"/>
    <s v="BE"/>
    <s v="Anheuser-Busch InBev"/>
    <x v="4"/>
    <n v="3"/>
  </r>
  <r>
    <n v="6201100060954"/>
    <s v="Lager"/>
    <x v="324"/>
    <x v="456"/>
    <s v="BE"/>
    <s v="Anheuser-Busch InBev"/>
    <x v="7"/>
    <n v="1"/>
  </r>
  <r>
    <n v="6201100062002"/>
    <s v="Castle Lite"/>
    <x v="158"/>
    <x v="913"/>
    <s v="BE"/>
    <s v="Anheuser-Busch InBev"/>
    <x v="7"/>
    <n v="31"/>
  </r>
  <r>
    <n v="6201100062019"/>
    <s v="Castle Lite"/>
    <x v="158"/>
    <x v="913"/>
    <s v="BE"/>
    <s v="Anheuser-Busch InBev"/>
    <x v="7"/>
    <n v="1"/>
  </r>
  <r>
    <n v="6201100062026"/>
    <s v="Redd's"/>
    <x v="158"/>
    <x v="914"/>
    <s v="BE"/>
    <s v="Anheuser-Busch InBev"/>
    <x v="7"/>
    <n v="1"/>
  </r>
  <r>
    <n v="6201100062040"/>
    <s v="Kilimanjaro Premium Lager"/>
    <x v="158"/>
    <x v="100"/>
    <s v="US"/>
    <s v="Coca-Cola"/>
    <x v="7"/>
    <n v="20"/>
  </r>
  <r>
    <n v="6201100062071"/>
    <s v="Grand Malt Non-alcohol can"/>
    <x v="158"/>
    <x v="549"/>
    <s v="BE"/>
    <s v="Anheuser-Busch InBev"/>
    <x v="7"/>
    <n v="14"/>
  </r>
  <r>
    <n v="6201100070083"/>
    <s v="Fruit Flavoured Soft Drink"/>
    <x v="12"/>
    <x v="240"/>
    <s v="US"/>
    <s v="Pepsico, Inc"/>
    <x v="7"/>
    <n v="11"/>
  </r>
  <r>
    <n v="6201100071622"/>
    <s v="Carbonated Drink"/>
    <x v="120"/>
    <x v="51"/>
    <s v="US"/>
    <s v="Pepsico, Inc"/>
    <x v="0"/>
    <n v="1"/>
  </r>
  <r>
    <n v="6201100071622"/>
    <s v="Carbonated Drink"/>
    <x v="120"/>
    <x v="51"/>
    <s v="US"/>
    <s v="Pepsico, Inc"/>
    <x v="4"/>
    <n v="22"/>
  </r>
  <r>
    <n v="6201100071653"/>
    <s v="Carbonated Beverage"/>
    <x v="120"/>
    <x v="54"/>
    <s v="US"/>
    <s v="Pepsico, Inc"/>
    <x v="0"/>
    <n v="2"/>
  </r>
  <r>
    <n v="6201100071684"/>
    <s v="Pepsi"/>
    <x v="23"/>
    <x v="51"/>
    <s v="US"/>
    <s v="Pepsico, Inc"/>
    <x v="1"/>
    <n v="1"/>
  </r>
  <r>
    <n v="6201100071684"/>
    <s v="Pepsi"/>
    <x v="23"/>
    <x v="51"/>
    <s v="US"/>
    <s v="Pepsico, Inc"/>
    <x v="3"/>
    <n v="50"/>
  </r>
  <r>
    <n v="6201100071684"/>
    <s v="Pepsi"/>
    <x v="23"/>
    <x v="51"/>
    <s v="US"/>
    <s v="Pepsico, Inc"/>
    <x v="4"/>
    <n v="4"/>
  </r>
  <r>
    <n v="6201100071684"/>
    <s v="Pepsi"/>
    <x v="23"/>
    <x v="51"/>
    <s v="US"/>
    <s v="Pepsico, Inc"/>
    <x v="7"/>
    <n v="648"/>
  </r>
  <r>
    <n v="6201100071691"/>
    <s v="Fruity Flavoured Soft Drink"/>
    <x v="23"/>
    <x v="240"/>
    <s v="US"/>
    <s v="Pepsico, Inc"/>
    <x v="10"/>
    <n v="50"/>
  </r>
  <r>
    <n v="6201100071691"/>
    <s v="Fruity Flavoured Soft Drink"/>
    <x v="23"/>
    <x v="240"/>
    <s v="US"/>
    <s v="Pepsico, Inc"/>
    <x v="4"/>
    <n v="1"/>
  </r>
  <r>
    <n v="6201100071691"/>
    <s v="Fruity Flavoured Soft Drink"/>
    <x v="23"/>
    <x v="240"/>
    <s v="US"/>
    <s v="Pepsico, Inc"/>
    <x v="12"/>
    <n v="24"/>
  </r>
  <r>
    <n v="6201100071691"/>
    <s v="Fruity Flavoured Soft Drink"/>
    <x v="23"/>
    <x v="240"/>
    <s v="US"/>
    <s v="Pepsico, Inc"/>
    <x v="7"/>
    <n v="695"/>
  </r>
  <r>
    <n v="6201100071707"/>
    <s v="Energy drink"/>
    <x v="23"/>
    <x v="54"/>
    <s v="US"/>
    <s v="Pepsico, Inc"/>
    <x v="0"/>
    <n v="16"/>
  </r>
  <r>
    <n v="6201100071707"/>
    <s v="Energy drink"/>
    <x v="23"/>
    <x v="54"/>
    <s v="US"/>
    <s v="Pepsico, Inc"/>
    <x v="4"/>
    <n v="1"/>
  </r>
  <r>
    <n v="6201100071707"/>
    <s v="Energy drink"/>
    <x v="23"/>
    <x v="54"/>
    <s v="US"/>
    <s v="Pepsico, Inc"/>
    <x v="7"/>
    <n v="2"/>
  </r>
  <r>
    <n v="6201100071714"/>
    <s v="Lemon-Lime Flavoured Drink"/>
    <x v="23"/>
    <x v="3"/>
    <s v="US"/>
    <s v="Keurig Dr Pepper Inc."/>
    <x v="7"/>
    <n v="7"/>
  </r>
  <r>
    <n v="6201100071738"/>
    <s v="pepsi diet"/>
    <x v="71"/>
    <x v="51"/>
    <s v="US"/>
    <s v="Pepsico, Inc"/>
    <x v="7"/>
    <n v="30"/>
  </r>
  <r>
    <n v="6201100071912"/>
    <s v="Pepsi Max"/>
    <x v="14"/>
    <x v="51"/>
    <s v="US"/>
    <s v="Pepsico, Inc"/>
    <x v="2"/>
    <n v="1"/>
  </r>
  <r>
    <n v="6201100071912"/>
    <s v="Pepsi Max"/>
    <x v="14"/>
    <x v="51"/>
    <s v="US"/>
    <s v="Pepsico, Inc"/>
    <x v="7"/>
    <n v="311"/>
  </r>
  <r>
    <n v="6201100072308"/>
    <s v="Gatorade Carbonated Sports Drink"/>
    <x v="14"/>
    <x v="3"/>
    <s v="US"/>
    <s v="Keurig Dr Pepper Inc."/>
    <x v="7"/>
    <n v="47"/>
  </r>
  <r>
    <n v="6201100350611"/>
    <s v="Purified Drinking Water"/>
    <x v="0"/>
    <x v="915"/>
    <s v="TZ"/>
    <s v="Anjari Soda Factory Ltd"/>
    <x v="7"/>
    <n v="1"/>
  </r>
  <r>
    <n v="6201100350628"/>
    <s v="Anjari Q Pure Drinking Water"/>
    <x v="13"/>
    <x v="915"/>
    <s v="TZ"/>
    <s v="Anjari Soda Factory Ltd"/>
    <x v="7"/>
    <n v="63"/>
  </r>
  <r>
    <n v="6201101020025"/>
    <s v="Pure Drinking Water"/>
    <x v="35"/>
    <x v="91"/>
    <s v="TZ"/>
    <s v="Dew Drop Drinks Co.Ltd"/>
    <x v="7"/>
    <n v="84"/>
  </r>
  <r>
    <n v="6201101020087"/>
    <s v="Premium Pure Drinking Water"/>
    <x v="23"/>
    <x v="91"/>
    <s v="TZ"/>
    <s v="Dew Drop Drinks Co.Ltd"/>
    <x v="7"/>
    <n v="134"/>
  </r>
  <r>
    <n v="6201101020094"/>
    <s v="Premium Pure Drinking Water"/>
    <x v="13"/>
    <x v="91"/>
    <s v="TZ"/>
    <s v="Dew Drop Drinks Co.Ltd"/>
    <x v="7"/>
    <n v="38"/>
  </r>
  <r>
    <n v="6201101021077"/>
    <s v="Premium Pure Drinking Water"/>
    <x v="23"/>
    <x v="91"/>
    <s v="TZ"/>
    <s v="Dew Drop Drinks Co.Ltd"/>
    <x v="7"/>
    <n v="2"/>
  </r>
  <r>
    <n v="6201101060250"/>
    <s v="Tomato paste"/>
    <x v="236"/>
    <x v="853"/>
    <s v="TZ"/>
    <s v="Red Gold Tomato Source"/>
    <x v="7"/>
    <n v="2"/>
  </r>
  <r>
    <n v="6201101060342"/>
    <s v="RED GOLD"/>
    <x v="325"/>
    <x v="916"/>
    <s v="UK"/>
    <s v="UNKNOWN_ORG"/>
    <x v="7"/>
    <n v="27"/>
  </r>
  <r>
    <n v="6201101060366"/>
    <s v="Tomato Sauce"/>
    <x v="254"/>
    <x v="853"/>
    <s v="TZ"/>
    <s v="Red Gold Tomato Source"/>
    <x v="4"/>
    <n v="1"/>
  </r>
  <r>
    <n v="6201101060366"/>
    <s v="Tomato Sauce"/>
    <x v="254"/>
    <x v="853"/>
    <s v="TZ"/>
    <s v="Red Gold Tomato Source"/>
    <x v="7"/>
    <n v="37"/>
  </r>
  <r>
    <n v="6201672417934"/>
    <s v="Ukwaju Ice lolly"/>
    <x v="265"/>
    <x v="268"/>
    <s v="TZ"/>
    <s v="BAKHRESA GROUP DIVISIONS"/>
    <x v="7"/>
    <n v="51"/>
  </r>
  <r>
    <n v="620213015297"/>
    <s v="Superior White Rum"/>
    <x v="326"/>
    <x v="135"/>
    <s v="BM"/>
    <s v="Bacardi Limited"/>
    <x v="1"/>
    <n v="4"/>
  </r>
  <r>
    <n v="620213015457"/>
    <s v="Superior White Rum"/>
    <x v="40"/>
    <x v="135"/>
    <s v="BM"/>
    <s v="Bacardi Limited"/>
    <x v="1"/>
    <n v="10"/>
  </r>
  <r>
    <n v="620213015600"/>
    <s v="Superior White Rum"/>
    <x v="324"/>
    <x v="135"/>
    <s v="BM"/>
    <s v="Bacardi Limited"/>
    <x v="1"/>
    <n v="3"/>
  </r>
  <r>
    <n v="620213250100"/>
    <s v="Original"/>
    <x v="93"/>
    <x v="917"/>
    <s v="BM"/>
    <s v="Bacardi Limited"/>
    <x v="1"/>
    <n v="3"/>
  </r>
  <r>
    <n v="6203000036275"/>
    <s v="K-Vant Spirit"/>
    <x v="48"/>
    <x v="918"/>
    <s v="TZ"/>
    <s v="Mega Beverages Company Co Ltd."/>
    <x v="7"/>
    <n v="104"/>
  </r>
  <r>
    <n v="6203000080018"/>
    <s v="Pure Drinking Water"/>
    <x v="0"/>
    <x v="618"/>
    <s v="TZ"/>
    <s v="Jambo Group"/>
    <x v="7"/>
    <n v="56"/>
  </r>
  <r>
    <n v="6203000080032"/>
    <s v="Drinking Water"/>
    <x v="35"/>
    <x v="618"/>
    <s v="TZ"/>
    <s v="Jambo Group"/>
    <x v="12"/>
    <n v="14"/>
  </r>
  <r>
    <n v="6203000080032"/>
    <s v="Drinking Water"/>
    <x v="35"/>
    <x v="618"/>
    <s v="TZ"/>
    <s v="Jambo Group"/>
    <x v="7"/>
    <n v="49"/>
  </r>
  <r>
    <n v="6203000080124"/>
    <s v="Orange Soda"/>
    <x v="3"/>
    <x v="618"/>
    <s v="TZ"/>
    <s v="Jambo Group"/>
    <x v="7"/>
    <n v="10"/>
  </r>
  <r>
    <n v="6203000080148"/>
    <s v="Coconut with pineapple"/>
    <x v="120"/>
    <x v="618"/>
    <s v="TZ"/>
    <s v="Jambo Group"/>
    <x v="7"/>
    <n v="1"/>
  </r>
  <r>
    <n v="6203000080186"/>
    <s v="Embe Dodo Fruit Juice Drink"/>
    <x v="3"/>
    <x v="618"/>
    <s v="TZ"/>
    <s v="Jambo Group"/>
    <x v="7"/>
    <n v="39"/>
  </r>
  <r>
    <n v="6203000080414"/>
    <s v="Embe Boribo Juice Drink"/>
    <x v="3"/>
    <x v="618"/>
    <s v="TZ"/>
    <s v="Jambo Group"/>
    <x v="7"/>
    <n v="11"/>
  </r>
  <r>
    <n v="6203000080759"/>
    <s v="Apple punch"/>
    <x v="3"/>
    <x v="618"/>
    <s v="TZ"/>
    <s v="Jambo Group"/>
    <x v="7"/>
    <n v="20"/>
  </r>
  <r>
    <n v="6203001380087"/>
    <s v="chipsy snacks kuku"/>
    <x v="73"/>
    <x v="919"/>
    <s v="TZ"/>
    <s v="Smart Industry ltd"/>
    <x v="7"/>
    <n v="7"/>
  </r>
  <r>
    <n v="6203001630007"/>
    <s v="pineaple flavoured drink"/>
    <x v="327"/>
    <x v="282"/>
    <s v="TZ"/>
    <s v="U Fresh Juice"/>
    <x v="7"/>
    <n v="2"/>
  </r>
  <r>
    <n v="6203001630014"/>
    <s v="Orange"/>
    <x v="267"/>
    <x v="282"/>
    <s v="TZ"/>
    <s v="U Fresh Juice"/>
    <x v="7"/>
    <n v="4"/>
  </r>
  <r>
    <n v="6203001630045"/>
    <s v="U-Fresh Pineapple Flovoured Drink"/>
    <x v="328"/>
    <x v="282"/>
    <s v="TZ"/>
    <s v="U Fresh Juice"/>
    <x v="7"/>
    <n v="19"/>
  </r>
  <r>
    <n v="6203001630045"/>
    <s v="U-Fresh Pineapple Flovoured Drink"/>
    <x v="328"/>
    <x v="282"/>
    <s v="TZ"/>
    <s v="U Fresh Juice"/>
    <x v="5"/>
    <n v="1"/>
  </r>
  <r>
    <n v="6203001630052"/>
    <s v="mon-lime Flavoured Drink"/>
    <x v="245"/>
    <x v="282"/>
    <s v="TZ"/>
    <s v="U Fresh Juice"/>
    <x v="7"/>
    <n v="60"/>
  </r>
  <r>
    <n v="6203001630069"/>
    <s v="pineapple flavor drink"/>
    <x v="245"/>
    <x v="282"/>
    <s v="TZ"/>
    <s v="U Fresh Juice"/>
    <x v="7"/>
    <n v="25"/>
  </r>
  <r>
    <n v="6203001630076"/>
    <s v="Mango fresh"/>
    <x v="267"/>
    <x v="282"/>
    <s v="TZ"/>
    <s v="U Fresh Juice"/>
    <x v="7"/>
    <n v="34"/>
  </r>
  <r>
    <n v="6203001630083"/>
    <s v="Mango Flavoured  Drink"/>
    <x v="245"/>
    <x v="282"/>
    <s v="TZ"/>
    <s v="U Fresh Juice"/>
    <x v="7"/>
    <n v="79"/>
  </r>
  <r>
    <n v="6203001630090"/>
    <s v="Passion fruit flavoured drink"/>
    <x v="327"/>
    <x v="282"/>
    <s v="TZ"/>
    <s v="U Fresh Juice"/>
    <x v="7"/>
    <n v="2"/>
  </r>
  <r>
    <n v="6203001630243"/>
    <s v="Mango"/>
    <x v="114"/>
    <x v="282"/>
    <s v="TZ"/>
    <s v="U Fresh Juice"/>
    <x v="12"/>
    <n v="2"/>
  </r>
  <r>
    <n v="6203001630243"/>
    <s v="Mango"/>
    <x v="114"/>
    <x v="282"/>
    <s v="TZ"/>
    <s v="U Fresh Juice"/>
    <x v="7"/>
    <n v="1"/>
  </r>
  <r>
    <n v="6203001630533"/>
    <s v="Cola Flavored drink"/>
    <x v="267"/>
    <x v="282"/>
    <s v="TZ"/>
    <s v="U Fresh Juice"/>
    <x v="7"/>
    <n v="2"/>
  </r>
  <r>
    <n v="6203001630632"/>
    <s v="Pineapple Flavoured Drink"/>
    <x v="93"/>
    <x v="282"/>
    <s v="TZ"/>
    <s v="U Fresh Juice"/>
    <x v="7"/>
    <n v="10"/>
  </r>
  <r>
    <n v="6203001630649"/>
    <s v="Mango Flavoured Drink"/>
    <x v="93"/>
    <x v="282"/>
    <s v="TZ"/>
    <s v="U Fresh Juice"/>
    <x v="7"/>
    <n v="116"/>
  </r>
  <r>
    <n v="6203001630656"/>
    <s v="Orange Flavoured Drink"/>
    <x v="93"/>
    <x v="282"/>
    <s v="TZ"/>
    <s v="U Fresh Juice"/>
    <x v="7"/>
    <n v="159"/>
  </r>
  <r>
    <n v="6203001630731"/>
    <s v="U-Fresh Flavored drink with strawberry and milk"/>
    <x v="3"/>
    <x v="282"/>
    <s v="TZ"/>
    <s v="U Fresh Juice"/>
    <x v="7"/>
    <n v="10"/>
  </r>
  <r>
    <n v="6203001630854"/>
    <s v="U-Fresh power"/>
    <x v="93"/>
    <x v="282"/>
    <s v="TZ"/>
    <s v="U Fresh Juice"/>
    <x v="7"/>
    <n v="1"/>
  </r>
  <r>
    <n v="6203001631066"/>
    <s v="Apple U-Fresh"/>
    <x v="267"/>
    <x v="282"/>
    <s v="TZ"/>
    <s v="U Fresh Juice"/>
    <x v="7"/>
    <n v="14"/>
  </r>
  <r>
    <n v="6203001631073"/>
    <s v="Ukwaju flavoured drinks"/>
    <x v="267"/>
    <x v="282"/>
    <s v="TZ"/>
    <s v="U Fresh Juice"/>
    <x v="7"/>
    <n v="33"/>
  </r>
  <r>
    <n v="6203001631219"/>
    <s v="u-fresh ukwaju"/>
    <x v="2"/>
    <x v="282"/>
    <s v="TZ"/>
    <s v="U Fresh Juice"/>
    <x v="7"/>
    <n v="3"/>
  </r>
  <r>
    <n v="6203003250173"/>
    <s v="Non Alcoholic Malt Drink"/>
    <x v="14"/>
    <x v="79"/>
    <s v="TZ"/>
    <s v="Watercom (T) Ltd"/>
    <x v="7"/>
    <n v="20"/>
  </r>
  <r>
    <n v="6203003250180"/>
    <s v="Afiya Orange Flavour"/>
    <x v="14"/>
    <x v="79"/>
    <s v="TZ"/>
    <s v="Watercom (T) Ltd"/>
    <x v="7"/>
    <n v="135"/>
  </r>
  <r>
    <n v="6203003250180"/>
    <s v="Afiya Orange Flavour"/>
    <x v="14"/>
    <x v="79"/>
    <s v="TZ"/>
    <s v="Watercom (T) Ltd"/>
    <x v="5"/>
    <n v="1"/>
  </r>
  <r>
    <n v="6203003250203"/>
    <s v="Super Cola"/>
    <x v="14"/>
    <x v="79"/>
    <s v="TZ"/>
    <s v="Watercom (T) Ltd"/>
    <x v="7"/>
    <n v="20"/>
  </r>
  <r>
    <n v="6203003250210"/>
    <s v="Jembe Drink"/>
    <x v="111"/>
    <x v="920"/>
    <s v="TZ"/>
    <s v="Watercom (T) Ltd"/>
    <x v="7"/>
    <n v="112"/>
  </r>
  <r>
    <n v="6203003250234"/>
    <s v="Afiya Passion Flavour"/>
    <x v="14"/>
    <x v="78"/>
    <s v="TZ"/>
    <s v="Watercom (T) Ltd"/>
    <x v="7"/>
    <n v="43"/>
  </r>
  <r>
    <n v="6203003250234"/>
    <s v="Afiya Passion Flavour"/>
    <x v="14"/>
    <x v="78"/>
    <s v="TZ"/>
    <s v="Watercom (T) Ltd"/>
    <x v="5"/>
    <n v="1"/>
  </r>
  <r>
    <n v="6203003250524"/>
    <s v="Afiya Berries Flavour"/>
    <x v="14"/>
    <x v="79"/>
    <s v="TZ"/>
    <s v="Watercom (T) Ltd"/>
    <x v="7"/>
    <n v="304"/>
  </r>
  <r>
    <n v="6203003250555"/>
    <s v="Afiya Berries Flavour"/>
    <x v="3"/>
    <x v="79"/>
    <s v="TZ"/>
    <s v="Watercom (T) Ltd"/>
    <x v="7"/>
    <n v="111"/>
  </r>
  <r>
    <n v="6203003250630"/>
    <s v="Afiya Tangawizi"/>
    <x v="3"/>
    <x v="79"/>
    <s v="TZ"/>
    <s v="Watercom (T) Ltd"/>
    <x v="12"/>
    <n v="4"/>
  </r>
  <r>
    <n v="6203003250647"/>
    <s v="Drinking Water"/>
    <x v="143"/>
    <x v="79"/>
    <s v="TZ"/>
    <s v="Watercom (T) Ltd"/>
    <x v="12"/>
    <n v="1"/>
  </r>
  <r>
    <n v="6203003250654"/>
    <s v="Orange Flavoured Carbonated Soft drink"/>
    <x v="3"/>
    <x v="78"/>
    <s v="TZ"/>
    <s v="Watercom (T) Ltd"/>
    <x v="7"/>
    <n v="9"/>
  </r>
  <r>
    <n v="6203003250661"/>
    <s v="Malt Drink"/>
    <x v="14"/>
    <x v="521"/>
    <s v="KE"/>
    <s v="Kevian Kenya Limited"/>
    <x v="7"/>
    <n v="2"/>
  </r>
  <r>
    <n v="6203003250807"/>
    <s v="plain yoghurt"/>
    <x v="0"/>
    <x v="921"/>
    <s v="UK"/>
    <s v="UNKNOWN_ORG"/>
    <x v="12"/>
    <n v="1"/>
  </r>
  <r>
    <n v="6203003250807"/>
    <s v="plain yoghurt"/>
    <x v="0"/>
    <x v="921"/>
    <s v="UK"/>
    <s v="UNKNOWN_ORG"/>
    <x v="7"/>
    <n v="1"/>
  </r>
  <r>
    <n v="6203003250906"/>
    <s v="Passion Flavour Carbonated soft drink"/>
    <x v="3"/>
    <x v="78"/>
    <s v="TZ"/>
    <s v="Watercom (T) Ltd"/>
    <x v="7"/>
    <n v="3"/>
  </r>
  <r>
    <n v="6203003250999"/>
    <s v="energy drink"/>
    <x v="3"/>
    <x v="920"/>
    <s v="TZ"/>
    <s v="Watercom (T) Ltd"/>
    <x v="7"/>
    <n v="13"/>
  </r>
  <r>
    <n v="6203003251019"/>
    <s v="Afya Drink Water"/>
    <x v="143"/>
    <x v="79"/>
    <s v="TZ"/>
    <s v="Watercom (T) Ltd"/>
    <x v="12"/>
    <n v="1"/>
  </r>
  <r>
    <n v="6203003251019"/>
    <s v="Afya Drink Water"/>
    <x v="143"/>
    <x v="79"/>
    <s v="TZ"/>
    <s v="Watercom (T) Ltd"/>
    <x v="7"/>
    <n v="968"/>
  </r>
  <r>
    <n v="6203003251033"/>
    <s v="Drinking water"/>
    <x v="23"/>
    <x v="79"/>
    <s v="TZ"/>
    <s v="Watercom (T) Ltd"/>
    <x v="7"/>
    <n v="360"/>
  </r>
  <r>
    <n v="6203003251118"/>
    <s v="Fruit drink"/>
    <x v="3"/>
    <x v="79"/>
    <s v="TZ"/>
    <s v="Watercom (T) Ltd"/>
    <x v="7"/>
    <n v="60"/>
  </r>
  <r>
    <n v="6203003251224"/>
    <s v="Embe / Mango Juice Drink"/>
    <x v="3"/>
    <x v="79"/>
    <s v="TZ"/>
    <s v="Watercom (T) Ltd"/>
    <x v="7"/>
    <n v="87"/>
  </r>
  <r>
    <n v="6203003260004"/>
    <s v="Mineral water"/>
    <x v="76"/>
    <x v="79"/>
    <s v="TZ"/>
    <s v="Watercom (T) Ltd"/>
    <x v="7"/>
    <n v="274"/>
  </r>
  <r>
    <n v="6203003260011"/>
    <s v="Drinking Water"/>
    <x v="0"/>
    <x v="79"/>
    <s v="TZ"/>
    <s v="Watercom (T) Ltd"/>
    <x v="7"/>
    <n v="95"/>
  </r>
  <r>
    <n v="6203003260028"/>
    <s v="Drinking Water"/>
    <x v="113"/>
    <x v="79"/>
    <s v="TZ"/>
    <s v="Watercom (T) Ltd"/>
    <x v="7"/>
    <n v="278"/>
  </r>
  <r>
    <n v="6203003260110"/>
    <s v="Mineral Water"/>
    <x v="110"/>
    <x v="79"/>
    <s v="TZ"/>
    <s v="Watercom (T) Ltd"/>
    <x v="7"/>
    <n v="612"/>
  </r>
  <r>
    <n v="6203003260141"/>
    <s v="Drinking Water"/>
    <x v="139"/>
    <x v="79"/>
    <s v="TZ"/>
    <s v="Watercom (T) Ltd"/>
    <x v="7"/>
    <n v="7"/>
  </r>
  <r>
    <n v="6203003260233"/>
    <s v="Pemba Drinking Water"/>
    <x v="0"/>
    <x v="922"/>
    <s v="TZ"/>
    <s v="Watercom (T) Ltd"/>
    <x v="7"/>
    <n v="50"/>
  </r>
  <r>
    <n v="6203003310679"/>
    <s v="Tomato Sauce"/>
    <x v="329"/>
    <x v="923"/>
    <s v="UK"/>
    <s v="UNKNOWN_ORG"/>
    <x v="7"/>
    <n v="1"/>
  </r>
  <r>
    <n v="6203003350088"/>
    <s v="Twist Soft Drink"/>
    <x v="3"/>
    <x v="267"/>
    <s v="TZ"/>
    <s v="Motisun Group"/>
    <x v="12"/>
    <n v="1250"/>
  </r>
  <r>
    <n v="6203003350125"/>
    <s v="Twist"/>
    <x v="76"/>
    <x v="267"/>
    <s v="TZ"/>
    <s v="Motisun Group"/>
    <x v="12"/>
    <n v="258"/>
  </r>
  <r>
    <n v="6203003350132"/>
    <s v="Twist Spark"/>
    <x v="14"/>
    <x v="267"/>
    <s v="TZ"/>
    <s v="Motisun Group"/>
    <x v="12"/>
    <n v="3"/>
  </r>
  <r>
    <n v="6203003350132"/>
    <s v="Twist Spark"/>
    <x v="14"/>
    <x v="267"/>
    <s v="TZ"/>
    <s v="Motisun Group"/>
    <x v="7"/>
    <n v="4"/>
  </r>
  <r>
    <n v="6203003350187"/>
    <s v="Mango juice drink"/>
    <x v="120"/>
    <x v="267"/>
    <s v="TZ"/>
    <s v="Motisun Group"/>
    <x v="4"/>
    <n v="2"/>
  </r>
  <r>
    <n v="6203003350187"/>
    <s v="Mango juice drink"/>
    <x v="120"/>
    <x v="267"/>
    <s v="TZ"/>
    <s v="Motisun Group"/>
    <x v="12"/>
    <n v="1"/>
  </r>
  <r>
    <n v="6203003350187"/>
    <s v="Mango juice drink"/>
    <x v="120"/>
    <x v="267"/>
    <s v="TZ"/>
    <s v="Motisun Group"/>
    <x v="7"/>
    <n v="353"/>
  </r>
  <r>
    <n v="6203003350255"/>
    <s v="Drinking Water"/>
    <x v="0"/>
    <x v="560"/>
    <s v="MZ"/>
    <s v="Manzi Valley Limited"/>
    <x v="7"/>
    <n v="21"/>
  </r>
  <r>
    <n v="6203003350279"/>
    <s v="Packaged Drinking water"/>
    <x v="13"/>
    <x v="924"/>
    <s v="TZ"/>
    <s v="Motisun Group"/>
    <x v="7"/>
    <n v="11"/>
  </r>
  <r>
    <n v="6203003350279"/>
    <s v="Packaged Drinking water"/>
    <x v="13"/>
    <x v="924"/>
    <s v="TZ"/>
    <s v="Motisun Group"/>
    <x v="5"/>
    <n v="1"/>
  </r>
  <r>
    <n v="6203003350545"/>
    <s v="Orange Dairy Blend Concentrate"/>
    <x v="111"/>
    <x v="267"/>
    <s v="TZ"/>
    <s v="Motisun Group"/>
    <x v="7"/>
    <n v="138"/>
  </r>
  <r>
    <n v="6203003350552"/>
    <s v="Twist Lemon"/>
    <x v="14"/>
    <x v="925"/>
    <s v="TZ"/>
    <s v="Motisun Group"/>
    <x v="7"/>
    <n v="176"/>
  </r>
  <r>
    <n v="6203003350620"/>
    <s v="Passion Fruit Flavoured Carbonated Soft Drink"/>
    <x v="14"/>
    <x v="925"/>
    <s v="TZ"/>
    <s v="Motisun Group"/>
    <x v="7"/>
    <n v="72"/>
  </r>
  <r>
    <n v="6203003350651"/>
    <s v="Carbonated Flavoured Soft Drink"/>
    <x v="111"/>
    <x v="925"/>
    <s v="TZ"/>
    <s v="Motisun Group"/>
    <x v="7"/>
    <n v="104"/>
  </r>
  <r>
    <n v="6203003350712"/>
    <s v="Tunda Embe / Mango Juice Drink"/>
    <x v="3"/>
    <x v="267"/>
    <s v="TZ"/>
    <s v="Motisun Group"/>
    <x v="7"/>
    <n v="164"/>
  </r>
  <r>
    <n v="6203003350743"/>
    <s v="Tunda Mix"/>
    <x v="120"/>
    <x v="267"/>
    <s v="TZ"/>
    <s v="Motisun Group"/>
    <x v="7"/>
    <n v="10"/>
  </r>
  <r>
    <n v="6203003350798"/>
    <s v="malto"/>
    <x v="76"/>
    <x v="267"/>
    <s v="TZ"/>
    <s v="Motisun Group"/>
    <x v="12"/>
    <n v="84"/>
  </r>
  <r>
    <n v="6203003350842"/>
    <s v="Twist"/>
    <x v="76"/>
    <x v="926"/>
    <s v="UK"/>
    <s v="UNKNOWN_ORG"/>
    <x v="12"/>
    <n v="11"/>
  </r>
  <r>
    <n v="6203003350859"/>
    <s v="CARBONATED FLAVOURED DRINK"/>
    <x v="14"/>
    <x v="925"/>
    <s v="TZ"/>
    <s v="Motisun Group"/>
    <x v="12"/>
    <n v="25"/>
  </r>
  <r>
    <n v="6203003350859"/>
    <s v="CARBONATED FLAVOURED DRINK"/>
    <x v="14"/>
    <x v="925"/>
    <s v="TZ"/>
    <s v="Motisun Group"/>
    <x v="7"/>
    <n v="34"/>
  </r>
  <r>
    <n v="6203003350873"/>
    <s v="Twist pineapple"/>
    <x v="14"/>
    <x v="925"/>
    <s v="TZ"/>
    <s v="Motisun Group"/>
    <x v="7"/>
    <n v="54"/>
  </r>
  <r>
    <n v="6203003460497"/>
    <s v="Ghndour Industriel Congo"/>
    <x v="3"/>
    <x v="899"/>
    <s v="CD"/>
    <s v="SIVOP"/>
    <x v="10"/>
    <n v="100"/>
  </r>
  <r>
    <n v="6203003460930"/>
    <s v="Yaourt Fraise"/>
    <x v="48"/>
    <x v="927"/>
    <s v="CD"/>
    <s v="Ghandour Foods"/>
    <x v="10"/>
    <n v="8"/>
  </r>
  <r>
    <n v="6203003460954"/>
    <s v="Yaourt banane"/>
    <x v="48"/>
    <x v="927"/>
    <s v="CD"/>
    <s v="Ghandour Foods"/>
    <x v="10"/>
    <n v="3"/>
  </r>
  <r>
    <n v="6203003857778"/>
    <s v="Mango Flavour"/>
    <x v="3"/>
    <x v="78"/>
    <s v="TZ"/>
    <s v="Watercom (T) Ltd"/>
    <x v="7"/>
    <n v="13"/>
  </r>
  <r>
    <n v="6203004530021"/>
    <s v="Yogurt Mtindi"/>
    <x v="76"/>
    <x v="928"/>
    <s v="TZ"/>
    <s v="Tanga Fresh Limited"/>
    <x v="7"/>
    <n v="23"/>
  </r>
  <r>
    <n v="6203004570157"/>
    <s v="Alcoholic Drink"/>
    <x v="3"/>
    <x v="929"/>
    <s v="TZ"/>
    <s v="HAKIKA BREWERIES LIMITED"/>
    <x v="7"/>
    <n v="24"/>
  </r>
  <r>
    <n v="6203004570201"/>
    <s v="Fortified Wine"/>
    <x v="32"/>
    <x v="929"/>
    <s v="TZ"/>
    <s v="HAKIKA BREWERIES LIMITED"/>
    <x v="7"/>
    <n v="264"/>
  </r>
  <r>
    <n v="6203004610198"/>
    <s v="pure drinking water"/>
    <x v="330"/>
    <x v="874"/>
    <s v="TZ"/>
    <s v="Aqua Cool Ltd"/>
    <x v="7"/>
    <n v="31"/>
  </r>
  <r>
    <n v="6203004920006"/>
    <s v="Natural Spring Water"/>
    <x v="23"/>
    <x v="930"/>
    <s v="UK"/>
    <s v="UNKNOWN_ORG"/>
    <x v="7"/>
    <n v="22"/>
  </r>
  <r>
    <n v="6203005350314"/>
    <s v="SHAMPOOING NEUTRALISANT"/>
    <x v="32"/>
    <x v="931"/>
    <s v="CD"/>
    <s v="Ghandour Cosmetics"/>
    <x v="10"/>
    <n v="4"/>
  </r>
  <r>
    <n v="6203005350338"/>
    <s v="BAUME DEMELANT"/>
    <x v="32"/>
    <x v="931"/>
    <s v="CD"/>
    <s v="Ghandour Cosmetics"/>
    <x v="10"/>
    <n v="3"/>
  </r>
  <r>
    <n v="6203005350475"/>
    <s v="Crème Défrisante"/>
    <x v="145"/>
    <x v="931"/>
    <s v="CD"/>
    <s v="Ghandour Cosmetics"/>
    <x v="10"/>
    <n v="1"/>
  </r>
  <r>
    <n v="6203005350482"/>
    <s v="Crème défrisante"/>
    <x v="97"/>
    <x v="931"/>
    <s v="CD"/>
    <s v="Ghandour Cosmetics"/>
    <x v="10"/>
    <n v="1"/>
  </r>
  <r>
    <n v="6203005350857"/>
    <s v="lait éclaircissant"/>
    <x v="3"/>
    <x v="932"/>
    <s v="CD"/>
    <s v="Ghandour Cosmetics"/>
    <x v="10"/>
    <n v="1"/>
  </r>
  <r>
    <n v="6203005352189"/>
    <s v="Yaourt à Boire"/>
    <x v="48"/>
    <x v="927"/>
    <s v="CD"/>
    <s v="Ghandour Foods"/>
    <x v="10"/>
    <n v="1"/>
  </r>
  <r>
    <n v="6203005570361"/>
    <s v="Valeur Superior Brandy"/>
    <x v="32"/>
    <x v="933"/>
    <s v="BE"/>
    <s v="Anheuser-Busch InBev"/>
    <x v="7"/>
    <n v="31"/>
  </r>
  <r>
    <n v="6203005570408"/>
    <s v="Valeur"/>
    <x v="40"/>
    <x v="933"/>
    <s v="BE"/>
    <s v="Anheuser-Busch InBev"/>
    <x v="7"/>
    <n v="1"/>
  </r>
  <r>
    <n v="6203005572112"/>
    <s v="Fortified Sweet Wine. Red"/>
    <x v="2"/>
    <x v="934"/>
    <s v="UK"/>
    <s v="UNKNOWN_ORG"/>
    <x v="4"/>
    <n v="1"/>
  </r>
  <r>
    <n v="6203005572112"/>
    <s v="Fortified Sweet Wine. Red"/>
    <x v="2"/>
    <x v="934"/>
    <s v="UK"/>
    <s v="UNKNOWN_ORG"/>
    <x v="7"/>
    <n v="7"/>
  </r>
  <r>
    <n v="6203007290076"/>
    <s v="Drinking Water"/>
    <x v="13"/>
    <x v="935"/>
    <s v="TZ"/>
    <s v="Saini Food Products ltd"/>
    <x v="7"/>
    <n v="21"/>
  </r>
  <r>
    <n v="6203007980106"/>
    <s v="Rivella Vodka"/>
    <x v="2"/>
    <x v="936"/>
    <s v="TZ"/>
    <s v="Blue Nile Distilleries Ltd"/>
    <x v="7"/>
    <n v="52"/>
  </r>
  <r>
    <n v="6203008190498"/>
    <s v="Pure Drinking Water"/>
    <x v="13"/>
    <x v="937"/>
    <s v="UK"/>
    <s v="UNKNOWN_ORG"/>
    <x v="7"/>
    <n v="21"/>
  </r>
  <r>
    <n v="6203008190504"/>
    <s v="Pure Drinking Water"/>
    <x v="0"/>
    <x v="937"/>
    <s v="UK"/>
    <s v="UNKNOWN_ORG"/>
    <x v="12"/>
    <n v="1"/>
  </r>
  <r>
    <n v="6203008190504"/>
    <s v="Pure Drinking Water"/>
    <x v="0"/>
    <x v="937"/>
    <s v="UK"/>
    <s v="UNKNOWN_ORG"/>
    <x v="7"/>
    <n v="21"/>
  </r>
  <r>
    <n v="6203008190580"/>
    <s v="Pure Drinking Water Premier"/>
    <x v="23"/>
    <x v="937"/>
    <s v="UK"/>
    <s v="UNKNOWN_ORG"/>
    <x v="7"/>
    <n v="1"/>
  </r>
  <r>
    <n v="6203008950245"/>
    <s v="Pure Sunflower Oil"/>
    <x v="13"/>
    <x v="938"/>
    <s v="TZ"/>
    <s v="Alaska Tanzania Industries"/>
    <x v="4"/>
    <n v="150"/>
  </r>
  <r>
    <n v="6203008950245"/>
    <s v="Pure Sunflower Oil"/>
    <x v="13"/>
    <x v="938"/>
    <s v="TZ"/>
    <s v="Alaska Tanzania Industries"/>
    <x v="7"/>
    <n v="12"/>
  </r>
  <r>
    <n v="6203008950245"/>
    <s v="Pure Sunflower Oil"/>
    <x v="13"/>
    <x v="938"/>
    <s v="TZ"/>
    <s v="Alaska Tanzania Industries"/>
    <x v="8"/>
    <n v="1"/>
  </r>
  <r>
    <n v="6203008950306"/>
    <s v="Sunflower Oil"/>
    <x v="331"/>
    <x v="938"/>
    <s v="TZ"/>
    <s v="Alaska Tanzania Industries"/>
    <x v="4"/>
    <n v="1"/>
  </r>
  <r>
    <n v="6203008950306"/>
    <s v="Sunflower Oil"/>
    <x v="331"/>
    <x v="938"/>
    <s v="TZ"/>
    <s v="Alaska Tanzania Industries"/>
    <x v="7"/>
    <n v="2"/>
  </r>
  <r>
    <n v="6203008951006"/>
    <s v="Spaghetti"/>
    <x v="177"/>
    <x v="939"/>
    <s v="SG"/>
    <s v="Wilmar International Limited"/>
    <x v="7"/>
    <n v="1"/>
  </r>
  <r>
    <n v="6203009160025"/>
    <s v="Potable cane spirit"/>
    <x v="2"/>
    <x v="940"/>
    <s v="TZ"/>
    <s v="Kibo Breweries Ltd"/>
    <x v="7"/>
    <n v="788"/>
  </r>
  <r>
    <n v="6203009790291"/>
    <s v="Sunflower oil"/>
    <x v="13"/>
    <x v="941"/>
    <s v="TZ"/>
    <s v="PERA Afrika Ltd"/>
    <x v="7"/>
    <n v="1"/>
  </r>
  <r>
    <n v="6203010360087"/>
    <s v="Smart Gin"/>
    <x v="2"/>
    <x v="942"/>
    <s v="TZ"/>
    <s v="Smart Gin Euromax Ltd"/>
    <x v="7"/>
    <n v="249"/>
  </r>
  <r>
    <n v="6203011060313"/>
    <s v="Splash Ice Lolly"/>
    <x v="265"/>
    <x v="268"/>
    <s v="TZ"/>
    <s v="BAKHRESA GROUP DIVISIONS"/>
    <x v="7"/>
    <n v="11"/>
  </r>
  <r>
    <n v="6203011060320"/>
    <s v="Drinking Water"/>
    <x v="139"/>
    <x v="246"/>
    <s v="TZ"/>
    <s v="BAKHRESA GROUP DIVISIONS"/>
    <x v="7"/>
    <n v="19"/>
  </r>
  <r>
    <n v="6203011060337"/>
    <s v="Pure Drinking Water"/>
    <x v="259"/>
    <x v="246"/>
    <s v="TZ"/>
    <s v="BAKHRESA GROUP DIVISIONS"/>
    <x v="7"/>
    <n v="48"/>
  </r>
  <r>
    <n v="6203011060344"/>
    <s v="Pure Drinking Water"/>
    <x v="143"/>
    <x v="246"/>
    <s v="TZ"/>
    <s v="BAKHRESA GROUP DIVISIONS"/>
    <x v="7"/>
    <n v="1837"/>
  </r>
  <r>
    <n v="6203011060351"/>
    <s v="Pure Drinking Water"/>
    <x v="110"/>
    <x v="246"/>
    <s v="TZ"/>
    <s v="BAKHRESA GROUP DIVISIONS"/>
    <x v="7"/>
    <n v="278"/>
  </r>
  <r>
    <n v="6203011060368"/>
    <s v="Pure Drinking Water"/>
    <x v="23"/>
    <x v="246"/>
    <s v="TZ"/>
    <s v="BAKHRESA GROUP DIVISIONS"/>
    <x v="7"/>
    <n v="882"/>
  </r>
  <r>
    <n v="6203011060375"/>
    <s v="Pure Drinking Water"/>
    <x v="76"/>
    <x v="246"/>
    <s v="TZ"/>
    <s v="BAKHRESA GROUP DIVISIONS"/>
    <x v="7"/>
    <n v="80"/>
  </r>
  <r>
    <n v="6203011060382"/>
    <s v="Pure Drinking Water"/>
    <x v="0"/>
    <x v="246"/>
    <s v="TZ"/>
    <s v="BAKHRESA GROUP DIVISIONS"/>
    <x v="7"/>
    <n v="52"/>
  </r>
  <r>
    <n v="6203011060429"/>
    <s v="Energy Drink"/>
    <x v="48"/>
    <x v="268"/>
    <s v="TZ"/>
    <s v="BAKHRESA GROUP DIVISIONS"/>
    <x v="12"/>
    <n v="3"/>
  </r>
  <r>
    <n v="6203011060429"/>
    <s v="Energy Drink"/>
    <x v="48"/>
    <x v="268"/>
    <s v="TZ"/>
    <s v="BAKHRESA GROUP DIVISIONS"/>
    <x v="7"/>
    <n v="25"/>
  </r>
  <r>
    <n v="6203011060436"/>
    <s v="Apple punch"/>
    <x v="3"/>
    <x v="268"/>
    <s v="TZ"/>
    <s v="BAKHRESA GROUP DIVISIONS"/>
    <x v="0"/>
    <n v="14"/>
  </r>
  <r>
    <n v="6203011060436"/>
    <s v="Apple punch"/>
    <x v="3"/>
    <x v="268"/>
    <s v="TZ"/>
    <s v="BAKHRESA GROUP DIVISIONS"/>
    <x v="3"/>
    <n v="332"/>
  </r>
  <r>
    <n v="6203011060436"/>
    <s v="Apple punch"/>
    <x v="3"/>
    <x v="268"/>
    <s v="TZ"/>
    <s v="BAKHRESA GROUP DIVISIONS"/>
    <x v="7"/>
    <n v="437"/>
  </r>
  <r>
    <n v="6203011060474"/>
    <s v="Mango Fruit Juice Drink"/>
    <x v="193"/>
    <x v="268"/>
    <s v="TZ"/>
    <s v="BAKHRESA GROUP DIVISIONS"/>
    <x v="7"/>
    <n v="37"/>
  </r>
  <r>
    <n v="6203011060665"/>
    <s v="Embe Dodo Lolly"/>
    <x v="265"/>
    <x v="268"/>
    <s v="TZ"/>
    <s v="BAKHRESA GROUP DIVISIONS"/>
    <x v="7"/>
    <n v="46"/>
  </r>
  <r>
    <n v="6203011060801"/>
    <s v="Mango Fruit Juice Drink (Azam Embe)"/>
    <x v="3"/>
    <x v="268"/>
    <s v="TZ"/>
    <s v="BAKHRESA GROUP DIVISIONS"/>
    <x v="10"/>
    <n v="1"/>
  </r>
  <r>
    <n v="6203011060801"/>
    <s v="Mango Fruit Juice Drink (Azam Embe)"/>
    <x v="3"/>
    <x v="268"/>
    <s v="TZ"/>
    <s v="BAKHRESA GROUP DIVISIONS"/>
    <x v="3"/>
    <n v="1"/>
  </r>
  <r>
    <n v="6203011060801"/>
    <s v="Mango Fruit Juice Drink (Azam Embe)"/>
    <x v="3"/>
    <x v="268"/>
    <s v="TZ"/>
    <s v="BAKHRESA GROUP DIVISIONS"/>
    <x v="4"/>
    <n v="19"/>
  </r>
  <r>
    <n v="6203011060801"/>
    <s v="Mango Fruit Juice Drink (Azam Embe)"/>
    <x v="3"/>
    <x v="268"/>
    <s v="TZ"/>
    <s v="BAKHRESA GROUP DIVISIONS"/>
    <x v="12"/>
    <n v="148"/>
  </r>
  <r>
    <n v="6203011060801"/>
    <s v="Mango Fruit Juice Drink (Azam Embe)"/>
    <x v="3"/>
    <x v="268"/>
    <s v="TZ"/>
    <s v="BAKHRESA GROUP DIVISIONS"/>
    <x v="7"/>
    <n v="280"/>
  </r>
  <r>
    <n v="6203011060801"/>
    <s v="Mango Fruit Juice Drink (Azam Embe)"/>
    <x v="3"/>
    <x v="268"/>
    <s v="TZ"/>
    <s v="BAKHRESA GROUP DIVISIONS"/>
    <x v="5"/>
    <n v="38"/>
  </r>
  <r>
    <n v="620301106081"/>
    <s v="Embe / Mango Juice Drink"/>
    <x v="3"/>
    <x v="268"/>
    <s v="TZ"/>
    <s v="BAKHRESA GROUP DIVISIONS"/>
    <x v="4"/>
    <n v="47"/>
  </r>
  <r>
    <n v="620301106081"/>
    <s v="Embe / Mango Juice Drink"/>
    <x v="3"/>
    <x v="268"/>
    <s v="TZ"/>
    <s v="BAKHRESA GROUP DIVISIONS"/>
    <x v="12"/>
    <n v="1"/>
  </r>
  <r>
    <n v="620301106081"/>
    <s v="Embe / Mango Juice Drink"/>
    <x v="3"/>
    <x v="268"/>
    <s v="TZ"/>
    <s v="BAKHRESA GROUP DIVISIONS"/>
    <x v="7"/>
    <n v="26"/>
  </r>
  <r>
    <n v="6203011060856"/>
    <s v="Carbonated Soft Drink"/>
    <x v="3"/>
    <x v="127"/>
    <s v="GB"/>
    <s v="Nichols plc"/>
    <x v="7"/>
    <n v="28"/>
  </r>
  <r>
    <n v="6203011060894"/>
    <s v="Fursana Carbonated Soft Drink"/>
    <x v="3"/>
    <x v="268"/>
    <s v="TZ"/>
    <s v="BAKHRESA GROUP DIVISIONS"/>
    <x v="7"/>
    <n v="228"/>
  </r>
  <r>
    <n v="6203011061082"/>
    <s v="Mango fruit juice drink"/>
    <x v="2"/>
    <x v="943"/>
    <s v="TZ"/>
    <s v="BAKHRESA GROUP DIVISIONS"/>
    <x v="7"/>
    <n v="5"/>
  </r>
  <r>
    <n v="6203011061273"/>
    <s v="Mini Ballccone Toffee"/>
    <x v="215"/>
    <x v="268"/>
    <s v="TZ"/>
    <s v="BAKHRESA GROUP DIVISIONS"/>
    <x v="7"/>
    <n v="3"/>
  </r>
  <r>
    <n v="6203011061327"/>
    <s v="Embe Fruit juice"/>
    <x v="0"/>
    <x v="268"/>
    <s v="TZ"/>
    <s v="BAKHRESA GROUP DIVISIONS"/>
    <x v="3"/>
    <n v="44"/>
  </r>
  <r>
    <n v="6203011061327"/>
    <s v="Embe Fruit juice"/>
    <x v="0"/>
    <x v="268"/>
    <s v="TZ"/>
    <s v="BAKHRESA GROUP DIVISIONS"/>
    <x v="12"/>
    <n v="26"/>
  </r>
  <r>
    <n v="6203011061327"/>
    <s v="Embe Fruit juice"/>
    <x v="0"/>
    <x v="268"/>
    <s v="TZ"/>
    <s v="BAKHRESA GROUP DIVISIONS"/>
    <x v="7"/>
    <n v="215"/>
  </r>
  <r>
    <n v="6203011061341"/>
    <s v="Ukwaju Ice lolly"/>
    <x v="265"/>
    <x v="268"/>
    <s v="TZ"/>
    <s v="BAKHRESA GROUP DIVISIONS"/>
    <x v="7"/>
    <n v="255"/>
  </r>
  <r>
    <n v="6203011061358"/>
    <s v="Fruit Juice Drink"/>
    <x v="120"/>
    <x v="944"/>
    <s v="TZ"/>
    <s v="BAKHRESA GROUP DIVISIONS"/>
    <x v="12"/>
    <n v="1"/>
  </r>
  <r>
    <n v="6203011061358"/>
    <s v="Fruit Juice Drink"/>
    <x v="120"/>
    <x v="944"/>
    <s v="TZ"/>
    <s v="BAKHRESA GROUP DIVISIONS"/>
    <x v="7"/>
    <n v="79"/>
  </r>
  <r>
    <n v="6203011061365"/>
    <s v="Ukwaju"/>
    <x v="3"/>
    <x v="268"/>
    <s v="TZ"/>
    <s v="BAKHRESA GROUP DIVISIONS"/>
    <x v="3"/>
    <n v="290"/>
  </r>
  <r>
    <n v="6203011061365"/>
    <s v="Ukwaju"/>
    <x v="3"/>
    <x v="268"/>
    <s v="TZ"/>
    <s v="BAKHRESA GROUP DIVISIONS"/>
    <x v="4"/>
    <n v="48"/>
  </r>
  <r>
    <n v="6203011061365"/>
    <s v="Ukwaju"/>
    <x v="3"/>
    <x v="268"/>
    <s v="TZ"/>
    <s v="BAKHRESA GROUP DIVISIONS"/>
    <x v="7"/>
    <n v="122"/>
  </r>
  <r>
    <n v="6203011061365"/>
    <s v="Ukwaju"/>
    <x v="3"/>
    <x v="268"/>
    <s v="TZ"/>
    <s v="BAKHRESA GROUP DIVISIONS"/>
    <x v="5"/>
    <n v="76"/>
  </r>
  <r>
    <n v="6203011061365"/>
    <s v="Ukwaju"/>
    <x v="3"/>
    <x v="268"/>
    <s v="TZ"/>
    <s v="BAKHRESA GROUP DIVISIONS"/>
    <x v="15"/>
    <n v="1"/>
  </r>
  <r>
    <n v="6203011061457"/>
    <s v="Fursana Berry Flavoured"/>
    <x v="3"/>
    <x v="268"/>
    <s v="TZ"/>
    <s v="BAKHRESA GROUP DIVISIONS"/>
    <x v="10"/>
    <n v="52"/>
  </r>
  <r>
    <n v="6203011061457"/>
    <s v="Fursana Berry Flavoured"/>
    <x v="3"/>
    <x v="268"/>
    <s v="TZ"/>
    <s v="BAKHRESA GROUP DIVISIONS"/>
    <x v="12"/>
    <n v="1"/>
  </r>
  <r>
    <n v="6203011061457"/>
    <s v="Fursana Berry Flavoured"/>
    <x v="3"/>
    <x v="268"/>
    <s v="TZ"/>
    <s v="BAKHRESA GROUP DIVISIONS"/>
    <x v="7"/>
    <n v="205"/>
  </r>
  <r>
    <n v="6203011061464"/>
    <s v="Swiss Carbonated Beverage"/>
    <x v="3"/>
    <x v="268"/>
    <s v="TZ"/>
    <s v="BAKHRESA GROUP DIVISIONS"/>
    <x v="7"/>
    <n v="2"/>
  </r>
  <r>
    <n v="6203011061570"/>
    <s v="Ginger Flauvoured"/>
    <x v="3"/>
    <x v="824"/>
    <s v="UK"/>
    <s v="UNKNOWN_ORG"/>
    <x v="4"/>
    <n v="2"/>
  </r>
  <r>
    <n v="6203011061662"/>
    <s v="Mini Ballcone Vanilia Flavoured Ice Cream"/>
    <x v="215"/>
    <x v="268"/>
    <s v="TZ"/>
    <s v="BAKHRESA GROUP DIVISIONS"/>
    <x v="7"/>
    <n v="200"/>
  </r>
  <r>
    <n v="6203011061716"/>
    <s v="Ukwaju Tamarind Juice Drink"/>
    <x v="0"/>
    <x v="268"/>
    <s v="TZ"/>
    <s v="BAKHRESA GROUP DIVISIONS"/>
    <x v="3"/>
    <n v="21"/>
  </r>
  <r>
    <n v="6203011061716"/>
    <s v="Ukwaju Tamarind Juice Drink"/>
    <x v="0"/>
    <x v="268"/>
    <s v="TZ"/>
    <s v="BAKHRESA GROUP DIVISIONS"/>
    <x v="7"/>
    <n v="94"/>
  </r>
  <r>
    <n v="6203011061716"/>
    <s v="Ukwaju Tamarind Juice Drink"/>
    <x v="0"/>
    <x v="268"/>
    <s v="TZ"/>
    <s v="BAKHRESA GROUP DIVISIONS"/>
    <x v="5"/>
    <n v="2"/>
  </r>
  <r>
    <n v="6203011061716"/>
    <s v="Ukwaju Tamarind Juice Drink"/>
    <x v="0"/>
    <x v="268"/>
    <s v="TZ"/>
    <s v="BAKHRESA GROUP DIVISIONS"/>
    <x v="15"/>
    <n v="2"/>
  </r>
  <r>
    <n v="6203011061747"/>
    <s v="Ubuyu / Baobab Fruit Drink"/>
    <x v="3"/>
    <x v="268"/>
    <s v="TZ"/>
    <s v="BAKHRESA GROUP DIVISIONS"/>
    <x v="7"/>
    <n v="14"/>
  </r>
  <r>
    <n v="6203011061747"/>
    <s v="Ubuyu / Baobab Fruit Drink"/>
    <x v="3"/>
    <x v="268"/>
    <s v="TZ"/>
    <s v="BAKHRESA GROUP DIVISIONS"/>
    <x v="5"/>
    <n v="5"/>
  </r>
  <r>
    <n v="6203011061792"/>
    <s v="Strawberry Sherbet Milk Bar"/>
    <x v="265"/>
    <x v="268"/>
    <s v="TZ"/>
    <s v="BAKHRESA GROUP DIVISIONS"/>
    <x v="7"/>
    <n v="296"/>
  </r>
  <r>
    <n v="6203011061839"/>
    <s v="Carbonated Soft Drink"/>
    <x v="3"/>
    <x v="268"/>
    <s v="TZ"/>
    <s v="BAKHRESA GROUP DIVISIONS"/>
    <x v="7"/>
    <n v="212"/>
  </r>
  <r>
    <n v="6203011061846"/>
    <s v="Cola"/>
    <x v="0"/>
    <x v="268"/>
    <s v="TZ"/>
    <s v="BAKHRESA GROUP DIVISIONS"/>
    <x v="7"/>
    <n v="163"/>
  </r>
  <r>
    <n v="6203011061853"/>
    <s v="Embe Flavoured Drink"/>
    <x v="14"/>
    <x v="112"/>
    <s v="US"/>
    <s v="Coca-Cola"/>
    <x v="7"/>
    <n v="139"/>
  </r>
  <r>
    <n v="6203011061877"/>
    <s v="StarBix Biscuit"/>
    <x v="17"/>
    <x v="268"/>
    <s v="TZ"/>
    <s v="BAKHRESA GROUP DIVISIONS"/>
    <x v="7"/>
    <n v="5"/>
  </r>
  <r>
    <n v="6203011061884"/>
    <s v="Coco Plus Soft  Drink"/>
    <x v="120"/>
    <x v="268"/>
    <s v="TZ"/>
    <s v="BAKHRESA GROUP DIVISIONS"/>
    <x v="7"/>
    <n v="22"/>
  </r>
  <r>
    <n v="6203011061938"/>
    <s v="kahawa milk bar"/>
    <x v="265"/>
    <x v="268"/>
    <s v="TZ"/>
    <s v="BAKHRESA GROUP DIVISIONS"/>
    <x v="7"/>
    <n v="31"/>
  </r>
  <r>
    <n v="6203011670093"/>
    <s v="Iodated editable table salt"/>
    <x v="4"/>
    <x v="945"/>
    <s v="TZ"/>
    <s v="Neelkanth Group Africa"/>
    <x v="7"/>
    <n v="8"/>
  </r>
  <r>
    <n v="6203011910014"/>
    <s v="sky drops drinking water"/>
    <x v="176"/>
    <x v="946"/>
    <s v="TZ"/>
    <s v="Sky Drop"/>
    <x v="7"/>
    <n v="7"/>
  </r>
  <r>
    <n v="6203011910014"/>
    <s v="sky drops drinking water"/>
    <x v="176"/>
    <x v="946"/>
    <s v="TZ"/>
    <s v="Sky Drop"/>
    <x v="5"/>
    <n v="1"/>
  </r>
  <r>
    <n v="6203011990047"/>
    <s v="Drink Dance Gin"/>
    <x v="32"/>
    <x v="947"/>
    <s v="TZ"/>
    <s v="Prime Care Distilleries Ltd"/>
    <x v="12"/>
    <n v="8"/>
  </r>
  <r>
    <n v="6203011990047"/>
    <s v="Drink Dance Gin"/>
    <x v="32"/>
    <x v="947"/>
    <s v="TZ"/>
    <s v="Prime Care Distilleries Ltd"/>
    <x v="7"/>
    <n v="1155"/>
  </r>
  <r>
    <n v="6203012300005"/>
    <s v="Pure Drinking Water"/>
    <x v="13"/>
    <x v="948"/>
    <s v="TZ"/>
    <s v="METL Group"/>
    <x v="7"/>
    <n v="291"/>
  </r>
  <r>
    <n v="6203012300029"/>
    <s v="Chungwa"/>
    <x v="14"/>
    <x v="90"/>
    <s v="TZ"/>
    <s v="METL Group"/>
    <x v="7"/>
    <n v="428"/>
  </r>
  <r>
    <n v="6203012300036"/>
    <s v="Carbonated Soft Drink"/>
    <x v="111"/>
    <x v="949"/>
    <s v="TZ"/>
    <s v="METL Group"/>
    <x v="7"/>
    <n v="71"/>
  </r>
  <r>
    <n v="6203012300043"/>
    <s v="Passion Flavour Carbonated Drink"/>
    <x v="14"/>
    <x v="90"/>
    <s v="TZ"/>
    <s v="METL Group"/>
    <x v="7"/>
    <n v="500"/>
  </r>
  <r>
    <n v="6203012300074"/>
    <s v="Pineapple Flavoured Carbonated Soft Drink"/>
    <x v="14"/>
    <x v="90"/>
    <s v="TZ"/>
    <s v="METL Group"/>
    <x v="7"/>
    <n v="244"/>
  </r>
  <r>
    <n v="6203012300180"/>
    <s v="Pure Drinking Water"/>
    <x v="0"/>
    <x v="948"/>
    <s v="TZ"/>
    <s v="METL Group"/>
    <x v="7"/>
    <n v="27"/>
  </r>
  <r>
    <n v="6203012300197"/>
    <s v="Pure Drinking Water"/>
    <x v="332"/>
    <x v="948"/>
    <s v="TZ"/>
    <s v="METL Group"/>
    <x v="7"/>
    <n v="28"/>
  </r>
  <r>
    <n v="6203012300210"/>
    <s v="Pure Drinking Water"/>
    <x v="23"/>
    <x v="950"/>
    <s v="TZ"/>
    <s v="METL Group"/>
    <x v="7"/>
    <n v="146"/>
  </r>
  <r>
    <n v="6203012300227"/>
    <s v="Drinking Water"/>
    <x v="35"/>
    <x v="948"/>
    <s v="TZ"/>
    <s v="METL Group"/>
    <x v="7"/>
    <n v="265"/>
  </r>
  <r>
    <n v="6203012300364"/>
    <s v="Pride Blackcurrant Flavored Drink"/>
    <x v="2"/>
    <x v="90"/>
    <s v="TZ"/>
    <s v="METL Group"/>
    <x v="7"/>
    <n v="98"/>
  </r>
  <r>
    <n v="6203012300388"/>
    <s v="Orange Flavoured Drink"/>
    <x v="2"/>
    <x v="951"/>
    <s v="TZ"/>
    <s v="METL Group"/>
    <x v="7"/>
    <n v="143"/>
  </r>
  <r>
    <n v="6203012300395"/>
    <s v="Chungwa / Orange Carbonated Flavoured Soft Drink"/>
    <x v="152"/>
    <x v="90"/>
    <s v="TZ"/>
    <s v="METL Group"/>
    <x v="7"/>
    <n v="145"/>
  </r>
  <r>
    <n v="6203012300418"/>
    <s v="Portello Blackcurrant Flavoured Soft Drink"/>
    <x v="152"/>
    <x v="90"/>
    <s v="TZ"/>
    <s v="METL Group"/>
    <x v="7"/>
    <n v="5"/>
  </r>
  <r>
    <n v="6203012300456"/>
    <s v="Pineapple Flavoured Carbonated soft drink"/>
    <x v="152"/>
    <x v="90"/>
    <s v="TZ"/>
    <s v="METL Group"/>
    <x v="7"/>
    <n v="50"/>
  </r>
  <r>
    <n v="6203012300500"/>
    <s v="pure drinking water"/>
    <x v="333"/>
    <x v="948"/>
    <s v="TZ"/>
    <s v="METL Group"/>
    <x v="7"/>
    <n v="3"/>
  </r>
  <r>
    <n v="6203012300517"/>
    <s v="Vanilla Cola"/>
    <x v="14"/>
    <x v="90"/>
    <s v="TZ"/>
    <s v="METL Group"/>
    <x v="7"/>
    <n v="104"/>
  </r>
  <r>
    <n v="6203012300548"/>
    <s v="Xtra Carbonated Drink"/>
    <x v="14"/>
    <x v="90"/>
    <s v="TZ"/>
    <s v="METL Group"/>
    <x v="7"/>
    <n v="1041"/>
  </r>
  <r>
    <n v="6203012300579"/>
    <s v="Mo Xtra"/>
    <x v="152"/>
    <x v="90"/>
    <s v="TZ"/>
    <s v="METL Group"/>
    <x v="7"/>
    <n v="166"/>
  </r>
  <r>
    <n v="6203012300593"/>
    <s v="Pride fresh"/>
    <x v="245"/>
    <x v="951"/>
    <s v="TZ"/>
    <s v="METL Group"/>
    <x v="7"/>
    <n v="2"/>
  </r>
  <r>
    <n v="6203012300630"/>
    <s v="Pure Drinking Water"/>
    <x v="35"/>
    <x v="948"/>
    <s v="TZ"/>
    <s v="METL Group"/>
    <x v="7"/>
    <n v="380"/>
  </r>
  <r>
    <n v="6203012300876"/>
    <s v="Pride cocktail flavour drink"/>
    <x v="61"/>
    <x v="90"/>
    <s v="TZ"/>
    <s v="METL Group"/>
    <x v="7"/>
    <n v="54"/>
  </r>
  <r>
    <n v="6203012300920"/>
    <s v="Lemon Flavored Carbonated Soft Drink"/>
    <x v="152"/>
    <x v="90"/>
    <s v="TZ"/>
    <s v="METL Group"/>
    <x v="7"/>
    <n v="10"/>
  </r>
  <r>
    <n v="6203012300937"/>
    <s v="Malt Flavoured"/>
    <x v="111"/>
    <x v="90"/>
    <s v="TZ"/>
    <s v="METL Group"/>
    <x v="7"/>
    <n v="219"/>
  </r>
  <r>
    <n v="6203012301323"/>
    <s v="Cola"/>
    <x v="14"/>
    <x v="90"/>
    <s v="TZ"/>
    <s v="METL Group"/>
    <x v="7"/>
    <n v="35"/>
  </r>
  <r>
    <n v="6203012301446"/>
    <s v="Pure drinking water"/>
    <x v="143"/>
    <x v="948"/>
    <s v="TZ"/>
    <s v="METL Group"/>
    <x v="7"/>
    <n v="6"/>
  </r>
  <r>
    <n v="6203012960230"/>
    <s v="Axcella Engine Oil for Petrol Engines"/>
    <x v="13"/>
    <x v="952"/>
    <s v="MT"/>
    <s v="The Addax &amp; Oryx Group Plc (AOG)"/>
    <x v="7"/>
    <n v="30"/>
  </r>
  <r>
    <n v="6203012970093"/>
    <s v="Washing Powder"/>
    <x v="4"/>
    <x v="239"/>
    <s v="CN"/>
    <s v="Sunda International"/>
    <x v="7"/>
    <n v="9"/>
  </r>
  <r>
    <n v="6203012970222"/>
    <s v="kleesoft washing powder"/>
    <x v="238"/>
    <x v="239"/>
    <s v="CN"/>
    <s v="Sunda International"/>
    <x v="7"/>
    <n v="1"/>
  </r>
  <r>
    <n v="6203012970345"/>
    <s v="Doffi"/>
    <x v="4"/>
    <x v="953"/>
    <s v="CN"/>
    <s v="Sunda International"/>
    <x v="7"/>
    <n v="28"/>
  </r>
  <r>
    <n v="6203012970499"/>
    <s v="Doffi"/>
    <x v="4"/>
    <x v="953"/>
    <s v="CN"/>
    <s v="Sunda International"/>
    <x v="7"/>
    <n v="24"/>
  </r>
  <r>
    <n v="6203012970710"/>
    <s v="Washing Powder"/>
    <x v="0"/>
    <x v="239"/>
    <s v="CN"/>
    <s v="Sunda International"/>
    <x v="7"/>
    <n v="10"/>
  </r>
  <r>
    <n v="6203012970857"/>
    <s v="locksScent"/>
    <x v="10"/>
    <x v="239"/>
    <s v="CN"/>
    <s v="Sunda International"/>
    <x v="7"/>
    <n v="13"/>
  </r>
  <r>
    <n v="6203013230004"/>
    <s v="Mineral Water"/>
    <x v="35"/>
    <x v="233"/>
    <s v="TZ"/>
    <s v="Drop of Zanzibar Limited"/>
    <x v="7"/>
    <n v="2034"/>
  </r>
  <r>
    <n v="6203013230011"/>
    <s v="Best drinking water"/>
    <x v="0"/>
    <x v="233"/>
    <s v="TZ"/>
    <s v="Drop of Zanzibar Limited"/>
    <x v="4"/>
    <n v="1"/>
  </r>
  <r>
    <n v="6203013230011"/>
    <s v="Best drinking water"/>
    <x v="0"/>
    <x v="233"/>
    <s v="TZ"/>
    <s v="Drop of Zanzibar Limited"/>
    <x v="7"/>
    <n v="701"/>
  </r>
  <r>
    <n v="6203013230028"/>
    <s v="Drop of Zanzibar"/>
    <x v="93"/>
    <x v="233"/>
    <s v="TZ"/>
    <s v="Drop of Zanzibar Limited"/>
    <x v="7"/>
    <n v="180"/>
  </r>
  <r>
    <n v="6203013471629"/>
    <s v="Fruit flavoured Carbonated soft Drink"/>
    <x v="111"/>
    <x v="954"/>
    <s v="TZ"/>
    <s v="Sayona Drink Limited"/>
    <x v="7"/>
    <n v="1"/>
  </r>
  <r>
    <n v="6203013471667"/>
    <s v="Apple Malto Soft Drink"/>
    <x v="3"/>
    <x v="267"/>
    <s v="TZ"/>
    <s v="Motisun Group"/>
    <x v="12"/>
    <n v="6"/>
  </r>
  <r>
    <n v="6203013770005"/>
    <s v="Mineral Water"/>
    <x v="0"/>
    <x v="92"/>
    <s v="TZ"/>
    <s v="Hill Group"/>
    <x v="7"/>
    <n v="206"/>
  </r>
  <r>
    <n v="6203013770012"/>
    <s v="Pure Drinking Water"/>
    <x v="13"/>
    <x v="92"/>
    <s v="TZ"/>
    <s v="Hill Group"/>
    <x v="31"/>
    <n v="1"/>
  </r>
  <r>
    <n v="6203013770012"/>
    <s v="Pure Drinking Water"/>
    <x v="13"/>
    <x v="92"/>
    <s v="TZ"/>
    <s v="Hill Group"/>
    <x v="7"/>
    <n v="1271"/>
  </r>
  <r>
    <n v="6203013770029"/>
    <s v="Mineral water"/>
    <x v="35"/>
    <x v="92"/>
    <s v="TZ"/>
    <s v="Hill Group"/>
    <x v="7"/>
    <n v="105"/>
  </r>
  <r>
    <n v="6203013770043"/>
    <s v="Hill water"/>
    <x v="333"/>
    <x v="92"/>
    <s v="TZ"/>
    <s v="Hill Group"/>
    <x v="7"/>
    <n v="56"/>
  </r>
  <r>
    <n v="6203013770050"/>
    <s v="pure drinking water"/>
    <x v="330"/>
    <x v="92"/>
    <s v="TZ"/>
    <s v="Hill Group"/>
    <x v="7"/>
    <n v="3"/>
  </r>
  <r>
    <n v="6203013770067"/>
    <s v="Hill Defender Energy drink"/>
    <x v="14"/>
    <x v="955"/>
    <s v="TZ"/>
    <s v="Hill Group"/>
    <x v="7"/>
    <n v="17"/>
  </r>
  <r>
    <n v="6203014960115"/>
    <s v="Potable Spirit with Pineapple flavour"/>
    <x v="2"/>
    <x v="956"/>
    <s v="TZ"/>
    <s v="East African Spirits (T) Ltd"/>
    <x v="7"/>
    <n v="8"/>
  </r>
  <r>
    <n v="6203015450011"/>
    <s v="Pure drinking water"/>
    <x v="0"/>
    <x v="957"/>
    <s v="TZ"/>
    <s v="Zanzibar Overseas Services Ltd"/>
    <x v="7"/>
    <n v="9"/>
  </r>
  <r>
    <n v="6203015450028"/>
    <s v="Pure drinking water"/>
    <x v="35"/>
    <x v="957"/>
    <s v="TZ"/>
    <s v="Zanzibar Overseas Services Ltd"/>
    <x v="7"/>
    <n v="361"/>
  </r>
  <r>
    <n v="6203015450042"/>
    <s v="Zanzibar Pure Drinking Water"/>
    <x v="110"/>
    <x v="957"/>
    <s v="TZ"/>
    <s v="Zanzibar Overseas Services Ltd"/>
    <x v="7"/>
    <n v="50"/>
  </r>
  <r>
    <n v="6203015760233"/>
    <s v="Mtindi"/>
    <x v="0"/>
    <x v="100"/>
    <s v="US"/>
    <s v="Coca-Cola"/>
    <x v="7"/>
    <n v="4"/>
  </r>
  <r>
    <n v="6203016100007"/>
    <s v="Cuca Vodka"/>
    <x v="2"/>
    <x v="958"/>
    <s v="TZ"/>
    <s v="John Beverages (T) Limited"/>
    <x v="4"/>
    <n v="6"/>
  </r>
  <r>
    <n v="6203016100007"/>
    <s v="Cuca Vodka"/>
    <x v="2"/>
    <x v="958"/>
    <s v="TZ"/>
    <s v="John Beverages (T) Limited"/>
    <x v="7"/>
    <n v="44"/>
  </r>
  <r>
    <n v="6203016100007"/>
    <s v="Cuca Vodka"/>
    <x v="2"/>
    <x v="958"/>
    <s v="TZ"/>
    <s v="John Beverages (T) Limited"/>
    <x v="5"/>
    <n v="17"/>
  </r>
  <r>
    <n v="6203016120036"/>
    <s v="mtindi Pasteurized &amp; Homogenized"/>
    <x v="0"/>
    <x v="274"/>
    <s v="TZ"/>
    <s v="Asas Group of companies"/>
    <x v="7"/>
    <n v="2"/>
  </r>
  <r>
    <n v="6203016120050"/>
    <s v="Yoghurt strawberry flavour"/>
    <x v="155"/>
    <x v="585"/>
    <s v="TZ"/>
    <s v="Asas Group of companies"/>
    <x v="7"/>
    <n v="6"/>
  </r>
  <r>
    <n v="6203016120067"/>
    <s v="Vanilla Yoghurt"/>
    <x v="155"/>
    <x v="585"/>
    <s v="TZ"/>
    <s v="Asas Group of companies"/>
    <x v="7"/>
    <n v="18"/>
  </r>
  <r>
    <n v="6203016120067"/>
    <s v="Vanilla Yoghurt"/>
    <x v="155"/>
    <x v="585"/>
    <s v="TZ"/>
    <s v="Asas Group of companies"/>
    <x v="5"/>
    <n v="1"/>
  </r>
  <r>
    <n v="6203016120081"/>
    <s v="Yoghurt pineapple flavour"/>
    <x v="155"/>
    <x v="585"/>
    <s v="TZ"/>
    <s v="Asas Group of companies"/>
    <x v="7"/>
    <n v="2"/>
  </r>
  <r>
    <n v="6203016120104"/>
    <s v="Plain Yoghurt"/>
    <x v="155"/>
    <x v="274"/>
    <s v="TZ"/>
    <s v="Asas Group of companies"/>
    <x v="7"/>
    <n v="2"/>
  </r>
  <r>
    <n v="6203016120142"/>
    <s v="Vanilla yoghurt drink"/>
    <x v="66"/>
    <x v="274"/>
    <s v="TZ"/>
    <s v="Asas Group of companies"/>
    <x v="7"/>
    <n v="1"/>
  </r>
  <r>
    <n v="6203016660006"/>
    <s v="Natural Spring Drinking Water"/>
    <x v="113"/>
    <x v="959"/>
    <s v="TZ"/>
    <s v="JHALULA NOLE"/>
    <x v="7"/>
    <n v="21"/>
  </r>
  <r>
    <n v="6203016870016"/>
    <s v="Drinking Water"/>
    <x v="0"/>
    <x v="713"/>
    <s v="TZ"/>
    <s v="Ice Drop Co Ltd."/>
    <x v="7"/>
    <n v="74"/>
  </r>
  <r>
    <n v="6203016870023"/>
    <s v="Drinking Water"/>
    <x v="13"/>
    <x v="713"/>
    <s v="TZ"/>
    <s v="Ice Drop Co Ltd."/>
    <x v="7"/>
    <n v="46"/>
  </r>
  <r>
    <n v="6203016870030"/>
    <s v="Drinking Water"/>
    <x v="113"/>
    <x v="91"/>
    <s v="TZ"/>
    <s v="Dew Drop Drinks Co.Ltd"/>
    <x v="7"/>
    <n v="10"/>
  </r>
  <r>
    <n v="6203017590364"/>
    <s v="Hand Care Liquid Soap"/>
    <x v="0"/>
    <x v="375"/>
    <s v="UK"/>
    <s v="UNKNOWN_ORG"/>
    <x v="7"/>
    <n v="2"/>
  </r>
  <r>
    <n v="6203017920017"/>
    <s v="Drinking Water"/>
    <x v="154"/>
    <x v="960"/>
    <s v="CD"/>
    <s v="Tanganyika Maendeleo Sarl"/>
    <x v="10"/>
    <n v="50"/>
  </r>
  <r>
    <n v="6203018120027"/>
    <s v="Drinking water"/>
    <x v="112"/>
    <x v="961"/>
    <s v="TZ"/>
    <s v="Canada Pure Water Company Ltd"/>
    <x v="10"/>
    <n v="45"/>
  </r>
  <r>
    <n v="6203018120027"/>
    <s v="Drinking water"/>
    <x v="112"/>
    <x v="961"/>
    <s v="TZ"/>
    <s v="Canada Pure Water Company Ltd"/>
    <x v="7"/>
    <n v="276"/>
  </r>
  <r>
    <n v="6203018120027"/>
    <s v="Drinking water"/>
    <x v="112"/>
    <x v="961"/>
    <s v="TZ"/>
    <s v="Canada Pure Water Company Ltd"/>
    <x v="5"/>
    <n v="81"/>
  </r>
  <r>
    <n v="6203018220079"/>
    <s v="Malto Malt &amp; Pineapple Flavor"/>
    <x v="14"/>
    <x v="881"/>
    <s v="KE"/>
    <s v="Brava Food Industries Ltd"/>
    <x v="7"/>
    <n v="51"/>
  </r>
  <r>
    <n v="6203018220123"/>
    <s v="Mo Xtra Energy"/>
    <x v="141"/>
    <x v="90"/>
    <s v="TZ"/>
    <s v="METL Group"/>
    <x v="7"/>
    <n v="1111"/>
  </r>
  <r>
    <n v="6203018220130"/>
    <s v="Extra Berry Flavor Carbonated Soft Drink"/>
    <x v="14"/>
    <x v="90"/>
    <s v="TZ"/>
    <s v="METL Group"/>
    <x v="7"/>
    <n v="5654"/>
  </r>
  <r>
    <n v="6203018220130"/>
    <s v="Extra Berry Flavor Carbonated Soft Drink"/>
    <x v="14"/>
    <x v="90"/>
    <s v="TZ"/>
    <s v="METL Group"/>
    <x v="5"/>
    <n v="1"/>
  </r>
  <r>
    <n v="6203018220154"/>
    <s v="Malto Malt &amp; Pineapple Flavor"/>
    <x v="152"/>
    <x v="881"/>
    <s v="KE"/>
    <s v="Brava Food Industries Ltd"/>
    <x v="7"/>
    <n v="21"/>
  </r>
  <r>
    <n v="6203018220420"/>
    <s v="Berry-Flavoured Carbonated Soft Drink"/>
    <x v="14"/>
    <x v="16"/>
    <s v="TZ"/>
    <s v="METL Group"/>
    <x v="7"/>
    <n v="56"/>
  </r>
  <r>
    <n v="6203018220505"/>
    <s v="Black Cararant Flavored Cabonated soft Drink"/>
    <x v="334"/>
    <x v="949"/>
    <s v="TZ"/>
    <s v="METL Group"/>
    <x v="7"/>
    <n v="1"/>
  </r>
  <r>
    <n v="6203018220529"/>
    <s v="Pinapple Flavoured Carbonated soft drink"/>
    <x v="3"/>
    <x v="90"/>
    <s v="TZ"/>
    <s v="METL Group"/>
    <x v="7"/>
    <n v="2"/>
  </r>
  <r>
    <n v="6203018220550"/>
    <s v="mo chungwa"/>
    <x v="3"/>
    <x v="90"/>
    <s v="TZ"/>
    <s v="METL Group"/>
    <x v="7"/>
    <n v="12"/>
  </r>
  <r>
    <n v="6203018220567"/>
    <s v="Flavoured Carbonated Soft Drink"/>
    <x v="3"/>
    <x v="90"/>
    <s v="TZ"/>
    <s v="METL Group"/>
    <x v="7"/>
    <n v="3"/>
  </r>
  <r>
    <n v="6203018220574"/>
    <s v="Malta &amp; pineapple flavour carbonated soft drink"/>
    <x v="3"/>
    <x v="90"/>
    <s v="TZ"/>
    <s v="METL Group"/>
    <x v="7"/>
    <n v="4"/>
  </r>
  <r>
    <n v="6203018460093"/>
    <s v="Niceone 2× Power Smart Clean"/>
    <x v="64"/>
    <x v="962"/>
    <s v="UK"/>
    <s v="UNKNOWN_ORG"/>
    <x v="7"/>
    <n v="45"/>
  </r>
  <r>
    <n v="6203018460109"/>
    <s v="Washing Powder 2 × Power Clean"/>
    <x v="4"/>
    <x v="962"/>
    <s v="UK"/>
    <s v="UNKNOWN_ORG"/>
    <x v="7"/>
    <n v="19"/>
  </r>
  <r>
    <n v="6203018460314"/>
    <s v="Washing Powder 2×Power Clean"/>
    <x v="122"/>
    <x v="962"/>
    <s v="UK"/>
    <s v="UNKNOWN_ORG"/>
    <x v="7"/>
    <n v="6"/>
  </r>
  <r>
    <n v="6203018460697"/>
    <s v="2x Power smart Clean"/>
    <x v="64"/>
    <x v="962"/>
    <s v="UK"/>
    <s v="UNKNOWN_ORG"/>
    <x v="7"/>
    <n v="1"/>
  </r>
  <r>
    <n v="6203022190009"/>
    <s v="nyanyua Ushindi"/>
    <x v="120"/>
    <x v="824"/>
    <s v="UK"/>
    <s v="UNKNOWN_ORG"/>
    <x v="7"/>
    <n v="4"/>
  </r>
  <r>
    <n v="6203022840003"/>
    <s v="Pure Drinking Water"/>
    <x v="23"/>
    <x v="963"/>
    <s v="UK"/>
    <s v="UNKNOWN_ORG"/>
    <x v="12"/>
    <n v="1"/>
  </r>
  <r>
    <n v="6203022840003"/>
    <s v="Pure Drinking Water"/>
    <x v="23"/>
    <x v="963"/>
    <s v="UK"/>
    <s v="UNKNOWN_ORG"/>
    <x v="7"/>
    <n v="8"/>
  </r>
  <r>
    <n v="6203022840003"/>
    <s v="Pure Drinking Water"/>
    <x v="23"/>
    <x v="963"/>
    <s v="UK"/>
    <s v="UNKNOWN_ORG"/>
    <x v="5"/>
    <n v="4"/>
  </r>
  <r>
    <n v="6203022840010"/>
    <s v="Ishi Pure drinking water"/>
    <x v="335"/>
    <x v="963"/>
    <s v="UK"/>
    <s v="UNKNOWN_ORG"/>
    <x v="7"/>
    <n v="3"/>
  </r>
  <r>
    <n v="6203023810005"/>
    <s v="Maji ya Furaha"/>
    <x v="336"/>
    <x v="926"/>
    <s v="UK"/>
    <s v="UNKNOWN_ORG"/>
    <x v="7"/>
    <n v="57"/>
  </r>
  <r>
    <n v="6203023810012"/>
    <s v="MAJI HALISI"/>
    <x v="154"/>
    <x v="926"/>
    <s v="UK"/>
    <s v="UNKNOWN_ORG"/>
    <x v="7"/>
    <n v="13"/>
  </r>
  <r>
    <n v="6203024500004"/>
    <s v="Spring Water"/>
    <x v="0"/>
    <x v="964"/>
    <s v="TZ"/>
    <s v="Alliance Investment (T) Ltd"/>
    <x v="7"/>
    <n v="15"/>
  </r>
  <r>
    <n v="6203024500011"/>
    <s v="Spring Water"/>
    <x v="13"/>
    <x v="964"/>
    <s v="TZ"/>
    <s v="Alliance Investment (T) Ltd"/>
    <x v="7"/>
    <n v="15"/>
  </r>
  <r>
    <n v="6203033020104"/>
    <s v="Tuliza Nafsi Water"/>
    <x v="337"/>
    <x v="965"/>
    <s v="TZ"/>
    <s v="Hopaje Ltd"/>
    <x v="7"/>
    <n v="21"/>
  </r>
  <r>
    <n v="6203033020111"/>
    <s v="Jumbo Water"/>
    <x v="332"/>
    <x v="965"/>
    <s v="TZ"/>
    <s v="Hopaje Ltd"/>
    <x v="12"/>
    <n v="2"/>
  </r>
  <r>
    <n v="6203033020111"/>
    <s v="Jumbo Water"/>
    <x v="332"/>
    <x v="965"/>
    <s v="TZ"/>
    <s v="Hopaje Ltd"/>
    <x v="7"/>
    <n v="124"/>
  </r>
  <r>
    <n v="6203036830083"/>
    <s v="pure drinking water"/>
    <x v="143"/>
    <x v="966"/>
    <s v="TZ"/>
    <s v="Agro Fresh Ltd"/>
    <x v="7"/>
    <n v="3"/>
  </r>
  <r>
    <n v="6203036830113"/>
    <s v="Pure Drinking water"/>
    <x v="35"/>
    <x v="966"/>
    <s v="TZ"/>
    <s v="Agro Fresh Ltd"/>
    <x v="7"/>
    <n v="6"/>
  </r>
  <r>
    <n v="6203041740001"/>
    <s v="Bagamoyo Sugar"/>
    <x v="240"/>
    <x v="268"/>
    <s v="TZ"/>
    <s v="BAKHRESA GROUP DIVISIONS"/>
    <x v="7"/>
    <n v="1"/>
  </r>
  <r>
    <n v="6203049500027"/>
    <s v="Lukuga Mineral Water"/>
    <x v="154"/>
    <x v="967"/>
    <s v="UK"/>
    <s v="UNKNOWN_ORG"/>
    <x v="10"/>
    <n v="51"/>
  </r>
  <r>
    <n v="6204000036012"/>
    <s v="K-Vant Spirit"/>
    <x v="55"/>
    <x v="918"/>
    <s v="TZ"/>
    <s v="Mega Beverages Company Co Ltd."/>
    <x v="7"/>
    <n v="9"/>
  </r>
  <r>
    <n v="6204000078012"/>
    <s v="Premium Spirit"/>
    <x v="55"/>
    <x v="918"/>
    <s v="TZ"/>
    <s v="Mega Beverages Company Co Ltd."/>
    <x v="7"/>
    <n v="6"/>
  </r>
  <r>
    <n v="6204000099017"/>
    <s v="Drinking water"/>
    <x v="35"/>
    <x v="968"/>
    <s v="UK"/>
    <s v="UNKNOWN_ORG"/>
    <x v="7"/>
    <n v="22"/>
  </r>
  <r>
    <n v="6204000110002"/>
    <s v="Zenjy Finest Drinking water"/>
    <x v="76"/>
    <x v="969"/>
    <s v="TZ"/>
    <s v="Sky Cola Company Limited"/>
    <x v="7"/>
    <n v="63"/>
  </r>
  <r>
    <n v="6204000110019"/>
    <s v="Finest Drinking Water"/>
    <x v="23"/>
    <x v="969"/>
    <s v="TZ"/>
    <s v="Sky Cola Company Limited"/>
    <x v="7"/>
    <n v="177"/>
  </r>
  <r>
    <n v="6204000110026"/>
    <s v="Finest Drinking Water"/>
    <x v="35"/>
    <x v="969"/>
    <s v="TZ"/>
    <s v="Sky Cola Company Limited"/>
    <x v="7"/>
    <n v="251"/>
  </r>
  <r>
    <n v="6204000307037"/>
    <s v="Gin African Choice"/>
    <x v="2"/>
    <x v="970"/>
    <s v="TZ"/>
    <s v="Derick Global Trading Co."/>
    <x v="7"/>
    <n v="234"/>
  </r>
  <r>
    <n v="6204000347309"/>
    <s v="Drinking water"/>
    <x v="113"/>
    <x v="415"/>
    <s v="UK"/>
    <s v="UNKNOWN_ORG"/>
    <x v="7"/>
    <n v="4"/>
  </r>
  <r>
    <n v="6204000498018"/>
    <s v="pure drinking water"/>
    <x v="0"/>
    <x v="971"/>
    <s v="TZ"/>
    <s v="Precious Drinking Water Ltd"/>
    <x v="7"/>
    <n v="46"/>
  </r>
  <r>
    <n v="621033967506"/>
    <s v="Bottle Green Ginger &amp; Lemongrass"/>
    <x v="0"/>
    <x v="136"/>
    <s v="MZ"/>
    <s v="SK Industries, Lda"/>
    <x v="4"/>
    <n v="70"/>
  </r>
  <r>
    <n v="621033997503"/>
    <s v="Água Crystalina"/>
    <x v="35"/>
    <x v="136"/>
    <s v="MZ"/>
    <s v="SK Industries, Lda"/>
    <x v="4"/>
    <n v="38"/>
  </r>
  <r>
    <n v="6213003351732"/>
    <s v="Twist Spark"/>
    <x v="14"/>
    <x v="267"/>
    <s v="TZ"/>
    <s v="Motisun Group"/>
    <x v="12"/>
    <n v="8"/>
  </r>
  <r>
    <n v="6213003351732"/>
    <s v="Twist Spark"/>
    <x v="14"/>
    <x v="267"/>
    <s v="TZ"/>
    <s v="Motisun Group"/>
    <x v="7"/>
    <n v="25"/>
  </r>
  <r>
    <n v="6222000506014"/>
    <s v="Cholestrol Flush"/>
    <x v="13"/>
    <x v="972"/>
    <s v="GB"/>
    <s v="Nature's Best Herbal"/>
    <x v="12"/>
    <n v="24"/>
  </r>
  <r>
    <n v="6222000506014"/>
    <s v="Cholestrol Flush"/>
    <x v="13"/>
    <x v="972"/>
    <s v="GB"/>
    <s v="Nature's Best Herbal"/>
    <x v="5"/>
    <n v="1"/>
  </r>
  <r>
    <n v="6222000506045"/>
    <s v="sunflower oil"/>
    <x v="338"/>
    <x v="973"/>
    <s v="EG"/>
    <s v="Arma Group"/>
    <x v="12"/>
    <n v="16"/>
  </r>
  <r>
    <n v="6222000506946"/>
    <s v="Sunflower oil"/>
    <x v="11"/>
    <x v="973"/>
    <s v="EG"/>
    <s v="Arma Group"/>
    <x v="4"/>
    <n v="1"/>
  </r>
  <r>
    <n v="6222000506946"/>
    <s v="Sunflower oil"/>
    <x v="11"/>
    <x v="973"/>
    <s v="EG"/>
    <s v="Arma Group"/>
    <x v="12"/>
    <n v="125"/>
  </r>
  <r>
    <n v="6222000512282"/>
    <s v="Cooking oil"/>
    <x v="13"/>
    <x v="973"/>
    <s v="EG"/>
    <s v="Arma Group"/>
    <x v="12"/>
    <n v="6"/>
  </r>
  <r>
    <n v="6222000518345"/>
    <s v="sunflower oil"/>
    <x v="110"/>
    <x v="973"/>
    <s v="EG"/>
    <s v="Arma Group"/>
    <x v="12"/>
    <n v="15"/>
  </r>
  <r>
    <n v="6222000518369"/>
    <s v="Sunflower Oil"/>
    <x v="231"/>
    <x v="618"/>
    <s v="TZ"/>
    <s v="Jambo Group"/>
    <x v="12"/>
    <n v="1"/>
  </r>
  <r>
    <n v="6223001930549"/>
    <s v="Nestlé"/>
    <x v="174"/>
    <x v="39"/>
    <s v="CH"/>
    <s v="Nestlé S.A."/>
    <x v="32"/>
    <n v="5"/>
  </r>
  <r>
    <n v="6224000016401"/>
    <s v="soua bean oil"/>
    <x v="29"/>
    <x v="141"/>
    <s v="UK"/>
    <s v="UNKNOWN_ORG"/>
    <x v="12"/>
    <n v="3"/>
  </r>
  <r>
    <n v="6224000250126"/>
    <s v="This way chocolate drink"/>
    <x v="72"/>
    <x v="974"/>
    <s v="GH"/>
    <s v="Despite Group of Companies"/>
    <x v="6"/>
    <n v="342"/>
  </r>
  <r>
    <n v="6224001143571"/>
    <s v="Oscar Sunflower Oil"/>
    <x v="231"/>
    <x v="975"/>
    <s v="UK"/>
    <s v="UNKNOWN_ORG"/>
    <x v="12"/>
    <n v="5"/>
  </r>
  <r>
    <n v="6224008361503"/>
    <s v="kalisimbi(Sun flower oil)"/>
    <x v="116"/>
    <x v="855"/>
    <s v="EG"/>
    <s v="Marhaba Impex"/>
    <x v="12"/>
    <n v="17"/>
  </r>
  <r>
    <n v="6224009217090"/>
    <s v="shaza Pure Sunflower Oil"/>
    <x v="22"/>
    <x v="976"/>
    <s v="GB"/>
    <s v="SAVCO Vegetable oils"/>
    <x v="12"/>
    <n v="6"/>
  </r>
  <r>
    <n v="6224009697045"/>
    <s v="Oscar Sunflower Oil"/>
    <x v="22"/>
    <x v="975"/>
    <s v="UK"/>
    <s v="UNKNOWN_ORG"/>
    <x v="12"/>
    <n v="2"/>
  </r>
  <r>
    <n v="622687882405"/>
    <s v="Spring Water"/>
    <x v="0"/>
    <x v="41"/>
    <s v="CA"/>
    <s v="Restaurant Brands International, Inc"/>
    <x v="1"/>
    <n v="8"/>
  </r>
  <r>
    <n v="6236000611586"/>
    <s v="Soy Milk"/>
    <x v="232"/>
    <x v="977"/>
    <s v="GH"/>
    <s v="Lan Tianyi Company Limited"/>
    <x v="6"/>
    <n v="51"/>
  </r>
  <r>
    <n v="624573101270"/>
    <s v="Bleach"/>
    <x v="18"/>
    <x v="978"/>
    <s v="US"/>
    <s v="The Clorox Company"/>
    <x v="1"/>
    <n v="1"/>
  </r>
  <r>
    <n v="624573101270"/>
    <s v="Bleach"/>
    <x v="18"/>
    <x v="978"/>
    <s v="US"/>
    <s v="The Clorox Company"/>
    <x v="4"/>
    <n v="100"/>
  </r>
  <r>
    <n v="6253015500018"/>
    <s v="Pure Alkaline Water"/>
    <x v="93"/>
    <x v="979"/>
    <s v="UK"/>
    <s v="UNKNOWN_ORG"/>
    <x v="27"/>
    <n v="4"/>
  </r>
  <r>
    <n v="6253015500223"/>
    <s v="Pure Alkaline Water"/>
    <x v="48"/>
    <x v="979"/>
    <s v="UK"/>
    <s v="UNKNOWN_ORG"/>
    <x v="2"/>
    <n v="3"/>
  </r>
  <r>
    <n v="6253015500223"/>
    <s v="Pure Alkaline Water"/>
    <x v="48"/>
    <x v="979"/>
    <s v="UK"/>
    <s v="UNKNOWN_ORG"/>
    <x v="27"/>
    <n v="2"/>
  </r>
  <r>
    <n v="6253500771411"/>
    <s v="Pineapple Drink"/>
    <x v="22"/>
    <x v="980"/>
    <s v="GH"/>
    <s v="Frutelli Ghana Limited"/>
    <x v="6"/>
    <n v="64"/>
  </r>
  <r>
    <n v="6256712000089"/>
    <s v="Pot water"/>
    <x v="0"/>
    <x v="981"/>
    <s v="UG"/>
    <s v="HARMONY POT WATER LIMITED"/>
    <x v="5"/>
    <n v="29"/>
  </r>
  <r>
    <n v="625671200889"/>
    <s v="Drinking water"/>
    <x v="0"/>
    <x v="981"/>
    <s v="UG"/>
    <s v="HARMONY POT WATER LIMITED"/>
    <x v="5"/>
    <n v="1"/>
  </r>
  <r>
    <n v="626570616665"/>
    <s v="Pure Drinking Water"/>
    <x v="23"/>
    <x v="138"/>
    <s v="TZ"/>
    <s v="Safari Company Ltd"/>
    <x v="7"/>
    <n v="50"/>
  </r>
  <r>
    <n v="626570616672"/>
    <s v="Pure Drinking Water"/>
    <x v="76"/>
    <x v="138"/>
    <s v="TZ"/>
    <s v="Safari Company Ltd"/>
    <x v="7"/>
    <n v="20"/>
  </r>
  <r>
    <n v="626570622444"/>
    <s v="Pure Drinking water"/>
    <x v="35"/>
    <x v="138"/>
    <s v="TZ"/>
    <s v="Safari Company Ltd"/>
    <x v="7"/>
    <n v="63"/>
  </r>
  <r>
    <n v="627098163334"/>
    <s v="Vodka"/>
    <x v="24"/>
    <x v="139"/>
    <s v="CA"/>
    <s v="CANADIAN ICEBERG VODKA CORPORATION"/>
    <x v="1"/>
    <n v="8"/>
  </r>
  <r>
    <n v="6291021210514"/>
    <s v="Drinking Water"/>
    <x v="35"/>
    <x v="982"/>
    <s v="AE"/>
    <s v="Oasis Pure Water"/>
    <x v="4"/>
    <n v="2016"/>
  </r>
  <r>
    <n v="6291026000721"/>
    <s v="gear oil"/>
    <x v="125"/>
    <x v="983"/>
    <s v="AE"/>
    <s v="ADNOC Distribution"/>
    <x v="12"/>
    <n v="24"/>
  </r>
  <r>
    <n v="6291103084132"/>
    <s v="CREAM SODA"/>
    <x v="339"/>
    <x v="984"/>
    <s v="UK"/>
    <s v="UNKNOWN_ORG"/>
    <x v="15"/>
    <n v="2"/>
  </r>
  <r>
    <n v="6291103084712"/>
    <s v="Boisson Énergétique"/>
    <x v="276"/>
    <x v="985"/>
    <s v="UK"/>
    <s v="UNKNOWN_ORG"/>
    <x v="10"/>
    <n v="5"/>
  </r>
  <r>
    <n v="6291103085207"/>
    <s v="Mango boissons fruité"/>
    <x v="276"/>
    <x v="985"/>
    <s v="UK"/>
    <s v="UNKNOWN_ORG"/>
    <x v="10"/>
    <n v="12"/>
  </r>
  <r>
    <n v="6291104001336"/>
    <s v="Flying Insect Killer"/>
    <x v="14"/>
    <x v="986"/>
    <s v="CN"/>
    <s v="Guangdong Dream Fine Daily Chemical Co., Ltd."/>
    <x v="12"/>
    <n v="1"/>
  </r>
  <r>
    <n v="6291104001336"/>
    <s v="Flying Insect Killer"/>
    <x v="14"/>
    <x v="986"/>
    <s v="CN"/>
    <s v="Guangdong Dream Fine Daily Chemical Co., Ltd."/>
    <x v="5"/>
    <n v="7"/>
  </r>
  <r>
    <n v="6291104887343"/>
    <s v="shinex window cleaner"/>
    <x v="209"/>
    <x v="987"/>
    <s v="BD"/>
    <s v="ACI Limited"/>
    <x v="12"/>
    <n v="3"/>
  </r>
  <r>
    <n v="6291104887367"/>
    <s v="Window Cleaner"/>
    <x v="0"/>
    <x v="987"/>
    <s v="BD"/>
    <s v="ACI Limited"/>
    <x v="12"/>
    <n v="5"/>
  </r>
  <r>
    <n v="6291105240734"/>
    <s v="Drinking water"/>
    <x v="113"/>
    <x v="988"/>
    <s v="RW"/>
    <s v="Universal Manufacture Rwanda Ltd"/>
    <x v="12"/>
    <n v="37"/>
  </r>
  <r>
    <n v="6291107817545"/>
    <s v="Wafer Chocolate Flavored Cream"/>
    <x v="239"/>
    <x v="122"/>
    <s v="MZ"/>
    <s v="COGEF Group"/>
    <x v="4"/>
    <n v="4"/>
  </r>
  <r>
    <n v="6297000522005"/>
    <s v="Engine Oil"/>
    <x v="13"/>
    <x v="275"/>
    <s v="FR"/>
    <s v="TotalEnergies SE"/>
    <x v="12"/>
    <n v="7"/>
  </r>
  <r>
    <n v="6299109254825"/>
    <s v="Eau de Table"/>
    <x v="35"/>
    <x v="98"/>
    <s v="CD"/>
    <s v="MOUNTAIN GROUP"/>
    <x v="10"/>
    <n v="15"/>
  </r>
  <r>
    <n v="632565000159"/>
    <s v="Natural Spring Water"/>
    <x v="0"/>
    <x v="989"/>
    <s v="US"/>
    <s v="The Wonderful Company"/>
    <x v="1"/>
    <n v="3"/>
  </r>
  <r>
    <n v="6422294001022"/>
    <s v="Agua Mineral Natural"/>
    <x v="35"/>
    <x v="990"/>
    <s v="UK"/>
    <s v="UNKNOWN_ORG"/>
    <x v="19"/>
    <n v="1"/>
  </r>
  <r>
    <n v="645230057334"/>
    <s v="Peach Smoothie"/>
    <x v="340"/>
    <x v="34"/>
    <s v="US"/>
    <s v="General Mills, Inc"/>
    <x v="9"/>
    <n v="1"/>
  </r>
  <r>
    <n v="6554522535402"/>
    <s v="Mineral Water"/>
    <x v="35"/>
    <x v="907"/>
    <s v="UG"/>
    <s v="Yaket International Ltd"/>
    <x v="12"/>
    <n v="3"/>
  </r>
  <r>
    <n v="6554522535402"/>
    <s v="Mineral Water"/>
    <x v="35"/>
    <x v="907"/>
    <s v="UG"/>
    <s v="Yaket International Ltd"/>
    <x v="5"/>
    <n v="83"/>
  </r>
  <r>
    <n v="6635932146522"/>
    <s v="Mineral Water"/>
    <x v="0"/>
    <x v="991"/>
    <s v="UG"/>
    <s v="Uzima"/>
    <x v="5"/>
    <n v="52"/>
  </r>
  <r>
    <n v="67057788"/>
    <s v="Água Purificada"/>
    <x v="23"/>
    <x v="527"/>
    <s v="MZ"/>
    <s v="Mopani Internacional Lda"/>
    <x v="4"/>
    <n v="82"/>
  </r>
  <r>
    <n v="671785101000"/>
    <s v="Natural Spring Water"/>
    <x v="13"/>
    <x v="151"/>
    <s v="CA"/>
    <s v="ESKA Inc."/>
    <x v="1"/>
    <n v="1"/>
  </r>
  <r>
    <n v="671785201007"/>
    <s v="Eska"/>
    <x v="176"/>
    <x v="151"/>
    <s v="CA"/>
    <s v="ESKA Inc."/>
    <x v="1"/>
    <n v="1"/>
  </r>
  <r>
    <n v="671785400004"/>
    <s v="Natural Spring Water"/>
    <x v="341"/>
    <x v="151"/>
    <s v="CA"/>
    <s v="ESKA Inc."/>
    <x v="1"/>
    <n v="1"/>
  </r>
  <r>
    <n v="671785501008"/>
    <s v="Natural Spring Water"/>
    <x v="0"/>
    <x v="151"/>
    <s v="CA"/>
    <s v="ESKA Inc."/>
    <x v="1"/>
    <n v="4"/>
  </r>
  <r>
    <n v="671785710004"/>
    <s v="Natural Spring Watee"/>
    <x v="27"/>
    <x v="151"/>
    <s v="CA"/>
    <s v="ESKA Inc."/>
    <x v="1"/>
    <n v="3"/>
  </r>
  <r>
    <n v="674511451592"/>
    <s v="mogwa springs"/>
    <x v="0"/>
    <x v="182"/>
    <s v="UK"/>
    <s v="UNKNOWN_ORG"/>
    <x v="0"/>
    <n v="5"/>
  </r>
  <r>
    <n v="67888337"/>
    <s v="Lemonade"/>
    <x v="36"/>
    <x v="36"/>
    <s v="CA"/>
    <s v="Loblaw Companies Ltd"/>
    <x v="1"/>
    <n v="1"/>
  </r>
  <r>
    <n v="6804000347301"/>
    <s v="Pure drinking Water"/>
    <x v="176"/>
    <x v="415"/>
    <s v="UK"/>
    <s v="UNKNOWN_ORG"/>
    <x v="7"/>
    <n v="1"/>
  </r>
  <r>
    <n v="6805698924300"/>
    <s v="Água purificada"/>
    <x v="229"/>
    <x v="542"/>
    <s v="US"/>
    <s v="Sierra Nevada"/>
    <x v="4"/>
    <n v="1"/>
  </r>
  <r>
    <n v="6814618820332"/>
    <s v="Nestle Nido"/>
    <x v="252"/>
    <x v="818"/>
    <s v="CH"/>
    <s v="Nestlé S.A."/>
    <x v="6"/>
    <n v="50"/>
  </r>
  <r>
    <n v="6822322153004"/>
    <s v="Flavoured Gin"/>
    <x v="2"/>
    <x v="992"/>
    <s v="UG"/>
    <s v="Mwanzan Beverages Ltd"/>
    <x v="5"/>
    <n v="55"/>
  </r>
  <r>
    <n v="6866702868584"/>
    <s v="drinking water"/>
    <x v="23"/>
    <x v="993"/>
    <s v="UK"/>
    <s v="UNKNOWN_ORG"/>
    <x v="5"/>
    <n v="11"/>
  </r>
  <r>
    <n v="6900077057201"/>
    <s v="Shampoo"/>
    <x v="2"/>
    <x v="994"/>
    <s v="CN"/>
    <s v="Jowell Global Ltd"/>
    <x v="4"/>
    <n v="1"/>
  </r>
  <r>
    <n v="6906978201064"/>
    <s v="Natural Water"/>
    <x v="35"/>
    <x v="966"/>
    <s v="TZ"/>
    <s v="Agro Fresh Ltd"/>
    <x v="10"/>
    <n v="1"/>
  </r>
  <r>
    <n v="6906978201064"/>
    <s v="Natural Water"/>
    <x v="35"/>
    <x v="966"/>
    <s v="TZ"/>
    <s v="Agro Fresh Ltd"/>
    <x v="7"/>
    <n v="88"/>
  </r>
  <r>
    <n v="69191206"/>
    <s v="Brinto sunflower oil"/>
    <x v="116"/>
    <x v="995"/>
    <s v="TR"/>
    <s v="Kadooglu Yag"/>
    <x v="6"/>
    <n v="23"/>
  </r>
  <r>
    <n v="6920459993798"/>
    <s v="Honey Drink"/>
    <x v="0"/>
    <x v="996"/>
    <s v="CN"/>
    <s v="Master Kong"/>
    <x v="4"/>
    <n v="1"/>
  </r>
  <r>
    <n v="6920583012570"/>
    <s v="White Board Cleaner"/>
    <x v="48"/>
    <x v="121"/>
    <s v="ZM"/>
    <s v="Acacia Food and Beverages Ltd"/>
    <x v="7"/>
    <n v="1"/>
  </r>
  <r>
    <n v="6920790011298"/>
    <s v="Dentifrice"/>
    <x v="155"/>
    <x v="997"/>
    <s v="CN"/>
    <s v="Zhang Gan"/>
    <x v="10"/>
    <n v="50"/>
  </r>
  <r>
    <n v="6921168509256"/>
    <s v="water"/>
    <x v="96"/>
    <x v="998"/>
    <s v="CN"/>
    <s v="Nongfu spring"/>
    <x v="4"/>
    <n v="1"/>
  </r>
  <r>
    <n v="6921168509256"/>
    <s v="water"/>
    <x v="96"/>
    <x v="998"/>
    <s v="CN"/>
    <s v="Nongfu spring"/>
    <x v="5"/>
    <n v="50"/>
  </r>
  <r>
    <n v="6921237234263"/>
    <s v="Water"/>
    <x v="313"/>
    <x v="999"/>
    <s v="KW"/>
    <s v="Arabian Beverage Company"/>
    <x v="10"/>
    <n v="47"/>
  </r>
  <r>
    <n v="6921294308549"/>
    <s v="Daily C"/>
    <x v="0"/>
    <x v="106"/>
    <s v="FR"/>
    <s v="PAI Partners"/>
    <x v="12"/>
    <n v="1"/>
  </r>
  <r>
    <n v="6922868289257"/>
    <s v="papier mouchoir"/>
    <x v="73"/>
    <x v="1000"/>
    <s v="CD"/>
    <s v="GLOBAL ENTREPRISES SARL"/>
    <x v="10"/>
    <n v="89"/>
  </r>
  <r>
    <n v="6923589281018"/>
    <s v="blue wave Beverages limited"/>
    <x v="35"/>
    <x v="1001"/>
    <s v="UG"/>
    <s v="Blue Wave Beverages Ltd"/>
    <x v="5"/>
    <n v="11"/>
  </r>
  <r>
    <n v="69235894"/>
    <s v="purified water"/>
    <x v="176"/>
    <x v="1001"/>
    <s v="UG"/>
    <s v="Blue Wave Beverages Ltd"/>
    <x v="0"/>
    <n v="1"/>
  </r>
  <r>
    <n v="6923589421018"/>
    <s v="drinking water"/>
    <x v="176"/>
    <x v="1001"/>
    <s v="UG"/>
    <s v="Blue Wave Beverages Ltd"/>
    <x v="0"/>
    <n v="2"/>
  </r>
  <r>
    <n v="6923589421018"/>
    <s v="drinking water"/>
    <x v="176"/>
    <x v="1001"/>
    <s v="UG"/>
    <s v="Blue Wave Beverages Ltd"/>
    <x v="12"/>
    <n v="7"/>
  </r>
  <r>
    <n v="6923589421018"/>
    <s v="drinking water"/>
    <x v="176"/>
    <x v="1001"/>
    <s v="UG"/>
    <s v="Blue Wave Beverages Ltd"/>
    <x v="5"/>
    <n v="15"/>
  </r>
  <r>
    <n v="692681366874"/>
    <s v="Eau de source"/>
    <x v="55"/>
    <x v="1002"/>
    <s v="CD"/>
    <s v="SOCIETE DEHUI SARL"/>
    <x v="10"/>
    <n v="55"/>
  </r>
  <r>
    <n v="6930773400292"/>
    <s v="Gelinho Banana"/>
    <x v="2"/>
    <x v="525"/>
    <s v="MZ"/>
    <s v="Magnifico Moçambique Lda"/>
    <x v="4"/>
    <n v="1"/>
  </r>
  <r>
    <n v="6930773400308"/>
    <s v="Refresco Abacaxi"/>
    <x v="76"/>
    <x v="525"/>
    <s v="MZ"/>
    <s v="Magnifico Moçambique Lda"/>
    <x v="4"/>
    <n v="60"/>
  </r>
  <r>
    <n v="6930773400315"/>
    <s v="Uva Deliciosa"/>
    <x v="93"/>
    <x v="525"/>
    <s v="MZ"/>
    <s v="Magnifico Moçambique Lda"/>
    <x v="4"/>
    <n v="4"/>
  </r>
  <r>
    <n v="6930773400346"/>
    <s v="Bebida Maça / Apple Drink"/>
    <x v="108"/>
    <x v="525"/>
    <s v="MZ"/>
    <s v="Magnifico Moçambique Lda"/>
    <x v="0"/>
    <n v="5"/>
  </r>
  <r>
    <n v="6930773400346"/>
    <s v="Bebida Maça / Apple Drink"/>
    <x v="108"/>
    <x v="525"/>
    <s v="MZ"/>
    <s v="Magnifico Moçambique Lda"/>
    <x v="4"/>
    <n v="1"/>
  </r>
  <r>
    <n v="6930773400353"/>
    <s v="Gelinho Abacaxí"/>
    <x v="108"/>
    <x v="525"/>
    <s v="MZ"/>
    <s v="Magnifico Moçambique Lda"/>
    <x v="4"/>
    <n v="2"/>
  </r>
  <r>
    <n v="6930773412066"/>
    <s v="Leite Pessego"/>
    <x v="61"/>
    <x v="525"/>
    <s v="MZ"/>
    <s v="Magnifico Moçambique Lda"/>
    <x v="4"/>
    <n v="1"/>
  </r>
  <r>
    <n v="6930773500145"/>
    <s v="Quibom de Leite"/>
    <x v="198"/>
    <x v="525"/>
    <s v="MZ"/>
    <s v="Magnifico Moçambique Lda"/>
    <x v="4"/>
    <n v="1"/>
  </r>
  <r>
    <n v="6933610104094"/>
    <s v="Álcool Gel Desinfetante"/>
    <x v="108"/>
    <x v="305"/>
    <s v="UK"/>
    <s v="UNKNOWN_ORG"/>
    <x v="4"/>
    <n v="9"/>
  </r>
  <r>
    <n v="6935236000033"/>
    <s v="Packaged Drinking Water"/>
    <x v="35"/>
    <x v="1003"/>
    <s v="UG"/>
    <s v="ICE LOVE CO. LTD"/>
    <x v="5"/>
    <n v="40"/>
  </r>
  <r>
    <n v="6935236000057"/>
    <s v="Mineral Water"/>
    <x v="0"/>
    <x v="422"/>
    <s v="US"/>
    <s v="Coca-Cola"/>
    <x v="5"/>
    <n v="89"/>
  </r>
  <r>
    <n v="6935655122842"/>
    <s v="Grown leather"/>
    <x v="108"/>
    <x v="1004"/>
    <s v="CN"/>
    <s v="Zhongshan Biaoqi Houseware Co. Ltd"/>
    <x v="10"/>
    <n v="50"/>
  </r>
  <r>
    <n v="6943826709198"/>
    <s v="soda milk salt crackers"/>
    <x v="260"/>
    <x v="1005"/>
    <s v="CN"/>
    <s v="Jiaxing Meidan Food Co. Ltd"/>
    <x v="6"/>
    <n v="102"/>
  </r>
  <r>
    <n v="6943826709259"/>
    <s v="Rich In Calcium Milk Soda Cracker"/>
    <x v="90"/>
    <x v="1005"/>
    <s v="CN"/>
    <s v="Jiaxing Meidan Food Co. Ltd"/>
    <x v="6"/>
    <n v="51"/>
  </r>
  <r>
    <n v="6952581701118"/>
    <s v="Garlic and Coconut oil"/>
    <x v="120"/>
    <x v="1006"/>
    <s v="UK"/>
    <s v="UNKNOWN_ORG"/>
    <x v="7"/>
    <n v="1"/>
  </r>
  <r>
    <n v="6954574930109"/>
    <s v="T-GUARD Toothpaste"/>
    <x v="194"/>
    <x v="1007"/>
    <s v="CN"/>
    <s v="Sunda International"/>
    <x v="6"/>
    <n v="100"/>
  </r>
  <r>
    <n v="6959749712580"/>
    <s v="ideal for Chinese and Japanese Foods"/>
    <x v="98"/>
    <x v="1008"/>
    <s v="UK"/>
    <s v="UNKNOWN_ORG"/>
    <x v="7"/>
    <n v="2"/>
  </r>
  <r>
    <n v="6960553910222"/>
    <s v="Sumo maçã"/>
    <x v="342"/>
    <x v="525"/>
    <s v="MZ"/>
    <s v="Magnifico Moçambique Lda"/>
    <x v="4"/>
    <n v="1"/>
  </r>
  <r>
    <n v="6969228800127"/>
    <s v="Remie jollof rice seasoning"/>
    <x v="73"/>
    <x v="757"/>
    <s v="UK"/>
    <s v="UNKNOWN_ORG"/>
    <x v="6"/>
    <n v="31"/>
  </r>
  <r>
    <n v="6969930023692"/>
    <s v="Lightening Glycerin"/>
    <x v="2"/>
    <x v="1009"/>
    <s v="CA"/>
    <s v="2005961 Ontario Inc."/>
    <x v="12"/>
    <n v="40"/>
  </r>
  <r>
    <n v="6970733780033"/>
    <s v="água purificada"/>
    <x v="0"/>
    <x v="1010"/>
    <s v="AO"/>
    <s v="Lihuan Group (SU) LDA"/>
    <x v="17"/>
    <n v="1"/>
  </r>
  <r>
    <n v="6970733780033"/>
    <s v="água purificada"/>
    <x v="0"/>
    <x v="1010"/>
    <s v="AO"/>
    <s v="Lihuan Group (SU) LDA"/>
    <x v="5"/>
    <n v="10"/>
  </r>
  <r>
    <n v="6971006991040"/>
    <s v="Tomato Mix"/>
    <x v="151"/>
    <x v="1011"/>
    <s v="GH"/>
    <s v="Happy Sunshine Company Ltd"/>
    <x v="6"/>
    <n v="25"/>
  </r>
  <r>
    <n v="697896010185"/>
    <s v="body and hand cream"/>
    <x v="41"/>
    <x v="1012"/>
    <s v="US"/>
    <s v="R &amp; R Cosmetics LLC"/>
    <x v="12"/>
    <n v="10"/>
  </r>
  <r>
    <n v="7001723214371"/>
    <s v="SPORTS DRINK Energade"/>
    <x v="0"/>
    <x v="481"/>
    <s v="ZA"/>
    <s v="Tiger Brands Ltd"/>
    <x v="4"/>
    <n v="1"/>
  </r>
  <r>
    <n v="7004759470643"/>
    <s v="snickers duo"/>
    <x v="343"/>
    <x v="319"/>
    <s v="US"/>
    <s v="Mars, Incorporated"/>
    <x v="2"/>
    <n v="1"/>
  </r>
  <r>
    <n v="7009647547988"/>
    <s v="Apple &amp; Malti Flavored"/>
    <x v="3"/>
    <x v="268"/>
    <s v="TZ"/>
    <s v="BAKHRESA GROUP DIVISIONS"/>
    <x v="7"/>
    <n v="50"/>
  </r>
  <r>
    <n v="7012422123239"/>
    <s v="Quavers - Cheese"/>
    <x v="101"/>
    <x v="242"/>
    <s v="US"/>
    <s v="Pepsico, Inc"/>
    <x v="2"/>
    <n v="1"/>
  </r>
  <r>
    <n v="7016519005217"/>
    <s v="Mango Flavored Drink"/>
    <x v="0"/>
    <x v="907"/>
    <s v="UG"/>
    <s v="Yaket International Ltd"/>
    <x v="5"/>
    <n v="2"/>
  </r>
  <r>
    <n v="7016555885286"/>
    <s v="Juice"/>
    <x v="0"/>
    <x v="907"/>
    <s v="UG"/>
    <s v="Yaket International Ltd"/>
    <x v="5"/>
    <n v="21"/>
  </r>
  <r>
    <n v="7021413729824"/>
    <s v="Smooth orange with no bit"/>
    <x v="48"/>
    <x v="106"/>
    <s v="FR"/>
    <s v="PAI Partners"/>
    <x v="2"/>
    <n v="1"/>
  </r>
  <r>
    <n v="7033002210989"/>
    <s v="U FRESH"/>
    <x v="76"/>
    <x v="282"/>
    <s v="TZ"/>
    <s v="U Fresh Juice"/>
    <x v="6"/>
    <n v="3"/>
  </r>
  <r>
    <n v="7033006570423"/>
    <s v="Verna Purified Drinking Water"/>
    <x v="304"/>
    <x v="721"/>
    <s v="GH"/>
    <s v="Twellium Industry Limited"/>
    <x v="6"/>
    <n v="36"/>
  </r>
  <r>
    <n v="7077004800304"/>
    <s v="Purified drinking water"/>
    <x v="120"/>
    <x v="1013"/>
    <s v="RU"/>
    <s v="Narzan"/>
    <x v="0"/>
    <n v="1"/>
  </r>
  <r>
    <n v="7077004800502"/>
    <s v="Purified drinking water"/>
    <x v="0"/>
    <x v="1013"/>
    <s v="RU"/>
    <s v="Narzan"/>
    <x v="0"/>
    <n v="170"/>
  </r>
  <r>
    <n v="7125569312777"/>
    <s v="aloes verra"/>
    <x v="0"/>
    <x v="1014"/>
    <s v="CD"/>
    <s v="ARAUPHAR PRODUCTION"/>
    <x v="10"/>
    <n v="1"/>
  </r>
  <r>
    <n v="7162106950047"/>
    <s v="Antiseptic Desinfectant"/>
    <x v="0"/>
    <x v="355"/>
    <s v="GB"/>
    <s v="Reckitt Benckiser Group PLC"/>
    <x v="7"/>
    <n v="1"/>
  </r>
  <r>
    <n v="7171000010016"/>
    <s v="Aqua sure"/>
    <x v="0"/>
    <x v="182"/>
    <s v="UK"/>
    <s v="UNKNOWN_ORG"/>
    <x v="0"/>
    <n v="5"/>
  </r>
  <r>
    <n v="7172106130028"/>
    <s v="vegetable oil"/>
    <x v="22"/>
    <x v="894"/>
    <s v="CM"/>
    <s v="Prometal"/>
    <x v="13"/>
    <n v="1"/>
  </r>
  <r>
    <n v="7174000078109"/>
    <s v="strawberry"/>
    <x v="0"/>
    <x v="205"/>
    <s v="RW"/>
    <s v="Ingabo Dairy ltd"/>
    <x v="12"/>
    <n v="10"/>
  </r>
  <r>
    <n v="7174000078215"/>
    <s v="vanilla dairy"/>
    <x v="48"/>
    <x v="205"/>
    <s v="RW"/>
    <s v="Ingabo Dairy ltd"/>
    <x v="12"/>
    <n v="5"/>
  </r>
  <r>
    <n v="7174000089167"/>
    <s v="Pure Drinking Water"/>
    <x v="0"/>
    <x v="114"/>
    <s v="LR"/>
    <s v="Liberty Investment Ltd"/>
    <x v="0"/>
    <n v="17"/>
  </r>
  <r>
    <n v="7174000105133"/>
    <s v="vanilla yorgurt"/>
    <x v="48"/>
    <x v="810"/>
    <s v="RW"/>
    <s v="Masaka Creamery Limited"/>
    <x v="12"/>
    <n v="2"/>
  </r>
  <r>
    <n v="7174000108004"/>
    <s v="Strawberry Yoghurt"/>
    <x v="0"/>
    <x v="877"/>
    <s v="KE"/>
    <s v="Ndumberi Dairy Farmers Co-operative Ltd"/>
    <x v="0"/>
    <n v="1"/>
  </r>
  <r>
    <n v="7174000108011"/>
    <s v="Vanilla Yoghurt"/>
    <x v="0"/>
    <x v="877"/>
    <s v="KE"/>
    <s v="Ndumberi Dairy Farmers Co-operative Ltd"/>
    <x v="0"/>
    <n v="1"/>
  </r>
  <r>
    <n v="7174000108028"/>
    <s v="Strawberry Yoghurt"/>
    <x v="61"/>
    <x v="877"/>
    <s v="KE"/>
    <s v="Ndumberi Dairy Farmers Co-operative Ltd"/>
    <x v="0"/>
    <n v="3"/>
  </r>
  <r>
    <n v="7174000108202"/>
    <s v="Strawberry Yoghurt"/>
    <x v="48"/>
    <x v="877"/>
    <s v="KE"/>
    <s v="Ndumberi Dairy Farmers Co-operative Ltd"/>
    <x v="0"/>
    <n v="3"/>
  </r>
  <r>
    <n v="7174000108219"/>
    <s v="Vanilla Yoghurt"/>
    <x v="48"/>
    <x v="877"/>
    <s v="KE"/>
    <s v="Ndumberi Dairy Farmers Co-operative Ltd"/>
    <x v="0"/>
    <n v="2"/>
  </r>
  <r>
    <n v="7174000118089"/>
    <s v="Purified Drinking Water"/>
    <x v="13"/>
    <x v="1015"/>
    <s v="KE"/>
    <s v="CLAMAC ENTERPRISES"/>
    <x v="0"/>
    <n v="8"/>
  </r>
  <r>
    <n v="7174000692084"/>
    <s v="Vanilla"/>
    <x v="61"/>
    <x v="865"/>
    <s v="KE"/>
    <s v="Wimssy Limited"/>
    <x v="0"/>
    <n v="7"/>
  </r>
  <r>
    <n v="7174000692084"/>
    <s v="Vanilla"/>
    <x v="61"/>
    <x v="865"/>
    <s v="KE"/>
    <s v="Wimssy Limited"/>
    <x v="12"/>
    <n v="1"/>
  </r>
  <r>
    <n v="7174001053006"/>
    <s v="Drinking Water"/>
    <x v="0"/>
    <x v="1016"/>
    <s v="KE"/>
    <s v="Kenya Ordnance Factories Corporation"/>
    <x v="0"/>
    <n v="46"/>
  </r>
  <r>
    <n v="7174001053013"/>
    <s v="Drinking Water"/>
    <x v="13"/>
    <x v="1016"/>
    <s v="KE"/>
    <s v="Kenya Ordnance Factories Corporation"/>
    <x v="0"/>
    <n v="18"/>
  </r>
  <r>
    <n v="7174001053020"/>
    <s v="Drinking Water"/>
    <x v="35"/>
    <x v="1016"/>
    <s v="KE"/>
    <s v="Kenya Ordnance Factories Corporation"/>
    <x v="0"/>
    <n v="23"/>
  </r>
  <r>
    <n v="7174001196055"/>
    <s v="Drink it love it"/>
    <x v="0"/>
    <x v="1017"/>
    <s v="UK"/>
    <s v="UNKNOWN_ORG"/>
    <x v="0"/>
    <n v="63"/>
  </r>
  <r>
    <n v="7174001196062"/>
    <s v="Drinking it love it"/>
    <x v="13"/>
    <x v="1017"/>
    <s v="UK"/>
    <s v="UNKNOWN_ORG"/>
    <x v="0"/>
    <n v="9"/>
  </r>
  <r>
    <n v="71808338"/>
    <s v="Grape"/>
    <x v="76"/>
    <x v="105"/>
    <s v="GH"/>
    <s v="Twellium Industry Limited"/>
    <x v="6"/>
    <n v="27"/>
  </r>
  <r>
    <n v="7181221034166"/>
    <s v="Glass Cleaner"/>
    <x v="0"/>
    <x v="1018"/>
    <s v="UK"/>
    <s v="UNKNOWN_ORG"/>
    <x v="4"/>
    <n v="1"/>
  </r>
  <r>
    <n v="7187552563894"/>
    <s v="Pommade"/>
    <x v="110"/>
    <x v="1014"/>
    <s v="CD"/>
    <s v="ARAUPHAR PRODUCTION"/>
    <x v="10"/>
    <n v="1"/>
  </r>
  <r>
    <n v="7215011220221"/>
    <s v="mo energy"/>
    <x v="3"/>
    <x v="16"/>
    <s v="TZ"/>
    <s v="METL Group"/>
    <x v="7"/>
    <n v="2"/>
  </r>
  <r>
    <n v="7215104350651"/>
    <s v="Tangawizi"/>
    <x v="111"/>
    <x v="925"/>
    <s v="TZ"/>
    <s v="Motisun Group"/>
    <x v="7"/>
    <n v="3"/>
  </r>
  <r>
    <n v="7215111220220"/>
    <s v="mo energy"/>
    <x v="3"/>
    <x v="16"/>
    <s v="TZ"/>
    <s v="METL Group"/>
    <x v="7"/>
    <n v="1"/>
  </r>
  <r>
    <n v="722777707523"/>
    <s v="Eau de Source"/>
    <x v="344"/>
    <x v="168"/>
    <s v="CD"/>
    <s v="Mega Congo SARL"/>
    <x v="10"/>
    <n v="6"/>
  </r>
  <r>
    <n v="728028483192"/>
    <s v="Chibuku Super"/>
    <x v="209"/>
    <x v="1019"/>
    <s v="MW"/>
    <s v="Chibuku Products Ltd"/>
    <x v="3"/>
    <n v="215"/>
  </r>
  <r>
    <n v="728028491876"/>
    <s v="Chibuku Super"/>
    <x v="112"/>
    <x v="169"/>
    <s v="BE"/>
    <s v="Anheuser-Busch InBev"/>
    <x v="3"/>
    <n v="66"/>
  </r>
  <r>
    <n v="7348008697796"/>
    <s v="Health Drink"/>
    <x v="93"/>
    <x v="1020"/>
    <s v="ZM"/>
    <s v="African Blessing Investments Ltd"/>
    <x v="6"/>
    <n v="28"/>
  </r>
  <r>
    <n v="7348008697796"/>
    <s v="Health Drink"/>
    <x v="93"/>
    <x v="1020"/>
    <s v="ZM"/>
    <s v="African Blessing Investments Ltd"/>
    <x v="3"/>
    <n v="278"/>
  </r>
  <r>
    <n v="7348008697796"/>
    <s v="Health Drink"/>
    <x v="93"/>
    <x v="1020"/>
    <s v="ZM"/>
    <s v="African Blessing Investments Ltd"/>
    <x v="4"/>
    <n v="62"/>
  </r>
  <r>
    <n v="7414211057655"/>
    <s v="Hand Care Liquid Soap"/>
    <x v="0"/>
    <x v="1021"/>
    <s v="UK"/>
    <s v="UNKNOWN_ORG"/>
    <x v="4"/>
    <n v="1"/>
  </r>
  <r>
    <n v="743690030581"/>
    <s v="Hawaiian silky"/>
    <x v="345"/>
    <x v="1022"/>
    <s v="UK"/>
    <s v="UNKNOWN_ORG"/>
    <x v="12"/>
    <n v="4"/>
  </r>
  <r>
    <n v="7451143860458"/>
    <s v="Purified drinking water"/>
    <x v="0"/>
    <x v="1023"/>
    <s v="KE"/>
    <s v="TUMEL (Technical University of Mombasa Enterprises Limited)"/>
    <x v="0"/>
    <n v="59"/>
  </r>
  <r>
    <n v="7571817687188"/>
    <s v="Coke"/>
    <x v="3"/>
    <x v="1"/>
    <s v="US"/>
    <s v="Coca-Cola"/>
    <x v="6"/>
    <n v="1"/>
  </r>
  <r>
    <n v="7613031214839"/>
    <s v="Natural Mineral Water"/>
    <x v="13"/>
    <x v="137"/>
    <s v="CH"/>
    <s v="Nestlé S.A."/>
    <x v="2"/>
    <n v="1"/>
  </r>
  <r>
    <n v="7613034302328"/>
    <s v="Natural Mineral Water"/>
    <x v="0"/>
    <x v="137"/>
    <s v="CH"/>
    <s v="Nestlé S.A."/>
    <x v="2"/>
    <n v="1"/>
  </r>
  <r>
    <n v="7613037076622"/>
    <s v="Sparkling Spring Water"/>
    <x v="35"/>
    <x v="39"/>
    <s v="CH"/>
    <s v="Nestlé S.A."/>
    <x v="2"/>
    <n v="1"/>
  </r>
  <r>
    <n v="7613039869123"/>
    <s v="Aero"/>
    <x v="90"/>
    <x v="14"/>
    <s v="CH"/>
    <s v="Nestlé S.A."/>
    <x v="2"/>
    <n v="1"/>
  </r>
  <r>
    <n v="7622010000790"/>
    <s v="Hot chocolate drink"/>
    <x v="128"/>
    <x v="129"/>
    <s v="US"/>
    <s v="Mondelēz International, Inc."/>
    <x v="6"/>
    <n v="11"/>
  </r>
  <r>
    <n v="7622110481116"/>
    <s v="whispa"/>
    <x v="346"/>
    <x v="129"/>
    <s v="US"/>
    <s v="Mondelēz International, Inc."/>
    <x v="2"/>
    <n v="1"/>
  </r>
  <r>
    <n v="7622201701376"/>
    <s v="Chocolate"/>
    <x v="87"/>
    <x v="1024"/>
    <s v="US"/>
    <s v="Mondelēz International, Inc."/>
    <x v="2"/>
    <n v="1"/>
  </r>
  <r>
    <n v="7622201746742"/>
    <s v="Starbar Duo"/>
    <x v="347"/>
    <x v="129"/>
    <s v="US"/>
    <s v="Mondelēz International, Inc."/>
    <x v="2"/>
    <n v="1"/>
  </r>
  <r>
    <n v="7622202224317"/>
    <s v="Time out Chocolate"/>
    <x v="348"/>
    <x v="129"/>
    <s v="US"/>
    <s v="Mondelēz International, Inc."/>
    <x v="2"/>
    <n v="1"/>
  </r>
  <r>
    <n v="7622210644800"/>
    <s v="Dairy Milk Fruit and Nut"/>
    <x v="349"/>
    <x v="129"/>
    <s v="US"/>
    <s v="Mondelēz International, Inc."/>
    <x v="2"/>
    <n v="1"/>
  </r>
  <r>
    <n v="7622210882974"/>
    <s v="Mini Eggs"/>
    <x v="89"/>
    <x v="129"/>
    <s v="US"/>
    <s v="Mondelēz International, Inc."/>
    <x v="2"/>
    <n v="1"/>
  </r>
  <r>
    <n v="7622300743703"/>
    <s v="Cadbury Dairy Milk"/>
    <x v="162"/>
    <x v="129"/>
    <s v="US"/>
    <s v="Mondelēz International, Inc."/>
    <x v="2"/>
    <n v="1"/>
  </r>
  <r>
    <n v="7702090022711"/>
    <s v="Agua pura tratada"/>
    <x v="23"/>
    <x v="1025"/>
    <s v="CO"/>
    <s v="Organización Ardila Lülle"/>
    <x v="20"/>
    <n v="7"/>
  </r>
  <r>
    <n v="7702090069761"/>
    <s v="Agua pura tratada"/>
    <x v="13"/>
    <x v="1025"/>
    <s v="CO"/>
    <s v="Organización Ardila Lülle"/>
    <x v="20"/>
    <n v="1"/>
  </r>
  <r>
    <n v="7702090073065"/>
    <s v="Agua pura tratada"/>
    <x v="3"/>
    <x v="1025"/>
    <s v="CO"/>
    <s v="Organización Ardila Lülle"/>
    <x v="20"/>
    <n v="1"/>
  </r>
  <r>
    <n v="7702192224051"/>
    <s v="Bebida hidratante energética Maracuya"/>
    <x v="59"/>
    <x v="10"/>
    <s v="US"/>
    <s v="Pepsico, Inc"/>
    <x v="20"/>
    <n v="1"/>
  </r>
  <r>
    <n v="7702192422051"/>
    <s v="Bebida hidratante energética"/>
    <x v="0"/>
    <x v="10"/>
    <s v="US"/>
    <s v="Pepsico, Inc"/>
    <x v="20"/>
    <n v="1"/>
  </r>
  <r>
    <n v="7702535009994"/>
    <s v="Bebida hidratante y energetica"/>
    <x v="0"/>
    <x v="149"/>
    <s v="US"/>
    <s v="Coca-Cola"/>
    <x v="20"/>
    <n v="3"/>
  </r>
  <r>
    <n v="7702535011089"/>
    <s v="Bebida gasosa"/>
    <x v="14"/>
    <x v="1"/>
    <s v="US"/>
    <s v="Coca-Cola"/>
    <x v="20"/>
    <n v="2"/>
  </r>
  <r>
    <n v="7702535024423"/>
    <s v="Bebida gaseosa"/>
    <x v="350"/>
    <x v="1"/>
    <s v="US"/>
    <s v="Coca-Cola"/>
    <x v="20"/>
    <n v="1"/>
  </r>
  <r>
    <n v="7702609005372"/>
    <s v="Agua mineral natural"/>
    <x v="23"/>
    <x v="1026"/>
    <s v="US"/>
    <s v="Coca-Cola"/>
    <x v="20"/>
    <n v="1"/>
  </r>
  <r>
    <n v="776103000222"/>
    <s v="Vodka"/>
    <x v="9"/>
    <x v="68"/>
    <s v="GB"/>
    <s v="Diageo Plc"/>
    <x v="1"/>
    <n v="4"/>
  </r>
  <r>
    <n v="776103000239"/>
    <s v="Vodka"/>
    <x v="2"/>
    <x v="68"/>
    <s v="GB"/>
    <s v="Diageo Plc"/>
    <x v="1"/>
    <n v="8"/>
  </r>
  <r>
    <n v="776103000246"/>
    <s v="Vodka"/>
    <x v="24"/>
    <x v="68"/>
    <s v="GB"/>
    <s v="Diageo Plc"/>
    <x v="1"/>
    <n v="14"/>
  </r>
  <r>
    <n v="77661258"/>
    <s v="hill water"/>
    <x v="22"/>
    <x v="92"/>
    <s v="TZ"/>
    <s v="Hill Group"/>
    <x v="7"/>
    <n v="1"/>
  </r>
  <r>
    <n v="7791918071055"/>
    <s v="swissta"/>
    <x v="93"/>
    <x v="83"/>
    <s v="CD"/>
    <s v="Swissta RDC S.A.R.L"/>
    <x v="10"/>
    <n v="1"/>
  </r>
  <r>
    <n v="7798065730033"/>
    <s v="Agua Mineral Natural de las Sierras"/>
    <x v="12"/>
    <x v="1027"/>
    <s v="AR"/>
    <s v="Nutreco Alimentos S.A"/>
    <x v="7"/>
    <n v="1"/>
  </r>
  <r>
    <n v="7798065730033"/>
    <s v="Agua Mineral Natural de las Sierras"/>
    <x v="12"/>
    <x v="1027"/>
    <s v="AR"/>
    <s v="Nutreco Alimentos S.A"/>
    <x v="5"/>
    <n v="5"/>
  </r>
  <r>
    <n v="7801620006891"/>
    <s v="Pepsi Zero"/>
    <x v="166"/>
    <x v="51"/>
    <s v="US"/>
    <s v="Pepsico, Inc"/>
    <x v="33"/>
    <n v="1"/>
  </r>
  <r>
    <n v="781159624551"/>
    <s v="Refrigerante de maçà / Apple Drink"/>
    <x v="0"/>
    <x v="147"/>
    <s v="MZ"/>
    <s v="Fiesta Moçambique Lda."/>
    <x v="4"/>
    <n v="91"/>
  </r>
  <r>
    <n v="781159624551"/>
    <s v="Refrigerante de maçà / Apple Drink"/>
    <x v="0"/>
    <x v="147"/>
    <s v="MZ"/>
    <s v="Fiesta Moçambique Lda."/>
    <x v="12"/>
    <n v="1"/>
  </r>
  <r>
    <n v="7811596245514"/>
    <s v="Apple / Maçã"/>
    <x v="0"/>
    <x v="147"/>
    <s v="MZ"/>
    <s v="Fiesta Moçambique Lda."/>
    <x v="4"/>
    <n v="62"/>
  </r>
  <r>
    <n v="781159624582"/>
    <s v="Açai"/>
    <x v="0"/>
    <x v="147"/>
    <s v="MZ"/>
    <s v="Fiesta Moçambique Lda."/>
    <x v="4"/>
    <n v="6"/>
  </r>
  <r>
    <n v="781159921117"/>
    <s v="Fiesta Laranja"/>
    <x v="0"/>
    <x v="147"/>
    <s v="MZ"/>
    <s v="Fiesta Moçambique Lda."/>
    <x v="4"/>
    <n v="188"/>
  </r>
  <r>
    <n v="7811599211172"/>
    <s v="Refresco Laranja"/>
    <x v="0"/>
    <x v="147"/>
    <s v="MZ"/>
    <s v="Fiesta Moçambique Lda."/>
    <x v="4"/>
    <n v="1"/>
  </r>
  <r>
    <n v="781159921124"/>
    <s v="Fiesta Cola"/>
    <x v="0"/>
    <x v="147"/>
    <s v="MZ"/>
    <s v="Fiesta Moçambique Lda."/>
    <x v="4"/>
    <n v="71"/>
  </r>
  <r>
    <n v="781159921148"/>
    <s v="Mango Carbonated Soft Drink"/>
    <x v="0"/>
    <x v="147"/>
    <s v="MZ"/>
    <s v="Fiesta Moçambique Lda."/>
    <x v="4"/>
    <n v="275"/>
  </r>
  <r>
    <n v="7811599211554"/>
    <s v="Pineapple / Ananás"/>
    <x v="0"/>
    <x v="147"/>
    <s v="MZ"/>
    <s v="Fiesta Moçambique Lda."/>
    <x v="4"/>
    <n v="90"/>
  </r>
  <r>
    <n v="781159921162"/>
    <s v="Pêssego / Peach"/>
    <x v="0"/>
    <x v="147"/>
    <s v="MZ"/>
    <s v="Fiesta Moçambique Lda."/>
    <x v="4"/>
    <n v="29"/>
  </r>
  <r>
    <n v="781159921186"/>
    <s v="Energy Drink"/>
    <x v="0"/>
    <x v="147"/>
    <s v="MZ"/>
    <s v="Fiesta Moçambique Lda."/>
    <x v="4"/>
    <n v="19"/>
  </r>
  <r>
    <n v="7811599214487"/>
    <s v="Refresco Manga / Mango"/>
    <x v="0"/>
    <x v="147"/>
    <s v="MZ"/>
    <s v="Fiesta Moçambique Lda."/>
    <x v="4"/>
    <n v="55"/>
  </r>
  <r>
    <n v="78461000"/>
    <s v="hill water"/>
    <x v="0"/>
    <x v="92"/>
    <s v="TZ"/>
    <s v="Hill Group"/>
    <x v="7"/>
    <n v="1"/>
  </r>
  <r>
    <n v="7850893200116"/>
    <s v="Detergent multi-usages"/>
    <x v="22"/>
    <x v="1028"/>
    <s v="CD"/>
    <s v="MARSAVCO"/>
    <x v="10"/>
    <n v="1"/>
  </r>
  <r>
    <n v="7850893200239"/>
    <s v="Crème Hydratante Bébé"/>
    <x v="48"/>
    <x v="1029"/>
    <s v="CD"/>
    <s v="MARSAVCO"/>
    <x v="10"/>
    <n v="1"/>
  </r>
  <r>
    <n v="7850893200246"/>
    <s v="Poudre Bébé"/>
    <x v="146"/>
    <x v="1030"/>
    <s v="CD"/>
    <s v="MARSAVCO"/>
    <x v="10"/>
    <n v="4"/>
  </r>
  <r>
    <n v="7850893200611"/>
    <s v="Huile Végétale"/>
    <x v="156"/>
    <x v="528"/>
    <s v="CD"/>
    <s v="MARSAVCO"/>
    <x v="10"/>
    <n v="5"/>
  </r>
  <r>
    <n v="7850893200628"/>
    <s v="Huile Végétale"/>
    <x v="231"/>
    <x v="528"/>
    <s v="CD"/>
    <s v="MARSAVCO"/>
    <x v="10"/>
    <n v="9"/>
  </r>
  <r>
    <n v="786162650115"/>
    <s v="Acai Blueberry Pomegranate"/>
    <x v="7"/>
    <x v="203"/>
    <s v="US"/>
    <s v="Coca-Cola"/>
    <x v="1"/>
    <n v="5"/>
  </r>
  <r>
    <n v="786162650139"/>
    <s v="Vitamin Water mega c"/>
    <x v="7"/>
    <x v="203"/>
    <s v="US"/>
    <s v="Coca-Cola"/>
    <x v="1"/>
    <n v="1"/>
  </r>
  <r>
    <n v="786162650139"/>
    <s v="Vitamin Water mega c"/>
    <x v="7"/>
    <x v="203"/>
    <s v="US"/>
    <s v="Coca-Cola"/>
    <x v="3"/>
    <n v="9"/>
  </r>
  <r>
    <n v="786162650351"/>
    <s v="SmartWater"/>
    <x v="7"/>
    <x v="202"/>
    <s v="US"/>
    <s v="Coca-Cola"/>
    <x v="1"/>
    <n v="12"/>
  </r>
  <r>
    <n v="786162651525"/>
    <s v="smartwater"/>
    <x v="22"/>
    <x v="202"/>
    <s v="US"/>
    <s v="Coca-Cola"/>
    <x v="1"/>
    <n v="3"/>
  </r>
  <r>
    <n v="7872696303450"/>
    <s v="Eau de Table"/>
    <x v="113"/>
    <x v="1031"/>
    <s v="CD"/>
    <s v="VALLEY SARL"/>
    <x v="10"/>
    <n v="2"/>
  </r>
  <r>
    <n v="7891024027622"/>
    <s v="Plax Ice Infinity"/>
    <x v="0"/>
    <x v="462"/>
    <s v="US"/>
    <s v="Colgate-Palmolive Company"/>
    <x v="34"/>
    <n v="1"/>
  </r>
  <r>
    <n v="7891962000725"/>
    <s v="Bolinho Chocolate"/>
    <x v="72"/>
    <x v="1032"/>
    <s v="UK"/>
    <s v="UNKNOWN_ORG"/>
    <x v="4"/>
    <n v="1"/>
  </r>
  <r>
    <n v="7891962058399"/>
    <s v="Chocolate Wafer"/>
    <x v="203"/>
    <x v="1032"/>
    <s v="UK"/>
    <s v="UNKNOWN_ORG"/>
    <x v="4"/>
    <n v="1"/>
  </r>
  <r>
    <n v="7893000050785"/>
    <s v="Sadia Chicken Frank's"/>
    <x v="20"/>
    <x v="1033"/>
    <s v="BR"/>
    <s v="BRF s.a."/>
    <x v="6"/>
    <n v="40"/>
  </r>
  <r>
    <n v="7894904038305"/>
    <s v="Chicken Frankfurters"/>
    <x v="188"/>
    <x v="1034"/>
    <s v="BR"/>
    <s v="Seara Global"/>
    <x v="6"/>
    <n v="50"/>
  </r>
  <r>
    <n v="7896062800237"/>
    <s v="Água Mineral Natural"/>
    <x v="351"/>
    <x v="14"/>
    <s v="CH"/>
    <s v="Nestlé S.A."/>
    <x v="34"/>
    <n v="1"/>
  </r>
  <r>
    <n v="7896279119498"/>
    <s v="Oleo De Amendoa Com Flor De Cerejeira – Pele Hidratada e Perfumada"/>
    <x v="61"/>
    <x v="1035"/>
    <s v="BR"/>
    <s v="BEAUTY LAB DO BRASIL LTDA"/>
    <x v="4"/>
    <n v="51"/>
  </r>
  <r>
    <n v="7896931614323"/>
    <s v="Cha Mate"/>
    <x v="352"/>
    <x v="1036"/>
    <s v="BR"/>
    <s v="Zanlorenzi Bebidas Ltda"/>
    <x v="34"/>
    <n v="1"/>
  </r>
  <r>
    <n v="7898199082548"/>
    <s v="LAVA LOUCAS CONCENTRADO"/>
    <x v="353"/>
    <x v="1037"/>
    <s v="UK"/>
    <s v="UNKNOWN_ORG"/>
    <x v="7"/>
    <n v="1"/>
  </r>
  <r>
    <n v="7898917052129"/>
    <s v="ciclo farma"/>
    <x v="156"/>
    <x v="1038"/>
    <s v="UK"/>
    <s v="UNKNOWN_ORG"/>
    <x v="7"/>
    <n v="2"/>
  </r>
  <r>
    <n v="7912774409312"/>
    <s v="Uva"/>
    <x v="76"/>
    <x v="525"/>
    <s v="MZ"/>
    <s v="Magnifico Moçambique Lda"/>
    <x v="4"/>
    <n v="1"/>
  </r>
  <r>
    <n v="7994390540594"/>
    <s v="Água Purificada"/>
    <x v="0"/>
    <x v="542"/>
    <s v="US"/>
    <s v="Sierra Nevada"/>
    <x v="4"/>
    <n v="1223"/>
  </r>
  <r>
    <n v="799439793897"/>
    <s v="Rocky Bubble"/>
    <x v="76"/>
    <x v="123"/>
    <s v="MW"/>
    <s v="Mellet Enterprise"/>
    <x v="3"/>
    <n v="16"/>
  </r>
  <r>
    <n v="8001068808395"/>
    <s v="Apple and Blueberry Fruit Juice Blend"/>
    <x v="22"/>
    <x v="257"/>
    <s v="ZA"/>
    <s v="The Spar Group Ltd"/>
    <x v="4"/>
    <n v="1"/>
  </r>
  <r>
    <n v="8001090596451"/>
    <s v="Feel Luxurious Concentrate Softener"/>
    <x v="172"/>
    <x v="1039"/>
    <s v="US"/>
    <s v="THE PROCTER &amp; GAMBLE COMPANY"/>
    <x v="0"/>
    <n v="26"/>
  </r>
  <r>
    <n v="8001090596550"/>
    <s v="Concentrated Fabric Softener"/>
    <x v="13"/>
    <x v="1039"/>
    <s v="US"/>
    <s v="THE PROCTER &amp; GAMBLE COMPANY"/>
    <x v="0"/>
    <n v="19"/>
  </r>
  <r>
    <n v="8001090648235"/>
    <s v="luxury perfume"/>
    <x v="354"/>
    <x v="1039"/>
    <s v="US"/>
    <s v="THE PROCTER &amp; GAMBLE COMPANY"/>
    <x v="0"/>
    <n v="20"/>
  </r>
  <r>
    <n v="8001090718792"/>
    <s v="Miracle Moist Shampoo"/>
    <x v="355"/>
    <x v="1040"/>
    <s v="US"/>
    <s v="THE PROCTER &amp; GAMBLE COMPANY"/>
    <x v="2"/>
    <n v="1"/>
  </r>
  <r>
    <n v="8001841287256"/>
    <s v="Miracle Moist Conditioner"/>
    <x v="356"/>
    <x v="1040"/>
    <s v="US"/>
    <s v="THE PROCTER &amp; GAMBLE COMPANY"/>
    <x v="2"/>
    <n v="2"/>
  </r>
  <r>
    <n v="8001841990118"/>
    <s v="Champu Anticaspa Recarga"/>
    <x v="357"/>
    <x v="1041"/>
    <s v="US"/>
    <s v="THE PROCTER &amp; GAMBLE COMPANY"/>
    <x v="19"/>
    <n v="1"/>
  </r>
  <r>
    <n v="8002210128057"/>
    <s v="Organic Extra Virgin Olive Oil"/>
    <x v="35"/>
    <x v="1042"/>
    <s v="GB"/>
    <s v="FilippoBerio"/>
    <x v="2"/>
    <n v="1"/>
  </r>
  <r>
    <n v="8006540026557"/>
    <s v="Fairy Ultra Poder"/>
    <x v="14"/>
    <x v="299"/>
    <s v="US"/>
    <s v="THE PROCTER &amp; GAMBLE COMPANY"/>
    <x v="19"/>
    <n v="1"/>
  </r>
  <r>
    <n v="8006540299067"/>
    <s v="Fairy Maxi Poder"/>
    <x v="358"/>
    <x v="299"/>
    <s v="US"/>
    <s v="THE PROCTER &amp; GAMBLE COMPANY"/>
    <x v="19"/>
    <n v="1"/>
  </r>
  <r>
    <n v="80722205"/>
    <s v="Flovered Carbonated Soft drink"/>
    <x v="3"/>
    <x v="90"/>
    <s v="TZ"/>
    <s v="METL Group"/>
    <x v="7"/>
    <n v="1"/>
  </r>
  <r>
    <n v="80816690"/>
    <s v="Chocolate Bar"/>
    <x v="359"/>
    <x v="1043"/>
    <s v="LU"/>
    <s v="Ferrero"/>
    <x v="2"/>
    <n v="1"/>
  </r>
  <r>
    <n v="80922377"/>
    <s v="Agua Vumba"/>
    <x v="35"/>
    <x v="563"/>
    <s v="MZ"/>
    <s v="Sociedade Águas Vumba, SA"/>
    <x v="4"/>
    <n v="2728"/>
  </r>
  <r>
    <n v="810116120314"/>
    <s v="Tropical Punch"/>
    <x v="0"/>
    <x v="225"/>
    <s v="US"/>
    <s v="Congo Brands"/>
    <x v="1"/>
    <n v="1"/>
  </r>
  <r>
    <n v="810116120345"/>
    <s v="Lemon Lime"/>
    <x v="0"/>
    <x v="225"/>
    <s v="US"/>
    <s v="Congo Brands"/>
    <x v="1"/>
    <n v="1"/>
  </r>
  <r>
    <n v="810116120352"/>
    <s v="Blue Raspberry"/>
    <x v="0"/>
    <x v="225"/>
    <s v="US"/>
    <s v="Congo Brands"/>
    <x v="1"/>
    <n v="3"/>
  </r>
  <r>
    <n v="810116120369"/>
    <s v="Prime Hydration Drink"/>
    <x v="0"/>
    <x v="225"/>
    <s v="US"/>
    <s v="Congo Brands"/>
    <x v="1"/>
    <n v="2"/>
  </r>
  <r>
    <n v="810291001583"/>
    <s v="Chocolate chip cookies"/>
    <x v="16"/>
    <x v="1044"/>
    <s v="US"/>
    <s v="Mondelēz International, Inc."/>
    <x v="9"/>
    <n v="1"/>
  </r>
  <r>
    <n v="811620022248"/>
    <s v="High Protein Milkshake - Strawberry Banana"/>
    <x v="134"/>
    <x v="1045"/>
    <s v="US"/>
    <s v="Coca-Cola"/>
    <x v="12"/>
    <n v="1"/>
  </r>
  <r>
    <n v="811620022927"/>
    <s v="Milk"/>
    <x v="85"/>
    <x v="1046"/>
    <s v="US"/>
    <s v="Coca-Cola"/>
    <x v="1"/>
    <n v="4"/>
  </r>
  <r>
    <n v="8119261643580"/>
    <s v="Défrisant"/>
    <x v="145"/>
    <x v="1047"/>
    <s v="CD"/>
    <s v="Ghandour Cosmetics"/>
    <x v="10"/>
    <n v="2"/>
  </r>
  <r>
    <n v="8137020351101"/>
    <s v="Bel Cola"/>
    <x v="76"/>
    <x v="724"/>
    <s v="GH"/>
    <s v="Blow Group"/>
    <x v="6"/>
    <n v="18"/>
  </r>
  <r>
    <n v="813974024237"/>
    <s v="Hand Gel"/>
    <x v="108"/>
    <x v="1048"/>
    <s v="UK"/>
    <s v="UNKNOWN_ORG"/>
    <x v="2"/>
    <n v="1"/>
  </r>
  <r>
    <n v="817513015472"/>
    <s v="Nourishing conditioner"/>
    <x v="360"/>
    <x v="1049"/>
    <s v="US"/>
    <s v="PDC Brands"/>
    <x v="7"/>
    <n v="1"/>
  </r>
  <r>
    <n v="817939005118"/>
    <s v="French Lavender Plant-based hand wash"/>
    <x v="361"/>
    <x v="226"/>
    <s v="US"/>
    <s v="Method Products pbc"/>
    <x v="2"/>
    <n v="1"/>
  </r>
  <r>
    <n v="817939012413"/>
    <s v="non-toxic surface cleaner"/>
    <x v="26"/>
    <x v="226"/>
    <s v="US"/>
    <s v="Method Products pbc"/>
    <x v="2"/>
    <n v="1"/>
  </r>
  <r>
    <n v="8181351361438"/>
    <s v="Bigoo cocktail Drink"/>
    <x v="76"/>
    <x v="105"/>
    <s v="GH"/>
    <s v="Twellium Industry Limited"/>
    <x v="6"/>
    <n v="1"/>
  </r>
  <r>
    <n v="8242123456797"/>
    <s v="pot water"/>
    <x v="110"/>
    <x v="981"/>
    <s v="UG"/>
    <s v="HARMONY POT WATER LIMITED"/>
    <x v="5"/>
    <n v="3"/>
  </r>
  <r>
    <n v="8260924200234"/>
    <s v="mulondo extra"/>
    <x v="169"/>
    <x v="1050"/>
    <s v="UG"/>
    <s v="Kirungi"/>
    <x v="5"/>
    <n v="11"/>
  </r>
  <r>
    <n v="8261251806908"/>
    <s v="pineapple"/>
    <x v="76"/>
    <x v="581"/>
    <s v="MW"/>
    <s v="Rab Processors Ltd"/>
    <x v="3"/>
    <n v="1"/>
  </r>
  <r>
    <n v="83271991"/>
    <s v="Zero Lemon Lime"/>
    <x v="7"/>
    <x v="10"/>
    <s v="US"/>
    <s v="Pepsico, Inc"/>
    <x v="1"/>
    <n v="1"/>
  </r>
  <r>
    <n v="83334269"/>
    <s v="G-Zero Grape"/>
    <x v="7"/>
    <x v="10"/>
    <s v="US"/>
    <s v="Pepsico, Inc"/>
    <x v="1"/>
    <n v="1"/>
  </r>
  <r>
    <n v="8410055050011"/>
    <s v="Fontvella"/>
    <x v="0"/>
    <x v="497"/>
    <s v="FR"/>
    <s v="Danone S.A."/>
    <x v="19"/>
    <n v="3"/>
  </r>
  <r>
    <n v="8410055050011"/>
    <s v="Fontvella"/>
    <x v="0"/>
    <x v="497"/>
    <s v="FR"/>
    <s v="Danone S.A."/>
    <x v="2"/>
    <n v="1"/>
  </r>
  <r>
    <n v="8410055125023"/>
    <s v="Agua Mineral"/>
    <x v="156"/>
    <x v="1051"/>
    <s v="FR"/>
    <s v="Danone S.A."/>
    <x v="19"/>
    <n v="1"/>
  </r>
  <r>
    <n v="8410055150018"/>
    <s v="Agua Mineral Natural"/>
    <x v="35"/>
    <x v="1051"/>
    <s v="FR"/>
    <s v="Danone S.A."/>
    <x v="19"/>
    <n v="2"/>
  </r>
  <r>
    <n v="8410055501131"/>
    <s v="Mineral"/>
    <x v="362"/>
    <x v="1051"/>
    <s v="FR"/>
    <s v="Danone S.A."/>
    <x v="19"/>
    <n v="1"/>
  </r>
  <r>
    <n v="8410128000400"/>
    <s v="Agua Mineral"/>
    <x v="113"/>
    <x v="1052"/>
    <s v="ES"/>
    <s v="Calidad Pascual, S.A.U."/>
    <x v="19"/>
    <n v="1"/>
  </r>
  <r>
    <n v="8410128160074"/>
    <s v="Agua Mineral Natural"/>
    <x v="11"/>
    <x v="1052"/>
    <s v="ES"/>
    <s v="Calidad Pascual, S.A.U."/>
    <x v="19"/>
    <n v="4"/>
  </r>
  <r>
    <n v="8410128160319"/>
    <s v="Agua del Manantial Trescass"/>
    <x v="0"/>
    <x v="1052"/>
    <s v="ES"/>
    <s v="Calidad Pascual, S.A.U."/>
    <x v="19"/>
    <n v="2"/>
  </r>
  <r>
    <n v="8410128160623"/>
    <s v="Agua Mineral Natural"/>
    <x v="93"/>
    <x v="1052"/>
    <s v="ES"/>
    <s v="Calidad Pascual, S.A.U."/>
    <x v="19"/>
    <n v="1"/>
  </r>
  <r>
    <n v="8410171013273"/>
    <s v="Cloudy AppleJuice"/>
    <x v="48"/>
    <x v="450"/>
    <s v="UK"/>
    <s v="UNKNOWN_ORG"/>
    <x v="2"/>
    <n v="1"/>
  </r>
  <r>
    <n v="8410261607108"/>
    <s v="DON SIMON Multifrutas"/>
    <x v="22"/>
    <x v="1053"/>
    <s v="ES"/>
    <s v="J. García Carrión S.A."/>
    <x v="6"/>
    <n v="100"/>
  </r>
  <r>
    <n v="8410261641416"/>
    <s v="Naranja Simon life"/>
    <x v="113"/>
    <x v="1053"/>
    <s v="ES"/>
    <s v="J. García Carrión S.A."/>
    <x v="19"/>
    <n v="1"/>
  </r>
  <r>
    <n v="8410283333610"/>
    <s v="Limon"/>
    <x v="193"/>
    <x v="308"/>
    <s v="NG"/>
    <s v="Jotna Group"/>
    <x v="19"/>
    <n v="1"/>
  </r>
  <r>
    <n v="8410300361411"/>
    <s v="Tomato Mix"/>
    <x v="10"/>
    <x v="1054"/>
    <s v="ES"/>
    <s v="GBFoods"/>
    <x v="6"/>
    <n v="17"/>
  </r>
  <r>
    <n v="8410300361428"/>
    <s v="Gino Tomato Mix"/>
    <x v="88"/>
    <x v="1054"/>
    <s v="ES"/>
    <s v="GBFoods"/>
    <x v="6"/>
    <n v="151"/>
  </r>
  <r>
    <n v="8410300361435"/>
    <s v="Gino Tomato Seasoning Mix"/>
    <x v="151"/>
    <x v="1054"/>
    <s v="ES"/>
    <s v="GBFoods"/>
    <x v="6"/>
    <n v="1"/>
  </r>
  <r>
    <n v="8410300366645"/>
    <s v="Curry Powder"/>
    <x v="363"/>
    <x v="1054"/>
    <s v="ES"/>
    <s v="GBFoods"/>
    <x v="6"/>
    <n v="147"/>
  </r>
  <r>
    <n v="8410728100036"/>
    <s v="Lanjaron Sport"/>
    <x v="55"/>
    <x v="1055"/>
    <s v="FR"/>
    <s v="Danone S.A."/>
    <x v="19"/>
    <n v="2"/>
  </r>
  <r>
    <n v="8410728100036"/>
    <s v="Lanjaron Sport"/>
    <x v="55"/>
    <x v="1055"/>
    <s v="FR"/>
    <s v="Danone S.A."/>
    <x v="2"/>
    <n v="1"/>
  </r>
  <r>
    <n v="8410728180120"/>
    <s v="Agua de Sierra Nevada"/>
    <x v="35"/>
    <x v="1055"/>
    <s v="FR"/>
    <s v="Danone S.A."/>
    <x v="19"/>
    <n v="8"/>
  </r>
  <r>
    <n v="8410728180120"/>
    <s v="Agua de Sierra Nevada"/>
    <x v="35"/>
    <x v="1055"/>
    <s v="FR"/>
    <s v="Danone S.A."/>
    <x v="2"/>
    <n v="2"/>
  </r>
  <r>
    <n v="8410728700106"/>
    <s v="Mineral Water"/>
    <x v="0"/>
    <x v="1055"/>
    <s v="FR"/>
    <s v="Danone S.A."/>
    <x v="19"/>
    <n v="2"/>
  </r>
  <r>
    <n v="8410728700106"/>
    <s v="Mineral Water"/>
    <x v="0"/>
    <x v="1055"/>
    <s v="FR"/>
    <s v="Danone S.A."/>
    <x v="2"/>
    <n v="5"/>
  </r>
  <r>
    <n v="8410728700106"/>
    <s v="Mineral Water"/>
    <x v="0"/>
    <x v="1055"/>
    <s v="FR"/>
    <s v="Danone S.A."/>
    <x v="12"/>
    <n v="1"/>
  </r>
  <r>
    <n v="8410739033002"/>
    <s v="Agua Mineral Natural"/>
    <x v="93"/>
    <x v="1056"/>
    <s v="ES"/>
    <s v="Vichy Catalan Corporation"/>
    <x v="19"/>
    <n v="2"/>
  </r>
  <r>
    <n v="8410739066000"/>
    <s v="Agua Mineral Natural"/>
    <x v="0"/>
    <x v="1056"/>
    <s v="ES"/>
    <s v="Vichy Catalan Corporation"/>
    <x v="19"/>
    <n v="1"/>
  </r>
  <r>
    <n v="8410739066000"/>
    <s v="Agua Mineral Natural"/>
    <x v="0"/>
    <x v="1056"/>
    <s v="ES"/>
    <s v="Vichy Catalan Corporation"/>
    <x v="3"/>
    <n v="64"/>
  </r>
  <r>
    <n v="8410881000013"/>
    <s v="Mineral Natural"/>
    <x v="113"/>
    <x v="1057"/>
    <s v="ES"/>
    <s v="Fontecelta S.A."/>
    <x v="19"/>
    <n v="1"/>
  </r>
  <r>
    <n v="8411002101503"/>
    <s v="Água mineral natural. Montseny"/>
    <x v="59"/>
    <x v="1058"/>
    <s v="CH"/>
    <s v="Nestlé S.A."/>
    <x v="19"/>
    <n v="2"/>
  </r>
  <r>
    <n v="8411002101800"/>
    <s v="Agua mineral natural"/>
    <x v="93"/>
    <x v="1058"/>
    <s v="CH"/>
    <s v="Nestlé S.A."/>
    <x v="19"/>
    <n v="1"/>
  </r>
  <r>
    <n v="8414227057655"/>
    <s v="Liquid Soap"/>
    <x v="0"/>
    <x v="1021"/>
    <s v="UK"/>
    <s v="UNKNOWN_ORG"/>
    <x v="4"/>
    <n v="1"/>
  </r>
  <r>
    <n v="8414493960000"/>
    <s v="Agua Mineral Natural"/>
    <x v="74"/>
    <x v="103"/>
    <s v="ES"/>
    <s v="AGUA MINERAL CRISTALINA, S.L."/>
    <x v="19"/>
    <n v="1"/>
  </r>
  <r>
    <n v="8414493960024"/>
    <s v="Monssalus"/>
    <x v="35"/>
    <x v="103"/>
    <s v="ES"/>
    <s v="AGUA MINERAL CRISTALINA, S.L."/>
    <x v="19"/>
    <n v="5"/>
  </r>
  <r>
    <n v="8414493960024"/>
    <s v="Monssalus"/>
    <x v="35"/>
    <x v="103"/>
    <s v="ES"/>
    <s v="AGUA MINERAL CRISTALINA, S.L."/>
    <x v="2"/>
    <n v="2"/>
  </r>
  <r>
    <n v="8414493960031"/>
    <s v="Agua Mineral"/>
    <x v="0"/>
    <x v="103"/>
    <s v="ES"/>
    <s v="AGUA MINERAL CRISTALINA, S.L."/>
    <x v="19"/>
    <n v="6"/>
  </r>
  <r>
    <n v="8414493960048"/>
    <s v="Agua Mineral Natural"/>
    <x v="93"/>
    <x v="103"/>
    <s v="ES"/>
    <s v="AGUA MINERAL CRISTALINA, S.L."/>
    <x v="19"/>
    <n v="1"/>
  </r>
  <r>
    <n v="8414493960048"/>
    <s v="Agua Mineral Natural"/>
    <x v="93"/>
    <x v="103"/>
    <s v="ES"/>
    <s v="AGUA MINERAL CRISTALINA, S.L."/>
    <x v="5"/>
    <n v="1"/>
  </r>
  <r>
    <n v="8423537016856"/>
    <s v="Gel citronela"/>
    <x v="17"/>
    <x v="1059"/>
    <s v="ES"/>
    <s v="Amahogar"/>
    <x v="6"/>
    <n v="48"/>
  </r>
  <r>
    <n v="8428294001022"/>
    <s v="Agua Mineral Natural"/>
    <x v="35"/>
    <x v="990"/>
    <s v="UK"/>
    <s v="UNKNOWN_ORG"/>
    <x v="19"/>
    <n v="3"/>
  </r>
  <r>
    <n v="8428294001022"/>
    <s v="Agua Mineral Natural"/>
    <x v="35"/>
    <x v="990"/>
    <s v="UK"/>
    <s v="UNKNOWN_ORG"/>
    <x v="2"/>
    <n v="1"/>
  </r>
  <r>
    <n v="8428294001022"/>
    <s v="Agua Mineral Natural"/>
    <x v="35"/>
    <x v="990"/>
    <s v="UK"/>
    <s v="UNKNOWN_ORG"/>
    <x v="4"/>
    <n v="1"/>
  </r>
  <r>
    <n v="8431876267259"/>
    <s v="Agua Mineral Natural"/>
    <x v="55"/>
    <x v="1057"/>
    <s v="ES"/>
    <s v="Fontecelta S.A."/>
    <x v="19"/>
    <n v="3"/>
  </r>
  <r>
    <n v="8431876296006"/>
    <s v="Tarta de Queso"/>
    <x v="69"/>
    <x v="279"/>
    <s v="FR"/>
    <s v="Carrefour"/>
    <x v="19"/>
    <n v="1"/>
  </r>
  <r>
    <n v="8431876296679"/>
    <s v="Leche Fresca Semidesnatada"/>
    <x v="13"/>
    <x v="279"/>
    <s v="FR"/>
    <s v="Carrefour"/>
    <x v="19"/>
    <n v="4"/>
  </r>
  <r>
    <n v="8431876304022"/>
    <s v="Yogur Líquido Fresa y Plátano"/>
    <x v="13"/>
    <x v="279"/>
    <s v="FR"/>
    <s v="Carrefour"/>
    <x v="19"/>
    <n v="1"/>
  </r>
  <r>
    <n v="8431876304022"/>
    <s v="Yogur Líquido Fresa y Plátano"/>
    <x v="13"/>
    <x v="279"/>
    <s v="FR"/>
    <s v="Carrefour"/>
    <x v="3"/>
    <n v="61"/>
  </r>
  <r>
    <n v="8435185960658"/>
    <s v="Boisson Gazeuse"/>
    <x v="93"/>
    <x v="228"/>
    <s v="JP"/>
    <s v="Suntory Holdings Limited"/>
    <x v="10"/>
    <n v="27"/>
  </r>
  <r>
    <n v="8435185960665"/>
    <s v="Boisson Gazeuse"/>
    <x v="364"/>
    <x v="228"/>
    <s v="JP"/>
    <s v="Suntory Holdings Limited"/>
    <x v="10"/>
    <n v="7"/>
  </r>
  <r>
    <n v="8435185961914"/>
    <s v="Planet Pamplemousse Soft drink"/>
    <x v="22"/>
    <x v="230"/>
    <s v="US"/>
    <s v="Monarch Beverage Company Inc"/>
    <x v="13"/>
    <n v="34"/>
  </r>
  <r>
    <n v="8437002889036"/>
    <s v="Agua"/>
    <x v="35"/>
    <x v="1060"/>
    <s v="UK"/>
    <s v="UNKNOWN_ORG"/>
    <x v="19"/>
    <n v="3"/>
  </r>
  <r>
    <n v="8437003111501"/>
    <s v="Agua Mineral Natural con gas"/>
    <x v="35"/>
    <x v="1061"/>
    <s v="ES"/>
    <s v="Importaco S.A."/>
    <x v="19"/>
    <n v="7"/>
  </r>
  <r>
    <n v="8480000052506"/>
    <s v="Zumo de Naranja"/>
    <x v="48"/>
    <x v="1062"/>
    <s v="ES"/>
    <s v="MERCADONA, S.A."/>
    <x v="19"/>
    <n v="1"/>
  </r>
  <r>
    <n v="8480000399656"/>
    <s v="Gazpacho Fresco"/>
    <x v="93"/>
    <x v="1062"/>
    <s v="ES"/>
    <s v="MERCADONA, S.A."/>
    <x v="19"/>
    <n v="1"/>
  </r>
  <r>
    <n v="8480000430243"/>
    <s v="Lejía Detergente Desinfectante"/>
    <x v="12"/>
    <x v="1062"/>
    <s v="ES"/>
    <s v="MERCADONA, S.A."/>
    <x v="19"/>
    <n v="1"/>
  </r>
  <r>
    <n v="8480000430281"/>
    <s v="Gel WC desinfectante"/>
    <x v="13"/>
    <x v="1062"/>
    <s v="ES"/>
    <s v="MERCADONA, S.A."/>
    <x v="19"/>
    <n v="1"/>
  </r>
  <r>
    <n v="8480000430892"/>
    <s v="Baños Casa de Banho"/>
    <x v="55"/>
    <x v="1062"/>
    <s v="ES"/>
    <s v="MERCADONA, S.A."/>
    <x v="19"/>
    <n v="1"/>
  </r>
  <r>
    <n v="8480000431134"/>
    <s v="Gel WC Lejía"/>
    <x v="13"/>
    <x v="1062"/>
    <s v="ES"/>
    <s v="MERCADONA, S.A."/>
    <x v="19"/>
    <n v="1"/>
  </r>
  <r>
    <n v="8480000434968"/>
    <s v="Gel Limpiador Baños"/>
    <x v="35"/>
    <x v="1062"/>
    <s v="ES"/>
    <s v="MERCADONA, S.A."/>
    <x v="19"/>
    <n v="1"/>
  </r>
  <r>
    <n v="8480000440198"/>
    <s v="Desinfectante Multiusos"/>
    <x v="55"/>
    <x v="1062"/>
    <s v="ES"/>
    <s v="MERCADONA, S.A."/>
    <x v="19"/>
    <n v="1"/>
  </r>
  <r>
    <n v="8480000442628"/>
    <s v="Limpiarhogar desinfectante"/>
    <x v="35"/>
    <x v="1062"/>
    <s v="ES"/>
    <s v="MERCADONA, S.A."/>
    <x v="19"/>
    <n v="1"/>
  </r>
  <r>
    <n v="8480000452047"/>
    <s v="Gel shampoo"/>
    <x v="48"/>
    <x v="1062"/>
    <s v="ES"/>
    <s v="MERCADONA, S.A."/>
    <x v="19"/>
    <n v="1"/>
  </r>
  <r>
    <n v="8480000792013"/>
    <s v="Aloe Vera Loción"/>
    <x v="14"/>
    <x v="1062"/>
    <s v="ES"/>
    <s v="MERCADONA, S.A."/>
    <x v="19"/>
    <n v="1"/>
  </r>
  <r>
    <n v="8480000792013"/>
    <s v="Aloe Vera Loción"/>
    <x v="14"/>
    <x v="1062"/>
    <s v="ES"/>
    <s v="MERCADONA, S.A."/>
    <x v="5"/>
    <n v="10"/>
  </r>
  <r>
    <n v="8480000905055"/>
    <s v="Agua Destilada"/>
    <x v="12"/>
    <x v="1062"/>
    <s v="ES"/>
    <s v="MERCADONA, S.A."/>
    <x v="19"/>
    <n v="1"/>
  </r>
  <r>
    <n v="850040427066"/>
    <s v="Ice Pop"/>
    <x v="0"/>
    <x v="225"/>
    <s v="US"/>
    <s v="Congo Brands"/>
    <x v="2"/>
    <n v="1"/>
  </r>
  <r>
    <n v="850979001290"/>
    <s v="Kiwi Essence Anti-Bacterial Hand Soap"/>
    <x v="0"/>
    <x v="1063"/>
    <s v="UK"/>
    <s v="UNKNOWN_ORG"/>
    <x v="2"/>
    <n v="1"/>
  </r>
  <r>
    <n v="851276006087"/>
    <s v="Cola"/>
    <x v="342"/>
    <x v="230"/>
    <s v="US"/>
    <s v="Monarch Beverage Company Inc"/>
    <x v="17"/>
    <n v="1"/>
  </r>
  <r>
    <n v="85310032"/>
    <s v="Eau Minérale"/>
    <x v="105"/>
    <x v="85"/>
    <s v="CM"/>
    <s v="Source du Pays S.A"/>
    <x v="13"/>
    <n v="4"/>
  </r>
  <r>
    <n v="853148003002"/>
    <s v="Eau Minérale"/>
    <x v="35"/>
    <x v="85"/>
    <s v="CM"/>
    <s v="Source du Pays S.A"/>
    <x v="13"/>
    <n v="37"/>
  </r>
  <r>
    <n v="853148003019"/>
    <s v="Eau Minerale"/>
    <x v="0"/>
    <x v="85"/>
    <s v="CM"/>
    <s v="Source du Pays S.A"/>
    <x v="13"/>
    <n v="1"/>
  </r>
  <r>
    <n v="8531480032486"/>
    <s v="Tonic"/>
    <x v="76"/>
    <x v="231"/>
    <s v="US"/>
    <s v="Monarch Beverage Company Inc"/>
    <x v="13"/>
    <n v="1"/>
  </r>
  <r>
    <n v="853148003286"/>
    <s v="Eau minérale"/>
    <x v="105"/>
    <x v="85"/>
    <s v="CM"/>
    <s v="Source du Pays S.A"/>
    <x v="13"/>
    <n v="3"/>
  </r>
  <r>
    <n v="853148003354"/>
    <s v="Bouteille gazeuse"/>
    <x v="93"/>
    <x v="230"/>
    <s v="US"/>
    <s v="Monarch Beverage Company Inc"/>
    <x v="13"/>
    <n v="1"/>
  </r>
  <r>
    <n v="8589509507002"/>
    <s v="eau minérale"/>
    <x v="313"/>
    <x v="1064"/>
    <s v="CD"/>
    <s v="WB&amp;F"/>
    <x v="10"/>
    <n v="6"/>
  </r>
  <r>
    <n v="8589509507026"/>
    <s v="eau minérale"/>
    <x v="120"/>
    <x v="1064"/>
    <s v="CD"/>
    <s v="WB&amp;F"/>
    <x v="10"/>
    <n v="7"/>
  </r>
  <r>
    <n v="8589509508726"/>
    <s v="eau de pure"/>
    <x v="3"/>
    <x v="1064"/>
    <s v="CD"/>
    <s v="WB&amp;F"/>
    <x v="10"/>
    <n v="1"/>
  </r>
  <r>
    <n v="8600828002020"/>
    <s v="Oba Makarna Pasta"/>
    <x v="66"/>
    <x v="152"/>
    <s v="TR"/>
    <s v="OBA MAKARNACILIK SAN. VE TIC. A.Ş."/>
    <x v="6"/>
    <n v="50"/>
  </r>
  <r>
    <n v="8681608222579"/>
    <s v="Goat Milk Extract Hand Soap"/>
    <x v="0"/>
    <x v="1065"/>
    <s v="TR"/>
    <s v="Smile Diş Ticaret Anonim Şirketi"/>
    <x v="4"/>
    <n v="1"/>
  </r>
  <r>
    <n v="8681608222586"/>
    <s v="Olive Oil Hand Soap"/>
    <x v="0"/>
    <x v="1065"/>
    <s v="TR"/>
    <s v="Smile Diş Ticaret Anonim Şirketi"/>
    <x v="4"/>
    <n v="1"/>
  </r>
  <r>
    <n v="8681608222593"/>
    <s v="Hand Soap Lemon Extract"/>
    <x v="0"/>
    <x v="1065"/>
    <s v="TR"/>
    <s v="Smile Diş Ticaret Anonim Şirketi"/>
    <x v="4"/>
    <n v="1"/>
  </r>
  <r>
    <n v="8681608224818"/>
    <s v="Antiseptic 70% Alcohol Spray"/>
    <x v="108"/>
    <x v="1065"/>
    <s v="TR"/>
    <s v="Smile Diş Ticaret Anonim Şirketi"/>
    <x v="4"/>
    <n v="1"/>
  </r>
  <r>
    <n v="8681771361365"/>
    <s v="jambo"/>
    <x v="125"/>
    <x v="1066"/>
    <s v="RW"/>
    <s v="Eri Rwanda Ltd"/>
    <x v="12"/>
    <n v="14"/>
  </r>
  <r>
    <n v="8690506028145"/>
    <s v="natural herbal soap"/>
    <x v="66"/>
    <x v="1067"/>
    <s v="US"/>
    <s v="Evyap America, Inc."/>
    <x v="12"/>
    <n v="5"/>
  </r>
  <r>
    <n v="8690536013166"/>
    <s v="Papier Mouchoirs"/>
    <x v="73"/>
    <x v="1068"/>
    <s v="TR"/>
    <s v="HAYAT"/>
    <x v="10"/>
    <n v="9"/>
  </r>
  <r>
    <n v="8690828000010"/>
    <s v="OBA Makarna"/>
    <x v="4"/>
    <x v="152"/>
    <s v="TR"/>
    <s v="OBA MAKARNACILIK SAN. VE TIC. A.Ş."/>
    <x v="6"/>
    <n v="1"/>
  </r>
  <r>
    <n v="8690828009020"/>
    <s v="Oba Makarna"/>
    <x v="66"/>
    <x v="152"/>
    <s v="TR"/>
    <s v="OBA MAKARNACILIK SAN. VE TIC. A.Ş."/>
    <x v="6"/>
    <n v="86"/>
  </r>
  <r>
    <n v="8690937006491"/>
    <s v="Shower Gel"/>
    <x v="0"/>
    <x v="1069"/>
    <s v="TR"/>
    <s v="Hobi Kozmetik"/>
    <x v="0"/>
    <n v="17"/>
  </r>
  <r>
    <n v="8691313010248"/>
    <s v="Orkide sunflower oil"/>
    <x v="22"/>
    <x v="1070"/>
    <s v="TR"/>
    <s v="Kucukbay Oil and Detergent Inc."/>
    <x v="6"/>
    <n v="49"/>
  </r>
  <r>
    <n v="8691321445186"/>
    <s v="Sunflower Oil"/>
    <x v="338"/>
    <x v="1071"/>
    <s v="UK"/>
    <s v="UNKNOWN_ORG"/>
    <x v="12"/>
    <n v="1"/>
  </r>
  <r>
    <n v="8691321901019"/>
    <s v="Yonca Sunflower Oil"/>
    <x v="22"/>
    <x v="1071"/>
    <s v="UK"/>
    <s v="UNKNOWN_ORG"/>
    <x v="12"/>
    <n v="4"/>
  </r>
  <r>
    <n v="8692857013306"/>
    <s v="Liquid Hand Wash"/>
    <x v="0"/>
    <x v="1072"/>
    <s v="UK"/>
    <s v="UNKNOWN_ORG"/>
    <x v="4"/>
    <n v="2"/>
  </r>
  <r>
    <n v="8692857014105"/>
    <s v="Liquid Soap Vanilla"/>
    <x v="0"/>
    <x v="1072"/>
    <s v="UK"/>
    <s v="UNKNOWN_ORG"/>
    <x v="4"/>
    <n v="1"/>
  </r>
  <r>
    <n v="8693275000114"/>
    <s v="Sunflower seed oil"/>
    <x v="242"/>
    <x v="1073"/>
    <s v="TR"/>
    <s v="Cotanak Sunflower Oil"/>
    <x v="4"/>
    <n v="14"/>
  </r>
  <r>
    <n v="8693275000114"/>
    <s v="Sunflower seed oil"/>
    <x v="242"/>
    <x v="1073"/>
    <s v="TR"/>
    <s v="Cotanak Sunflower Oil"/>
    <x v="7"/>
    <n v="1"/>
  </r>
  <r>
    <n v="8693593102545"/>
    <s v="Hayat"/>
    <x v="0"/>
    <x v="497"/>
    <s v="FR"/>
    <s v="Danone S.A."/>
    <x v="11"/>
    <n v="1"/>
  </r>
  <r>
    <n v="8697420532529"/>
    <s v="Antibacterial Wet Wipes"/>
    <x v="274"/>
    <x v="1074"/>
    <s v="TR"/>
    <s v="Arsan Kimya"/>
    <x v="4"/>
    <n v="1"/>
  </r>
  <r>
    <n v="8697420532543"/>
    <s v="Premium Quality Wet Wipes"/>
    <x v="365"/>
    <x v="1074"/>
    <s v="TR"/>
    <s v="Arsan Kimya"/>
    <x v="4"/>
    <n v="1"/>
  </r>
  <r>
    <n v="8698726781772"/>
    <s v="Golden pineapple flavoured instant drink"/>
    <x v="73"/>
    <x v="1075"/>
    <s v="TR"/>
    <s v="Beşem Gıda Sanayi Ve Ticaret Limited Sirketi"/>
    <x v="6"/>
    <n v="18"/>
  </r>
  <r>
    <n v="8698726782694"/>
    <s v="Golden Cup Lemon Flavoured Instant Drink"/>
    <x v="73"/>
    <x v="1075"/>
    <s v="TR"/>
    <s v="Beşem Gıda Sanayi Ve Ticaret Limited Sirketi"/>
    <x v="6"/>
    <n v="12"/>
  </r>
  <r>
    <n v="8698726783769"/>
    <s v="Golden Cup Banana Flavoured Instant Drink"/>
    <x v="73"/>
    <x v="1075"/>
    <s v="TR"/>
    <s v="Beşem Gıda Sanayi Ve Ticaret Limited Sirketi"/>
    <x v="6"/>
    <n v="35"/>
  </r>
  <r>
    <n v="8698726785541"/>
    <s v="Golden Cup Coconut Flavoured Instant Drink"/>
    <x v="73"/>
    <x v="1075"/>
    <s v="TR"/>
    <s v="Beşem Gıda Sanayi Ve Ticaret Limited Sirketi"/>
    <x v="6"/>
    <n v="47"/>
  </r>
  <r>
    <n v="8698726786128"/>
    <s v="Golden Cup Ginger Flavoured Instant Drink"/>
    <x v="73"/>
    <x v="1075"/>
    <s v="TR"/>
    <s v="Beşem Gıda Sanayi Ve Ticaret Limited Sirketi"/>
    <x v="6"/>
    <n v="24"/>
  </r>
  <r>
    <n v="8698726786647"/>
    <s v="Golden pineapple flavoured instant drink"/>
    <x v="73"/>
    <x v="1075"/>
    <s v="TR"/>
    <s v="Beşem Gıda Sanayi Ve Ticaret Limited Sirketi"/>
    <x v="6"/>
    <n v="11"/>
  </r>
  <r>
    <n v="8699415020202"/>
    <s v="Hand Sanitizer Gel"/>
    <x v="108"/>
    <x v="1076"/>
    <s v="UK"/>
    <s v="UNKNOWN_ORG"/>
    <x v="4"/>
    <n v="17"/>
  </r>
  <r>
    <n v="8699415023005"/>
    <s v="Gel de Banho"/>
    <x v="366"/>
    <x v="1076"/>
    <s v="UK"/>
    <s v="UNKNOWN_ORG"/>
    <x v="4"/>
    <n v="1"/>
  </r>
  <r>
    <n v="8710908778230"/>
    <s v="body lotion"/>
    <x v="14"/>
    <x v="343"/>
    <s v="GB"/>
    <s v="Unilever Plc"/>
    <x v="2"/>
    <n v="1"/>
  </r>
  <r>
    <n v="8710908914263"/>
    <s v="Limao Ice Tea"/>
    <x v="0"/>
    <x v="296"/>
    <s v="GB"/>
    <s v="Unilever Plc"/>
    <x v="35"/>
    <n v="1"/>
  </r>
  <r>
    <n v="8711700841252"/>
    <s v="Cream"/>
    <x v="14"/>
    <x v="343"/>
    <s v="GB"/>
    <s v="Unilever Plc"/>
    <x v="12"/>
    <n v="1"/>
  </r>
  <r>
    <n v="8712000900663"/>
    <s v="Heineken"/>
    <x v="158"/>
    <x v="1077"/>
    <s v="NL"/>
    <s v="Heineken N.V."/>
    <x v="7"/>
    <n v="12"/>
  </r>
  <r>
    <n v="8712100382086"/>
    <s v="Aromat"/>
    <x v="367"/>
    <x v="1078"/>
    <s v="GB"/>
    <s v="Unilever Plc"/>
    <x v="12"/>
    <n v="4"/>
  </r>
  <r>
    <n v="8712561645690"/>
    <s v="Pistachio &amp; Magnolia Cream"/>
    <x v="0"/>
    <x v="343"/>
    <s v="GB"/>
    <s v="Unilever Plc"/>
    <x v="12"/>
    <n v="2"/>
  </r>
  <r>
    <n v="8712561790017"/>
    <s v="Deeply Nourishing Body Wash"/>
    <x v="368"/>
    <x v="343"/>
    <s v="GB"/>
    <s v="Unilever Plc"/>
    <x v="2"/>
    <n v="1"/>
  </r>
  <r>
    <n v="8712561899246"/>
    <s v="Foam Bath karite e vaniglia"/>
    <x v="369"/>
    <x v="343"/>
    <s v="GB"/>
    <s v="Unilever Plc"/>
    <x v="4"/>
    <n v="1"/>
  </r>
  <r>
    <n v="87126037"/>
    <s v="Coca cola"/>
    <x v="3"/>
    <x v="1"/>
    <s v="US"/>
    <s v="Coca-Cola"/>
    <x v="3"/>
    <n v="11"/>
  </r>
  <r>
    <n v="87126037"/>
    <s v="Coca cola"/>
    <x v="3"/>
    <x v="1"/>
    <s v="US"/>
    <s v="Coca-Cola"/>
    <x v="4"/>
    <n v="1"/>
  </r>
  <r>
    <n v="8714789898759"/>
    <s v="Shower Gel Dry Skin"/>
    <x v="0"/>
    <x v="1079"/>
    <s v="UK"/>
    <s v="UNKNOWN_ORG"/>
    <x v="4"/>
    <n v="1"/>
  </r>
  <r>
    <n v="8714800011426"/>
    <s v="Bavaria Flavoured Malt Drink"/>
    <x v="0"/>
    <x v="1080"/>
    <s v="UK"/>
    <s v="UNKNOWN_ORG"/>
    <x v="12"/>
    <n v="1"/>
  </r>
  <r>
    <n v="8714800035965"/>
    <s v="boisson non alcoolisée"/>
    <x v="48"/>
    <x v="1080"/>
    <s v="UK"/>
    <s v="UNKNOWN_ORG"/>
    <x v="10"/>
    <n v="14"/>
  </r>
  <r>
    <n v="8715035110809"/>
    <s v="Kikkoman Naturally Brewed Soy Sauce"/>
    <x v="13"/>
    <x v="1081"/>
    <s v="UK"/>
    <s v="UNKNOWN_ORG"/>
    <x v="2"/>
    <n v="1"/>
  </r>
  <r>
    <n v="8715600244427"/>
    <s v="Pepsi"/>
    <x v="0"/>
    <x v="51"/>
    <s v="US"/>
    <s v="Pepsico, Inc"/>
    <x v="2"/>
    <n v="1"/>
  </r>
  <r>
    <n v="87157635"/>
    <s v="Tomato Ketchup"/>
    <x v="3"/>
    <x v="362"/>
    <s v="US"/>
    <s v="Kraft Heinz Foods Company"/>
    <x v="2"/>
    <n v="1"/>
  </r>
  <r>
    <n v="87158304"/>
    <s v="Fine Salt"/>
    <x v="67"/>
    <x v="1082"/>
    <s v="NL"/>
    <s v="Hengelo Salt Specialities B.V."/>
    <x v="12"/>
    <n v="19"/>
  </r>
  <r>
    <n v="87170788"/>
    <s v="Pepsi Max"/>
    <x v="0"/>
    <x v="51"/>
    <s v="US"/>
    <s v="Pepsico, Inc"/>
    <x v="2"/>
    <n v="5"/>
  </r>
  <r>
    <n v="87170795"/>
    <s v="Diet Pepsi"/>
    <x v="93"/>
    <x v="51"/>
    <s v="US"/>
    <s v="Pepsico, Inc"/>
    <x v="2"/>
    <n v="1"/>
  </r>
  <r>
    <n v="87171372"/>
    <s v="Gatorade Carbonated Sports Drink"/>
    <x v="0"/>
    <x v="10"/>
    <s v="US"/>
    <s v="Pepsico, Inc"/>
    <x v="1"/>
    <n v="4"/>
  </r>
  <r>
    <n v="87171372"/>
    <s v="Gatorade Carbonated Sports Drink"/>
    <x v="0"/>
    <x v="10"/>
    <s v="US"/>
    <s v="Pepsico, Inc"/>
    <x v="2"/>
    <n v="2"/>
  </r>
  <r>
    <n v="87171372"/>
    <s v="Gatorade Carbonated Sports Drink"/>
    <x v="0"/>
    <x v="10"/>
    <s v="US"/>
    <s v="Pepsico, Inc"/>
    <x v="5"/>
    <n v="5"/>
  </r>
  <r>
    <n v="8717399841658"/>
    <s v="Mineral Water Still"/>
    <x v="176"/>
    <x v="1083"/>
    <s v="CD"/>
    <s v="Global Drink Service"/>
    <x v="10"/>
    <n v="3"/>
  </r>
  <r>
    <n v="8717399841665"/>
    <s v="mineral water classic"/>
    <x v="176"/>
    <x v="1083"/>
    <s v="CD"/>
    <s v="Global Drink Service"/>
    <x v="10"/>
    <n v="8"/>
  </r>
  <r>
    <n v="8718951312531"/>
    <s v="Sensation White"/>
    <x v="370"/>
    <x v="462"/>
    <s v="US"/>
    <s v="Colgate-Palmolive Company"/>
    <x v="2"/>
    <n v="1"/>
  </r>
  <r>
    <n v="8720182010827"/>
    <s v="Asia Noodles Duck Taste"/>
    <x v="371"/>
    <x v="1078"/>
    <s v="GB"/>
    <s v="Unilever Plc"/>
    <x v="4"/>
    <n v="1"/>
  </r>
  <r>
    <n v="87303322"/>
    <s v="Drinking Water"/>
    <x v="0"/>
    <x v="150"/>
    <s v="US"/>
    <s v="Coca-Cola"/>
    <x v="10"/>
    <n v="11"/>
  </r>
  <r>
    <n v="87303322"/>
    <s v="Drinking Water"/>
    <x v="0"/>
    <x v="150"/>
    <s v="US"/>
    <s v="Coca-Cola"/>
    <x v="0"/>
    <n v="373"/>
  </r>
  <r>
    <n v="87303322"/>
    <s v="Drinking Water"/>
    <x v="0"/>
    <x v="150"/>
    <s v="US"/>
    <s v="Coca-Cola"/>
    <x v="7"/>
    <n v="120"/>
  </r>
  <r>
    <n v="8791820101061"/>
    <s v="Lotion"/>
    <x v="142"/>
    <x v="1084"/>
    <s v="CD"/>
    <s v="Dover Cosmetics Ltd"/>
    <x v="10"/>
    <n v="21"/>
  </r>
  <r>
    <n v="8791820101078"/>
    <s v="lotion"/>
    <x v="45"/>
    <x v="1084"/>
    <s v="CD"/>
    <s v="Dover Cosmetics Ltd"/>
    <x v="10"/>
    <n v="2"/>
  </r>
  <r>
    <n v="8791820101344"/>
    <s v="Dove Cosmetic LTD"/>
    <x v="155"/>
    <x v="1085"/>
    <s v="CD"/>
    <s v="Dover Cosmetics Ltd"/>
    <x v="10"/>
    <n v="1"/>
  </r>
  <r>
    <n v="8791920011024"/>
    <s v="Eau de Source"/>
    <x v="35"/>
    <x v="83"/>
    <s v="CD"/>
    <s v="Swissta RDC S.A.R.L"/>
    <x v="10"/>
    <n v="41"/>
  </r>
  <r>
    <n v="8791920011048"/>
    <s v="Eau de Source"/>
    <x v="24"/>
    <x v="83"/>
    <s v="CD"/>
    <s v="Swissta RDC S.A.R.L"/>
    <x v="10"/>
    <n v="509"/>
  </r>
  <r>
    <n v="8791920011055"/>
    <s v="Eau de Source"/>
    <x v="55"/>
    <x v="83"/>
    <s v="CD"/>
    <s v="Swissta RDC S.A.R.L"/>
    <x v="10"/>
    <n v="3465"/>
  </r>
  <r>
    <n v="8791920011086"/>
    <s v="Eau naturelle"/>
    <x v="82"/>
    <x v="83"/>
    <s v="CD"/>
    <s v="Swissta RDC S.A.R.L"/>
    <x v="10"/>
    <n v="6"/>
  </r>
  <r>
    <n v="8791920011239"/>
    <s v="Lotion"/>
    <x v="43"/>
    <x v="252"/>
    <s v="CD"/>
    <s v="Dover Cosmetics Ltd"/>
    <x v="10"/>
    <n v="3"/>
  </r>
  <r>
    <n v="8791920021009"/>
    <s v="jus d'orange"/>
    <x v="14"/>
    <x v="82"/>
    <s v="CD"/>
    <s v="Swissta RDC S.A.R.L"/>
    <x v="10"/>
    <n v="187"/>
  </r>
  <r>
    <n v="8791920021016"/>
    <s v="Boisson Energisante"/>
    <x v="14"/>
    <x v="82"/>
    <s v="CD"/>
    <s v="Swissta RDC S.A.R.L"/>
    <x v="10"/>
    <n v="82"/>
  </r>
  <r>
    <n v="8791920021023"/>
    <s v="Ananas"/>
    <x v="14"/>
    <x v="82"/>
    <s v="CD"/>
    <s v="Swissta RDC S.A.R.L"/>
    <x v="10"/>
    <n v="69"/>
  </r>
  <r>
    <n v="8791920021030"/>
    <s v="Grenadine"/>
    <x v="14"/>
    <x v="82"/>
    <s v="CD"/>
    <s v="Swissta RDC S.A.R.L"/>
    <x v="10"/>
    <n v="112"/>
  </r>
  <r>
    <n v="8791920021054"/>
    <s v="Tangawisi"/>
    <x v="111"/>
    <x v="82"/>
    <s v="CD"/>
    <s v="Swissta RDC S.A.R.L"/>
    <x v="10"/>
    <n v="9"/>
  </r>
  <r>
    <n v="8791920021061"/>
    <s v="jus cola"/>
    <x v="14"/>
    <x v="82"/>
    <s v="CD"/>
    <s v="Swissta RDC S.A.R.L"/>
    <x v="10"/>
    <n v="17"/>
  </r>
  <r>
    <n v="8791920021214"/>
    <s v="Orange"/>
    <x v="23"/>
    <x v="82"/>
    <s v="CD"/>
    <s v="Swissta RDC S.A.R.L"/>
    <x v="10"/>
    <n v="4"/>
  </r>
  <r>
    <n v="8791920021221"/>
    <s v="Cola"/>
    <x v="23"/>
    <x v="82"/>
    <s v="CD"/>
    <s v="Swissta RDC S.A.R.L"/>
    <x v="10"/>
    <n v="4"/>
  </r>
  <r>
    <n v="8791920021405"/>
    <s v="Boisson Energisante"/>
    <x v="14"/>
    <x v="82"/>
    <s v="CD"/>
    <s v="Swissta RDC S.A.R.L"/>
    <x v="10"/>
    <n v="202"/>
  </r>
  <r>
    <n v="8791920021504"/>
    <s v="Eau Gazeuse"/>
    <x v="0"/>
    <x v="83"/>
    <s v="CD"/>
    <s v="Swissta RDC S.A.R.L"/>
    <x v="10"/>
    <n v="2"/>
  </r>
  <r>
    <n v="8791920022044"/>
    <s v="Gel"/>
    <x v="0"/>
    <x v="1086"/>
    <s v="CD"/>
    <s v="Dover Cosmetics Ltd"/>
    <x v="10"/>
    <n v="1"/>
  </r>
  <r>
    <n v="8791920071011"/>
    <s v="swissta"/>
    <x v="93"/>
    <x v="83"/>
    <s v="CD"/>
    <s v="Swissta RDC S.A.R.L"/>
    <x v="10"/>
    <n v="1"/>
  </r>
  <r>
    <n v="8801056193010"/>
    <s v="Pepsi"/>
    <x v="284"/>
    <x v="51"/>
    <s v="US"/>
    <s v="Pepsico, Inc"/>
    <x v="36"/>
    <n v="20"/>
  </r>
  <r>
    <n v="8809713914817"/>
    <s v="SPARKLING PEACH Melocoton"/>
    <x v="92"/>
    <x v="1087"/>
    <s v="KR"/>
    <s v="OKF CORPORATION"/>
    <x v="4"/>
    <n v="4"/>
  </r>
  <r>
    <n v="883043000011"/>
    <s v="Cranberry Vodka"/>
    <x v="14"/>
    <x v="111"/>
    <s v="CA"/>
    <s v="Black Fly Beverage Company"/>
    <x v="1"/>
    <n v="7"/>
  </r>
  <r>
    <n v="883043000585"/>
    <s v="Vodka Citrus"/>
    <x v="357"/>
    <x v="111"/>
    <s v="CA"/>
    <s v="Black Fly Beverage Company"/>
    <x v="1"/>
    <n v="1"/>
  </r>
  <r>
    <n v="883043000738"/>
    <s v="Blackfly Rum Punch"/>
    <x v="14"/>
    <x v="111"/>
    <s v="CA"/>
    <s v="Black Fly Beverage Company"/>
    <x v="1"/>
    <n v="1"/>
  </r>
  <r>
    <n v="883043000790"/>
    <s v="Grapefruit Vodka"/>
    <x v="14"/>
    <x v="111"/>
    <s v="CA"/>
    <s v="Black Fly Beverage Company"/>
    <x v="1"/>
    <n v="8"/>
  </r>
  <r>
    <n v="883309745113"/>
    <s v="Bio Steel Rainbow Twist"/>
    <x v="0"/>
    <x v="1088"/>
    <s v="UK"/>
    <s v="UNKNOWN_ORG"/>
    <x v="1"/>
    <n v="3"/>
  </r>
  <r>
    <n v="884394007957"/>
    <s v="Green Smoothie"/>
    <x v="0"/>
    <x v="1087"/>
    <s v="KR"/>
    <s v="OKF CORPORATION"/>
    <x v="4"/>
    <n v="1"/>
  </r>
  <r>
    <n v="8850769017021"/>
    <s v="Fish oil"/>
    <x v="156"/>
    <x v="1089"/>
    <s v="TH"/>
    <s v="Mega Lifesciences Public Company Limited"/>
    <x v="37"/>
    <n v="1"/>
  </r>
  <r>
    <n v="8850769017021"/>
    <s v="Fish oil"/>
    <x v="156"/>
    <x v="1089"/>
    <s v="TH"/>
    <s v="Mega Lifesciences Public Company Limited"/>
    <x v="10"/>
    <n v="3"/>
  </r>
  <r>
    <n v="8850769017021"/>
    <s v="Fish oil"/>
    <x v="156"/>
    <x v="1089"/>
    <s v="TH"/>
    <s v="Mega Lifesciences Public Company Limited"/>
    <x v="7"/>
    <n v="1"/>
  </r>
  <r>
    <n v="8851028001782"/>
    <s v="VitaMilk champ"/>
    <x v="232"/>
    <x v="1090"/>
    <s v="TH"/>
    <s v="Green Spot Co. ltd"/>
    <x v="6"/>
    <n v="15"/>
  </r>
  <r>
    <n v="8858669700203"/>
    <s v="LeLe"/>
    <x v="372"/>
    <x v="1091"/>
    <s v="UK"/>
    <s v="UNKNOWN_ORG"/>
    <x v="6"/>
    <n v="36"/>
  </r>
  <r>
    <n v="8901088000345"/>
    <s v="Coconut Oil"/>
    <x v="2"/>
    <x v="1092"/>
    <s v="IN"/>
    <s v="Marico Ltd."/>
    <x v="7"/>
    <n v="12"/>
  </r>
  <r>
    <n v="8901719917264"/>
    <s v="PARLE Ginger Snap Cookies"/>
    <x v="128"/>
    <x v="1093"/>
    <s v="GH"/>
    <s v="Equator foods Ghana ltd"/>
    <x v="6"/>
    <n v="100"/>
  </r>
  <r>
    <n v="8901719919435"/>
    <s v="PARLE Malty Biscuits"/>
    <x v="16"/>
    <x v="1094"/>
    <s v="GH"/>
    <s v="Equator foods Ghana ltd"/>
    <x v="6"/>
    <n v="100"/>
  </r>
  <r>
    <n v="8901719921162"/>
    <s v="Simply Good Cream Cracker Original"/>
    <x v="161"/>
    <x v="283"/>
    <s v="GH"/>
    <s v="Equator foods Ghana ltd"/>
    <x v="6"/>
    <n v="100"/>
  </r>
  <r>
    <n v="8901972077521"/>
    <s v="africa's choice"/>
    <x v="373"/>
    <x v="1095"/>
    <s v="CD"/>
    <s v="Beltexco S.A.R.L."/>
    <x v="10"/>
    <n v="52"/>
  </r>
  <r>
    <n v="8901972077781"/>
    <s v="Chocolate Flavour Sandwich Biscuits"/>
    <x v="162"/>
    <x v="1096"/>
    <s v="IN"/>
    <s v="RAVI FOODS PVT. LTD"/>
    <x v="7"/>
    <n v="1"/>
  </r>
  <r>
    <n v="8902147003611"/>
    <s v="Afri bull"/>
    <x v="9"/>
    <x v="1097"/>
    <s v="UK"/>
    <s v="UNKNOWN_ORG"/>
    <x v="6"/>
    <n v="15"/>
  </r>
  <r>
    <n v="8902147010916"/>
    <s v="Grain blended whisky"/>
    <x v="22"/>
    <x v="1098"/>
    <s v="IN"/>
    <s v="Radico Khaitan"/>
    <x v="10"/>
    <n v="50"/>
  </r>
  <r>
    <n v="8904206203222"/>
    <s v="Boisson Gazeuse"/>
    <x v="158"/>
    <x v="1099"/>
    <s v="CD"/>
    <s v="KABECO"/>
    <x v="10"/>
    <n v="6"/>
  </r>
  <r>
    <n v="8904206211036"/>
    <s v="Chips"/>
    <x v="374"/>
    <x v="1100"/>
    <s v="CD"/>
    <s v="Africa Snacks"/>
    <x v="10"/>
    <n v="6"/>
  </r>
  <r>
    <n v="8904206211043"/>
    <s v="Chips"/>
    <x v="17"/>
    <x v="1100"/>
    <s v="CD"/>
    <s v="Africa Snacks"/>
    <x v="10"/>
    <n v="5"/>
  </r>
  <r>
    <n v="8904206211340"/>
    <s v="Chips"/>
    <x v="374"/>
    <x v="1100"/>
    <s v="CD"/>
    <s v="Africa Snacks"/>
    <x v="10"/>
    <n v="2"/>
  </r>
  <r>
    <n v="8904206214198"/>
    <s v="Bonito"/>
    <x v="158"/>
    <x v="1099"/>
    <s v="CD"/>
    <s v="KABECO"/>
    <x v="10"/>
    <n v="52"/>
  </r>
  <r>
    <n v="8904206218134"/>
    <s v="Cola"/>
    <x v="14"/>
    <x v="1099"/>
    <s v="CD"/>
    <s v="KABECO"/>
    <x v="10"/>
    <n v="21"/>
  </r>
  <r>
    <n v="8904206218141"/>
    <s v="Pomme"/>
    <x v="14"/>
    <x v="1099"/>
    <s v="CD"/>
    <s v="KABECO"/>
    <x v="10"/>
    <n v="8"/>
  </r>
  <r>
    <n v="8904206218158"/>
    <s v="laranza"/>
    <x v="111"/>
    <x v="1099"/>
    <s v="CD"/>
    <s v="KABECO"/>
    <x v="10"/>
    <n v="4"/>
  </r>
  <r>
    <n v="8904206218165"/>
    <s v="Anas"/>
    <x v="14"/>
    <x v="1099"/>
    <s v="CD"/>
    <s v="KABECO"/>
    <x v="10"/>
    <n v="38"/>
  </r>
  <r>
    <n v="8904206218189"/>
    <s v="Grena"/>
    <x v="111"/>
    <x v="1099"/>
    <s v="CD"/>
    <s v="KABECO"/>
    <x v="10"/>
    <n v="84"/>
  </r>
  <r>
    <n v="8904206218196"/>
    <s v="limona"/>
    <x v="111"/>
    <x v="1099"/>
    <s v="CD"/>
    <s v="KABECO"/>
    <x v="10"/>
    <n v="5"/>
  </r>
  <r>
    <n v="8904206218219"/>
    <s v="Boisson Energissante"/>
    <x v="93"/>
    <x v="1101"/>
    <s v="CD"/>
    <s v="KABECO"/>
    <x v="10"/>
    <n v="4"/>
  </r>
  <r>
    <n v="8904206218226"/>
    <s v="Bonito"/>
    <x v="14"/>
    <x v="1099"/>
    <s v="CD"/>
    <s v="KABECO"/>
    <x v="10"/>
    <n v="2"/>
  </r>
  <r>
    <n v="8904206218325"/>
    <s v="eau pureté garantie"/>
    <x v="156"/>
    <x v="1102"/>
    <s v="CD"/>
    <s v="KABECO"/>
    <x v="10"/>
    <n v="147"/>
  </r>
  <r>
    <n v="8904206218349"/>
    <s v="Maracuja / Passion Fruit Dairy Blend Concentrate"/>
    <x v="14"/>
    <x v="1099"/>
    <s v="CD"/>
    <s v="KABECO"/>
    <x v="10"/>
    <n v="41"/>
  </r>
  <r>
    <n v="8904206218509"/>
    <s v="eau  pureté garantie"/>
    <x v="55"/>
    <x v="1102"/>
    <s v="CD"/>
    <s v="KABECO"/>
    <x v="10"/>
    <n v="394"/>
  </r>
  <r>
    <n v="8904206218509"/>
    <s v="eau  pureté garantie"/>
    <x v="55"/>
    <x v="1102"/>
    <s v="CD"/>
    <s v="KABECO"/>
    <x v="28"/>
    <n v="1"/>
  </r>
  <r>
    <n v="8904206219049"/>
    <s v="Boisson Gazeuse"/>
    <x v="113"/>
    <x v="1099"/>
    <s v="CD"/>
    <s v="KABECO"/>
    <x v="10"/>
    <n v="1"/>
  </r>
  <r>
    <n v="8904206219063"/>
    <s v="Grena"/>
    <x v="113"/>
    <x v="1099"/>
    <s v="CD"/>
    <s v="KABECO"/>
    <x v="10"/>
    <n v="1"/>
  </r>
  <r>
    <n v="8904206219650"/>
    <s v="Chips"/>
    <x v="374"/>
    <x v="1100"/>
    <s v="CD"/>
    <s v="Africa Snacks"/>
    <x v="10"/>
    <n v="1"/>
  </r>
  <r>
    <n v="8904206219667"/>
    <s v="Chips"/>
    <x v="374"/>
    <x v="1100"/>
    <s v="CD"/>
    <s v="Africa Snacks"/>
    <x v="10"/>
    <n v="3"/>
  </r>
  <r>
    <n v="8904206219698"/>
    <s v="eau pureté garantie"/>
    <x v="14"/>
    <x v="1102"/>
    <s v="CD"/>
    <s v="KABECO"/>
    <x v="10"/>
    <n v="34"/>
  </r>
  <r>
    <n v="8904206235445"/>
    <s v="Boisson Gazeuse"/>
    <x v="93"/>
    <x v="1099"/>
    <s v="CD"/>
    <s v="KABECO"/>
    <x v="10"/>
    <n v="4"/>
  </r>
  <r>
    <n v="8904206235452"/>
    <s v="Boissons gazeuses"/>
    <x v="93"/>
    <x v="1099"/>
    <s v="CD"/>
    <s v="KABECO"/>
    <x v="10"/>
    <n v="6"/>
  </r>
  <r>
    <n v="8904206235469"/>
    <s v="Boisson Gazeuse"/>
    <x v="158"/>
    <x v="1099"/>
    <s v="CD"/>
    <s v="KABECO"/>
    <x v="10"/>
    <n v="56"/>
  </r>
  <r>
    <n v="8904206235476"/>
    <s v="Limona"/>
    <x v="93"/>
    <x v="1099"/>
    <s v="CD"/>
    <s v="KABECO"/>
    <x v="10"/>
    <n v="17"/>
  </r>
  <r>
    <n v="8904206235483"/>
    <s v="Grena"/>
    <x v="158"/>
    <x v="1099"/>
    <s v="CD"/>
    <s v="KABECO"/>
    <x v="10"/>
    <n v="8"/>
  </r>
  <r>
    <n v="8904206235490"/>
    <s v="Anas"/>
    <x v="93"/>
    <x v="1099"/>
    <s v="CD"/>
    <s v="KABECO"/>
    <x v="10"/>
    <n v="21"/>
  </r>
  <r>
    <n v="8906013030947"/>
    <s v="Vegetable instant noodles"/>
    <x v="151"/>
    <x v="1103"/>
    <s v="TH"/>
    <s v="Thai Preserved Food Factory Company Limited"/>
    <x v="2"/>
    <n v="4"/>
  </r>
  <r>
    <n v="8906045353236"/>
    <s v="Body Lotion"/>
    <x v="120"/>
    <x v="1104"/>
    <s v="UK"/>
    <s v="UNKNOWN_ORG"/>
    <x v="7"/>
    <n v="1"/>
  </r>
  <r>
    <n v="8906102380212"/>
    <s v="FunTop Carbonated Soft Drink"/>
    <x v="93"/>
    <x v="1105"/>
    <s v="SL"/>
    <s v="Kadat Foods &amp; Beverages Pvt. Ltd."/>
    <x v="38"/>
    <n v="1"/>
  </r>
  <r>
    <n v="8908000175006"/>
    <s v="Tropical"/>
    <x v="76"/>
    <x v="1106"/>
    <s v="CD"/>
    <s v="African Foods and Beverages"/>
    <x v="10"/>
    <n v="29"/>
  </r>
  <r>
    <n v="8908000175020"/>
    <s v="Eau de Source"/>
    <x v="35"/>
    <x v="1107"/>
    <s v="CD"/>
    <s v="African Foods and Beverages"/>
    <x v="10"/>
    <n v="162"/>
  </r>
  <r>
    <n v="8908000175068"/>
    <s v="Orange"/>
    <x v="76"/>
    <x v="1106"/>
    <s v="CD"/>
    <s v="African Foods and Beverages"/>
    <x v="10"/>
    <n v="203"/>
  </r>
  <r>
    <n v="8908000175075"/>
    <s v="Cola"/>
    <x v="92"/>
    <x v="1106"/>
    <s v="CD"/>
    <s v="African Foods and Beverages"/>
    <x v="10"/>
    <n v="16"/>
  </r>
  <r>
    <n v="8908000175099"/>
    <s v="Lemon"/>
    <x v="92"/>
    <x v="1106"/>
    <s v="CD"/>
    <s v="African Foods and Beverages"/>
    <x v="10"/>
    <n v="65"/>
  </r>
  <r>
    <n v="8908000175112"/>
    <s v="Grenadine"/>
    <x v="76"/>
    <x v="1106"/>
    <s v="CD"/>
    <s v="African Foods and Beverages"/>
    <x v="10"/>
    <n v="336"/>
  </r>
  <r>
    <n v="8908000175129"/>
    <s v="Boisson Gaseuse"/>
    <x v="92"/>
    <x v="1108"/>
    <s v="CD"/>
    <s v="African Foods and Beverages"/>
    <x v="10"/>
    <n v="2"/>
  </r>
  <r>
    <n v="8908000175136"/>
    <s v="Eau de Source"/>
    <x v="55"/>
    <x v="1107"/>
    <s v="CD"/>
    <s v="African Foods and Beverages"/>
    <x v="10"/>
    <n v="413"/>
  </r>
  <r>
    <n v="8908000175174"/>
    <s v="Ananas"/>
    <x v="76"/>
    <x v="1106"/>
    <s v="CD"/>
    <s v="African Foods and Beverages"/>
    <x v="10"/>
    <n v="4"/>
  </r>
  <r>
    <n v="8908000175211"/>
    <s v="Boisson Gazeuse"/>
    <x v="0"/>
    <x v="1109"/>
    <s v="CD"/>
    <s v="African Foods and Beverages"/>
    <x v="10"/>
    <n v="71"/>
  </r>
  <r>
    <n v="8908000175228"/>
    <s v="Boisson Gazeuse"/>
    <x v="0"/>
    <x v="1106"/>
    <s v="CD"/>
    <s v="African Foods and Beverages"/>
    <x v="10"/>
    <n v="12"/>
  </r>
  <r>
    <n v="8908000175242"/>
    <s v="Grenadine"/>
    <x v="0"/>
    <x v="1106"/>
    <s v="CD"/>
    <s v="African Foods and Beverages"/>
    <x v="10"/>
    <n v="112"/>
  </r>
  <r>
    <n v="8908000175259"/>
    <s v="Tropical Berry Sport Drink"/>
    <x v="0"/>
    <x v="1106"/>
    <s v="CD"/>
    <s v="African Foods and Beverages"/>
    <x v="10"/>
    <n v="6"/>
  </r>
  <r>
    <n v="8908000175358"/>
    <s v="Zen Energy Drink"/>
    <x v="0"/>
    <x v="1110"/>
    <s v="CD"/>
    <s v="Zenufa group of companies"/>
    <x v="10"/>
    <n v="40"/>
  </r>
  <r>
    <n v="8908000175440"/>
    <s v="Boisson Energisante"/>
    <x v="92"/>
    <x v="1110"/>
    <s v="CD"/>
    <s v="Zenufa group of companies"/>
    <x v="10"/>
    <n v="18"/>
  </r>
  <r>
    <n v="8908000175488"/>
    <s v="Lemon"/>
    <x v="0"/>
    <x v="1106"/>
    <s v="CD"/>
    <s v="African Foods and Beverages"/>
    <x v="10"/>
    <n v="56"/>
  </r>
  <r>
    <n v="8934830128189"/>
    <s v="Pepsodent"/>
    <x v="149"/>
    <x v="675"/>
    <s v="GB"/>
    <s v="Unilever Plc"/>
    <x v="6"/>
    <n v="50"/>
  </r>
  <r>
    <n v="8934839128289"/>
    <s v="Pepsodent"/>
    <x v="149"/>
    <x v="675"/>
    <s v="GB"/>
    <s v="Unilever Plc"/>
    <x v="6"/>
    <n v="101"/>
  </r>
  <r>
    <n v="8936046075127"/>
    <s v="Tamarind Juice Drink"/>
    <x v="93"/>
    <x v="1111"/>
    <s v="VN"/>
    <s v="Viet International Co., Ltd."/>
    <x v="4"/>
    <n v="1"/>
  </r>
  <r>
    <n v="8936046075127"/>
    <s v="Tamarind Juice Drink"/>
    <x v="93"/>
    <x v="1111"/>
    <s v="VN"/>
    <s v="Viet International Co., Ltd."/>
    <x v="5"/>
    <n v="1"/>
  </r>
  <r>
    <n v="8946527453986"/>
    <s v="Lubricant"/>
    <x v="12"/>
    <x v="1112"/>
    <s v="AE"/>
    <s v="AXCL GULF FZC"/>
    <x v="7"/>
    <n v="54"/>
  </r>
  <r>
    <n v="8992946523748"/>
    <s v="Cooking oil"/>
    <x v="48"/>
    <x v="890"/>
    <s v="UK"/>
    <s v="UNKNOWN_ORG"/>
    <x v="7"/>
    <n v="44"/>
  </r>
  <r>
    <n v="8995899250310"/>
    <s v="boncabe"/>
    <x v="0"/>
    <x v="1113"/>
    <s v="UK"/>
    <s v="UNKNOWN_ORG"/>
    <x v="7"/>
    <n v="1"/>
  </r>
  <r>
    <n v="8996001414033"/>
    <s v="Cappuccino Instant Powder"/>
    <x v="296"/>
    <x v="1114"/>
    <s v="ID"/>
    <s v="Mayora Group"/>
    <x v="4"/>
    <n v="1"/>
  </r>
  <r>
    <n v="8997009510123"/>
    <s v="orange water"/>
    <x v="0"/>
    <x v="1115"/>
    <s v="KE"/>
    <s v="Excel Chemicals Limited"/>
    <x v="0"/>
    <n v="25"/>
  </r>
  <r>
    <n v="8999999583323"/>
    <s v="Toothpaste"/>
    <x v="149"/>
    <x v="675"/>
    <s v="GB"/>
    <s v="Unilever Plc"/>
    <x v="6"/>
    <n v="100"/>
  </r>
  <r>
    <n v="9009214040919"/>
    <s v="Água purificada"/>
    <x v="105"/>
    <x v="642"/>
    <s v="MZ"/>
    <s v="Águas de Ribaue Lda"/>
    <x v="4"/>
    <n v="2"/>
  </r>
  <r>
    <n v="90162602"/>
    <s v="Energy Drink"/>
    <x v="48"/>
    <x v="86"/>
    <s v="AT"/>
    <s v="Red Bull GmbH"/>
    <x v="1"/>
    <n v="2"/>
  </r>
  <r>
    <n v="90162602"/>
    <s v="Energy Drink"/>
    <x v="48"/>
    <x v="86"/>
    <s v="AT"/>
    <s v="Red Bull GmbH"/>
    <x v="7"/>
    <n v="9"/>
  </r>
  <r>
    <n v="9026128003601"/>
    <s v="Tropical"/>
    <x v="93"/>
    <x v="373"/>
    <s v="GB"/>
    <s v="Radnor Hills Mineral Water Company Limited"/>
    <x v="2"/>
    <n v="1"/>
  </r>
  <r>
    <n v="90338052"/>
    <s v="Coca-Cola"/>
    <x v="3"/>
    <x v="1"/>
    <s v="US"/>
    <s v="Coca-Cola"/>
    <x v="10"/>
    <n v="29"/>
  </r>
  <r>
    <n v="90338052"/>
    <s v="Coca-Cola"/>
    <x v="3"/>
    <x v="1"/>
    <s v="US"/>
    <s v="Coca-Cola"/>
    <x v="13"/>
    <n v="10"/>
  </r>
  <r>
    <n v="90338052"/>
    <s v="Coca-Cola"/>
    <x v="3"/>
    <x v="1"/>
    <s v="US"/>
    <s v="Coca-Cola"/>
    <x v="6"/>
    <n v="441"/>
  </r>
  <r>
    <n v="90338052"/>
    <s v="Coca-Cola"/>
    <x v="3"/>
    <x v="1"/>
    <s v="US"/>
    <s v="Coca-Cola"/>
    <x v="0"/>
    <n v="10"/>
  </r>
  <r>
    <n v="90338052"/>
    <s v="Coca-Cola"/>
    <x v="3"/>
    <x v="1"/>
    <s v="US"/>
    <s v="Coca-Cola"/>
    <x v="3"/>
    <n v="1725"/>
  </r>
  <r>
    <n v="90338052"/>
    <s v="Coca-Cola"/>
    <x v="3"/>
    <x v="1"/>
    <s v="US"/>
    <s v="Coca-Cola"/>
    <x v="4"/>
    <n v="20"/>
  </r>
  <r>
    <n v="90338052"/>
    <s v="Coca-Cola"/>
    <x v="3"/>
    <x v="1"/>
    <s v="US"/>
    <s v="Coca-Cola"/>
    <x v="7"/>
    <n v="295"/>
  </r>
  <r>
    <n v="90338052"/>
    <s v="Coca-Cola"/>
    <x v="3"/>
    <x v="1"/>
    <s v="US"/>
    <s v="Coca-Cola"/>
    <x v="5"/>
    <n v="2"/>
  </r>
  <r>
    <n v="90357053"/>
    <s v="Lemon Lime"/>
    <x v="76"/>
    <x v="148"/>
    <s v="US"/>
    <s v="Coca-Cola"/>
    <x v="0"/>
    <n v="9"/>
  </r>
  <r>
    <n v="90357053"/>
    <s v="Lemon Lime"/>
    <x v="76"/>
    <x v="148"/>
    <s v="US"/>
    <s v="Coca-Cola"/>
    <x v="4"/>
    <n v="51"/>
  </r>
  <r>
    <n v="90357626"/>
    <s v="Diet Carbonated drink"/>
    <x v="76"/>
    <x v="1"/>
    <s v="US"/>
    <s v="Coca-Cola"/>
    <x v="4"/>
    <n v="54"/>
  </r>
  <r>
    <n v="90357626"/>
    <s v="Diet Carbonated drink"/>
    <x v="76"/>
    <x v="1"/>
    <s v="US"/>
    <s v="Coca-Cola"/>
    <x v="5"/>
    <n v="73"/>
  </r>
  <r>
    <n v="90370748"/>
    <s v="Novida Nanasi Flavoured"/>
    <x v="120"/>
    <x v="9"/>
    <s v="US"/>
    <s v="Coca-Cola"/>
    <x v="4"/>
    <n v="5"/>
  </r>
  <r>
    <n v="90370748"/>
    <s v="Novida Nanasi Flavoured"/>
    <x v="120"/>
    <x v="9"/>
    <s v="US"/>
    <s v="Coca-Cola"/>
    <x v="7"/>
    <n v="166"/>
  </r>
  <r>
    <n v="90375149"/>
    <s v="Coke Zero"/>
    <x v="172"/>
    <x v="1"/>
    <s v="US"/>
    <s v="Coca-Cola"/>
    <x v="10"/>
    <n v="1"/>
  </r>
  <r>
    <n v="90375149"/>
    <s v="Coke Zero"/>
    <x v="172"/>
    <x v="1"/>
    <s v="US"/>
    <s v="Coca-Cola"/>
    <x v="8"/>
    <n v="1"/>
  </r>
  <r>
    <n v="90375286"/>
    <s v="Coca-Cola"/>
    <x v="172"/>
    <x v="1"/>
    <s v="US"/>
    <s v="Coca-Cola"/>
    <x v="4"/>
    <n v="825"/>
  </r>
  <r>
    <n v="90375286"/>
    <s v="Coca-Cola"/>
    <x v="172"/>
    <x v="1"/>
    <s v="US"/>
    <s v="Coca-Cola"/>
    <x v="12"/>
    <n v="1"/>
  </r>
  <r>
    <n v="90375378"/>
    <s v="Still Spring Water"/>
    <x v="93"/>
    <x v="417"/>
    <s v="US"/>
    <s v="Coca-Cola"/>
    <x v="4"/>
    <n v="3"/>
  </r>
  <r>
    <n v="90375378"/>
    <s v="Still Spring Water"/>
    <x v="93"/>
    <x v="417"/>
    <s v="US"/>
    <s v="Coca-Cola"/>
    <x v="8"/>
    <n v="2"/>
  </r>
  <r>
    <n v="90377235"/>
    <s v="Fanta Orange Flavoured Drink"/>
    <x v="3"/>
    <x v="44"/>
    <s v="US"/>
    <s v="Coca-Cola"/>
    <x v="10"/>
    <n v="73"/>
  </r>
  <r>
    <n v="90377235"/>
    <s v="Fanta Orange Flavoured Drink"/>
    <x v="3"/>
    <x v="44"/>
    <s v="US"/>
    <s v="Coca-Cola"/>
    <x v="6"/>
    <n v="24"/>
  </r>
  <r>
    <n v="90377235"/>
    <s v="Fanta Orange Flavoured Drink"/>
    <x v="3"/>
    <x v="44"/>
    <s v="US"/>
    <s v="Coca-Cola"/>
    <x v="0"/>
    <n v="1"/>
  </r>
  <r>
    <n v="90377235"/>
    <s v="Fanta Orange Flavoured Drink"/>
    <x v="3"/>
    <x v="44"/>
    <s v="US"/>
    <s v="Coca-Cola"/>
    <x v="4"/>
    <n v="10"/>
  </r>
  <r>
    <n v="90377235"/>
    <s v="Fanta Orange Flavoured Drink"/>
    <x v="3"/>
    <x v="44"/>
    <s v="US"/>
    <s v="Coca-Cola"/>
    <x v="12"/>
    <n v="1"/>
  </r>
  <r>
    <n v="90377235"/>
    <s v="Fanta Orange Flavoured Drink"/>
    <x v="3"/>
    <x v="44"/>
    <s v="US"/>
    <s v="Coca-Cola"/>
    <x v="7"/>
    <n v="91"/>
  </r>
  <r>
    <n v="90377242"/>
    <s v="Pineapple Carbonated Drink"/>
    <x v="3"/>
    <x v="44"/>
    <s v="US"/>
    <s v="Coca-Cola"/>
    <x v="10"/>
    <n v="2"/>
  </r>
  <r>
    <n v="90377242"/>
    <s v="Pineapple Carbonated Drink"/>
    <x v="3"/>
    <x v="44"/>
    <s v="US"/>
    <s v="Coca-Cola"/>
    <x v="4"/>
    <n v="3"/>
  </r>
  <r>
    <n v="90377242"/>
    <s v="Pineapple Carbonated Drink"/>
    <x v="3"/>
    <x v="44"/>
    <s v="US"/>
    <s v="Coca-Cola"/>
    <x v="7"/>
    <n v="31"/>
  </r>
  <r>
    <n v="90377266"/>
    <s v="Lemon-Lime Flavoured Drink"/>
    <x v="120"/>
    <x v="148"/>
    <s v="US"/>
    <s v="Coca-Cola"/>
    <x v="10"/>
    <n v="6"/>
  </r>
  <r>
    <n v="90377266"/>
    <s v="Lemon-Lime Flavoured Drink"/>
    <x v="120"/>
    <x v="148"/>
    <s v="US"/>
    <s v="Coca-Cola"/>
    <x v="13"/>
    <n v="1"/>
  </r>
  <r>
    <n v="90377266"/>
    <s v="Lemon-Lime Flavoured Drink"/>
    <x v="120"/>
    <x v="148"/>
    <s v="US"/>
    <s v="Coca-Cola"/>
    <x v="7"/>
    <n v="67"/>
  </r>
  <r>
    <n v="90377457"/>
    <s v="Morango Soft Drink"/>
    <x v="93"/>
    <x v="99"/>
    <s v="US"/>
    <s v="Coca-Cola"/>
    <x v="4"/>
    <n v="95"/>
  </r>
  <r>
    <n v="90377884"/>
    <s v="Orange"/>
    <x v="92"/>
    <x v="44"/>
    <s v="US"/>
    <s v="Coca-Cola"/>
    <x v="10"/>
    <n v="2"/>
  </r>
  <r>
    <n v="90377884"/>
    <s v="Orange"/>
    <x v="92"/>
    <x v="44"/>
    <s v="US"/>
    <s v="Coca-Cola"/>
    <x v="0"/>
    <n v="133"/>
  </r>
  <r>
    <n v="90377884"/>
    <s v="Orange"/>
    <x v="92"/>
    <x v="44"/>
    <s v="US"/>
    <s v="Coca-Cola"/>
    <x v="4"/>
    <n v="46"/>
  </r>
  <r>
    <n v="90377884"/>
    <s v="Orange"/>
    <x v="92"/>
    <x v="44"/>
    <s v="US"/>
    <s v="Coca-Cola"/>
    <x v="5"/>
    <n v="199"/>
  </r>
  <r>
    <n v="90382895"/>
    <s v="Water"/>
    <x v="3"/>
    <x v="150"/>
    <s v="US"/>
    <s v="Coca-Cola"/>
    <x v="32"/>
    <n v="2"/>
  </r>
  <r>
    <n v="90399480"/>
    <s v="Delight tropical"/>
    <x v="14"/>
    <x v="112"/>
    <s v="US"/>
    <s v="Coca-Cola"/>
    <x v="0"/>
    <n v="51"/>
  </r>
  <r>
    <n v="90399497"/>
    <s v="Orange Fruit Drink"/>
    <x v="14"/>
    <x v="112"/>
    <s v="US"/>
    <s v="Coca-Cola"/>
    <x v="5"/>
    <n v="55"/>
  </r>
  <r>
    <n v="90418013"/>
    <s v="Novida"/>
    <x v="92"/>
    <x v="9"/>
    <s v="US"/>
    <s v="Coca-Cola"/>
    <x v="0"/>
    <n v="66"/>
  </r>
  <r>
    <n v="90418013"/>
    <s v="Novida"/>
    <x v="92"/>
    <x v="9"/>
    <s v="US"/>
    <s v="Coca-Cola"/>
    <x v="4"/>
    <n v="25"/>
  </r>
  <r>
    <n v="90418013"/>
    <s v="Novida"/>
    <x v="92"/>
    <x v="9"/>
    <s v="US"/>
    <s v="Coca-Cola"/>
    <x v="12"/>
    <n v="6"/>
  </r>
  <r>
    <n v="90418013"/>
    <s v="Novida"/>
    <x v="92"/>
    <x v="9"/>
    <s v="US"/>
    <s v="Coca-Cola"/>
    <x v="5"/>
    <n v="228"/>
  </r>
  <r>
    <n v="90418297"/>
    <s v="Bitter lemon"/>
    <x v="76"/>
    <x v="409"/>
    <s v="US"/>
    <s v="Coca-Cola"/>
    <x v="0"/>
    <n v="12"/>
  </r>
  <r>
    <n v="90418303"/>
    <s v="Tangawizi / Ginger Beer"/>
    <x v="76"/>
    <x v="419"/>
    <s v="US"/>
    <s v="Coca-Cola"/>
    <x v="0"/>
    <n v="22"/>
  </r>
  <r>
    <n v="90418303"/>
    <s v="Tangawizi / Ginger Beer"/>
    <x v="76"/>
    <x v="419"/>
    <s v="US"/>
    <s v="Coca-Cola"/>
    <x v="5"/>
    <n v="31"/>
  </r>
  <r>
    <n v="90490224"/>
    <s v="Delight Orange"/>
    <x v="14"/>
    <x v="112"/>
    <s v="US"/>
    <s v="Coca-Cola"/>
    <x v="10"/>
    <n v="12"/>
  </r>
  <r>
    <n v="90490224"/>
    <s v="Delight Orange"/>
    <x v="14"/>
    <x v="112"/>
    <s v="US"/>
    <s v="Coca-Cola"/>
    <x v="0"/>
    <n v="1"/>
  </r>
  <r>
    <n v="90490248"/>
    <s v="Sparkling Spring Water"/>
    <x v="93"/>
    <x v="417"/>
    <s v="US"/>
    <s v="Coca-Cola"/>
    <x v="4"/>
    <n v="1"/>
  </r>
  <r>
    <n v="90490248"/>
    <s v="Sparkling Spring Water"/>
    <x v="93"/>
    <x v="417"/>
    <s v="US"/>
    <s v="Coca-Cola"/>
    <x v="8"/>
    <n v="2"/>
  </r>
  <r>
    <n v="90490279"/>
    <s v="Delight Mango"/>
    <x v="14"/>
    <x v="112"/>
    <s v="US"/>
    <s v="Coca-Cola"/>
    <x v="1"/>
    <n v="1"/>
  </r>
  <r>
    <n v="90490279"/>
    <s v="Delight Mango"/>
    <x v="14"/>
    <x v="112"/>
    <s v="US"/>
    <s v="Coca-Cola"/>
    <x v="0"/>
    <n v="20"/>
  </r>
  <r>
    <n v="90490279"/>
    <s v="Delight Mango"/>
    <x v="14"/>
    <x v="112"/>
    <s v="US"/>
    <s v="Coca-Cola"/>
    <x v="7"/>
    <n v="12"/>
  </r>
  <r>
    <n v="90490279"/>
    <s v="Delight Mango"/>
    <x v="14"/>
    <x v="112"/>
    <s v="US"/>
    <s v="Coca-Cola"/>
    <x v="5"/>
    <n v="168"/>
  </r>
  <r>
    <n v="90492501"/>
    <s v="Sports Drink"/>
    <x v="0"/>
    <x v="149"/>
    <s v="US"/>
    <s v="Coca-Cola"/>
    <x v="4"/>
    <n v="4"/>
  </r>
  <r>
    <n v="90492501"/>
    <s v="Sports Drink"/>
    <x v="0"/>
    <x v="149"/>
    <s v="US"/>
    <s v="Coca-Cola"/>
    <x v="8"/>
    <n v="4"/>
  </r>
  <r>
    <n v="90495502"/>
    <s v="Sprite"/>
    <x v="2"/>
    <x v="148"/>
    <s v="US"/>
    <s v="Coca-Cola"/>
    <x v="0"/>
    <n v="39"/>
  </r>
  <r>
    <n v="9060611250516"/>
    <s v="Altruist SPF30 Sunscren"/>
    <x v="145"/>
    <x v="397"/>
    <s v="GB"/>
    <s v="Gruum Europe Ltd"/>
    <x v="19"/>
    <n v="1"/>
  </r>
  <r>
    <n v="9113460630012"/>
    <s v="Mango Fravoured Drink"/>
    <x v="245"/>
    <x v="717"/>
    <s v="UK"/>
    <s v="UNKNOWN_ORG"/>
    <x v="7"/>
    <n v="3"/>
  </r>
  <r>
    <n v="9163112761731"/>
    <s v="Cola"/>
    <x v="39"/>
    <x v="36"/>
    <s v="CA"/>
    <s v="Loblaw Companies Ltd"/>
    <x v="1"/>
    <n v="1"/>
  </r>
  <r>
    <n v="9245243794526"/>
    <s v="Eau de Table"/>
    <x v="55"/>
    <x v="98"/>
    <s v="CD"/>
    <s v="MOUNTAIN GROUP"/>
    <x v="10"/>
    <n v="57"/>
  </r>
  <r>
    <n v="9280218101053"/>
    <s v="Aqua"/>
    <x v="23"/>
    <x v="497"/>
    <s v="FR"/>
    <s v="Danone S.A."/>
    <x v="39"/>
    <n v="1"/>
  </r>
  <r>
    <n v="9345101595590"/>
    <s v="Hayat natural spring water"/>
    <x v="0"/>
    <x v="497"/>
    <s v="FR"/>
    <s v="Danone S.A."/>
    <x v="2"/>
    <n v="1"/>
  </r>
  <r>
    <n v="9501100000415"/>
    <s v="Eau Minérale"/>
    <x v="93"/>
    <x v="1116"/>
    <s v="FR"/>
    <s v="Groupe Castel"/>
    <x v="13"/>
    <n v="81"/>
  </r>
  <r>
    <n v="9501100000965"/>
    <s v="Eau minérale"/>
    <x v="35"/>
    <x v="1116"/>
    <s v="FR"/>
    <s v="Groupe Castel"/>
    <x v="13"/>
    <n v="11"/>
  </r>
  <r>
    <n v="9501100001931"/>
    <s v="Boisson Gazeuse"/>
    <x v="13"/>
    <x v="402"/>
    <s v="FR"/>
    <s v="Groupe Castel"/>
    <x v="13"/>
    <n v="105"/>
  </r>
  <r>
    <n v="9501100006974"/>
    <s v="Eau Minérale"/>
    <x v="105"/>
    <x v="198"/>
    <s v="US"/>
    <s v="Monarch Beverage Company Inc"/>
    <x v="13"/>
    <n v="2"/>
  </r>
  <r>
    <n v="9501100008008"/>
    <s v="Cola"/>
    <x v="334"/>
    <x v="243"/>
    <s v="FR"/>
    <s v="Groupe Castel"/>
    <x v="17"/>
    <n v="2"/>
  </r>
  <r>
    <n v="9501100008220"/>
    <s v="Sobo Drink"/>
    <x v="3"/>
    <x v="584"/>
    <s v="US"/>
    <s v="Coca-Cola"/>
    <x v="3"/>
    <n v="85"/>
  </r>
  <r>
    <n v="9501100008237"/>
    <s v="Carbonated Soft Drink"/>
    <x v="3"/>
    <x v="1117"/>
    <s v="MZ"/>
    <s v="Coca Cola Sabco (Mozambique) SARL"/>
    <x v="3"/>
    <n v="49"/>
  </r>
  <r>
    <n v="9501100008268"/>
    <s v="SOBO ginger"/>
    <x v="3"/>
    <x v="584"/>
    <s v="US"/>
    <s v="Coca-Cola"/>
    <x v="3"/>
    <n v="103"/>
  </r>
  <r>
    <n v="9501100008756"/>
    <s v="Boisson Gazeuse"/>
    <x v="22"/>
    <x v="402"/>
    <s v="FR"/>
    <s v="Groupe Castel"/>
    <x v="13"/>
    <n v="9"/>
  </r>
  <r>
    <n v="9501101370166"/>
    <s v="Crème pour  homme"/>
    <x v="3"/>
    <x v="1118"/>
    <s v="CD"/>
    <s v="Angel Cosmetics"/>
    <x v="10"/>
    <n v="3"/>
  </r>
  <r>
    <n v="9501101370647"/>
    <s v="Crème pour homme"/>
    <x v="0"/>
    <x v="1118"/>
    <s v="CD"/>
    <s v="Angel Cosmetics"/>
    <x v="10"/>
    <n v="1"/>
  </r>
  <r>
    <n v="9501101371705"/>
    <s v="Cream"/>
    <x v="3"/>
    <x v="1119"/>
    <s v="UK"/>
    <s v="UNKNOWN_ORG"/>
    <x v="10"/>
    <n v="1"/>
  </r>
  <r>
    <n v="9501101371705"/>
    <s v="Cream"/>
    <x v="3"/>
    <x v="1119"/>
    <s v="UK"/>
    <s v="UNKNOWN_ORG"/>
    <x v="12"/>
    <n v="2"/>
  </r>
  <r>
    <n v="9501101373853"/>
    <s v="Détergent liquide"/>
    <x v="113"/>
    <x v="1120"/>
    <s v="CD"/>
    <s v="Angel Cosmetics"/>
    <x v="10"/>
    <n v="1"/>
  </r>
  <r>
    <n v="9501101374188"/>
    <s v="Lotion"/>
    <x v="55"/>
    <x v="1121"/>
    <s v="CD"/>
    <s v="Angel Cosmetics"/>
    <x v="10"/>
    <n v="1"/>
  </r>
  <r>
    <n v="9501101375161"/>
    <s v="Désodorisant"/>
    <x v="14"/>
    <x v="1122"/>
    <s v="CD"/>
    <s v="Angel Cosmetics"/>
    <x v="10"/>
    <n v="2"/>
  </r>
  <r>
    <n v="9501101375208"/>
    <s v="Désodorisants"/>
    <x v="14"/>
    <x v="1122"/>
    <s v="CD"/>
    <s v="Angel Cosmetics"/>
    <x v="10"/>
    <n v="51"/>
  </r>
  <r>
    <n v="9501101375611"/>
    <s v="Gel mains désinfectant"/>
    <x v="110"/>
    <x v="1123"/>
    <s v="CD"/>
    <s v="Angel Cosmetics"/>
    <x v="10"/>
    <n v="1"/>
  </r>
  <r>
    <n v="9501101376236"/>
    <s v="Lotion Lait Clarifiant"/>
    <x v="232"/>
    <x v="1124"/>
    <s v="CD"/>
    <s v="Angel Cosmetics"/>
    <x v="10"/>
    <n v="1"/>
  </r>
  <r>
    <n v="9501101376243"/>
    <s v="Lotion Lait Clarifiant"/>
    <x v="3"/>
    <x v="1124"/>
    <s v="CD"/>
    <s v="Angel Cosmetics"/>
    <x v="10"/>
    <n v="7"/>
  </r>
  <r>
    <n v="9501101376267"/>
    <s v="Gel Douche Clarifiant"/>
    <x v="0"/>
    <x v="1124"/>
    <s v="CD"/>
    <s v="Angel Cosmetics"/>
    <x v="10"/>
    <n v="1"/>
  </r>
  <r>
    <n v="9501101376304"/>
    <s v="Lotion Lait Clarifiant"/>
    <x v="272"/>
    <x v="1125"/>
    <s v="CD"/>
    <s v="Angel Cosmetics"/>
    <x v="10"/>
    <n v="2"/>
  </r>
  <r>
    <n v="9501101376311"/>
    <s v="Lotion Lait Clarifiant"/>
    <x v="3"/>
    <x v="1125"/>
    <s v="CD"/>
    <s v="Angel Cosmetics"/>
    <x v="10"/>
    <n v="1"/>
  </r>
  <r>
    <n v="9501101376373"/>
    <s v="Lotion Lait Clarifiant"/>
    <x v="266"/>
    <x v="1125"/>
    <s v="CD"/>
    <s v="Angel Cosmetics"/>
    <x v="10"/>
    <n v="1"/>
  </r>
  <r>
    <n v="9501101378018"/>
    <s v="Eau de parfum"/>
    <x v="215"/>
    <x v="1126"/>
    <s v="CD"/>
    <s v="Angel Cosmetics"/>
    <x v="10"/>
    <n v="1"/>
  </r>
  <r>
    <n v="9501101379015"/>
    <s v="Margarine"/>
    <x v="17"/>
    <x v="902"/>
    <s v="CD"/>
    <s v="FoodLife"/>
    <x v="10"/>
    <n v="2"/>
  </r>
  <r>
    <n v="9501101379039"/>
    <s v="Margarine"/>
    <x v="177"/>
    <x v="902"/>
    <s v="CD"/>
    <s v="FoodLife"/>
    <x v="10"/>
    <n v="6"/>
  </r>
  <r>
    <n v="9501101379046"/>
    <s v="Margarine"/>
    <x v="30"/>
    <x v="902"/>
    <s v="CD"/>
    <s v="FoodLife"/>
    <x v="10"/>
    <n v="234"/>
  </r>
  <r>
    <n v="9501101379367"/>
    <s v="Vinaigre"/>
    <x v="0"/>
    <x v="109"/>
    <s v="CD"/>
    <s v="FoodLife"/>
    <x v="10"/>
    <n v="1"/>
  </r>
  <r>
    <n v="9501101379411"/>
    <s v="Gel Fixateur"/>
    <x v="97"/>
    <x v="1127"/>
    <s v="CD"/>
    <s v="Angel Cosmetics"/>
    <x v="10"/>
    <n v="2"/>
  </r>
  <r>
    <n v="9501101379695"/>
    <s v="Huile Végétale"/>
    <x v="156"/>
    <x v="109"/>
    <s v="CD"/>
    <s v="FoodLife"/>
    <x v="10"/>
    <n v="5"/>
  </r>
  <r>
    <n v="9501101379701"/>
    <s v="Huile Végétale"/>
    <x v="375"/>
    <x v="109"/>
    <s v="CD"/>
    <s v="FoodLife"/>
    <x v="10"/>
    <n v="4"/>
  </r>
  <r>
    <n v="9501101379718"/>
    <s v="Huile Végétale"/>
    <x v="231"/>
    <x v="109"/>
    <s v="CD"/>
    <s v="FoodLife"/>
    <x v="10"/>
    <n v="1"/>
  </r>
  <r>
    <n v="9506000124711"/>
    <s v="Cooking Oil"/>
    <x v="13"/>
    <x v="561"/>
    <s v="SG"/>
    <s v="Olam International Ltd"/>
    <x v="4"/>
    <n v="452"/>
  </r>
  <r>
    <n v="9506000125053"/>
    <s v="Oleo Alimentar Ativa"/>
    <x v="12"/>
    <x v="561"/>
    <s v="SG"/>
    <s v="Olam International Ltd"/>
    <x v="4"/>
    <n v="29"/>
  </r>
  <r>
    <n v="9506000125060"/>
    <s v="oleo"/>
    <x v="231"/>
    <x v="561"/>
    <s v="SG"/>
    <s v="Olam International Ltd"/>
    <x v="4"/>
    <n v="260"/>
  </r>
  <r>
    <n v="9507000007462"/>
    <s v="Agua Mineral Diamante Liquido"/>
    <x v="0"/>
    <x v="1128"/>
    <s v="MZ"/>
    <s v="Glaciar Industria e Comercio"/>
    <x v="4"/>
    <n v="47"/>
  </r>
  <r>
    <n v="9507000007479"/>
    <s v="Água Pura"/>
    <x v="35"/>
    <x v="1128"/>
    <s v="MZ"/>
    <s v="Glaciar Industria e Comercio"/>
    <x v="4"/>
    <n v="16"/>
  </r>
  <r>
    <n v="9555246321521"/>
    <s v="Détergent en poudre floral"/>
    <x v="128"/>
    <x v="1129"/>
    <s v="AO"/>
    <s v="PALMENTAR"/>
    <x v="10"/>
    <n v="3"/>
  </r>
  <r>
    <n v="9555246350347"/>
    <s v="Détergent en poudre"/>
    <x v="128"/>
    <x v="1129"/>
    <s v="AO"/>
    <s v="PALMENTAR"/>
    <x v="10"/>
    <n v="9"/>
  </r>
  <r>
    <n v="9555764904015"/>
    <s v="Vegetable cooking oil"/>
    <x v="13"/>
    <x v="1130"/>
    <s v="SG"/>
    <s v="WYN Foods Pte Ltd"/>
    <x v="12"/>
    <n v="31"/>
  </r>
  <r>
    <n v="9555764908020"/>
    <s v="Huile végétale"/>
    <x v="376"/>
    <x v="1130"/>
    <s v="SG"/>
    <s v="WYN Foods Pte Ltd"/>
    <x v="10"/>
    <n v="1"/>
  </r>
  <r>
    <n v="9556108000769"/>
    <s v="Instant Hand Sanitizer"/>
    <x v="108"/>
    <x v="355"/>
    <s v="GB"/>
    <s v="Reckitt Benckiser Group PLC"/>
    <x v="4"/>
    <n v="1"/>
  </r>
  <r>
    <n v="9556111609010"/>
    <s v="Cool"/>
    <x v="377"/>
    <x v="355"/>
    <s v="GB"/>
    <s v="Reckitt Benckiser Group PLC"/>
    <x v="7"/>
    <n v="1"/>
  </r>
  <r>
    <n v="9556135421506"/>
    <s v="Drinking Water"/>
    <x v="35"/>
    <x v="1131"/>
    <s v="UK"/>
    <s v="UNKNOWN_ORG"/>
    <x v="4"/>
    <n v="1"/>
  </r>
  <r>
    <n v="9556404036059"/>
    <s v="Lemon Lime Drink"/>
    <x v="378"/>
    <x v="10"/>
    <s v="US"/>
    <s v="Pepsico, Inc"/>
    <x v="4"/>
    <n v="1"/>
  </r>
  <r>
    <n v="9602227002020"/>
    <s v="oba makarna"/>
    <x v="66"/>
    <x v="152"/>
    <s v="TR"/>
    <s v="OBA MAKARNACILIK SAN. VE TIC. A.Ş."/>
    <x v="6"/>
    <n v="45"/>
  </r>
  <r>
    <n v="96179796"/>
    <s v="Fruit Shoot Orange"/>
    <x v="2"/>
    <x v="318"/>
    <s v="GB"/>
    <s v="Britvic plc"/>
    <x v="2"/>
    <n v="1"/>
  </r>
  <r>
    <n v="9623666220301"/>
    <s v="Uhai Drinking Water"/>
    <x v="139"/>
    <x v="246"/>
    <s v="TZ"/>
    <s v="BAKHRESA GROUP DIVISIONS"/>
    <x v="7"/>
    <n v="1"/>
  </r>
  <r>
    <n v="9712131184771"/>
    <s v="Tunda Mango Juice Drink"/>
    <x v="23"/>
    <x v="267"/>
    <s v="TZ"/>
    <s v="Motisun Group"/>
    <x v="7"/>
    <n v="5"/>
  </r>
  <r>
    <n v="9716188532134"/>
    <s v="Agua Purificada"/>
    <x v="35"/>
    <x v="1132"/>
    <s v="MZ"/>
    <s v="Nevada General Supplies Co, Lda"/>
    <x v="4"/>
    <n v="83"/>
  </r>
  <r>
    <n v="9716188532141"/>
    <s v="Agua Purificada"/>
    <x v="11"/>
    <x v="1132"/>
    <s v="MZ"/>
    <s v="Nevada General Supplies Co, Lda"/>
    <x v="4"/>
    <n v="83"/>
  </r>
  <r>
    <n v="9716188532196"/>
    <s v="Agua Purificada"/>
    <x v="0"/>
    <x v="1132"/>
    <s v="MZ"/>
    <s v="Nevada General Supplies Co, Lda"/>
    <x v="4"/>
    <n v="279"/>
  </r>
  <r>
    <n v="9780201379624"/>
    <s v="Eau de Source"/>
    <x v="0"/>
    <x v="1133"/>
    <s v="CD"/>
    <s v="SOGEMIL sarl"/>
    <x v="10"/>
    <n v="14"/>
  </r>
  <r>
    <n v="9780201379624"/>
    <s v="Eau de Source"/>
    <x v="0"/>
    <x v="1133"/>
    <s v="CD"/>
    <s v="SOGEMIL sarl"/>
    <x v="5"/>
    <n v="11"/>
  </r>
  <r>
    <n v="9781234567866"/>
    <s v="Eau de Source"/>
    <x v="55"/>
    <x v="1134"/>
    <s v="CD"/>
    <s v="Ets SAIKI KRIPA"/>
    <x v="10"/>
    <n v="37"/>
  </r>
  <r>
    <n v="98884216"/>
    <s v="Water Bottle"/>
    <x v="113"/>
    <x v="1107"/>
    <s v="CD"/>
    <s v="African Foods and Beverages"/>
    <x v="10"/>
    <n v="8"/>
  </r>
  <r>
    <n v="99250942"/>
    <s v="G2 Half The Sugar Grape"/>
    <x v="7"/>
    <x v="10"/>
    <s v="US"/>
    <s v="Pepsico, Inc"/>
    <x v="1"/>
    <n v="3"/>
  </r>
  <r>
    <n v="9952160920203"/>
    <s v="Água pura"/>
    <x v="0"/>
    <x v="1128"/>
    <s v="MZ"/>
    <s v="Glaciar Industria e Comercio"/>
    <x v="4"/>
    <n v="10"/>
  </r>
  <r>
    <n v="9970338681626"/>
    <s v="Eau pure source de santé"/>
    <x v="35"/>
    <x v="1135"/>
    <s v="UK"/>
    <s v="UNKNOWN_ORG"/>
    <x v="1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CC490-9308-4566-83F2-CDD343A14D4F}" name="PivotTable3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0:C71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41">
        <item x="17"/>
        <item x="37"/>
        <item x="22"/>
        <item x="34"/>
        <item x="1"/>
        <item x="10"/>
        <item x="26"/>
        <item x="33"/>
        <item x="13"/>
        <item x="20"/>
        <item x="18"/>
        <item x="30"/>
        <item x="32"/>
        <item x="19"/>
        <item x="24"/>
        <item x="2"/>
        <item x="6"/>
        <item x="29"/>
        <item x="23"/>
        <item x="39"/>
        <item x="11"/>
        <item x="28"/>
        <item x="0"/>
        <item x="36"/>
        <item x="14"/>
        <item x="3"/>
        <item x="4"/>
        <item x="16"/>
        <item x="31"/>
        <item x="21"/>
        <item x="35"/>
        <item x="27"/>
        <item x="12"/>
        <item x="38"/>
        <item x="25"/>
        <item x="7"/>
        <item x="5"/>
        <item x="9"/>
        <item x="8"/>
        <item x="15"/>
        <item t="default"/>
      </items>
    </pivotField>
    <pivotField dataField="1" showAll="0"/>
  </pivotFields>
  <rowFields count="1">
    <field x="6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Sum of Bottle 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0D1AF-6360-4B4C-92D4-3340DC08978F}" name="PivotTable2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C27" firstHeaderRow="1" firstDataRow="1" firstDataCol="1"/>
  <pivotFields count="8">
    <pivotField showAll="0"/>
    <pivotField dataField="1" showAll="0"/>
    <pivotField axis="axisRow" showAll="0" measureFilter="1" sortType="descending">
      <items count="392">
        <item x="373"/>
        <item x="307"/>
        <item x="217"/>
        <item x="119"/>
        <item x="86"/>
        <item x="133"/>
        <item x="174"/>
        <item x="304"/>
        <item x="298"/>
        <item x="125"/>
        <item x="343"/>
        <item x="238"/>
        <item x="22"/>
        <item x="222"/>
        <item x="137"/>
        <item x="13"/>
        <item x="193"/>
        <item x="273"/>
        <item x="335"/>
        <item x="182"/>
        <item x="130"/>
        <item x="326"/>
        <item x="294"/>
        <item x="132"/>
        <item x="112"/>
        <item x="218"/>
        <item x="352"/>
        <item x="77"/>
        <item x="229"/>
        <item x="35"/>
        <item x="219"/>
        <item x="319"/>
        <item x="344"/>
        <item x="36"/>
        <item x="176"/>
        <item x="126"/>
        <item x="143"/>
        <item x="53"/>
        <item x="332"/>
        <item x="179"/>
        <item x="100"/>
        <item x="19"/>
        <item x="18"/>
        <item x="38"/>
        <item x="73"/>
        <item x="105"/>
        <item x="17"/>
        <item x="108"/>
        <item x="365"/>
        <item x="147"/>
        <item x="110"/>
        <item x="156"/>
        <item x="239"/>
        <item x="98"/>
        <item x="204"/>
        <item x="261"/>
        <item x="348"/>
        <item x="127"/>
        <item x="349"/>
        <item x="336"/>
        <item x="247"/>
        <item x="296"/>
        <item x="333"/>
        <item x="271"/>
        <item x="266"/>
        <item x="337"/>
        <item x="213"/>
        <item x="121"/>
        <item x="232"/>
        <item x="364"/>
        <item x="272"/>
        <item x="292"/>
        <item x="363"/>
        <item x="139"/>
        <item x="283"/>
        <item x="303"/>
        <item x="171"/>
        <item x="234"/>
        <item x="191"/>
        <item x="252"/>
        <item x="194"/>
        <item x="52"/>
        <item x="257"/>
        <item x="175"/>
        <item x="206"/>
        <item x="274"/>
        <item x="155"/>
        <item x="61"/>
        <item x="113"/>
        <item m="1" x="380"/>
        <item x="140"/>
        <item x="168"/>
        <item x="97"/>
        <item x="227"/>
        <item x="374"/>
        <item x="330"/>
        <item x="196"/>
        <item x="154"/>
        <item x="195"/>
        <item x="302"/>
        <item x="91"/>
        <item x="263"/>
        <item x="309"/>
        <item x="282"/>
        <item x="69"/>
        <item x="245"/>
        <item x="328"/>
        <item x="249"/>
        <item x="200"/>
        <item x="240"/>
        <item x="29"/>
        <item x="226"/>
        <item x="39"/>
        <item x="68"/>
        <item x="12"/>
        <item x="248"/>
        <item x="167"/>
        <item x="60"/>
        <item x="144"/>
        <item x="290"/>
        <item x="220"/>
        <item x="101"/>
        <item x="124"/>
        <item x="64"/>
        <item x="2"/>
        <item x="178"/>
        <item x="242"/>
        <item x="311"/>
        <item x="32"/>
        <item x="340"/>
        <item x="376"/>
        <item x="359"/>
        <item x="75"/>
        <item x="79"/>
        <item x="187"/>
        <item x="228"/>
        <item x="44"/>
        <item x="142"/>
        <item x="260"/>
        <item x="360"/>
        <item x="109"/>
        <item x="211"/>
        <item x="25"/>
        <item x="323"/>
        <item x="135"/>
        <item x="95"/>
        <item x="306"/>
        <item x="10"/>
        <item x="48"/>
        <item x="254"/>
        <item x="145"/>
        <item x="31"/>
        <item x="169"/>
        <item x="150"/>
        <item x="189"/>
        <item x="16"/>
        <item x="172"/>
        <item x="173"/>
        <item x="164"/>
        <item x="165"/>
        <item x="54"/>
        <item x="246"/>
        <item x="350"/>
        <item x="288"/>
        <item x="299"/>
        <item x="166"/>
        <item x="128"/>
        <item x="300"/>
        <item x="334"/>
        <item x="146"/>
        <item x="3"/>
        <item x="338"/>
        <item x="375"/>
        <item x="120"/>
        <item x="297"/>
        <item x="316"/>
        <item x="366"/>
        <item x="208"/>
        <item x="152"/>
        <item x="141"/>
        <item x="56"/>
        <item x="78"/>
        <item x="163"/>
        <item x="277"/>
        <item x="93"/>
        <item x="158"/>
        <item x="49"/>
        <item x="235"/>
        <item x="199"/>
        <item x="188"/>
        <item x="20"/>
        <item x="85"/>
        <item x="230"/>
        <item x="280"/>
        <item x="339"/>
        <item x="102"/>
        <item x="258"/>
        <item x="342"/>
        <item x="185"/>
        <item x="76"/>
        <item x="92"/>
        <item x="361"/>
        <item x="50"/>
        <item x="34"/>
        <item x="212"/>
        <item x="346"/>
        <item x="87"/>
        <item x="286"/>
        <item x="287"/>
        <item x="291"/>
        <item x="237"/>
        <item x="255"/>
        <item x="24"/>
        <item x="324"/>
        <item x="210"/>
        <item x="183"/>
        <item x="308"/>
        <item x="114"/>
        <item x="251"/>
        <item x="250"/>
        <item x="136"/>
        <item x="310"/>
        <item x="331"/>
        <item x="192"/>
        <item x="42"/>
        <item x="103"/>
        <item x="295"/>
        <item x="72"/>
        <item x="244"/>
        <item x="66"/>
        <item x="14"/>
        <item x="190"/>
        <item x="317"/>
        <item x="111"/>
        <item x="99"/>
        <item x="134"/>
        <item x="21"/>
        <item x="159"/>
        <item x="131"/>
        <item x="225"/>
        <item x="276"/>
        <item x="275"/>
        <item x="216"/>
        <item x="224"/>
        <item x="162"/>
        <item x="177"/>
        <item x="43"/>
        <item x="279"/>
        <item x="45"/>
        <item x="106"/>
        <item x="181"/>
        <item x="262"/>
        <item x="41"/>
        <item x="8"/>
        <item x="345"/>
        <item x="322"/>
        <item x="138"/>
        <item x="357"/>
        <item x="201"/>
        <item x="341"/>
        <item x="221"/>
        <item x="305"/>
        <item x="372"/>
        <item x="231"/>
        <item x="157"/>
        <item x="15"/>
        <item x="11"/>
        <item x="122"/>
        <item x="9"/>
        <item x="59"/>
        <item x="4"/>
        <item x="0"/>
        <item x="301"/>
        <item x="116"/>
        <item x="82"/>
        <item x="57"/>
        <item x="314"/>
        <item m="1" x="379"/>
        <item x="63"/>
        <item x="58"/>
        <item x="5"/>
        <item x="153"/>
        <item x="117"/>
        <item x="378"/>
        <item x="315"/>
        <item x="161"/>
        <item x="358"/>
        <item x="51"/>
        <item x="198"/>
        <item x="368"/>
        <item x="96"/>
        <item x="186"/>
        <item x="278"/>
        <item x="233"/>
        <item x="47"/>
        <item x="293"/>
        <item x="253"/>
        <item x="160"/>
        <item x="83"/>
        <item x="33"/>
        <item x="7"/>
        <item x="28"/>
        <item x="243"/>
        <item x="312"/>
        <item x="123"/>
        <item x="241"/>
        <item x="259"/>
        <item x="362"/>
        <item x="351"/>
        <item x="118"/>
        <item x="88"/>
        <item x="215"/>
        <item x="284"/>
        <item x="67"/>
        <item x="23"/>
        <item x="71"/>
        <item x="202"/>
        <item x="269"/>
        <item x="371"/>
        <item x="377"/>
        <item x="149"/>
        <item x="320"/>
        <item x="209"/>
        <item x="353"/>
        <item x="104"/>
        <item x="151"/>
        <item x="265"/>
        <item x="115"/>
        <item x="313"/>
        <item x="37"/>
        <item x="129"/>
        <item x="289"/>
        <item x="369"/>
        <item x="236"/>
        <item x="264"/>
        <item x="27"/>
        <item x="6"/>
        <item x="356"/>
        <item x="65"/>
        <item x="347"/>
        <item x="281"/>
        <item x="184"/>
        <item x="197"/>
        <item x="214"/>
        <item x="1"/>
        <item x="55"/>
        <item x="40"/>
        <item x="370"/>
        <item x="203"/>
        <item x="148"/>
        <item x="170"/>
        <item x="74"/>
        <item x="89"/>
        <item x="267"/>
        <item x="70"/>
        <item x="285"/>
        <item x="327"/>
        <item x="26"/>
        <item x="84"/>
        <item x="180"/>
        <item x="268"/>
        <item x="256"/>
        <item x="223"/>
        <item x="329"/>
        <item x="367"/>
        <item x="354"/>
        <item x="62"/>
        <item x="207"/>
        <item x="90"/>
        <item x="30"/>
        <item x="205"/>
        <item x="325"/>
        <item x="318"/>
        <item x="355"/>
        <item x="46"/>
        <item x="270"/>
        <item x="321"/>
        <item x="80"/>
        <item x="81"/>
        <item x="94"/>
        <item x="107"/>
        <item m="1" x="383"/>
        <item m="1" x="385"/>
        <item m="1" x="386"/>
        <item m="1" x="390"/>
        <item m="1" x="382"/>
        <item m="1" x="387"/>
        <item m="1" x="389"/>
        <item m="1" x="384"/>
        <item m="1" x="388"/>
        <item m="1" x="3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2"/>
  </rowFields>
  <rowItems count="11">
    <i>
      <x v="271"/>
    </i>
    <i>
      <x v="199"/>
    </i>
    <i>
      <x v="15"/>
    </i>
    <i>
      <x v="29"/>
    </i>
    <i>
      <x v="170"/>
    </i>
    <i>
      <x v="114"/>
    </i>
    <i>
      <x v="230"/>
    </i>
    <i>
      <x v="184"/>
    </i>
    <i>
      <x v="345"/>
    </i>
    <i>
      <x v="300"/>
    </i>
    <i t="grand">
      <x/>
    </i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DC325-710D-43C1-9EE3-9CC92242CDB4}" name="PivotTable1" cacheId="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:C13" firstHeaderRow="1" firstDataRow="1" firstDataCol="1"/>
  <pivotFields count="8">
    <pivotField showAll="0"/>
    <pivotField showAll="0"/>
    <pivotField showAll="0"/>
    <pivotField axis="axisRow" showAll="0" measureFilter="1" sortType="ascending">
      <items count="1137">
        <item x="514"/>
        <item x="304"/>
        <item x="3"/>
        <item x="1098"/>
        <item x="224"/>
        <item x="798"/>
        <item x="999"/>
        <item x="691"/>
        <item x="190"/>
        <item x="97"/>
        <item x="760"/>
        <item x="876"/>
        <item x="430"/>
        <item x="442"/>
        <item x="84"/>
        <item x="983"/>
        <item x="521"/>
        <item x="78"/>
        <item x="1097"/>
        <item x="746"/>
        <item x="496"/>
        <item x="943"/>
        <item x="306"/>
        <item x="910"/>
        <item x="79"/>
        <item x="245"/>
        <item x="200"/>
        <item x="23"/>
        <item x="536"/>
        <item x="261"/>
        <item x="1061"/>
        <item x="1010"/>
        <item x="882"/>
        <item x="180"/>
        <item x="495"/>
        <item x="851"/>
        <item x="993"/>
        <item x="439"/>
        <item x="2"/>
        <item x="309"/>
        <item x="259"/>
        <item x="660"/>
        <item x="979"/>
        <item x="461"/>
        <item x="610"/>
        <item x="187"/>
        <item x="238"/>
        <item x="608"/>
        <item x="708"/>
        <item x="650"/>
        <item x="847"/>
        <item x="902"/>
        <item x="328"/>
        <item x="535"/>
        <item x="1021"/>
        <item x="759"/>
        <item x="193"/>
        <item x="11"/>
        <item x="146"/>
        <item x="168"/>
        <item x="172"/>
        <item x="915"/>
        <item x="723"/>
        <item x="744"/>
        <item x="62"/>
        <item x="201"/>
        <item x="832"/>
        <item x="143"/>
        <item x="542"/>
        <item x="382"/>
        <item x="799"/>
        <item x="669"/>
        <item x="217"/>
        <item x="301"/>
        <item x="1064"/>
        <item x="418"/>
        <item x="634"/>
        <item x="891"/>
        <item x="55"/>
        <item x="114"/>
        <item x="176"/>
        <item x="766"/>
        <item x="527"/>
        <item x="281"/>
        <item x="622"/>
        <item x="216"/>
        <item x="1076"/>
        <item x="571"/>
        <item x="541"/>
        <item x="164"/>
        <item x="130"/>
        <item x="1014"/>
        <item x="28"/>
        <item x="585"/>
        <item x="274"/>
        <item x="263"/>
        <item x="864"/>
        <item x="387"/>
        <item x="423"/>
        <item x="1040"/>
        <item x="589"/>
        <item x="684"/>
        <item x="77"/>
        <item x="268"/>
        <item x="854"/>
        <item x="848"/>
        <item x="1102"/>
        <item x="620"/>
        <item x="135"/>
        <item x="1123"/>
        <item x="20"/>
        <item x="880"/>
        <item x="460"/>
        <item x="24"/>
        <item x="743"/>
        <item x="530"/>
        <item x="879"/>
        <item x="406"/>
        <item x="863"/>
        <item x="517"/>
        <item x="46"/>
        <item x="339"/>
        <item x="1032"/>
        <item x="1080"/>
        <item x="795"/>
        <item x="784"/>
        <item x="1085"/>
        <item x="451"/>
        <item x="696"/>
        <item x="251"/>
        <item x="728"/>
        <item x="724"/>
        <item x="730"/>
        <item x="726"/>
        <item x="729"/>
        <item x="695"/>
        <item x="1122"/>
        <item x="124"/>
        <item x="1095"/>
        <item x="573"/>
        <item x="379"/>
        <item x="715"/>
        <item x="603"/>
        <item x="1052"/>
        <item x="166"/>
        <item x="270"/>
        <item x="159"/>
        <item x="196"/>
        <item x="128"/>
        <item x="4"/>
        <item x="105"/>
        <item x="554"/>
        <item x="1004"/>
        <item x="817"/>
        <item x="252"/>
        <item x="1084"/>
        <item x="375"/>
        <item x="1088"/>
        <item x="1037"/>
        <item x="531"/>
        <item x="111"/>
        <item x="747"/>
        <item x="875"/>
        <item x="790"/>
        <item x="732"/>
        <item x="222"/>
        <item x="378"/>
        <item x="1001"/>
        <item x="45"/>
        <item x="59"/>
        <item x="297"/>
        <item x="1113"/>
        <item x="776"/>
        <item x="407"/>
        <item x="736"/>
        <item x="310"/>
        <item x="1101"/>
        <item x="556"/>
        <item x="553"/>
        <item x="142"/>
        <item x="381"/>
        <item x="1099"/>
        <item x="493"/>
        <item x="288"/>
        <item x="881"/>
        <item x="995"/>
        <item x="52"/>
        <item x="211"/>
        <item x="300"/>
        <item x="212"/>
        <item x="811"/>
        <item x="611"/>
        <item x="231"/>
        <item x="930"/>
        <item x="137"/>
        <item x="129"/>
        <item x="564"/>
        <item x="363"/>
        <item x="1036"/>
        <item x="110"/>
        <item x="788"/>
        <item x="786"/>
        <item x="961"/>
        <item x="789"/>
        <item x="783"/>
        <item x="781"/>
        <item x="787"/>
        <item x="133"/>
        <item x="1049"/>
        <item x="582"/>
        <item x="507"/>
        <item x="591"/>
        <item x="408"/>
        <item x="67"/>
        <item x="426"/>
        <item x="313"/>
        <item x="687"/>
        <item x="279"/>
        <item x="1015"/>
        <item x="437"/>
        <item x="693"/>
        <item x="702"/>
        <item x="913"/>
        <item x="490"/>
        <item x="334"/>
        <item x="321"/>
        <item x="443"/>
        <item x="66"/>
        <item x="672"/>
        <item x="477"/>
        <item x="157"/>
        <item x="628"/>
        <item x="821"/>
        <item x="18"/>
        <item x="959"/>
        <item x="773"/>
        <item x="774"/>
        <item x="745"/>
        <item x="1117"/>
        <item x="169"/>
        <item x="1019"/>
        <item x="558"/>
        <item x="919"/>
        <item x="831"/>
        <item x="291"/>
        <item x="683"/>
        <item x="1100"/>
        <item x="538"/>
        <item x="89"/>
        <item x="1059"/>
        <item x="1118"/>
        <item x="484"/>
        <item x="284"/>
        <item x="794"/>
        <item x="1"/>
        <item x="899"/>
        <item x="1119"/>
        <item x="861"/>
        <item x="462"/>
        <item x="433"/>
        <item x="31"/>
        <item x="624"/>
        <item x="1000"/>
        <item x="435"/>
        <item x="588"/>
        <item x="663"/>
        <item x="662"/>
        <item x="292"/>
        <item x="649"/>
        <item x="94"/>
        <item x="1045"/>
        <item x="1073"/>
        <item x="454"/>
        <item x="518"/>
        <item x="1025"/>
        <item x="389"/>
        <item x="858"/>
        <item x="33"/>
        <item x="973"/>
        <item x="972"/>
        <item x="136"/>
        <item x="958"/>
        <item x="81"/>
        <item x="314"/>
        <item x="404"/>
        <item x="923"/>
        <item x="714"/>
        <item x="254"/>
        <item x="800"/>
        <item x="639"/>
        <item x="497"/>
        <item x="964"/>
        <item x="506"/>
        <item x="740"/>
        <item x="150"/>
        <item x="469"/>
        <item x="1121"/>
        <item x="390"/>
        <item x="352"/>
        <item x="871"/>
        <item x="421"/>
        <item x="761"/>
        <item x="431"/>
        <item x="271"/>
        <item x="355"/>
        <item x="91"/>
        <item x="956"/>
        <item x="1104"/>
        <item x="593"/>
        <item x="330"/>
        <item x="369"/>
        <item x="402"/>
        <item x="488"/>
        <item x="953"/>
        <item x="568"/>
        <item x="42"/>
        <item x="326"/>
        <item x="1053"/>
        <item x="117"/>
        <item x="940"/>
        <item x="927"/>
        <item x="594"/>
        <item x="343"/>
        <item x="1039"/>
        <item x="399"/>
        <item x="29"/>
        <item x="625"/>
        <item x="901"/>
        <item x="345"/>
        <item x="182"/>
        <item x="988"/>
        <item x="233"/>
        <item x="486"/>
        <item x="478"/>
        <item x="1067"/>
        <item x="878"/>
        <item x="1130"/>
        <item x="322"/>
        <item x="939"/>
        <item x="906"/>
        <item x="413"/>
        <item x="748"/>
        <item x="210"/>
        <item x="815"/>
        <item x="213"/>
        <item x="325"/>
        <item x="481"/>
        <item x="602"/>
        <item x="482"/>
        <item x="577"/>
        <item x="60"/>
        <item x="1066"/>
        <item x="151"/>
        <item x="636"/>
        <item x="324"/>
        <item x="249"/>
        <item x="38"/>
        <item x="491"/>
        <item x="932"/>
        <item x="357"/>
        <item x="1046"/>
        <item x="299"/>
        <item x="621"/>
        <item x="167"/>
        <item x="712"/>
        <item x="710"/>
        <item x="307"/>
        <item x="44"/>
        <item x="80"/>
        <item x="711"/>
        <item x="49"/>
        <item x="232"/>
        <item x="82"/>
        <item x="844"/>
        <item x="147"/>
        <item x="989"/>
        <item x="1042"/>
        <item x="354"/>
        <item x="72"/>
        <item x="567"/>
        <item x="719"/>
        <item x="648"/>
        <item x="121"/>
        <item x="597"/>
        <item x="248"/>
        <item x="632"/>
        <item x="329"/>
        <item x="595"/>
        <item x="1060"/>
        <item x="1056"/>
        <item x="1051"/>
        <item x="626"/>
        <item x="262"/>
        <item x="627"/>
        <item x="1057"/>
        <item x="440"/>
        <item x="716"/>
        <item x="335"/>
        <item x="833"/>
        <item x="376"/>
        <item x="290"/>
        <item x="511"/>
        <item x="223"/>
        <item x="501"/>
        <item x="867"/>
        <item x="347"/>
        <item x="87"/>
        <item x="605"/>
        <item x="796"/>
        <item x="980"/>
        <item x="697"/>
        <item x="836"/>
        <item x="427"/>
        <item x="926"/>
        <item x="565"/>
        <item x="383"/>
        <item x="432"/>
        <item x="10"/>
        <item x="835"/>
        <item x="676"/>
        <item x="1120"/>
        <item x="671"/>
        <item x="1054"/>
        <item x="202"/>
        <item x="203"/>
        <item x="1128"/>
        <item x="349"/>
        <item x="849"/>
        <item x="181"/>
        <item x="107"/>
        <item x="1075"/>
        <item x="265"/>
        <item x="237"/>
        <item x="448"/>
        <item x="445"/>
        <item x="48"/>
        <item x="119"/>
        <item x="397"/>
        <item x="429"/>
        <item x="327"/>
        <item x="644"/>
        <item x="884"/>
        <item x="909"/>
        <item x="1048"/>
        <item x="888"/>
        <item x="1086"/>
        <item x="468"/>
        <item x="234"/>
        <item x="981"/>
        <item x="769"/>
        <item x="385"/>
        <item x="1022"/>
        <item x="1127"/>
        <item x="1041"/>
        <item x="543"/>
        <item x="689"/>
        <item x="705"/>
        <item x="1077"/>
        <item x="362"/>
        <item x="756"/>
        <item x="174"/>
        <item x="351"/>
        <item x="793"/>
        <item x="970"/>
        <item x="955"/>
        <item x="92"/>
        <item x="276"/>
        <item x="1126"/>
        <item x="1069"/>
        <item x="104"/>
        <item x="316"/>
        <item x="258"/>
        <item x="266"/>
        <item x="557"/>
        <item x="713"/>
        <item x="1013"/>
        <item x="155"/>
        <item x="1003"/>
        <item x="178"/>
        <item x="139"/>
        <item x="179"/>
        <item x="540"/>
        <item x="547"/>
        <item x="934"/>
        <item x="873"/>
        <item x="315"/>
        <item x="731"/>
        <item x="1038"/>
        <item x="1124"/>
        <item x="205"/>
        <item x="532"/>
        <item x="377"/>
        <item x="809"/>
        <item x="340"/>
        <item x="475"/>
        <item x="963"/>
        <item x="161"/>
        <item x="658"/>
        <item x="96"/>
        <item x="856"/>
        <item x="539"/>
        <item x="618"/>
        <item x="978"/>
        <item x="144"/>
        <item x="920"/>
        <item x="472"/>
        <item x="500"/>
        <item x="840"/>
        <item x="76"/>
        <item x="739"/>
        <item x="342"/>
        <item x="825"/>
        <item x="826"/>
        <item x="498"/>
        <item x="392"/>
        <item x="617"/>
        <item x="765"/>
        <item x="5"/>
        <item x="1105"/>
        <item x="718"/>
        <item x="1020"/>
        <item x="207"/>
        <item x="707"/>
        <item x="1050"/>
        <item x="512"/>
        <item x="866"/>
        <item x="762"/>
        <item x="819"/>
        <item x="1016"/>
        <item x="365"/>
        <item x="269"/>
        <item x="674"/>
        <item x="846"/>
        <item x="499"/>
        <item x="1047"/>
        <item x="685"/>
        <item x="1081"/>
        <item x="100"/>
        <item x="1043"/>
        <item x="678"/>
        <item x="1018"/>
        <item x="590"/>
        <item x="75"/>
        <item x="874"/>
        <item x="171"/>
        <item x="526"/>
        <item x="415"/>
        <item x="140"/>
        <item x="239"/>
        <item x="986"/>
        <item x="165"/>
        <item x="1078"/>
        <item x="801"/>
        <item x="197"/>
        <item x="156"/>
        <item x="277"/>
        <item x="633"/>
        <item x="738"/>
        <item x="586"/>
        <item x="409"/>
        <item x="807"/>
        <item x="361"/>
        <item x="505"/>
        <item x="647"/>
        <item x="918"/>
        <item x="308"/>
        <item x="173"/>
        <item x="751"/>
        <item x="977"/>
        <item x="545"/>
        <item x="183"/>
        <item x="1055"/>
        <item x="1011"/>
        <item x="116"/>
        <item x="947"/>
        <item x="570"/>
        <item x="1091"/>
        <item x="524"/>
        <item x="425"/>
        <item x="145"/>
        <item x="63"/>
        <item x="578"/>
        <item x="686"/>
        <item x="305"/>
        <item x="295"/>
        <item x="296"/>
        <item x="476"/>
        <item x="391"/>
        <item x="734"/>
        <item x="692"/>
        <item x="994"/>
        <item x="515"/>
        <item x="887"/>
        <item x="241"/>
        <item x="967"/>
        <item x="188"/>
        <item x="434"/>
        <item x="7"/>
        <item x="1133"/>
        <item x="366"/>
        <item x="186"/>
        <item x="897"/>
        <item x="215"/>
        <item x="449"/>
        <item x="905"/>
        <item x="576"/>
        <item x="950"/>
        <item x="935"/>
        <item x="803"/>
        <item x="549"/>
        <item x="320"/>
        <item x="372"/>
        <item x="1094"/>
        <item x="1026"/>
        <item x="701"/>
        <item x="944"/>
        <item x="255"/>
        <item x="560"/>
        <item x="358"/>
        <item x="855"/>
        <item x="220"/>
        <item x="319"/>
        <item x="948"/>
        <item x="810"/>
        <item x="996"/>
        <item x="162"/>
        <item x="820"/>
        <item x="828"/>
        <item x="829"/>
        <item x="827"/>
        <item x="264"/>
        <item x="735"/>
        <item x="642"/>
        <item x="420"/>
        <item x="206"/>
        <item x="323"/>
        <item x="101"/>
        <item x="331"/>
        <item x="1089"/>
        <item x="195"/>
        <item x="1062"/>
        <item x="574"/>
        <item x="226"/>
        <item x="758"/>
        <item x="57"/>
        <item x="519"/>
        <item x="921"/>
        <item x="638"/>
        <item x="1005"/>
        <item x="50"/>
        <item x="604"/>
        <item x="287"/>
        <item x="463"/>
        <item x="112"/>
        <item x="240"/>
        <item x="441"/>
        <item x="870"/>
        <item x="280"/>
        <item x="90"/>
        <item x="949"/>
        <item x="951"/>
        <item x="16"/>
        <item x="559"/>
        <item x="670"/>
        <item x="65"/>
        <item x="1029"/>
        <item x="1030"/>
        <item x="103"/>
        <item x="58"/>
        <item x="337"/>
        <item x="742"/>
        <item x="170"/>
        <item x="548"/>
        <item x="444"/>
        <item x="348"/>
        <item x="630"/>
        <item x="629"/>
        <item x="273"/>
        <item x="54"/>
        <item x="813"/>
        <item x="516"/>
        <item x="838"/>
        <item x="755"/>
        <item x="1135"/>
        <item x="522"/>
        <item x="53"/>
        <item x="641"/>
        <item x="364"/>
        <item x="682"/>
        <item x="118"/>
        <item x="1035"/>
        <item x="992"/>
        <item x="384"/>
        <item x="160"/>
        <item x="814"/>
        <item x="227"/>
        <item x="1009"/>
        <item x="892"/>
        <item x="808"/>
        <item x="294"/>
        <item x="185"/>
        <item x="35"/>
        <item x="945"/>
        <item x="722"/>
        <item x="673"/>
        <item x="69"/>
        <item x="14"/>
        <item x="1132"/>
        <item x="623"/>
        <item x="1082"/>
        <item x="132"/>
        <item x="962"/>
        <item x="818"/>
        <item x="782"/>
        <item x="984"/>
        <item x="859"/>
        <item x="285"/>
        <item x="699"/>
        <item x="37"/>
        <item x="998"/>
        <item x="303"/>
        <item x="1006"/>
        <item x="247"/>
        <item x="857"/>
        <item x="1093"/>
        <item x="544"/>
        <item x="679"/>
        <item x="424"/>
        <item x="510"/>
        <item x="982"/>
        <item x="47"/>
        <item x="414"/>
        <item x="317"/>
        <item x="587"/>
        <item x="152"/>
        <item x="19"/>
        <item x="208"/>
        <item x="371"/>
        <item x="1087"/>
        <item x="791"/>
        <item x="894"/>
        <item x="561"/>
        <item x="562"/>
        <item x="637"/>
        <item x="465"/>
        <item x="806"/>
        <item x="520"/>
        <item x="601"/>
        <item x="898"/>
        <item x="228"/>
        <item x="175"/>
        <item x="102"/>
        <item x="470"/>
        <item x="709"/>
        <item x="311"/>
        <item x="1070"/>
        <item x="480"/>
        <item x="952"/>
        <item x="975"/>
        <item x="635"/>
        <item x="1107"/>
        <item x="966"/>
        <item x="1111"/>
        <item x="298"/>
        <item x="1068"/>
        <item x="1072"/>
        <item x="1092"/>
        <item x="459"/>
        <item x="1125"/>
        <item x="954"/>
        <item x="350"/>
        <item x="922"/>
        <item x="302"/>
        <item x="51"/>
        <item x="675"/>
        <item x="523"/>
        <item x="941"/>
        <item x="900"/>
        <item x="204"/>
        <item x="25"/>
        <item x="177"/>
        <item x="388"/>
        <item x="272"/>
        <item x="30"/>
        <item x="230"/>
        <item x="26"/>
        <item x="158"/>
        <item x="394"/>
        <item x="824"/>
        <item x="149"/>
        <item x="971"/>
        <item x="396"/>
        <item x="36"/>
        <item x="804"/>
        <item x="289"/>
        <item x="225"/>
        <item x="32"/>
        <item x="370"/>
        <item x="43"/>
        <item x="694"/>
        <item x="446"/>
        <item x="56"/>
        <item x="39"/>
        <item x="235"/>
        <item x="960"/>
        <item x="199"/>
        <item x="600"/>
        <item x="792"/>
        <item x="275"/>
        <item x="336"/>
        <item x="583"/>
        <item x="546"/>
        <item x="764"/>
        <item x="812"/>
        <item x="373"/>
        <item x="688"/>
        <item x="616"/>
        <item x="612"/>
        <item x="613"/>
        <item x="614"/>
        <item x="615"/>
        <item x="219"/>
        <item x="883"/>
        <item x="125"/>
        <item x="753"/>
        <item x="229"/>
        <item x="115"/>
        <item x="122"/>
        <item x="86"/>
        <item x="853"/>
        <item x="555"/>
        <item x="71"/>
        <item x="914"/>
        <item x="21"/>
        <item x="645"/>
        <item x="153"/>
        <item x="109"/>
        <item x="0"/>
        <item x="1115"/>
        <item x="757"/>
        <item x="917"/>
        <item x="822"/>
        <item x="823"/>
        <item x="504"/>
        <item x="380"/>
        <item x="631"/>
        <item x="360"/>
        <item x="250"/>
        <item x="1012"/>
        <item x="778"/>
        <item x="936"/>
        <item x="458"/>
        <item x="318"/>
        <item x="805"/>
        <item x="123"/>
        <item x="192"/>
        <item x="767"/>
        <item x="353"/>
        <item x="141"/>
        <item x="690"/>
        <item x="680"/>
        <item x="706"/>
        <item x="508"/>
        <item x="209"/>
        <item x="872"/>
        <item x="1002"/>
        <item x="763"/>
        <item x="341"/>
        <item x="134"/>
        <item x="903"/>
        <item x="720"/>
        <item x="422"/>
        <item x="1129"/>
        <item x="1033"/>
        <item x="456"/>
        <item x="860"/>
        <item x="184"/>
        <item x="22"/>
        <item x="218"/>
        <item x="15"/>
        <item x="852"/>
        <item x="1079"/>
        <item x="741"/>
        <item x="785"/>
        <item x="843"/>
        <item x="483"/>
        <item x="64"/>
        <item x="474"/>
        <item x="455"/>
        <item x="267"/>
        <item x="925"/>
        <item x="9"/>
        <item x="40"/>
        <item x="1034"/>
        <item x="904"/>
        <item x="968"/>
        <item x="438"/>
        <item x="428"/>
        <item x="108"/>
        <item x="403"/>
        <item x="534"/>
        <item x="395"/>
        <item x="976"/>
        <item x="356"/>
        <item x="619"/>
        <item x="987"/>
        <item x="1027"/>
        <item x="990"/>
        <item x="528"/>
        <item x="529"/>
        <item x="772"/>
        <item x="113"/>
        <item x="338"/>
        <item x="283"/>
        <item x="850"/>
        <item x="911"/>
        <item x="286"/>
        <item x="946"/>
        <item x="1017"/>
        <item x="733"/>
        <item x="942"/>
        <item x="68"/>
        <item x="698"/>
        <item x="584"/>
        <item x="771"/>
        <item x="61"/>
        <item x="221"/>
        <item x="489"/>
        <item x="236"/>
        <item x="73"/>
        <item x="1008"/>
        <item x="665"/>
        <item x="163"/>
        <item x="411"/>
        <item x="332"/>
        <item x="257"/>
        <item x="830"/>
        <item x="8"/>
        <item x="99"/>
        <item x="126"/>
        <item x="737"/>
        <item x="447"/>
        <item x="154"/>
        <item x="664"/>
        <item x="214"/>
        <item x="148"/>
        <item x="579"/>
        <item x="893"/>
        <item x="450"/>
        <item x="837"/>
        <item x="640"/>
        <item x="537"/>
        <item x="419"/>
        <item x="681"/>
        <item x="359"/>
        <item x="13"/>
        <item x="770"/>
        <item x="1028"/>
        <item x="1131"/>
        <item x="607"/>
        <item x="1083"/>
        <item x="816"/>
        <item x="513"/>
        <item x="575"/>
        <item x="938"/>
        <item x="464"/>
        <item x="27"/>
        <item x="485"/>
        <item x="797"/>
        <item x="752"/>
        <item x="525"/>
        <item x="929"/>
        <item x="551"/>
        <item x="138"/>
        <item x="552"/>
        <item x="85"/>
        <item x="965"/>
        <item x="1134"/>
        <item x="17"/>
        <item x="550"/>
        <item x="83"/>
        <item x="487"/>
        <item x="727"/>
        <item x="6"/>
        <item x="74"/>
        <item x="928"/>
        <item x="346"/>
        <item x="896"/>
        <item x="643"/>
        <item x="677"/>
        <item x="1044"/>
        <item x="700"/>
        <item x="95"/>
        <item x="12"/>
        <item x="1007"/>
        <item x="374"/>
        <item x="393"/>
        <item x="862"/>
        <item x="260"/>
        <item x="1063"/>
        <item x="312"/>
        <item x="659"/>
        <item x="974"/>
        <item x="581"/>
        <item x="41"/>
        <item x="1024"/>
        <item x="916"/>
        <item x="243"/>
        <item x="502"/>
        <item x="895"/>
        <item x="592"/>
        <item x="596"/>
        <item x="503"/>
        <item x="1114"/>
        <item x="886"/>
        <item x="777"/>
        <item x="191"/>
        <item x="908"/>
        <item x="609"/>
        <item x="834"/>
        <item x="1096"/>
        <item x="890"/>
        <item x="768"/>
        <item x="725"/>
        <item x="841"/>
        <item x="106"/>
        <item x="479"/>
        <item x="1023"/>
        <item x="749"/>
        <item x="779"/>
        <item x="416"/>
        <item x="661"/>
        <item x="452"/>
        <item x="386"/>
        <item x="717"/>
        <item x="931"/>
        <item x="282"/>
        <item x="775"/>
        <item x="246"/>
        <item x="937"/>
        <item x="1074"/>
        <item x="189"/>
        <item x="98"/>
        <item x="991"/>
        <item x="780"/>
        <item x="933"/>
        <item x="924"/>
        <item x="417"/>
        <item x="667"/>
        <item x="453"/>
        <item x="473"/>
        <item x="467"/>
        <item x="606"/>
        <item x="293"/>
        <item x="646"/>
        <item x="721"/>
        <item x="912"/>
        <item x="405"/>
        <item x="1031"/>
        <item x="997"/>
        <item x="401"/>
        <item x="1058"/>
        <item x="466"/>
        <item x="704"/>
        <item x="127"/>
        <item x="885"/>
        <item x="580"/>
        <item x="198"/>
        <item x="1116"/>
        <item x="436"/>
        <item x="492"/>
        <item x="750"/>
        <item x="598"/>
        <item x="1090"/>
        <item x="985"/>
        <item x="1065"/>
        <item x="703"/>
        <item x="244"/>
        <item x="563"/>
        <item x="1103"/>
        <item x="70"/>
        <item x="242"/>
        <item x="344"/>
        <item x="869"/>
        <item x="889"/>
        <item x="457"/>
        <item x="131"/>
        <item x="367"/>
        <item x="868"/>
        <item x="754"/>
        <item x="865"/>
        <item x="494"/>
        <item x="471"/>
        <item x="877"/>
        <item x="256"/>
        <item x="253"/>
        <item x="93"/>
        <item x="278"/>
        <item x="907"/>
        <item x="1112"/>
        <item x="412"/>
        <item x="839"/>
        <item x="333"/>
        <item x="120"/>
        <item x="666"/>
        <item x="1071"/>
        <item x="194"/>
        <item x="34"/>
        <item x="410"/>
        <item x="599"/>
        <item x="533"/>
        <item x="572"/>
        <item x="845"/>
        <item x="566"/>
        <item x="509"/>
        <item x="957"/>
        <item x="400"/>
        <item x="1106"/>
        <item x="1110"/>
        <item x="1109"/>
        <item x="1108"/>
        <item x="969"/>
        <item x="569"/>
        <item x="651"/>
        <item x="655"/>
        <item x="657"/>
        <item x="654"/>
        <item x="652"/>
        <item x="656"/>
        <item x="653"/>
        <item x="842"/>
        <item x="88"/>
        <item x="668"/>
        <item x="368"/>
        <item x="802"/>
        <item x="3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3"/>
  </rowFields>
  <rowItems count="11">
    <i>
      <x v="129"/>
    </i>
    <i>
      <x v="658"/>
    </i>
    <i>
      <x v="367"/>
    </i>
    <i>
      <x v="82"/>
    </i>
    <i>
      <x v="103"/>
    </i>
    <i>
      <x v="403"/>
    </i>
    <i>
      <x v="1078"/>
    </i>
    <i>
      <x v="254"/>
    </i>
    <i>
      <x v="29"/>
    </i>
    <i>
      <x v="381"/>
    </i>
    <i t="grand">
      <x/>
    </i>
  </rowItems>
  <colItems count="1">
    <i/>
  </colItems>
  <dataFields count="1">
    <dataField name="Sum of Bottle Count" fld="7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24227D-51C1-4467-B93A-D70F01F30688}" autoFormatId="16" applyNumberFormats="0" applyBorderFormats="0" applyFontFormats="0" applyPatternFormats="0" applyAlignmentFormats="0" applyWidthHeightFormats="0">
  <queryTableRefresh nextId="9">
    <queryTableFields count="8">
      <queryTableField id="1" name="Product Barcode" tableColumnId="1"/>
      <queryTableField id="2" name="Product Name" tableColumnId="2"/>
      <queryTableField id="3" name="Product Size" tableColumnId="3"/>
      <queryTableField id="4" name="Brand Name" tableColumnId="4"/>
      <queryTableField id="5" name="Manufacturer Country" tableColumnId="5"/>
      <queryTableField id="6" name="Manufacturer Name" tableColumnId="6"/>
      <queryTableField id="7" name="Scan Country" tableColumnId="7"/>
      <queryTableField id="8" name="Bottle C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876870-528D-4DF5-8B79-F5EBB2DDC58A}" name="CleanDataTable" displayName="CleanDataTable" ref="A1:H4255" tableType="queryTable" totalsRowShown="0">
  <autoFilter ref="A1:H4255" xr:uid="{08876870-528D-4DF5-8B79-F5EBB2DDC58A}"/>
  <tableColumns count="8">
    <tableColumn id="1" xr3:uid="{C015A491-2865-46CD-B65B-0AC7A9D690D2}" uniqueName="1" name="Product Barcode" queryTableFieldId="1"/>
    <tableColumn id="2" xr3:uid="{2786F67E-603C-45B0-ACD7-FA3238B38537}" uniqueName="2" name="Product Name" queryTableFieldId="2" dataDxfId="5"/>
    <tableColumn id="3" xr3:uid="{9B5FE6F9-BA69-47EE-B1A3-D1BCBF1AA597}" uniqueName="3" name="Product Size" queryTableFieldId="3" dataDxfId="4"/>
    <tableColumn id="4" xr3:uid="{EC077DC1-8D47-46C9-B148-6D6C5741D645}" uniqueName="4" name="Brand Name" queryTableFieldId="4" dataDxfId="3"/>
    <tableColumn id="5" xr3:uid="{BED9547B-3A50-47EE-AC65-7713ED5CC2A3}" uniqueName="5" name="Manufacturer Country" queryTableFieldId="5" dataDxfId="2"/>
    <tableColumn id="6" xr3:uid="{4BC3213E-C223-40B3-8F7A-EFBD0161725F}" uniqueName="6" name="Manufacturer Name" queryTableFieldId="6" dataDxfId="1"/>
    <tableColumn id="7" xr3:uid="{768C3226-C90B-491A-93AB-57B260B935AF}" uniqueName="7" name="Scan Country" queryTableFieldId="7" dataDxfId="0"/>
    <tableColumn id="8" xr3:uid="{47E8F3D8-9C76-4071-96C3-48C6B21A5590}" uniqueName="8" name="Bottle Cou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722E-ED9A-4A5A-B0BD-152C806663EB}">
  <dimension ref="A1:J4256"/>
  <sheetViews>
    <sheetView workbookViewId="0">
      <selection activeCell="O11" sqref="O11"/>
    </sheetView>
  </sheetViews>
  <sheetFormatPr defaultRowHeight="14.5" x14ac:dyDescent="0.35"/>
  <cols>
    <col min="1" max="1" width="14.6328125" bestFit="1" customWidth="1"/>
  </cols>
  <sheetData>
    <row r="1" spans="1:10" x14ac:dyDescent="0.35">
      <c r="A1" t="s">
        <v>4478</v>
      </c>
      <c r="B1" t="s">
        <v>4479</v>
      </c>
      <c r="C1" t="s">
        <v>4480</v>
      </c>
      <c r="D1" t="s">
        <v>4481</v>
      </c>
      <c r="E1" t="s">
        <v>4482</v>
      </c>
      <c r="F1" t="s">
        <v>4483</v>
      </c>
      <c r="G1" t="s">
        <v>4484</v>
      </c>
      <c r="H1" t="s">
        <v>4485</v>
      </c>
      <c r="I1" t="s">
        <v>4486</v>
      </c>
      <c r="J1" t="s">
        <v>4487</v>
      </c>
    </row>
    <row r="2" spans="1:10" x14ac:dyDescent="0.35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4488</v>
      </c>
      <c r="J2">
        <v>113</v>
      </c>
    </row>
    <row r="3" spans="1:10" x14ac:dyDescent="0.35">
      <c r="A3">
        <v>86</v>
      </c>
      <c r="B3" t="s">
        <v>13</v>
      </c>
      <c r="C3" t="s">
        <v>9</v>
      </c>
      <c r="D3" t="s">
        <v>14</v>
      </c>
      <c r="E3" t="s">
        <v>15</v>
      </c>
      <c r="F3" t="s">
        <v>14</v>
      </c>
      <c r="G3" t="s">
        <v>16</v>
      </c>
      <c r="H3" t="s">
        <v>4489</v>
      </c>
      <c r="J3">
        <v>1</v>
      </c>
    </row>
    <row r="4" spans="1:10" x14ac:dyDescent="0.35">
      <c r="A4">
        <v>23015364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4490</v>
      </c>
      <c r="J4">
        <v>1</v>
      </c>
    </row>
    <row r="5" spans="1:10" x14ac:dyDescent="0.35">
      <c r="A5">
        <v>2148012112</v>
      </c>
      <c r="B5" t="s">
        <v>23</v>
      </c>
      <c r="C5" t="s">
        <v>9</v>
      </c>
      <c r="D5" t="s">
        <v>24</v>
      </c>
      <c r="E5" t="s">
        <v>15</v>
      </c>
      <c r="F5" t="s">
        <v>25</v>
      </c>
      <c r="G5" t="s">
        <v>22</v>
      </c>
      <c r="H5" t="s">
        <v>4491</v>
      </c>
      <c r="J5">
        <v>1</v>
      </c>
    </row>
    <row r="6" spans="1:10" x14ac:dyDescent="0.35">
      <c r="A6">
        <v>54676</v>
      </c>
      <c r="B6" t="s">
        <v>26</v>
      </c>
      <c r="C6" t="s">
        <v>9</v>
      </c>
      <c r="D6" t="s">
        <v>27</v>
      </c>
      <c r="E6" t="s">
        <v>16</v>
      </c>
      <c r="F6" t="s">
        <v>28</v>
      </c>
      <c r="G6" t="s">
        <v>16</v>
      </c>
      <c r="H6" t="s">
        <v>4492</v>
      </c>
      <c r="J6">
        <v>2</v>
      </c>
    </row>
    <row r="7" spans="1:10" x14ac:dyDescent="0.35">
      <c r="A7">
        <v>1234003331</v>
      </c>
      <c r="B7" t="s">
        <v>29</v>
      </c>
      <c r="C7" t="s">
        <v>9</v>
      </c>
      <c r="D7" t="s">
        <v>30</v>
      </c>
      <c r="E7" t="s">
        <v>31</v>
      </c>
      <c r="F7" t="s">
        <v>32</v>
      </c>
      <c r="G7" t="s">
        <v>33</v>
      </c>
      <c r="H7" t="s">
        <v>4493</v>
      </c>
      <c r="J7">
        <v>28</v>
      </c>
    </row>
    <row r="8" spans="1:10" x14ac:dyDescent="0.35">
      <c r="A8">
        <v>1234003331</v>
      </c>
      <c r="B8" t="s">
        <v>29</v>
      </c>
      <c r="C8" t="s">
        <v>9</v>
      </c>
      <c r="D8" t="s">
        <v>30</v>
      </c>
      <c r="E8" t="s">
        <v>31</v>
      </c>
      <c r="F8" t="s">
        <v>32</v>
      </c>
      <c r="G8" t="s">
        <v>34</v>
      </c>
      <c r="H8" t="s">
        <v>4493</v>
      </c>
      <c r="J8">
        <v>10</v>
      </c>
    </row>
    <row r="9" spans="1:10" x14ac:dyDescent="0.35">
      <c r="A9">
        <v>1234003331</v>
      </c>
      <c r="B9" t="s">
        <v>29</v>
      </c>
      <c r="C9" t="s">
        <v>9</v>
      </c>
      <c r="D9" t="s">
        <v>30</v>
      </c>
      <c r="E9" t="s">
        <v>31</v>
      </c>
      <c r="F9" t="s">
        <v>32</v>
      </c>
      <c r="G9" t="s">
        <v>31</v>
      </c>
      <c r="H9" t="s">
        <v>4493</v>
      </c>
      <c r="J9">
        <v>2</v>
      </c>
    </row>
    <row r="10" spans="1:10" x14ac:dyDescent="0.35">
      <c r="A10">
        <v>1234003348</v>
      </c>
      <c r="B10" t="s">
        <v>35</v>
      </c>
      <c r="C10" t="s">
        <v>36</v>
      </c>
      <c r="D10" t="s">
        <v>30</v>
      </c>
      <c r="E10" t="s">
        <v>31</v>
      </c>
      <c r="F10" t="s">
        <v>32</v>
      </c>
      <c r="G10" t="s">
        <v>31</v>
      </c>
      <c r="H10" t="s">
        <v>4493</v>
      </c>
      <c r="J10">
        <v>1</v>
      </c>
    </row>
    <row r="11" spans="1:10" x14ac:dyDescent="0.35">
      <c r="A11">
        <v>14188991012</v>
      </c>
      <c r="B11" t="s">
        <v>37</v>
      </c>
      <c r="C11" t="s">
        <v>38</v>
      </c>
      <c r="D11" t="s">
        <v>39</v>
      </c>
      <c r="E11" t="s">
        <v>15</v>
      </c>
      <c r="F11" t="s">
        <v>40</v>
      </c>
      <c r="G11" t="s">
        <v>41</v>
      </c>
      <c r="H11" t="s">
        <v>4494</v>
      </c>
      <c r="J11">
        <v>50</v>
      </c>
    </row>
    <row r="12" spans="1:10" x14ac:dyDescent="0.35">
      <c r="A12">
        <v>151917</v>
      </c>
      <c r="B12" t="s">
        <v>42</v>
      </c>
      <c r="C12" t="s">
        <v>43</v>
      </c>
      <c r="D12" t="s">
        <v>44</v>
      </c>
      <c r="E12" t="s">
        <v>22</v>
      </c>
      <c r="F12" t="s">
        <v>45</v>
      </c>
      <c r="G12" t="s">
        <v>22</v>
      </c>
      <c r="H12" t="s">
        <v>4495</v>
      </c>
      <c r="J12">
        <v>1</v>
      </c>
    </row>
    <row r="13" spans="1:10" x14ac:dyDescent="0.35">
      <c r="A13">
        <v>16571957711</v>
      </c>
      <c r="B13" t="s">
        <v>46</v>
      </c>
      <c r="C13" t="s">
        <v>47</v>
      </c>
      <c r="D13" t="s">
        <v>48</v>
      </c>
      <c r="E13" t="s">
        <v>15</v>
      </c>
      <c r="F13" t="s">
        <v>49</v>
      </c>
      <c r="G13" t="s">
        <v>16</v>
      </c>
      <c r="H13" t="s">
        <v>4496</v>
      </c>
      <c r="J13">
        <v>2</v>
      </c>
    </row>
    <row r="14" spans="1:10" x14ac:dyDescent="0.35">
      <c r="A14">
        <v>16600000760</v>
      </c>
      <c r="B14" t="s">
        <v>50</v>
      </c>
      <c r="C14" t="s">
        <v>51</v>
      </c>
      <c r="D14" t="s">
        <v>52</v>
      </c>
      <c r="E14" t="s">
        <v>15</v>
      </c>
      <c r="F14" t="s">
        <v>14</v>
      </c>
      <c r="G14" t="s">
        <v>16</v>
      </c>
      <c r="H14" t="s">
        <v>4489</v>
      </c>
      <c r="J14">
        <v>1</v>
      </c>
    </row>
    <row r="15" spans="1:10" x14ac:dyDescent="0.35">
      <c r="A15">
        <v>16600010240</v>
      </c>
      <c r="B15" t="s">
        <v>50</v>
      </c>
      <c r="C15" t="s">
        <v>53</v>
      </c>
      <c r="D15" t="s">
        <v>52</v>
      </c>
      <c r="E15" t="s">
        <v>15</v>
      </c>
      <c r="F15" t="s">
        <v>14</v>
      </c>
      <c r="G15" t="s">
        <v>16</v>
      </c>
      <c r="H15" t="s">
        <v>4489</v>
      </c>
      <c r="J15">
        <v>2</v>
      </c>
    </row>
    <row r="16" spans="1:10" x14ac:dyDescent="0.35">
      <c r="A16">
        <v>17211182562</v>
      </c>
      <c r="B16" t="s">
        <v>54</v>
      </c>
      <c r="C16" t="s">
        <v>53</v>
      </c>
      <c r="D16" t="s">
        <v>55</v>
      </c>
      <c r="E16" t="s">
        <v>15</v>
      </c>
      <c r="F16" t="s">
        <v>56</v>
      </c>
      <c r="G16" t="s">
        <v>16</v>
      </c>
      <c r="H16" t="s">
        <v>4497</v>
      </c>
      <c r="J16">
        <v>1</v>
      </c>
    </row>
    <row r="17" spans="1:10" x14ac:dyDescent="0.35">
      <c r="A17">
        <v>17273504494</v>
      </c>
      <c r="B17" t="s">
        <v>57</v>
      </c>
      <c r="C17" t="s">
        <v>58</v>
      </c>
      <c r="D17" t="s">
        <v>59</v>
      </c>
      <c r="E17" t="s">
        <v>15</v>
      </c>
      <c r="F17" t="s">
        <v>60</v>
      </c>
      <c r="G17" t="s">
        <v>61</v>
      </c>
      <c r="H17" t="s">
        <v>4498</v>
      </c>
      <c r="J17">
        <v>1</v>
      </c>
    </row>
    <row r="18" spans="1:10" x14ac:dyDescent="0.35">
      <c r="A18">
        <v>18112317305</v>
      </c>
      <c r="B18" t="s">
        <v>62</v>
      </c>
      <c r="C18" t="s">
        <v>43</v>
      </c>
      <c r="D18" t="s">
        <v>63</v>
      </c>
      <c r="E18" t="s">
        <v>22</v>
      </c>
      <c r="F18" t="s">
        <v>64</v>
      </c>
      <c r="G18" t="s">
        <v>22</v>
      </c>
      <c r="H18" t="s">
        <v>4499</v>
      </c>
      <c r="J18">
        <v>1</v>
      </c>
    </row>
    <row r="19" spans="1:10" x14ac:dyDescent="0.35">
      <c r="A19">
        <v>21041001634</v>
      </c>
      <c r="B19" t="s">
        <v>65</v>
      </c>
      <c r="C19" t="s">
        <v>66</v>
      </c>
      <c r="D19" t="s">
        <v>65</v>
      </c>
      <c r="E19" t="s">
        <v>41</v>
      </c>
      <c r="F19" t="s">
        <v>67</v>
      </c>
      <c r="G19" t="s">
        <v>41</v>
      </c>
      <c r="H19" t="s">
        <v>4500</v>
      </c>
      <c r="J19">
        <v>112</v>
      </c>
    </row>
    <row r="20" spans="1:10" x14ac:dyDescent="0.35">
      <c r="A20">
        <v>21468375004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 t="s">
        <v>4501</v>
      </c>
      <c r="J20">
        <v>1</v>
      </c>
    </row>
    <row r="21" spans="1:10" x14ac:dyDescent="0.35">
      <c r="A21">
        <v>25833820458</v>
      </c>
      <c r="B21" t="s">
        <v>74</v>
      </c>
      <c r="C21" t="s">
        <v>75</v>
      </c>
      <c r="D21" t="s">
        <v>76</v>
      </c>
      <c r="E21" t="s">
        <v>34</v>
      </c>
      <c r="F21" t="s">
        <v>77</v>
      </c>
      <c r="G21" t="s">
        <v>34</v>
      </c>
      <c r="H21" t="s">
        <v>4502</v>
      </c>
      <c r="J21">
        <v>22</v>
      </c>
    </row>
    <row r="22" spans="1:10" x14ac:dyDescent="0.35">
      <c r="A22">
        <v>25833821028</v>
      </c>
      <c r="B22" t="s">
        <v>74</v>
      </c>
      <c r="C22" t="s">
        <v>78</v>
      </c>
      <c r="D22" t="s">
        <v>76</v>
      </c>
      <c r="E22" t="s">
        <v>34</v>
      </c>
      <c r="F22" t="s">
        <v>77</v>
      </c>
      <c r="G22" t="s">
        <v>34</v>
      </c>
      <c r="H22" t="s">
        <v>4502</v>
      </c>
      <c r="J22">
        <v>150</v>
      </c>
    </row>
    <row r="23" spans="1:10" x14ac:dyDescent="0.35">
      <c r="A23">
        <v>25833821059</v>
      </c>
      <c r="B23" t="s">
        <v>79</v>
      </c>
      <c r="C23" t="s">
        <v>75</v>
      </c>
      <c r="D23" t="s">
        <v>76</v>
      </c>
      <c r="E23" t="s">
        <v>34</v>
      </c>
      <c r="F23" t="s">
        <v>77</v>
      </c>
      <c r="G23" t="s">
        <v>34</v>
      </c>
      <c r="H23" t="s">
        <v>4502</v>
      </c>
      <c r="J23">
        <v>72</v>
      </c>
    </row>
    <row r="24" spans="1:10" x14ac:dyDescent="0.35">
      <c r="A24">
        <v>25833821219</v>
      </c>
      <c r="B24" t="s">
        <v>80</v>
      </c>
      <c r="C24" t="s">
        <v>81</v>
      </c>
      <c r="D24" t="s">
        <v>76</v>
      </c>
      <c r="E24" t="s">
        <v>34</v>
      </c>
      <c r="F24" t="s">
        <v>77</v>
      </c>
      <c r="G24" t="s">
        <v>34</v>
      </c>
      <c r="H24" t="s">
        <v>4502</v>
      </c>
      <c r="J24">
        <v>5</v>
      </c>
    </row>
    <row r="25" spans="1:10" x14ac:dyDescent="0.35">
      <c r="A25">
        <v>258388</v>
      </c>
      <c r="B25" t="s">
        <v>82</v>
      </c>
      <c r="C25" t="s">
        <v>83</v>
      </c>
      <c r="D25" t="s">
        <v>84</v>
      </c>
      <c r="E25" t="s">
        <v>61</v>
      </c>
      <c r="F25" t="s">
        <v>85</v>
      </c>
      <c r="G25" t="s">
        <v>61</v>
      </c>
      <c r="H25" t="s">
        <v>4503</v>
      </c>
      <c r="J25">
        <v>1</v>
      </c>
    </row>
    <row r="26" spans="1:10" x14ac:dyDescent="0.35">
      <c r="A26">
        <v>25900227333</v>
      </c>
      <c r="B26" t="s">
        <v>86</v>
      </c>
      <c r="C26" t="s">
        <v>87</v>
      </c>
      <c r="D26" t="s">
        <v>88</v>
      </c>
      <c r="E26" t="s">
        <v>15</v>
      </c>
      <c r="F26" t="s">
        <v>89</v>
      </c>
      <c r="G26" t="s">
        <v>15</v>
      </c>
      <c r="H26" t="s">
        <v>4504</v>
      </c>
      <c r="J26">
        <v>1</v>
      </c>
    </row>
    <row r="27" spans="1:10" x14ac:dyDescent="0.35">
      <c r="A27">
        <v>28400040112</v>
      </c>
      <c r="B27" t="s">
        <v>90</v>
      </c>
      <c r="C27" t="s">
        <v>91</v>
      </c>
      <c r="D27" t="s">
        <v>92</v>
      </c>
      <c r="E27" t="s">
        <v>15</v>
      </c>
      <c r="F27" t="s">
        <v>56</v>
      </c>
      <c r="G27" t="s">
        <v>22</v>
      </c>
      <c r="H27" t="s">
        <v>4497</v>
      </c>
      <c r="J27">
        <v>2</v>
      </c>
    </row>
    <row r="28" spans="1:10" x14ac:dyDescent="0.35">
      <c r="A28">
        <v>28400040112</v>
      </c>
      <c r="B28" t="s">
        <v>90</v>
      </c>
      <c r="C28" t="s">
        <v>91</v>
      </c>
      <c r="D28" t="s">
        <v>92</v>
      </c>
      <c r="E28" t="s">
        <v>15</v>
      </c>
      <c r="F28" t="s">
        <v>56</v>
      </c>
      <c r="G28" t="s">
        <v>15</v>
      </c>
      <c r="H28" t="s">
        <v>4497</v>
      </c>
      <c r="J28">
        <v>1</v>
      </c>
    </row>
    <row r="29" spans="1:10" x14ac:dyDescent="0.35">
      <c r="A29">
        <v>300551</v>
      </c>
      <c r="B29" t="s">
        <v>93</v>
      </c>
      <c r="C29" t="s">
        <v>94</v>
      </c>
      <c r="D29" t="s">
        <v>44</v>
      </c>
      <c r="E29" t="s">
        <v>22</v>
      </c>
      <c r="F29" t="s">
        <v>45</v>
      </c>
      <c r="G29" t="s">
        <v>22</v>
      </c>
      <c r="H29" t="s">
        <v>4495</v>
      </c>
      <c r="J29">
        <v>1</v>
      </c>
    </row>
    <row r="30" spans="1:10" x14ac:dyDescent="0.35">
      <c r="A30">
        <v>31200025753</v>
      </c>
      <c r="B30" t="s">
        <v>95</v>
      </c>
      <c r="C30" t="s">
        <v>96</v>
      </c>
      <c r="D30" t="s">
        <v>97</v>
      </c>
      <c r="E30" t="s">
        <v>15</v>
      </c>
      <c r="F30" t="s">
        <v>98</v>
      </c>
      <c r="G30" t="s">
        <v>16</v>
      </c>
      <c r="H30" t="s">
        <v>4505</v>
      </c>
      <c r="J30">
        <v>1</v>
      </c>
    </row>
    <row r="31" spans="1:10" x14ac:dyDescent="0.35">
      <c r="A31">
        <v>31200046086</v>
      </c>
      <c r="B31" t="s">
        <v>99</v>
      </c>
      <c r="C31" t="s">
        <v>100</v>
      </c>
      <c r="D31" t="s">
        <v>97</v>
      </c>
      <c r="E31" t="s">
        <v>15</v>
      </c>
      <c r="F31" t="s">
        <v>98</v>
      </c>
      <c r="G31" t="s">
        <v>16</v>
      </c>
      <c r="H31" t="s">
        <v>4505</v>
      </c>
      <c r="J31">
        <v>7</v>
      </c>
    </row>
    <row r="32" spans="1:10" x14ac:dyDescent="0.35">
      <c r="A32">
        <v>33844001193</v>
      </c>
      <c r="B32" t="s">
        <v>101</v>
      </c>
      <c r="C32" t="s">
        <v>102</v>
      </c>
      <c r="D32" t="s">
        <v>103</v>
      </c>
      <c r="E32" t="s">
        <v>22</v>
      </c>
      <c r="F32" t="s">
        <v>104</v>
      </c>
      <c r="G32" t="s">
        <v>41</v>
      </c>
      <c r="H32" t="s">
        <v>4506</v>
      </c>
      <c r="J32">
        <v>13</v>
      </c>
    </row>
    <row r="33" spans="1:10" x14ac:dyDescent="0.35">
      <c r="A33">
        <v>34000939572</v>
      </c>
      <c r="B33" t="s">
        <v>105</v>
      </c>
      <c r="C33" t="s">
        <v>106</v>
      </c>
      <c r="D33" t="s">
        <v>107</v>
      </c>
      <c r="E33" t="s">
        <v>15</v>
      </c>
      <c r="F33" t="s">
        <v>108</v>
      </c>
      <c r="G33" t="s">
        <v>22</v>
      </c>
      <c r="H33" t="s">
        <v>4507</v>
      </c>
      <c r="J33">
        <v>2</v>
      </c>
    </row>
    <row r="34" spans="1:10" x14ac:dyDescent="0.35">
      <c r="A34">
        <v>358767</v>
      </c>
      <c r="B34" t="s">
        <v>109</v>
      </c>
      <c r="C34" t="s">
        <v>110</v>
      </c>
      <c r="D34" t="s">
        <v>111</v>
      </c>
      <c r="E34" t="s">
        <v>22</v>
      </c>
      <c r="F34" t="s">
        <v>112</v>
      </c>
      <c r="G34" t="s">
        <v>22</v>
      </c>
      <c r="H34" t="s">
        <v>4508</v>
      </c>
      <c r="J34">
        <v>1</v>
      </c>
    </row>
    <row r="35" spans="1:10" x14ac:dyDescent="0.35">
      <c r="A35">
        <v>40232647048</v>
      </c>
      <c r="B35" t="s">
        <v>113</v>
      </c>
      <c r="C35" t="s">
        <v>114</v>
      </c>
      <c r="D35" t="s">
        <v>115</v>
      </c>
      <c r="E35" t="s">
        <v>34</v>
      </c>
      <c r="F35" t="s">
        <v>116</v>
      </c>
      <c r="G35" t="s">
        <v>117</v>
      </c>
      <c r="H35" t="s">
        <v>4509</v>
      </c>
      <c r="J35">
        <v>1</v>
      </c>
    </row>
    <row r="36" spans="1:10" x14ac:dyDescent="0.35">
      <c r="A36">
        <v>415668</v>
      </c>
      <c r="B36" t="s">
        <v>118</v>
      </c>
      <c r="C36" t="s">
        <v>81</v>
      </c>
      <c r="D36" t="s">
        <v>111</v>
      </c>
      <c r="E36" t="s">
        <v>22</v>
      </c>
      <c r="F36" t="s">
        <v>112</v>
      </c>
      <c r="G36" t="s">
        <v>22</v>
      </c>
      <c r="H36" t="s">
        <v>4508</v>
      </c>
      <c r="J36">
        <v>1</v>
      </c>
    </row>
    <row r="37" spans="1:10" x14ac:dyDescent="0.35">
      <c r="A37">
        <v>415668</v>
      </c>
      <c r="B37" t="s">
        <v>118</v>
      </c>
      <c r="C37" t="s">
        <v>81</v>
      </c>
      <c r="D37" t="s">
        <v>111</v>
      </c>
      <c r="E37" t="s">
        <v>22</v>
      </c>
      <c r="F37" t="s">
        <v>112</v>
      </c>
      <c r="G37" t="s">
        <v>34</v>
      </c>
      <c r="H37" t="s">
        <v>4508</v>
      </c>
      <c r="J37">
        <v>3</v>
      </c>
    </row>
    <row r="38" spans="1:10" x14ac:dyDescent="0.35">
      <c r="A38">
        <v>41990050019</v>
      </c>
      <c r="B38" t="s">
        <v>119</v>
      </c>
      <c r="C38" t="s">
        <v>9</v>
      </c>
      <c r="D38" t="s">
        <v>120</v>
      </c>
      <c r="E38" t="s">
        <v>22</v>
      </c>
      <c r="F38" t="s">
        <v>121</v>
      </c>
      <c r="G38" t="s">
        <v>122</v>
      </c>
      <c r="H38" t="s">
        <v>4510</v>
      </c>
      <c r="J38">
        <v>2</v>
      </c>
    </row>
    <row r="39" spans="1:10" x14ac:dyDescent="0.35">
      <c r="A39">
        <v>433662</v>
      </c>
      <c r="B39" t="s">
        <v>123</v>
      </c>
      <c r="C39" t="s">
        <v>81</v>
      </c>
      <c r="D39" t="s">
        <v>111</v>
      </c>
      <c r="E39" t="s">
        <v>22</v>
      </c>
      <c r="F39" t="s">
        <v>112</v>
      </c>
      <c r="G39" t="s">
        <v>22</v>
      </c>
      <c r="H39" t="s">
        <v>4508</v>
      </c>
      <c r="J39">
        <v>1</v>
      </c>
    </row>
    <row r="40" spans="1:10" x14ac:dyDescent="0.35">
      <c r="A40">
        <v>43800245189</v>
      </c>
      <c r="B40" t="s">
        <v>124</v>
      </c>
      <c r="C40" t="s">
        <v>9</v>
      </c>
      <c r="D40" t="s">
        <v>125</v>
      </c>
      <c r="E40" t="s">
        <v>41</v>
      </c>
      <c r="F40" t="s">
        <v>126</v>
      </c>
      <c r="G40" t="s">
        <v>41</v>
      </c>
      <c r="H40" t="s">
        <v>4511</v>
      </c>
      <c r="J40">
        <v>1</v>
      </c>
    </row>
    <row r="41" spans="1:10" x14ac:dyDescent="0.35">
      <c r="A41">
        <v>48415411301</v>
      </c>
      <c r="B41" t="s">
        <v>127</v>
      </c>
      <c r="C41" t="s">
        <v>128</v>
      </c>
      <c r="D41" t="s">
        <v>129</v>
      </c>
      <c r="E41" t="s">
        <v>130</v>
      </c>
      <c r="F41" t="s">
        <v>131</v>
      </c>
      <c r="G41" t="s">
        <v>16</v>
      </c>
      <c r="H41" t="s">
        <v>4512</v>
      </c>
      <c r="J41">
        <v>5</v>
      </c>
    </row>
    <row r="42" spans="1:10" x14ac:dyDescent="0.35">
      <c r="A42">
        <v>50200013218</v>
      </c>
      <c r="B42" t="s">
        <v>132</v>
      </c>
      <c r="C42" t="s">
        <v>133</v>
      </c>
      <c r="D42" t="s">
        <v>134</v>
      </c>
      <c r="E42" t="s">
        <v>15</v>
      </c>
      <c r="F42" t="s">
        <v>135</v>
      </c>
      <c r="G42" t="s">
        <v>16</v>
      </c>
      <c r="H42" t="s">
        <v>4513</v>
      </c>
      <c r="J42">
        <v>2</v>
      </c>
    </row>
    <row r="43" spans="1:10" x14ac:dyDescent="0.35">
      <c r="A43">
        <v>519779</v>
      </c>
      <c r="B43" t="s">
        <v>136</v>
      </c>
      <c r="C43" t="s">
        <v>9</v>
      </c>
      <c r="D43" t="s">
        <v>137</v>
      </c>
      <c r="E43" t="s">
        <v>15</v>
      </c>
      <c r="F43" t="s">
        <v>138</v>
      </c>
      <c r="G43" t="s">
        <v>15</v>
      </c>
      <c r="H43" t="s">
        <v>4514</v>
      </c>
      <c r="J43">
        <v>1</v>
      </c>
    </row>
    <row r="44" spans="1:10" x14ac:dyDescent="0.35">
      <c r="A44">
        <v>54900000608</v>
      </c>
      <c r="B44" t="s">
        <v>139</v>
      </c>
      <c r="C44" t="s">
        <v>78</v>
      </c>
      <c r="D44" t="s">
        <v>140</v>
      </c>
      <c r="E44" t="s">
        <v>15</v>
      </c>
      <c r="F44" t="s">
        <v>25</v>
      </c>
      <c r="G44" t="s">
        <v>16</v>
      </c>
      <c r="H44" t="s">
        <v>4491</v>
      </c>
      <c r="J44">
        <v>2</v>
      </c>
    </row>
    <row r="45" spans="1:10" x14ac:dyDescent="0.35">
      <c r="A45">
        <v>55477420271</v>
      </c>
      <c r="B45" t="s">
        <v>141</v>
      </c>
      <c r="C45" t="s">
        <v>53</v>
      </c>
      <c r="D45" t="s">
        <v>55</v>
      </c>
      <c r="E45" t="s">
        <v>15</v>
      </c>
      <c r="F45" t="s">
        <v>56</v>
      </c>
      <c r="G45" t="s">
        <v>16</v>
      </c>
      <c r="H45" t="s">
        <v>4497</v>
      </c>
      <c r="J45">
        <v>1</v>
      </c>
    </row>
    <row r="46" spans="1:10" x14ac:dyDescent="0.35">
      <c r="A46">
        <v>55500402946</v>
      </c>
      <c r="B46" t="s">
        <v>142</v>
      </c>
      <c r="C46" t="s">
        <v>143</v>
      </c>
      <c r="D46" t="s">
        <v>142</v>
      </c>
      <c r="E46" t="s">
        <v>15</v>
      </c>
      <c r="F46" t="s">
        <v>144</v>
      </c>
      <c r="G46" t="s">
        <v>16</v>
      </c>
      <c r="H46" t="s">
        <v>4515</v>
      </c>
      <c r="J46">
        <v>3</v>
      </c>
    </row>
    <row r="47" spans="1:10" x14ac:dyDescent="0.35">
      <c r="A47">
        <v>55511221024</v>
      </c>
      <c r="B47" t="s">
        <v>145</v>
      </c>
      <c r="C47" t="s">
        <v>146</v>
      </c>
      <c r="D47" t="s">
        <v>55</v>
      </c>
      <c r="E47" t="s">
        <v>15</v>
      </c>
      <c r="F47" t="s">
        <v>56</v>
      </c>
      <c r="G47" t="s">
        <v>16</v>
      </c>
      <c r="H47" t="s">
        <v>4497</v>
      </c>
      <c r="J47">
        <v>1</v>
      </c>
    </row>
    <row r="48" spans="1:10" x14ac:dyDescent="0.35">
      <c r="A48">
        <v>55577420232</v>
      </c>
      <c r="B48" t="s">
        <v>147</v>
      </c>
      <c r="C48" t="s">
        <v>53</v>
      </c>
      <c r="D48" t="s">
        <v>55</v>
      </c>
      <c r="E48" t="s">
        <v>15</v>
      </c>
      <c r="F48" t="s">
        <v>56</v>
      </c>
      <c r="G48" t="s">
        <v>16</v>
      </c>
      <c r="H48" t="s">
        <v>4497</v>
      </c>
      <c r="J48">
        <v>5</v>
      </c>
    </row>
    <row r="49" spans="1:10" x14ac:dyDescent="0.35">
      <c r="A49">
        <v>55577420263</v>
      </c>
      <c r="B49" t="s">
        <v>148</v>
      </c>
      <c r="C49" t="s">
        <v>53</v>
      </c>
      <c r="D49" t="s">
        <v>55</v>
      </c>
      <c r="E49" t="s">
        <v>15</v>
      </c>
      <c r="F49" t="s">
        <v>56</v>
      </c>
      <c r="G49" t="s">
        <v>16</v>
      </c>
      <c r="H49" t="s">
        <v>4497</v>
      </c>
      <c r="J49">
        <v>3</v>
      </c>
    </row>
    <row r="50" spans="1:10" x14ac:dyDescent="0.35">
      <c r="A50">
        <v>55577420515</v>
      </c>
      <c r="B50" t="s">
        <v>149</v>
      </c>
      <c r="C50" t="s">
        <v>53</v>
      </c>
      <c r="D50" t="s">
        <v>55</v>
      </c>
      <c r="E50" t="s">
        <v>15</v>
      </c>
      <c r="F50" t="s">
        <v>56</v>
      </c>
      <c r="G50" t="s">
        <v>16</v>
      </c>
      <c r="H50" t="s">
        <v>4497</v>
      </c>
      <c r="J50">
        <v>5</v>
      </c>
    </row>
    <row r="51" spans="1:10" x14ac:dyDescent="0.35">
      <c r="A51">
        <v>55577420515</v>
      </c>
      <c r="B51" t="s">
        <v>149</v>
      </c>
      <c r="C51" t="s">
        <v>53</v>
      </c>
      <c r="D51" t="s">
        <v>55</v>
      </c>
      <c r="E51" t="s">
        <v>15</v>
      </c>
      <c r="F51" t="s">
        <v>56</v>
      </c>
      <c r="G51" t="s">
        <v>150</v>
      </c>
      <c r="H51" t="s">
        <v>4497</v>
      </c>
      <c r="J51">
        <v>4</v>
      </c>
    </row>
    <row r="52" spans="1:10" x14ac:dyDescent="0.35">
      <c r="A52">
        <v>55577420751</v>
      </c>
      <c r="B52" t="s">
        <v>55</v>
      </c>
      <c r="C52" t="s">
        <v>151</v>
      </c>
      <c r="D52" t="s">
        <v>55</v>
      </c>
      <c r="E52" t="s">
        <v>15</v>
      </c>
      <c r="F52" t="s">
        <v>56</v>
      </c>
      <c r="G52" t="s">
        <v>16</v>
      </c>
      <c r="H52" t="s">
        <v>4497</v>
      </c>
      <c r="J52">
        <v>2</v>
      </c>
    </row>
    <row r="53" spans="1:10" x14ac:dyDescent="0.35">
      <c r="A53">
        <v>55577420928</v>
      </c>
      <c r="B53" t="s">
        <v>152</v>
      </c>
      <c r="C53" t="s">
        <v>53</v>
      </c>
      <c r="D53" t="s">
        <v>55</v>
      </c>
      <c r="E53" t="s">
        <v>15</v>
      </c>
      <c r="F53" t="s">
        <v>56</v>
      </c>
      <c r="G53" t="s">
        <v>16</v>
      </c>
      <c r="H53" t="s">
        <v>4497</v>
      </c>
      <c r="J53">
        <v>5</v>
      </c>
    </row>
    <row r="54" spans="1:10" x14ac:dyDescent="0.35">
      <c r="A54">
        <v>55577420935</v>
      </c>
      <c r="B54" t="s">
        <v>153</v>
      </c>
      <c r="C54" t="s">
        <v>53</v>
      </c>
      <c r="D54" t="s">
        <v>55</v>
      </c>
      <c r="E54" t="s">
        <v>15</v>
      </c>
      <c r="F54" t="s">
        <v>56</v>
      </c>
      <c r="G54" t="s">
        <v>16</v>
      </c>
      <c r="H54" t="s">
        <v>4497</v>
      </c>
      <c r="J54">
        <v>7</v>
      </c>
    </row>
    <row r="55" spans="1:10" x14ac:dyDescent="0.35">
      <c r="A55">
        <v>55577420942</v>
      </c>
      <c r="B55" t="s">
        <v>154</v>
      </c>
      <c r="C55" t="s">
        <v>53</v>
      </c>
      <c r="D55" t="s">
        <v>55</v>
      </c>
      <c r="E55" t="s">
        <v>15</v>
      </c>
      <c r="F55" t="s">
        <v>56</v>
      </c>
      <c r="G55" t="s">
        <v>16</v>
      </c>
      <c r="H55" t="s">
        <v>4497</v>
      </c>
      <c r="J55">
        <v>3</v>
      </c>
    </row>
    <row r="56" spans="1:10" x14ac:dyDescent="0.35">
      <c r="A56">
        <v>55577420959</v>
      </c>
      <c r="B56" t="s">
        <v>155</v>
      </c>
      <c r="C56" t="s">
        <v>53</v>
      </c>
      <c r="D56" t="s">
        <v>55</v>
      </c>
      <c r="E56" t="s">
        <v>15</v>
      </c>
      <c r="F56" t="s">
        <v>56</v>
      </c>
      <c r="G56" t="s">
        <v>16</v>
      </c>
      <c r="H56" t="s">
        <v>4497</v>
      </c>
      <c r="J56">
        <v>3</v>
      </c>
    </row>
    <row r="57" spans="1:10" x14ac:dyDescent="0.35">
      <c r="A57">
        <v>55577421000</v>
      </c>
      <c r="B57" t="s">
        <v>148</v>
      </c>
      <c r="C57" t="s">
        <v>146</v>
      </c>
      <c r="D57" t="s">
        <v>55</v>
      </c>
      <c r="E57" t="s">
        <v>15</v>
      </c>
      <c r="F57" t="s">
        <v>56</v>
      </c>
      <c r="G57" t="s">
        <v>16</v>
      </c>
      <c r="H57" t="s">
        <v>4497</v>
      </c>
      <c r="J57">
        <v>1</v>
      </c>
    </row>
    <row r="58" spans="1:10" x14ac:dyDescent="0.35">
      <c r="A58">
        <v>55577421017</v>
      </c>
      <c r="B58" t="s">
        <v>156</v>
      </c>
      <c r="C58" t="s">
        <v>146</v>
      </c>
      <c r="D58" t="s">
        <v>55</v>
      </c>
      <c r="E58" t="s">
        <v>15</v>
      </c>
      <c r="F58" t="s">
        <v>56</v>
      </c>
      <c r="G58" t="s">
        <v>16</v>
      </c>
      <c r="H58" t="s">
        <v>4497</v>
      </c>
      <c r="J58">
        <v>2</v>
      </c>
    </row>
    <row r="59" spans="1:10" x14ac:dyDescent="0.35">
      <c r="A59">
        <v>55577421024</v>
      </c>
      <c r="B59" t="s">
        <v>157</v>
      </c>
      <c r="C59" t="s">
        <v>146</v>
      </c>
      <c r="D59" t="s">
        <v>55</v>
      </c>
      <c r="E59" t="s">
        <v>15</v>
      </c>
      <c r="F59" t="s">
        <v>56</v>
      </c>
      <c r="G59" t="s">
        <v>16</v>
      </c>
      <c r="H59" t="s">
        <v>4497</v>
      </c>
      <c r="J59">
        <v>6</v>
      </c>
    </row>
    <row r="60" spans="1:10" x14ac:dyDescent="0.35">
      <c r="A60">
        <v>55742534375</v>
      </c>
      <c r="B60" t="s">
        <v>158</v>
      </c>
      <c r="C60" t="s">
        <v>159</v>
      </c>
      <c r="D60" t="s">
        <v>160</v>
      </c>
      <c r="E60" t="s">
        <v>16</v>
      </c>
      <c r="F60" t="s">
        <v>28</v>
      </c>
      <c r="G60" t="s">
        <v>16</v>
      </c>
      <c r="H60" t="s">
        <v>4492</v>
      </c>
      <c r="J60">
        <v>1</v>
      </c>
    </row>
    <row r="61" spans="1:10" x14ac:dyDescent="0.35">
      <c r="A61">
        <v>55742550184</v>
      </c>
      <c r="B61" t="s">
        <v>161</v>
      </c>
      <c r="C61" t="s">
        <v>159</v>
      </c>
      <c r="D61" t="s">
        <v>160</v>
      </c>
      <c r="E61" t="s">
        <v>16</v>
      </c>
      <c r="F61" t="s">
        <v>28</v>
      </c>
      <c r="G61" t="s">
        <v>16</v>
      </c>
      <c r="H61" t="s">
        <v>4492</v>
      </c>
      <c r="J61">
        <v>1</v>
      </c>
    </row>
    <row r="62" spans="1:10" x14ac:dyDescent="0.35">
      <c r="A62">
        <v>55742550221</v>
      </c>
      <c r="B62" t="s">
        <v>162</v>
      </c>
      <c r="C62" t="s">
        <v>47</v>
      </c>
      <c r="D62" t="s">
        <v>160</v>
      </c>
      <c r="E62" t="s">
        <v>16</v>
      </c>
      <c r="F62" t="s">
        <v>28</v>
      </c>
      <c r="G62" t="s">
        <v>16</v>
      </c>
      <c r="H62" t="s">
        <v>4492</v>
      </c>
      <c r="J62">
        <v>1</v>
      </c>
    </row>
    <row r="63" spans="1:10" x14ac:dyDescent="0.35">
      <c r="A63">
        <v>55900001411</v>
      </c>
      <c r="B63" t="s">
        <v>163</v>
      </c>
      <c r="C63" t="s">
        <v>164</v>
      </c>
      <c r="D63" t="s">
        <v>165</v>
      </c>
      <c r="E63" t="s">
        <v>16</v>
      </c>
      <c r="F63" t="s">
        <v>166</v>
      </c>
      <c r="G63" t="s">
        <v>41</v>
      </c>
      <c r="H63" t="s">
        <v>4516</v>
      </c>
      <c r="J63">
        <v>50</v>
      </c>
    </row>
    <row r="64" spans="1:10" x14ac:dyDescent="0.35">
      <c r="A64">
        <v>56000004609</v>
      </c>
      <c r="B64" t="s">
        <v>167</v>
      </c>
      <c r="C64" t="s">
        <v>146</v>
      </c>
      <c r="D64" t="s">
        <v>168</v>
      </c>
      <c r="E64" t="s">
        <v>15</v>
      </c>
      <c r="F64" t="s">
        <v>25</v>
      </c>
      <c r="G64" t="s">
        <v>16</v>
      </c>
      <c r="H64" t="s">
        <v>4491</v>
      </c>
      <c r="J64">
        <v>1</v>
      </c>
    </row>
    <row r="65" spans="1:10" x14ac:dyDescent="0.35">
      <c r="A65">
        <v>56920012012</v>
      </c>
      <c r="B65" t="s">
        <v>169</v>
      </c>
      <c r="C65" t="s">
        <v>170</v>
      </c>
      <c r="D65" t="s">
        <v>171</v>
      </c>
      <c r="E65" t="s">
        <v>15</v>
      </c>
      <c r="F65" t="s">
        <v>172</v>
      </c>
      <c r="G65" t="s">
        <v>16</v>
      </c>
      <c r="H65" t="s">
        <v>4517</v>
      </c>
      <c r="J65">
        <v>5</v>
      </c>
    </row>
    <row r="66" spans="1:10" x14ac:dyDescent="0.35">
      <c r="A66">
        <v>56920012258</v>
      </c>
      <c r="B66" t="s">
        <v>169</v>
      </c>
      <c r="C66" t="s">
        <v>173</v>
      </c>
      <c r="D66" t="s">
        <v>171</v>
      </c>
      <c r="E66" t="s">
        <v>15</v>
      </c>
      <c r="F66" t="s">
        <v>172</v>
      </c>
      <c r="G66" t="s">
        <v>16</v>
      </c>
      <c r="H66" t="s">
        <v>4517</v>
      </c>
      <c r="J66">
        <v>1</v>
      </c>
    </row>
    <row r="67" spans="1:10" x14ac:dyDescent="0.35">
      <c r="A67">
        <v>56920012272</v>
      </c>
      <c r="B67" t="s">
        <v>174</v>
      </c>
      <c r="C67" t="s">
        <v>36</v>
      </c>
      <c r="D67" t="s">
        <v>171</v>
      </c>
      <c r="E67" t="s">
        <v>15</v>
      </c>
      <c r="F67" t="s">
        <v>172</v>
      </c>
      <c r="G67" t="s">
        <v>16</v>
      </c>
      <c r="H67" t="s">
        <v>4517</v>
      </c>
      <c r="J67">
        <v>7</v>
      </c>
    </row>
    <row r="68" spans="1:10" x14ac:dyDescent="0.35">
      <c r="A68">
        <v>57271160025</v>
      </c>
      <c r="B68" t="s">
        <v>175</v>
      </c>
      <c r="C68" t="s">
        <v>53</v>
      </c>
      <c r="D68" t="s">
        <v>55</v>
      </c>
      <c r="E68" t="s">
        <v>15</v>
      </c>
      <c r="F68" t="s">
        <v>56</v>
      </c>
      <c r="G68" t="s">
        <v>16</v>
      </c>
      <c r="H68" t="s">
        <v>4497</v>
      </c>
      <c r="J68">
        <v>3</v>
      </c>
    </row>
    <row r="69" spans="1:10" x14ac:dyDescent="0.35">
      <c r="A69">
        <v>57271160278</v>
      </c>
      <c r="B69" t="s">
        <v>176</v>
      </c>
      <c r="C69">
        <v>591</v>
      </c>
      <c r="D69" t="s">
        <v>55</v>
      </c>
      <c r="E69" t="s">
        <v>15</v>
      </c>
      <c r="F69" t="s">
        <v>56</v>
      </c>
      <c r="G69" t="s">
        <v>16</v>
      </c>
      <c r="H69" t="s">
        <v>4497</v>
      </c>
      <c r="J69">
        <v>1</v>
      </c>
    </row>
    <row r="70" spans="1:10" x14ac:dyDescent="0.35">
      <c r="A70">
        <v>57271162562</v>
      </c>
      <c r="B70" t="s">
        <v>178</v>
      </c>
      <c r="C70" t="s">
        <v>53</v>
      </c>
      <c r="D70" t="s">
        <v>55</v>
      </c>
      <c r="E70" t="s">
        <v>15</v>
      </c>
      <c r="F70" t="s">
        <v>56</v>
      </c>
      <c r="G70" t="s">
        <v>16</v>
      </c>
      <c r="H70" t="s">
        <v>4497</v>
      </c>
      <c r="J70">
        <v>6</v>
      </c>
    </row>
    <row r="71" spans="1:10" x14ac:dyDescent="0.35">
      <c r="A71">
        <v>57271162586</v>
      </c>
      <c r="B71" t="s">
        <v>179</v>
      </c>
      <c r="C71" t="s">
        <v>53</v>
      </c>
      <c r="D71" t="s">
        <v>55</v>
      </c>
      <c r="E71" t="s">
        <v>15</v>
      </c>
      <c r="F71" t="s">
        <v>56</v>
      </c>
      <c r="G71" t="s">
        <v>16</v>
      </c>
      <c r="H71" t="s">
        <v>4497</v>
      </c>
      <c r="J71">
        <v>3</v>
      </c>
    </row>
    <row r="72" spans="1:10" x14ac:dyDescent="0.35">
      <c r="A72">
        <v>57271162609</v>
      </c>
      <c r="B72" t="s">
        <v>180</v>
      </c>
      <c r="C72" t="s">
        <v>53</v>
      </c>
      <c r="D72" t="s">
        <v>55</v>
      </c>
      <c r="E72" t="s">
        <v>15</v>
      </c>
      <c r="F72" t="s">
        <v>56</v>
      </c>
      <c r="G72" t="s">
        <v>16</v>
      </c>
      <c r="H72" t="s">
        <v>4497</v>
      </c>
      <c r="J72">
        <v>2</v>
      </c>
    </row>
    <row r="73" spans="1:10" x14ac:dyDescent="0.35">
      <c r="A73">
        <v>57271162746</v>
      </c>
      <c r="B73" t="s">
        <v>167</v>
      </c>
      <c r="C73" t="s">
        <v>181</v>
      </c>
      <c r="D73" t="s">
        <v>55</v>
      </c>
      <c r="E73" t="s">
        <v>15</v>
      </c>
      <c r="F73" t="s">
        <v>56</v>
      </c>
      <c r="G73" t="s">
        <v>16</v>
      </c>
      <c r="H73" t="s">
        <v>4497</v>
      </c>
      <c r="J73">
        <v>1</v>
      </c>
    </row>
    <row r="74" spans="1:10" x14ac:dyDescent="0.35">
      <c r="A74">
        <v>57271163095</v>
      </c>
      <c r="B74" t="s">
        <v>55</v>
      </c>
      <c r="C74" t="s">
        <v>146</v>
      </c>
      <c r="D74" t="s">
        <v>55</v>
      </c>
      <c r="E74" t="s">
        <v>15</v>
      </c>
      <c r="F74" t="s">
        <v>56</v>
      </c>
      <c r="G74" t="s">
        <v>16</v>
      </c>
      <c r="H74" t="s">
        <v>4497</v>
      </c>
      <c r="J74">
        <v>2</v>
      </c>
    </row>
    <row r="75" spans="1:10" x14ac:dyDescent="0.35">
      <c r="A75">
        <v>57271163415</v>
      </c>
      <c r="B75" t="s">
        <v>182</v>
      </c>
      <c r="C75" t="s">
        <v>53</v>
      </c>
      <c r="D75" t="s">
        <v>55</v>
      </c>
      <c r="E75" t="s">
        <v>15</v>
      </c>
      <c r="F75" t="s">
        <v>56</v>
      </c>
      <c r="G75" t="s">
        <v>16</v>
      </c>
      <c r="H75" t="s">
        <v>4497</v>
      </c>
      <c r="J75">
        <v>1</v>
      </c>
    </row>
    <row r="76" spans="1:10" x14ac:dyDescent="0.35">
      <c r="A76">
        <v>57271164108</v>
      </c>
      <c r="B76" t="s">
        <v>183</v>
      </c>
      <c r="C76" t="s">
        <v>53</v>
      </c>
      <c r="D76" t="s">
        <v>55</v>
      </c>
      <c r="E76" t="s">
        <v>15</v>
      </c>
      <c r="F76" t="s">
        <v>56</v>
      </c>
      <c r="G76" t="s">
        <v>16</v>
      </c>
      <c r="H76" t="s">
        <v>4497</v>
      </c>
      <c r="J76">
        <v>2</v>
      </c>
    </row>
    <row r="77" spans="1:10" x14ac:dyDescent="0.35">
      <c r="A77">
        <v>57271164139</v>
      </c>
      <c r="B77" t="s">
        <v>184</v>
      </c>
      <c r="C77" t="s">
        <v>53</v>
      </c>
      <c r="D77" t="s">
        <v>55</v>
      </c>
      <c r="E77" t="s">
        <v>15</v>
      </c>
      <c r="F77" t="s">
        <v>56</v>
      </c>
      <c r="G77" t="s">
        <v>16</v>
      </c>
      <c r="H77" t="s">
        <v>4497</v>
      </c>
      <c r="J77">
        <v>3</v>
      </c>
    </row>
    <row r="78" spans="1:10" x14ac:dyDescent="0.35">
      <c r="A78">
        <v>57271164269</v>
      </c>
      <c r="B78" t="s">
        <v>183</v>
      </c>
      <c r="C78" t="s">
        <v>53</v>
      </c>
      <c r="D78" t="s">
        <v>55</v>
      </c>
      <c r="E78" t="s">
        <v>15</v>
      </c>
      <c r="F78" t="s">
        <v>56</v>
      </c>
      <c r="G78" t="s">
        <v>16</v>
      </c>
      <c r="H78" t="s">
        <v>4497</v>
      </c>
      <c r="J78">
        <v>7</v>
      </c>
    </row>
    <row r="79" spans="1:10" x14ac:dyDescent="0.35">
      <c r="A79">
        <v>57271164498</v>
      </c>
      <c r="B79" t="s">
        <v>141</v>
      </c>
      <c r="C79" t="s">
        <v>143</v>
      </c>
      <c r="D79" t="s">
        <v>55</v>
      </c>
      <c r="E79" t="s">
        <v>15</v>
      </c>
      <c r="F79" t="s">
        <v>56</v>
      </c>
      <c r="G79" t="s">
        <v>16</v>
      </c>
      <c r="H79" t="s">
        <v>4497</v>
      </c>
      <c r="J79">
        <v>2</v>
      </c>
    </row>
    <row r="80" spans="1:10" x14ac:dyDescent="0.35">
      <c r="A80">
        <v>57271164535</v>
      </c>
      <c r="B80" t="s">
        <v>185</v>
      </c>
      <c r="C80" t="s">
        <v>143</v>
      </c>
      <c r="D80" t="s">
        <v>55</v>
      </c>
      <c r="E80" t="s">
        <v>15</v>
      </c>
      <c r="F80" t="s">
        <v>56</v>
      </c>
      <c r="G80" t="s">
        <v>16</v>
      </c>
      <c r="H80" t="s">
        <v>4497</v>
      </c>
      <c r="J80">
        <v>3</v>
      </c>
    </row>
    <row r="81" spans="1:10" x14ac:dyDescent="0.35">
      <c r="A81">
        <v>57271164672</v>
      </c>
      <c r="B81" t="s">
        <v>54</v>
      </c>
      <c r="C81" t="s">
        <v>53</v>
      </c>
      <c r="D81" t="s">
        <v>55</v>
      </c>
      <c r="E81" t="s">
        <v>15</v>
      </c>
      <c r="F81" t="s">
        <v>56</v>
      </c>
      <c r="G81" t="s">
        <v>16</v>
      </c>
      <c r="H81" t="s">
        <v>4497</v>
      </c>
      <c r="J81">
        <v>1</v>
      </c>
    </row>
    <row r="82" spans="1:10" x14ac:dyDescent="0.35">
      <c r="A82">
        <v>57271555432</v>
      </c>
      <c r="B82" t="s">
        <v>186</v>
      </c>
      <c r="C82" t="s">
        <v>146</v>
      </c>
      <c r="D82" t="s">
        <v>55</v>
      </c>
      <c r="E82" t="s">
        <v>15</v>
      </c>
      <c r="F82" t="s">
        <v>56</v>
      </c>
      <c r="G82" t="s">
        <v>16</v>
      </c>
      <c r="H82" t="s">
        <v>4497</v>
      </c>
      <c r="J82">
        <v>1</v>
      </c>
    </row>
    <row r="83" spans="1:10" x14ac:dyDescent="0.35">
      <c r="A83">
        <v>57379105010</v>
      </c>
      <c r="B83" t="s">
        <v>187</v>
      </c>
      <c r="C83" t="s">
        <v>188</v>
      </c>
      <c r="D83" t="s">
        <v>189</v>
      </c>
      <c r="E83" t="s">
        <v>16</v>
      </c>
      <c r="F83" t="s">
        <v>190</v>
      </c>
      <c r="G83" t="s">
        <v>16</v>
      </c>
      <c r="H83" t="s">
        <v>4518</v>
      </c>
      <c r="J83">
        <v>2</v>
      </c>
    </row>
    <row r="84" spans="1:10" x14ac:dyDescent="0.35">
      <c r="A84">
        <v>57379121058</v>
      </c>
      <c r="B84" t="s">
        <v>191</v>
      </c>
      <c r="C84" t="s">
        <v>192</v>
      </c>
      <c r="D84" t="s">
        <v>189</v>
      </c>
      <c r="E84" t="s">
        <v>16</v>
      </c>
      <c r="F84" t="s">
        <v>190</v>
      </c>
      <c r="G84" t="s">
        <v>16</v>
      </c>
      <c r="H84" t="s">
        <v>4518</v>
      </c>
      <c r="J84">
        <v>3</v>
      </c>
    </row>
    <row r="85" spans="1:10" x14ac:dyDescent="0.35">
      <c r="A85">
        <v>57379121058</v>
      </c>
      <c r="B85" t="s">
        <v>191</v>
      </c>
      <c r="C85" t="s">
        <v>192</v>
      </c>
      <c r="D85" t="s">
        <v>189</v>
      </c>
      <c r="E85" t="s">
        <v>16</v>
      </c>
      <c r="F85" t="s">
        <v>190</v>
      </c>
      <c r="G85" t="s">
        <v>117</v>
      </c>
      <c r="H85" t="s">
        <v>4518</v>
      </c>
      <c r="J85">
        <v>2</v>
      </c>
    </row>
    <row r="86" spans="1:10" x14ac:dyDescent="0.35">
      <c r="A86">
        <v>60383027728</v>
      </c>
      <c r="B86" t="s">
        <v>193</v>
      </c>
      <c r="C86" t="s">
        <v>110</v>
      </c>
      <c r="D86" t="s">
        <v>194</v>
      </c>
      <c r="E86" t="s">
        <v>16</v>
      </c>
      <c r="F86" t="s">
        <v>195</v>
      </c>
      <c r="G86" t="s">
        <v>16</v>
      </c>
      <c r="H86" t="s">
        <v>4519</v>
      </c>
      <c r="J86">
        <v>1</v>
      </c>
    </row>
    <row r="87" spans="1:10" x14ac:dyDescent="0.35">
      <c r="A87">
        <v>60383029616</v>
      </c>
      <c r="B87" t="s">
        <v>196</v>
      </c>
      <c r="C87" t="s">
        <v>96</v>
      </c>
      <c r="D87" t="s">
        <v>194</v>
      </c>
      <c r="E87" t="s">
        <v>16</v>
      </c>
      <c r="F87" t="s">
        <v>195</v>
      </c>
      <c r="G87" t="s">
        <v>16</v>
      </c>
      <c r="H87" t="s">
        <v>4519</v>
      </c>
      <c r="J87">
        <v>4</v>
      </c>
    </row>
    <row r="88" spans="1:10" x14ac:dyDescent="0.35">
      <c r="A88">
        <v>60383040208</v>
      </c>
      <c r="B88" t="s">
        <v>197</v>
      </c>
      <c r="C88" t="s">
        <v>96</v>
      </c>
      <c r="D88" t="s">
        <v>194</v>
      </c>
      <c r="E88" t="s">
        <v>16</v>
      </c>
      <c r="F88" t="s">
        <v>195</v>
      </c>
      <c r="G88" t="s">
        <v>16</v>
      </c>
      <c r="H88" t="s">
        <v>4519</v>
      </c>
      <c r="J88">
        <v>3</v>
      </c>
    </row>
    <row r="89" spans="1:10" x14ac:dyDescent="0.35">
      <c r="A89">
        <v>60383048051</v>
      </c>
      <c r="B89" t="s">
        <v>198</v>
      </c>
      <c r="C89" t="s">
        <v>78</v>
      </c>
      <c r="D89" t="s">
        <v>194</v>
      </c>
      <c r="E89" t="s">
        <v>16</v>
      </c>
      <c r="F89" t="s">
        <v>195</v>
      </c>
      <c r="G89" t="s">
        <v>16</v>
      </c>
      <c r="H89" t="s">
        <v>4519</v>
      </c>
      <c r="J89">
        <v>1</v>
      </c>
    </row>
    <row r="90" spans="1:10" x14ac:dyDescent="0.35">
      <c r="A90">
        <v>60383048365</v>
      </c>
      <c r="B90" t="s">
        <v>199</v>
      </c>
      <c r="C90" t="s">
        <v>200</v>
      </c>
      <c r="D90" t="s">
        <v>194</v>
      </c>
      <c r="E90" t="s">
        <v>16</v>
      </c>
      <c r="F90" t="s">
        <v>195</v>
      </c>
      <c r="G90" t="s">
        <v>16</v>
      </c>
      <c r="H90" t="s">
        <v>4519</v>
      </c>
      <c r="J90">
        <v>1</v>
      </c>
    </row>
    <row r="91" spans="1:10" x14ac:dyDescent="0.35">
      <c r="A91">
        <v>60383048372</v>
      </c>
      <c r="B91" t="s">
        <v>201</v>
      </c>
      <c r="C91" t="s">
        <v>200</v>
      </c>
      <c r="D91" t="s">
        <v>194</v>
      </c>
      <c r="E91" t="s">
        <v>16</v>
      </c>
      <c r="F91" t="s">
        <v>195</v>
      </c>
      <c r="G91" t="s">
        <v>16</v>
      </c>
      <c r="H91" t="s">
        <v>4519</v>
      </c>
      <c r="J91">
        <v>6</v>
      </c>
    </row>
    <row r="92" spans="1:10" x14ac:dyDescent="0.35">
      <c r="A92">
        <v>60383097103</v>
      </c>
      <c r="B92" t="s">
        <v>202</v>
      </c>
      <c r="C92" t="s">
        <v>110</v>
      </c>
      <c r="D92" t="s">
        <v>194</v>
      </c>
      <c r="E92" t="s">
        <v>16</v>
      </c>
      <c r="F92" t="s">
        <v>195</v>
      </c>
      <c r="G92" t="s">
        <v>16</v>
      </c>
      <c r="H92" t="s">
        <v>4519</v>
      </c>
      <c r="J92">
        <v>1</v>
      </c>
    </row>
    <row r="93" spans="1:10" x14ac:dyDescent="0.35">
      <c r="A93">
        <v>60383103316</v>
      </c>
      <c r="B93" t="s">
        <v>203</v>
      </c>
      <c r="C93" t="s">
        <v>204</v>
      </c>
      <c r="D93" t="s">
        <v>205</v>
      </c>
      <c r="E93" t="s">
        <v>16</v>
      </c>
      <c r="F93" t="s">
        <v>195</v>
      </c>
      <c r="G93" t="s">
        <v>16</v>
      </c>
      <c r="H93" t="s">
        <v>4519</v>
      </c>
      <c r="J93">
        <v>1</v>
      </c>
    </row>
    <row r="94" spans="1:10" x14ac:dyDescent="0.35">
      <c r="A94">
        <v>60383104177</v>
      </c>
      <c r="B94" t="s">
        <v>206</v>
      </c>
      <c r="C94" t="s">
        <v>81</v>
      </c>
      <c r="D94" t="s">
        <v>194</v>
      </c>
      <c r="E94" t="s">
        <v>16</v>
      </c>
      <c r="F94" t="s">
        <v>195</v>
      </c>
      <c r="G94" t="s">
        <v>16</v>
      </c>
      <c r="H94" t="s">
        <v>4519</v>
      </c>
      <c r="J94">
        <v>1</v>
      </c>
    </row>
    <row r="95" spans="1:10" x14ac:dyDescent="0.35">
      <c r="A95">
        <v>60383132002</v>
      </c>
      <c r="B95" t="s">
        <v>207</v>
      </c>
      <c r="C95" t="s">
        <v>96</v>
      </c>
      <c r="D95" t="s">
        <v>194</v>
      </c>
      <c r="E95" t="s">
        <v>16</v>
      </c>
      <c r="F95" t="s">
        <v>195</v>
      </c>
      <c r="G95" t="s">
        <v>16</v>
      </c>
      <c r="H95" t="s">
        <v>4519</v>
      </c>
      <c r="J95">
        <v>3</v>
      </c>
    </row>
    <row r="96" spans="1:10" x14ac:dyDescent="0.35">
      <c r="A96">
        <v>60383140328</v>
      </c>
      <c r="B96" t="s">
        <v>208</v>
      </c>
      <c r="C96" t="s">
        <v>9</v>
      </c>
      <c r="D96" t="s">
        <v>194</v>
      </c>
      <c r="E96" t="s">
        <v>16</v>
      </c>
      <c r="F96" t="s">
        <v>195</v>
      </c>
      <c r="G96" t="s">
        <v>16</v>
      </c>
      <c r="H96" t="s">
        <v>4519</v>
      </c>
      <c r="J96">
        <v>4</v>
      </c>
    </row>
    <row r="97" spans="1:10" x14ac:dyDescent="0.35">
      <c r="A97">
        <v>60383140335</v>
      </c>
      <c r="B97" t="s">
        <v>209</v>
      </c>
      <c r="C97" t="s">
        <v>9</v>
      </c>
      <c r="D97" t="s">
        <v>194</v>
      </c>
      <c r="E97" t="s">
        <v>16</v>
      </c>
      <c r="F97" t="s">
        <v>195</v>
      </c>
      <c r="G97" t="s">
        <v>16</v>
      </c>
      <c r="H97" t="s">
        <v>4519</v>
      </c>
      <c r="J97">
        <v>2</v>
      </c>
    </row>
    <row r="98" spans="1:10" x14ac:dyDescent="0.35">
      <c r="A98">
        <v>60383185251</v>
      </c>
      <c r="B98" t="s">
        <v>210</v>
      </c>
      <c r="C98" t="s">
        <v>211</v>
      </c>
      <c r="D98" t="s">
        <v>194</v>
      </c>
      <c r="E98" t="s">
        <v>16</v>
      </c>
      <c r="F98" t="s">
        <v>195</v>
      </c>
      <c r="G98" t="s">
        <v>16</v>
      </c>
      <c r="H98" t="s">
        <v>4519</v>
      </c>
      <c r="J98">
        <v>1</v>
      </c>
    </row>
    <row r="99" spans="1:10" x14ac:dyDescent="0.35">
      <c r="A99">
        <v>60383653293</v>
      </c>
      <c r="B99" t="s">
        <v>212</v>
      </c>
      <c r="C99" t="s">
        <v>9</v>
      </c>
      <c r="D99" t="s">
        <v>194</v>
      </c>
      <c r="E99" t="s">
        <v>16</v>
      </c>
      <c r="F99" t="s">
        <v>195</v>
      </c>
      <c r="G99" t="s">
        <v>16</v>
      </c>
      <c r="H99" t="s">
        <v>4519</v>
      </c>
      <c r="J99">
        <v>39</v>
      </c>
    </row>
    <row r="100" spans="1:10" x14ac:dyDescent="0.35">
      <c r="A100">
        <v>60383655952</v>
      </c>
      <c r="B100" t="s">
        <v>213</v>
      </c>
      <c r="C100" t="s">
        <v>214</v>
      </c>
      <c r="D100" t="s">
        <v>194</v>
      </c>
      <c r="E100" t="s">
        <v>16</v>
      </c>
      <c r="F100" t="s">
        <v>195</v>
      </c>
      <c r="G100" t="s">
        <v>16</v>
      </c>
      <c r="H100" t="s">
        <v>4519</v>
      </c>
      <c r="J100">
        <v>1</v>
      </c>
    </row>
    <row r="101" spans="1:10" x14ac:dyDescent="0.35">
      <c r="A101">
        <v>60383782931</v>
      </c>
      <c r="B101" t="s">
        <v>215</v>
      </c>
      <c r="C101" t="s">
        <v>110</v>
      </c>
      <c r="D101" t="s">
        <v>194</v>
      </c>
      <c r="E101" t="s">
        <v>16</v>
      </c>
      <c r="F101" t="s">
        <v>195</v>
      </c>
      <c r="G101" t="s">
        <v>16</v>
      </c>
      <c r="H101" t="s">
        <v>4519</v>
      </c>
      <c r="J101">
        <v>1</v>
      </c>
    </row>
    <row r="102" spans="1:10" x14ac:dyDescent="0.35">
      <c r="A102">
        <v>60383863449</v>
      </c>
      <c r="B102" t="s">
        <v>216</v>
      </c>
      <c r="C102" t="s">
        <v>78</v>
      </c>
      <c r="D102" t="s">
        <v>194</v>
      </c>
      <c r="E102" t="s">
        <v>16</v>
      </c>
      <c r="F102" t="s">
        <v>195</v>
      </c>
      <c r="G102" t="s">
        <v>16</v>
      </c>
      <c r="H102" t="s">
        <v>4519</v>
      </c>
      <c r="J102">
        <v>2</v>
      </c>
    </row>
    <row r="103" spans="1:10" x14ac:dyDescent="0.35">
      <c r="A103">
        <v>61314000292</v>
      </c>
      <c r="B103" t="s">
        <v>217</v>
      </c>
      <c r="C103" t="s">
        <v>218</v>
      </c>
      <c r="D103" t="s">
        <v>219</v>
      </c>
      <c r="E103" t="s">
        <v>130</v>
      </c>
      <c r="F103" t="s">
        <v>220</v>
      </c>
      <c r="G103" t="s">
        <v>16</v>
      </c>
      <c r="H103" t="s">
        <v>4520</v>
      </c>
      <c r="J103">
        <v>1</v>
      </c>
    </row>
    <row r="104" spans="1:10" x14ac:dyDescent="0.35">
      <c r="A104">
        <v>62214000818</v>
      </c>
      <c r="B104" t="s">
        <v>221</v>
      </c>
      <c r="C104" t="s">
        <v>9</v>
      </c>
      <c r="D104" t="s">
        <v>222</v>
      </c>
      <c r="E104" t="s">
        <v>71</v>
      </c>
      <c r="F104" t="s">
        <v>72</v>
      </c>
      <c r="G104" t="s">
        <v>16</v>
      </c>
      <c r="H104" t="s">
        <v>4501</v>
      </c>
      <c r="J104">
        <v>1</v>
      </c>
    </row>
    <row r="105" spans="1:10" x14ac:dyDescent="0.35">
      <c r="A105">
        <v>63124005443</v>
      </c>
      <c r="B105" t="s">
        <v>223</v>
      </c>
      <c r="C105" t="s">
        <v>9</v>
      </c>
      <c r="D105" t="s">
        <v>224</v>
      </c>
      <c r="E105" t="s">
        <v>16</v>
      </c>
      <c r="F105" t="s">
        <v>225</v>
      </c>
      <c r="G105" t="s">
        <v>16</v>
      </c>
      <c r="H105" t="s">
        <v>4521</v>
      </c>
      <c r="J105">
        <v>8</v>
      </c>
    </row>
    <row r="106" spans="1:10" x14ac:dyDescent="0.35">
      <c r="A106">
        <v>63209155513</v>
      </c>
      <c r="B106" t="s">
        <v>226</v>
      </c>
      <c r="C106" t="s">
        <v>38</v>
      </c>
      <c r="D106" t="s">
        <v>227</v>
      </c>
      <c r="E106" t="s">
        <v>16</v>
      </c>
      <c r="F106" t="s">
        <v>228</v>
      </c>
      <c r="G106" t="s">
        <v>16</v>
      </c>
      <c r="H106" t="s">
        <v>4522</v>
      </c>
      <c r="J106">
        <v>4</v>
      </c>
    </row>
    <row r="107" spans="1:10" x14ac:dyDescent="0.35">
      <c r="A107">
        <v>63209168162</v>
      </c>
      <c r="B107" t="s">
        <v>229</v>
      </c>
      <c r="C107" t="s">
        <v>230</v>
      </c>
      <c r="D107" t="s">
        <v>227</v>
      </c>
      <c r="E107" t="s">
        <v>16</v>
      </c>
      <c r="F107" t="s">
        <v>228</v>
      </c>
      <c r="G107" t="s">
        <v>16</v>
      </c>
      <c r="H107" t="s">
        <v>4522</v>
      </c>
      <c r="J107">
        <v>6</v>
      </c>
    </row>
    <row r="108" spans="1:10" x14ac:dyDescent="0.35">
      <c r="A108">
        <v>643740</v>
      </c>
      <c r="B108" t="s">
        <v>231</v>
      </c>
      <c r="C108" t="s">
        <v>9</v>
      </c>
      <c r="D108" t="s">
        <v>44</v>
      </c>
      <c r="E108" t="s">
        <v>22</v>
      </c>
      <c r="F108" t="s">
        <v>45</v>
      </c>
      <c r="G108" t="s">
        <v>22</v>
      </c>
      <c r="H108" t="s">
        <v>4495</v>
      </c>
      <c r="J108">
        <v>1</v>
      </c>
    </row>
    <row r="109" spans="1:10" x14ac:dyDescent="0.35">
      <c r="A109">
        <v>643764</v>
      </c>
      <c r="B109" t="s">
        <v>232</v>
      </c>
      <c r="C109" t="s">
        <v>9</v>
      </c>
      <c r="D109" t="s">
        <v>44</v>
      </c>
      <c r="E109" t="s">
        <v>22</v>
      </c>
      <c r="F109" t="s">
        <v>45</v>
      </c>
      <c r="G109" t="s">
        <v>22</v>
      </c>
      <c r="H109" t="s">
        <v>4495</v>
      </c>
      <c r="J109">
        <v>2</v>
      </c>
    </row>
    <row r="110" spans="1:10" x14ac:dyDescent="0.35">
      <c r="A110">
        <v>643764</v>
      </c>
      <c r="B110" t="s">
        <v>232</v>
      </c>
      <c r="C110" t="s">
        <v>9</v>
      </c>
      <c r="D110" t="s">
        <v>44</v>
      </c>
      <c r="E110" t="s">
        <v>22</v>
      </c>
      <c r="F110" t="s">
        <v>45</v>
      </c>
      <c r="G110" t="s">
        <v>150</v>
      </c>
      <c r="H110" t="s">
        <v>4495</v>
      </c>
      <c r="J110">
        <v>1</v>
      </c>
    </row>
    <row r="111" spans="1:10" x14ac:dyDescent="0.35">
      <c r="A111">
        <v>64480000226</v>
      </c>
      <c r="B111" t="s">
        <v>233</v>
      </c>
      <c r="C111" t="s">
        <v>214</v>
      </c>
      <c r="D111" t="s">
        <v>27</v>
      </c>
      <c r="E111" t="s">
        <v>16</v>
      </c>
      <c r="F111" t="s">
        <v>28</v>
      </c>
      <c r="G111" t="s">
        <v>16</v>
      </c>
      <c r="H111" t="s">
        <v>4492</v>
      </c>
      <c r="J111">
        <v>1</v>
      </c>
    </row>
    <row r="112" spans="1:10" x14ac:dyDescent="0.35">
      <c r="A112">
        <v>64480001056</v>
      </c>
      <c r="B112" t="s">
        <v>234</v>
      </c>
      <c r="C112" t="s">
        <v>214</v>
      </c>
      <c r="D112" t="s">
        <v>27</v>
      </c>
      <c r="E112" t="s">
        <v>16</v>
      </c>
      <c r="F112" t="s">
        <v>28</v>
      </c>
      <c r="G112" t="s">
        <v>16</v>
      </c>
      <c r="H112" t="s">
        <v>4492</v>
      </c>
      <c r="J112">
        <v>1</v>
      </c>
    </row>
    <row r="113" spans="1:10" x14ac:dyDescent="0.35">
      <c r="A113">
        <v>64480006013</v>
      </c>
      <c r="B113" t="s">
        <v>235</v>
      </c>
      <c r="C113" t="s">
        <v>9</v>
      </c>
      <c r="D113" t="s">
        <v>27</v>
      </c>
      <c r="E113" t="s">
        <v>16</v>
      </c>
      <c r="F113" t="s">
        <v>28</v>
      </c>
      <c r="G113" t="s">
        <v>16</v>
      </c>
      <c r="H113" t="s">
        <v>4492</v>
      </c>
      <c r="J113">
        <v>228</v>
      </c>
    </row>
    <row r="114" spans="1:10" x14ac:dyDescent="0.35">
      <c r="A114">
        <v>64480006150</v>
      </c>
      <c r="B114" t="s">
        <v>235</v>
      </c>
      <c r="C114" t="s">
        <v>236</v>
      </c>
      <c r="D114" t="s">
        <v>27</v>
      </c>
      <c r="E114" t="s">
        <v>16</v>
      </c>
      <c r="F114" t="s">
        <v>28</v>
      </c>
      <c r="G114" t="s">
        <v>16</v>
      </c>
      <c r="H114" t="s">
        <v>4492</v>
      </c>
      <c r="J114">
        <v>3</v>
      </c>
    </row>
    <row r="115" spans="1:10" x14ac:dyDescent="0.35">
      <c r="A115">
        <v>64480006259</v>
      </c>
      <c r="B115" t="s">
        <v>235</v>
      </c>
      <c r="C115" t="s">
        <v>81</v>
      </c>
      <c r="D115" t="s">
        <v>27</v>
      </c>
      <c r="E115" t="s">
        <v>16</v>
      </c>
      <c r="F115" t="s">
        <v>28</v>
      </c>
      <c r="G115" t="s">
        <v>16</v>
      </c>
      <c r="H115" t="s">
        <v>4492</v>
      </c>
      <c r="J115">
        <v>4</v>
      </c>
    </row>
    <row r="116" spans="1:10" x14ac:dyDescent="0.35">
      <c r="A116">
        <v>65400000968</v>
      </c>
      <c r="B116" t="s">
        <v>156</v>
      </c>
      <c r="C116" t="s">
        <v>146</v>
      </c>
      <c r="D116" t="s">
        <v>24</v>
      </c>
      <c r="E116" t="s">
        <v>15</v>
      </c>
      <c r="F116" t="s">
        <v>25</v>
      </c>
      <c r="G116" t="s">
        <v>16</v>
      </c>
      <c r="H116" t="s">
        <v>4491</v>
      </c>
      <c r="J116">
        <v>16</v>
      </c>
    </row>
    <row r="117" spans="1:10" x14ac:dyDescent="0.35">
      <c r="A117">
        <v>65400001019</v>
      </c>
      <c r="B117" t="s">
        <v>24</v>
      </c>
      <c r="C117" t="s">
        <v>151</v>
      </c>
      <c r="D117" t="s">
        <v>24</v>
      </c>
      <c r="E117" t="s">
        <v>15</v>
      </c>
      <c r="F117" t="s">
        <v>25</v>
      </c>
      <c r="G117" t="s">
        <v>16</v>
      </c>
      <c r="H117" t="s">
        <v>4491</v>
      </c>
      <c r="J117">
        <v>3</v>
      </c>
    </row>
    <row r="118" spans="1:10" x14ac:dyDescent="0.35">
      <c r="A118">
        <v>65400005239</v>
      </c>
      <c r="B118" t="s">
        <v>237</v>
      </c>
      <c r="C118" t="s">
        <v>146</v>
      </c>
      <c r="D118" t="s">
        <v>24</v>
      </c>
      <c r="E118" t="s">
        <v>15</v>
      </c>
      <c r="F118" t="s">
        <v>25</v>
      </c>
      <c r="G118" t="s">
        <v>16</v>
      </c>
      <c r="H118" t="s">
        <v>4491</v>
      </c>
      <c r="J118">
        <v>2</v>
      </c>
    </row>
    <row r="119" spans="1:10" x14ac:dyDescent="0.35">
      <c r="A119">
        <v>65400010981</v>
      </c>
      <c r="B119" t="s">
        <v>238</v>
      </c>
      <c r="C119" t="s">
        <v>239</v>
      </c>
      <c r="D119" t="s">
        <v>240</v>
      </c>
      <c r="E119" t="s">
        <v>15</v>
      </c>
      <c r="F119" t="s">
        <v>56</v>
      </c>
      <c r="G119" t="s">
        <v>16</v>
      </c>
      <c r="H119" t="s">
        <v>4497</v>
      </c>
      <c r="J119">
        <v>1</v>
      </c>
    </row>
    <row r="120" spans="1:10" x14ac:dyDescent="0.35">
      <c r="A120">
        <v>65400010998</v>
      </c>
      <c r="B120" t="s">
        <v>196</v>
      </c>
      <c r="C120" t="s">
        <v>241</v>
      </c>
      <c r="D120" t="s">
        <v>240</v>
      </c>
      <c r="E120" t="s">
        <v>15</v>
      </c>
      <c r="F120" t="s">
        <v>56</v>
      </c>
      <c r="G120" t="s">
        <v>16</v>
      </c>
      <c r="H120" t="s">
        <v>4497</v>
      </c>
      <c r="J120">
        <v>1</v>
      </c>
    </row>
    <row r="121" spans="1:10" x14ac:dyDescent="0.35">
      <c r="A121">
        <v>65400011001</v>
      </c>
      <c r="B121" t="s">
        <v>242</v>
      </c>
      <c r="C121" t="s">
        <v>239</v>
      </c>
      <c r="D121" t="s">
        <v>243</v>
      </c>
      <c r="E121" t="s">
        <v>15</v>
      </c>
      <c r="F121" t="s">
        <v>56</v>
      </c>
      <c r="G121" t="s">
        <v>16</v>
      </c>
      <c r="H121" t="s">
        <v>4497</v>
      </c>
      <c r="J121">
        <v>2</v>
      </c>
    </row>
    <row r="122" spans="1:10" x14ac:dyDescent="0.35">
      <c r="A122">
        <v>65400011254</v>
      </c>
      <c r="B122" t="s">
        <v>244</v>
      </c>
      <c r="C122" t="s">
        <v>245</v>
      </c>
      <c r="D122" t="s">
        <v>240</v>
      </c>
      <c r="E122" t="s">
        <v>15</v>
      </c>
      <c r="F122" t="s">
        <v>56</v>
      </c>
      <c r="G122" t="s">
        <v>16</v>
      </c>
      <c r="H122" t="s">
        <v>4497</v>
      </c>
      <c r="J122">
        <v>1</v>
      </c>
    </row>
    <row r="123" spans="1:10" x14ac:dyDescent="0.35">
      <c r="A123">
        <v>67000011641</v>
      </c>
      <c r="B123" t="s">
        <v>167</v>
      </c>
      <c r="C123" t="s">
        <v>214</v>
      </c>
      <c r="D123" t="s">
        <v>246</v>
      </c>
      <c r="E123" t="s">
        <v>15</v>
      </c>
      <c r="F123" t="s">
        <v>14</v>
      </c>
      <c r="G123" t="s">
        <v>16</v>
      </c>
      <c r="H123" t="s">
        <v>4489</v>
      </c>
      <c r="J123">
        <v>1</v>
      </c>
    </row>
    <row r="124" spans="1:10" x14ac:dyDescent="0.35">
      <c r="A124">
        <v>67000012280</v>
      </c>
      <c r="B124" t="s">
        <v>247</v>
      </c>
      <c r="C124" t="s">
        <v>230</v>
      </c>
      <c r="D124" t="s">
        <v>248</v>
      </c>
      <c r="E124" t="s">
        <v>15</v>
      </c>
      <c r="F124" t="s">
        <v>14</v>
      </c>
      <c r="G124" t="s">
        <v>16</v>
      </c>
      <c r="H124" t="s">
        <v>4489</v>
      </c>
      <c r="J124">
        <v>1</v>
      </c>
    </row>
    <row r="125" spans="1:10" x14ac:dyDescent="0.35">
      <c r="A125">
        <v>67000104022</v>
      </c>
      <c r="B125" t="s">
        <v>249</v>
      </c>
      <c r="C125" t="s">
        <v>146</v>
      </c>
      <c r="D125" t="s">
        <v>14</v>
      </c>
      <c r="E125" t="s">
        <v>15</v>
      </c>
      <c r="F125" t="s">
        <v>14</v>
      </c>
      <c r="G125" t="s">
        <v>16</v>
      </c>
      <c r="H125" t="s">
        <v>4489</v>
      </c>
      <c r="J125">
        <v>32</v>
      </c>
    </row>
    <row r="126" spans="1:10" x14ac:dyDescent="0.35">
      <c r="A126">
        <v>67000104039</v>
      </c>
      <c r="B126" t="s">
        <v>250</v>
      </c>
      <c r="C126" t="s">
        <v>146</v>
      </c>
      <c r="D126" t="s">
        <v>14</v>
      </c>
      <c r="E126" t="s">
        <v>15</v>
      </c>
      <c r="F126" t="s">
        <v>14</v>
      </c>
      <c r="G126" t="s">
        <v>16</v>
      </c>
      <c r="H126" t="s">
        <v>4489</v>
      </c>
      <c r="J126">
        <v>4</v>
      </c>
    </row>
    <row r="127" spans="1:10" x14ac:dyDescent="0.35">
      <c r="A127">
        <v>67000107467</v>
      </c>
      <c r="B127" t="s">
        <v>251</v>
      </c>
      <c r="C127" t="s">
        <v>146</v>
      </c>
      <c r="D127" t="s">
        <v>14</v>
      </c>
      <c r="E127" t="s">
        <v>15</v>
      </c>
      <c r="F127" t="s">
        <v>14</v>
      </c>
      <c r="G127" t="s">
        <v>16</v>
      </c>
      <c r="H127" t="s">
        <v>4489</v>
      </c>
      <c r="J127">
        <v>5</v>
      </c>
    </row>
    <row r="128" spans="1:10" x14ac:dyDescent="0.35">
      <c r="A128">
        <v>67000111648</v>
      </c>
      <c r="B128" t="s">
        <v>252</v>
      </c>
      <c r="C128" t="s">
        <v>253</v>
      </c>
      <c r="D128" t="s">
        <v>254</v>
      </c>
      <c r="E128" t="s">
        <v>15</v>
      </c>
      <c r="F128" t="s">
        <v>14</v>
      </c>
      <c r="G128" t="s">
        <v>16</v>
      </c>
      <c r="H128" t="s">
        <v>4489</v>
      </c>
      <c r="J128">
        <v>1</v>
      </c>
    </row>
    <row r="129" spans="1:10" x14ac:dyDescent="0.35">
      <c r="A129">
        <v>67000111648</v>
      </c>
      <c r="B129" t="s">
        <v>252</v>
      </c>
      <c r="C129" t="s">
        <v>253</v>
      </c>
      <c r="D129" t="s">
        <v>254</v>
      </c>
      <c r="E129" t="s">
        <v>15</v>
      </c>
      <c r="F129" t="s">
        <v>14</v>
      </c>
      <c r="G129" t="s">
        <v>31</v>
      </c>
      <c r="H129" t="s">
        <v>4489</v>
      </c>
      <c r="J129">
        <v>10</v>
      </c>
    </row>
    <row r="130" spans="1:10" x14ac:dyDescent="0.35">
      <c r="A130">
        <v>67311020110</v>
      </c>
      <c r="B130" t="s">
        <v>167</v>
      </c>
      <c r="C130" t="s">
        <v>38</v>
      </c>
      <c r="D130" t="s">
        <v>255</v>
      </c>
      <c r="E130" t="s">
        <v>16</v>
      </c>
      <c r="F130" t="s">
        <v>256</v>
      </c>
      <c r="G130" t="s">
        <v>16</v>
      </c>
      <c r="H130" t="s">
        <v>4523</v>
      </c>
      <c r="J130">
        <v>11</v>
      </c>
    </row>
    <row r="131" spans="1:10" x14ac:dyDescent="0.35">
      <c r="A131">
        <v>67311723103</v>
      </c>
      <c r="B131" t="s">
        <v>196</v>
      </c>
      <c r="C131" t="s">
        <v>257</v>
      </c>
      <c r="D131" t="s">
        <v>258</v>
      </c>
      <c r="E131" t="s">
        <v>16</v>
      </c>
      <c r="F131" t="s">
        <v>256</v>
      </c>
      <c r="G131" t="s">
        <v>16</v>
      </c>
      <c r="H131" t="s">
        <v>4523</v>
      </c>
      <c r="J131">
        <v>1</v>
      </c>
    </row>
    <row r="132" spans="1:10" x14ac:dyDescent="0.35">
      <c r="A132">
        <v>67997020534</v>
      </c>
      <c r="B132" t="s">
        <v>259</v>
      </c>
      <c r="C132" t="s">
        <v>236</v>
      </c>
      <c r="D132" t="s">
        <v>260</v>
      </c>
      <c r="E132" t="s">
        <v>16</v>
      </c>
      <c r="F132" t="s">
        <v>261</v>
      </c>
      <c r="G132" t="s">
        <v>16</v>
      </c>
      <c r="H132" t="s">
        <v>4524</v>
      </c>
      <c r="J132">
        <v>1</v>
      </c>
    </row>
    <row r="133" spans="1:10" x14ac:dyDescent="0.35">
      <c r="A133">
        <v>67997020558</v>
      </c>
      <c r="B133" t="s">
        <v>259</v>
      </c>
      <c r="C133" t="s">
        <v>110</v>
      </c>
      <c r="D133" t="s">
        <v>260</v>
      </c>
      <c r="E133" t="s">
        <v>16</v>
      </c>
      <c r="F133" t="s">
        <v>261</v>
      </c>
      <c r="G133" t="s">
        <v>16</v>
      </c>
      <c r="H133" t="s">
        <v>4524</v>
      </c>
      <c r="J133">
        <v>1</v>
      </c>
    </row>
    <row r="134" spans="1:10" x14ac:dyDescent="0.35">
      <c r="A134">
        <v>67997720199</v>
      </c>
      <c r="B134" t="s">
        <v>223</v>
      </c>
      <c r="C134" t="s">
        <v>230</v>
      </c>
      <c r="D134" t="s">
        <v>260</v>
      </c>
      <c r="E134" t="s">
        <v>16</v>
      </c>
      <c r="F134" t="s">
        <v>261</v>
      </c>
      <c r="G134" t="s">
        <v>16</v>
      </c>
      <c r="H134" t="s">
        <v>4524</v>
      </c>
      <c r="J134">
        <v>9</v>
      </c>
    </row>
    <row r="135" spans="1:10" x14ac:dyDescent="0.35">
      <c r="A135">
        <v>68274000072</v>
      </c>
      <c r="B135" t="s">
        <v>262</v>
      </c>
      <c r="C135" t="s">
        <v>146</v>
      </c>
      <c r="D135" t="s">
        <v>222</v>
      </c>
      <c r="E135" t="s">
        <v>71</v>
      </c>
      <c r="F135" t="s">
        <v>72</v>
      </c>
      <c r="G135" t="s">
        <v>16</v>
      </c>
      <c r="H135" t="s">
        <v>4501</v>
      </c>
      <c r="J135">
        <v>1</v>
      </c>
    </row>
    <row r="136" spans="1:10" x14ac:dyDescent="0.35">
      <c r="A136">
        <v>68274000218</v>
      </c>
      <c r="B136" t="s">
        <v>262</v>
      </c>
      <c r="C136" t="s">
        <v>9</v>
      </c>
      <c r="D136" t="s">
        <v>222</v>
      </c>
      <c r="E136" t="s">
        <v>71</v>
      </c>
      <c r="F136" t="s">
        <v>72</v>
      </c>
      <c r="G136" t="s">
        <v>16</v>
      </c>
      <c r="H136" t="s">
        <v>4501</v>
      </c>
      <c r="J136">
        <v>31</v>
      </c>
    </row>
    <row r="137" spans="1:10" x14ac:dyDescent="0.35">
      <c r="A137">
        <v>68274193996</v>
      </c>
      <c r="B137" t="s">
        <v>263</v>
      </c>
      <c r="C137" t="s">
        <v>9</v>
      </c>
      <c r="D137" t="s">
        <v>70</v>
      </c>
      <c r="E137" t="s">
        <v>71</v>
      </c>
      <c r="F137" t="s">
        <v>72</v>
      </c>
      <c r="G137" t="s">
        <v>16</v>
      </c>
      <c r="H137" t="s">
        <v>4501</v>
      </c>
      <c r="J137">
        <v>7</v>
      </c>
    </row>
    <row r="138" spans="1:10" x14ac:dyDescent="0.35">
      <c r="A138">
        <v>68274194665</v>
      </c>
      <c r="B138" t="s">
        <v>264</v>
      </c>
      <c r="C138" t="s">
        <v>9</v>
      </c>
      <c r="D138" t="s">
        <v>70</v>
      </c>
      <c r="E138" t="s">
        <v>71</v>
      </c>
      <c r="F138" t="s">
        <v>72</v>
      </c>
      <c r="G138" t="s">
        <v>16</v>
      </c>
      <c r="H138" t="s">
        <v>4501</v>
      </c>
      <c r="J138">
        <v>29</v>
      </c>
    </row>
    <row r="139" spans="1:10" x14ac:dyDescent="0.35">
      <c r="A139">
        <v>68274264450</v>
      </c>
      <c r="B139" t="s">
        <v>265</v>
      </c>
      <c r="C139" t="s">
        <v>9</v>
      </c>
      <c r="D139" t="s">
        <v>70</v>
      </c>
      <c r="E139" t="s">
        <v>71</v>
      </c>
      <c r="F139" t="s">
        <v>72</v>
      </c>
      <c r="G139" t="s">
        <v>16</v>
      </c>
      <c r="H139" t="s">
        <v>4501</v>
      </c>
      <c r="J139">
        <v>20</v>
      </c>
    </row>
    <row r="140" spans="1:10" x14ac:dyDescent="0.35">
      <c r="A140">
        <v>68274264498</v>
      </c>
      <c r="B140" t="s">
        <v>266</v>
      </c>
      <c r="C140" t="s">
        <v>9</v>
      </c>
      <c r="D140" t="s">
        <v>70</v>
      </c>
      <c r="E140" t="s">
        <v>71</v>
      </c>
      <c r="F140" t="s">
        <v>72</v>
      </c>
      <c r="G140" t="s">
        <v>16</v>
      </c>
      <c r="H140" t="s">
        <v>4501</v>
      </c>
      <c r="J140">
        <v>8</v>
      </c>
    </row>
    <row r="141" spans="1:10" x14ac:dyDescent="0.35">
      <c r="A141">
        <v>68274311406</v>
      </c>
      <c r="B141" t="s">
        <v>262</v>
      </c>
      <c r="C141" t="s">
        <v>81</v>
      </c>
      <c r="D141" t="s">
        <v>222</v>
      </c>
      <c r="E141" t="s">
        <v>71</v>
      </c>
      <c r="F141" t="s">
        <v>72</v>
      </c>
      <c r="G141" t="s">
        <v>16</v>
      </c>
      <c r="H141" t="s">
        <v>4501</v>
      </c>
      <c r="J141">
        <v>1</v>
      </c>
    </row>
    <row r="142" spans="1:10" x14ac:dyDescent="0.35">
      <c r="A142">
        <v>68274311437</v>
      </c>
      <c r="B142" t="s">
        <v>262</v>
      </c>
      <c r="C142" t="s">
        <v>9</v>
      </c>
      <c r="D142" t="s">
        <v>222</v>
      </c>
      <c r="E142" t="s">
        <v>71</v>
      </c>
      <c r="F142" t="s">
        <v>72</v>
      </c>
      <c r="G142" t="s">
        <v>16</v>
      </c>
      <c r="H142" t="s">
        <v>4501</v>
      </c>
      <c r="J142">
        <v>3</v>
      </c>
    </row>
    <row r="143" spans="1:10" x14ac:dyDescent="0.35">
      <c r="A143">
        <v>684514</v>
      </c>
      <c r="B143" t="s">
        <v>267</v>
      </c>
      <c r="C143" t="s">
        <v>268</v>
      </c>
      <c r="D143" t="s">
        <v>44</v>
      </c>
      <c r="E143" t="s">
        <v>22</v>
      </c>
      <c r="F143" t="s">
        <v>45</v>
      </c>
      <c r="G143" t="s">
        <v>22</v>
      </c>
      <c r="H143" t="s">
        <v>4495</v>
      </c>
      <c r="J143">
        <v>1</v>
      </c>
    </row>
    <row r="144" spans="1:10" x14ac:dyDescent="0.35">
      <c r="A144">
        <v>68700100208</v>
      </c>
      <c r="B144" t="s">
        <v>269</v>
      </c>
      <c r="C144" t="s">
        <v>230</v>
      </c>
      <c r="D144" t="s">
        <v>270</v>
      </c>
      <c r="E144" t="s">
        <v>16</v>
      </c>
      <c r="F144" t="s">
        <v>225</v>
      </c>
      <c r="G144" t="s">
        <v>16</v>
      </c>
      <c r="H144" t="s">
        <v>4521</v>
      </c>
      <c r="J144">
        <v>1</v>
      </c>
    </row>
    <row r="145" spans="1:10" x14ac:dyDescent="0.35">
      <c r="A145">
        <v>68700104039</v>
      </c>
      <c r="B145" t="s">
        <v>270</v>
      </c>
      <c r="C145" t="s">
        <v>36</v>
      </c>
      <c r="D145" t="s">
        <v>270</v>
      </c>
      <c r="E145" t="s">
        <v>16</v>
      </c>
      <c r="F145" t="s">
        <v>225</v>
      </c>
      <c r="G145" t="s">
        <v>16</v>
      </c>
      <c r="H145" t="s">
        <v>4521</v>
      </c>
      <c r="J145">
        <v>1</v>
      </c>
    </row>
    <row r="146" spans="1:10" x14ac:dyDescent="0.35">
      <c r="A146">
        <v>68700302565</v>
      </c>
      <c r="B146" t="s">
        <v>271</v>
      </c>
      <c r="C146" t="s">
        <v>272</v>
      </c>
      <c r="D146" t="s">
        <v>270</v>
      </c>
      <c r="E146" t="s">
        <v>16</v>
      </c>
      <c r="F146" t="s">
        <v>225</v>
      </c>
      <c r="G146" t="s">
        <v>16</v>
      </c>
      <c r="H146" t="s">
        <v>4521</v>
      </c>
      <c r="J146">
        <v>1</v>
      </c>
    </row>
    <row r="147" spans="1:10" x14ac:dyDescent="0.35">
      <c r="A147">
        <v>69000009826</v>
      </c>
      <c r="B147" t="s">
        <v>273</v>
      </c>
      <c r="C147" t="s">
        <v>81</v>
      </c>
      <c r="D147" t="s">
        <v>273</v>
      </c>
      <c r="E147" t="s">
        <v>15</v>
      </c>
      <c r="F147" t="s">
        <v>56</v>
      </c>
      <c r="G147" t="s">
        <v>16</v>
      </c>
      <c r="H147" t="s">
        <v>4497</v>
      </c>
      <c r="J147">
        <v>3</v>
      </c>
    </row>
    <row r="148" spans="1:10" x14ac:dyDescent="0.35">
      <c r="A148">
        <v>69000009840</v>
      </c>
      <c r="B148" t="s">
        <v>273</v>
      </c>
      <c r="C148" t="s">
        <v>146</v>
      </c>
      <c r="D148" t="s">
        <v>273</v>
      </c>
      <c r="E148" t="s">
        <v>15</v>
      </c>
      <c r="F148" t="s">
        <v>56</v>
      </c>
      <c r="G148" t="s">
        <v>16</v>
      </c>
      <c r="H148" t="s">
        <v>4497</v>
      </c>
      <c r="J148">
        <v>14</v>
      </c>
    </row>
    <row r="149" spans="1:10" x14ac:dyDescent="0.35">
      <c r="A149">
        <v>69000009918</v>
      </c>
      <c r="B149" t="s">
        <v>273</v>
      </c>
      <c r="C149" t="s">
        <v>53</v>
      </c>
      <c r="D149" t="s">
        <v>273</v>
      </c>
      <c r="E149" t="s">
        <v>15</v>
      </c>
      <c r="F149" t="s">
        <v>56</v>
      </c>
      <c r="G149" t="s">
        <v>16</v>
      </c>
      <c r="H149" t="s">
        <v>4497</v>
      </c>
      <c r="J149">
        <v>22</v>
      </c>
    </row>
    <row r="150" spans="1:10" x14ac:dyDescent="0.35">
      <c r="A150">
        <v>69000010020</v>
      </c>
      <c r="B150" t="s">
        <v>273</v>
      </c>
      <c r="C150" t="s">
        <v>274</v>
      </c>
      <c r="D150" t="s">
        <v>273</v>
      </c>
      <c r="E150" t="s">
        <v>15</v>
      </c>
      <c r="F150" t="s">
        <v>56</v>
      </c>
      <c r="G150" t="s">
        <v>16</v>
      </c>
      <c r="H150" t="s">
        <v>4497</v>
      </c>
      <c r="J150">
        <v>1</v>
      </c>
    </row>
    <row r="151" spans="1:10" x14ac:dyDescent="0.35">
      <c r="A151">
        <v>69000010631</v>
      </c>
      <c r="B151" t="s">
        <v>275</v>
      </c>
      <c r="C151" t="s">
        <v>159</v>
      </c>
      <c r="D151" t="s">
        <v>273</v>
      </c>
      <c r="E151" t="s">
        <v>15</v>
      </c>
      <c r="F151" t="s">
        <v>56</v>
      </c>
      <c r="G151" t="s">
        <v>16</v>
      </c>
      <c r="H151" t="s">
        <v>4497</v>
      </c>
      <c r="J151">
        <v>1</v>
      </c>
    </row>
    <row r="152" spans="1:10" x14ac:dyDescent="0.35">
      <c r="A152">
        <v>69000010662</v>
      </c>
      <c r="B152" t="s">
        <v>275</v>
      </c>
      <c r="C152" t="s">
        <v>146</v>
      </c>
      <c r="D152" t="s">
        <v>273</v>
      </c>
      <c r="E152" t="s">
        <v>15</v>
      </c>
      <c r="F152" t="s">
        <v>56</v>
      </c>
      <c r="G152" t="s">
        <v>16</v>
      </c>
      <c r="H152" t="s">
        <v>4497</v>
      </c>
      <c r="J152">
        <v>13</v>
      </c>
    </row>
    <row r="153" spans="1:10" x14ac:dyDescent="0.35">
      <c r="A153">
        <v>69000012611</v>
      </c>
      <c r="B153" t="s">
        <v>275</v>
      </c>
      <c r="C153" t="s">
        <v>78</v>
      </c>
      <c r="D153" t="s">
        <v>273</v>
      </c>
      <c r="E153" t="s">
        <v>15</v>
      </c>
      <c r="F153" t="s">
        <v>56</v>
      </c>
      <c r="G153" t="s">
        <v>16</v>
      </c>
      <c r="H153" t="s">
        <v>4497</v>
      </c>
      <c r="J153">
        <v>1</v>
      </c>
    </row>
    <row r="154" spans="1:10" x14ac:dyDescent="0.35">
      <c r="A154">
        <v>69000013748</v>
      </c>
      <c r="B154" t="s">
        <v>276</v>
      </c>
      <c r="C154" t="s">
        <v>53</v>
      </c>
      <c r="D154" t="s">
        <v>273</v>
      </c>
      <c r="E154" t="s">
        <v>15</v>
      </c>
      <c r="F154" t="s">
        <v>56</v>
      </c>
      <c r="G154" t="s">
        <v>16</v>
      </c>
      <c r="H154" t="s">
        <v>4497</v>
      </c>
      <c r="J154">
        <v>4</v>
      </c>
    </row>
    <row r="155" spans="1:10" x14ac:dyDescent="0.35">
      <c r="A155">
        <v>69000013762</v>
      </c>
      <c r="B155" t="s">
        <v>277</v>
      </c>
      <c r="C155" t="s">
        <v>214</v>
      </c>
      <c r="D155" t="s">
        <v>273</v>
      </c>
      <c r="E155" t="s">
        <v>15</v>
      </c>
      <c r="F155" t="s">
        <v>56</v>
      </c>
      <c r="G155" t="s">
        <v>16</v>
      </c>
      <c r="H155" t="s">
        <v>4497</v>
      </c>
      <c r="J155">
        <v>1</v>
      </c>
    </row>
    <row r="156" spans="1:10" x14ac:dyDescent="0.35">
      <c r="A156">
        <v>69000014257</v>
      </c>
      <c r="B156" t="s">
        <v>275</v>
      </c>
      <c r="C156" t="s">
        <v>278</v>
      </c>
      <c r="D156" t="s">
        <v>273</v>
      </c>
      <c r="E156" t="s">
        <v>15</v>
      </c>
      <c r="F156" t="s">
        <v>56</v>
      </c>
      <c r="G156" t="s">
        <v>16</v>
      </c>
      <c r="H156" t="s">
        <v>4497</v>
      </c>
      <c r="J156">
        <v>3</v>
      </c>
    </row>
    <row r="157" spans="1:10" x14ac:dyDescent="0.35">
      <c r="A157">
        <v>69000015629</v>
      </c>
      <c r="B157" t="s">
        <v>279</v>
      </c>
      <c r="C157" t="s">
        <v>110</v>
      </c>
      <c r="D157" t="s">
        <v>280</v>
      </c>
      <c r="E157" t="s">
        <v>15</v>
      </c>
      <c r="F157" t="s">
        <v>56</v>
      </c>
      <c r="G157" t="s">
        <v>16</v>
      </c>
      <c r="H157" t="s">
        <v>4497</v>
      </c>
      <c r="J157">
        <v>1</v>
      </c>
    </row>
    <row r="158" spans="1:10" x14ac:dyDescent="0.35">
      <c r="A158">
        <v>69000016213</v>
      </c>
      <c r="B158" t="s">
        <v>281</v>
      </c>
      <c r="C158">
        <v>591</v>
      </c>
      <c r="D158" t="s">
        <v>280</v>
      </c>
      <c r="E158" t="s">
        <v>15</v>
      </c>
      <c r="F158" t="s">
        <v>56</v>
      </c>
      <c r="G158" t="s">
        <v>16</v>
      </c>
      <c r="H158" t="s">
        <v>4497</v>
      </c>
      <c r="J158">
        <v>2</v>
      </c>
    </row>
    <row r="159" spans="1:10" x14ac:dyDescent="0.35">
      <c r="A159">
        <v>69000019832</v>
      </c>
      <c r="B159" t="s">
        <v>275</v>
      </c>
      <c r="C159" t="s">
        <v>53</v>
      </c>
      <c r="D159" t="s">
        <v>273</v>
      </c>
      <c r="E159" t="s">
        <v>15</v>
      </c>
      <c r="F159" t="s">
        <v>56</v>
      </c>
      <c r="G159" t="s">
        <v>16</v>
      </c>
      <c r="H159" t="s">
        <v>4497</v>
      </c>
      <c r="J159">
        <v>11</v>
      </c>
    </row>
    <row r="160" spans="1:10" x14ac:dyDescent="0.35">
      <c r="A160">
        <v>69000040607</v>
      </c>
      <c r="B160" t="s">
        <v>252</v>
      </c>
      <c r="C160" t="s">
        <v>53</v>
      </c>
      <c r="D160" t="s">
        <v>282</v>
      </c>
      <c r="E160" t="s">
        <v>15</v>
      </c>
      <c r="F160" t="s">
        <v>56</v>
      </c>
      <c r="G160" t="s">
        <v>16</v>
      </c>
      <c r="H160" t="s">
        <v>4497</v>
      </c>
      <c r="J160">
        <v>8</v>
      </c>
    </row>
    <row r="161" spans="1:10" x14ac:dyDescent="0.35">
      <c r="A161">
        <v>69000050569</v>
      </c>
      <c r="B161" t="s">
        <v>283</v>
      </c>
      <c r="C161" t="s">
        <v>53</v>
      </c>
      <c r="D161" t="s">
        <v>283</v>
      </c>
      <c r="E161" t="s">
        <v>15</v>
      </c>
      <c r="F161" t="s">
        <v>56</v>
      </c>
      <c r="G161" t="s">
        <v>16</v>
      </c>
      <c r="H161" t="s">
        <v>4497</v>
      </c>
      <c r="J161">
        <v>1</v>
      </c>
    </row>
    <row r="162" spans="1:10" x14ac:dyDescent="0.35">
      <c r="A162">
        <v>69000052273</v>
      </c>
      <c r="B162" t="s">
        <v>284</v>
      </c>
      <c r="C162" t="s">
        <v>53</v>
      </c>
      <c r="D162" t="s">
        <v>285</v>
      </c>
      <c r="E162" t="s">
        <v>15</v>
      </c>
      <c r="F162" t="s">
        <v>56</v>
      </c>
      <c r="G162" t="s">
        <v>16</v>
      </c>
      <c r="H162" t="s">
        <v>4497</v>
      </c>
      <c r="J162">
        <v>3</v>
      </c>
    </row>
    <row r="163" spans="1:10" x14ac:dyDescent="0.35">
      <c r="A163">
        <v>69000061008</v>
      </c>
      <c r="B163" t="s">
        <v>286</v>
      </c>
      <c r="C163" t="s">
        <v>9</v>
      </c>
      <c r="D163" t="s">
        <v>285</v>
      </c>
      <c r="E163" t="s">
        <v>15</v>
      </c>
      <c r="F163" t="s">
        <v>56</v>
      </c>
      <c r="G163" t="s">
        <v>16</v>
      </c>
      <c r="H163" t="s">
        <v>4497</v>
      </c>
      <c r="J163">
        <v>11</v>
      </c>
    </row>
    <row r="164" spans="1:10" x14ac:dyDescent="0.35">
      <c r="A164">
        <v>69000061015</v>
      </c>
      <c r="B164" t="s">
        <v>286</v>
      </c>
      <c r="C164" t="s">
        <v>53</v>
      </c>
      <c r="D164" t="s">
        <v>285</v>
      </c>
      <c r="E164" t="s">
        <v>15</v>
      </c>
      <c r="F164" t="s">
        <v>56</v>
      </c>
      <c r="G164" t="s">
        <v>16</v>
      </c>
      <c r="H164" t="s">
        <v>4497</v>
      </c>
      <c r="J164">
        <v>25</v>
      </c>
    </row>
    <row r="165" spans="1:10" x14ac:dyDescent="0.35">
      <c r="A165">
        <v>69000061015</v>
      </c>
      <c r="B165" t="s">
        <v>286</v>
      </c>
      <c r="C165" t="s">
        <v>53</v>
      </c>
      <c r="D165" t="s">
        <v>285</v>
      </c>
      <c r="E165" t="s">
        <v>15</v>
      </c>
      <c r="F165" t="s">
        <v>56</v>
      </c>
      <c r="G165" t="s">
        <v>31</v>
      </c>
      <c r="H165" t="s">
        <v>4497</v>
      </c>
      <c r="J165">
        <v>15</v>
      </c>
    </row>
    <row r="166" spans="1:10" x14ac:dyDescent="0.35">
      <c r="A166">
        <v>69000147344</v>
      </c>
      <c r="B166" t="s">
        <v>287</v>
      </c>
      <c r="C166" t="s">
        <v>151</v>
      </c>
      <c r="D166" t="s">
        <v>283</v>
      </c>
      <c r="E166" t="s">
        <v>15</v>
      </c>
      <c r="F166" t="s">
        <v>56</v>
      </c>
      <c r="G166" t="s">
        <v>16</v>
      </c>
      <c r="H166" t="s">
        <v>4497</v>
      </c>
      <c r="J166">
        <v>2</v>
      </c>
    </row>
    <row r="167" spans="1:10" x14ac:dyDescent="0.35">
      <c r="A167">
        <v>69000147870</v>
      </c>
      <c r="B167" t="s">
        <v>288</v>
      </c>
      <c r="C167" t="s">
        <v>289</v>
      </c>
      <c r="D167" t="s">
        <v>290</v>
      </c>
      <c r="E167" t="s">
        <v>15</v>
      </c>
      <c r="F167" t="s">
        <v>56</v>
      </c>
      <c r="G167" t="s">
        <v>16</v>
      </c>
      <c r="H167" t="s">
        <v>4497</v>
      </c>
      <c r="J167">
        <v>5</v>
      </c>
    </row>
    <row r="168" spans="1:10" x14ac:dyDescent="0.35">
      <c r="A168">
        <v>69000148846</v>
      </c>
      <c r="B168" t="s">
        <v>46</v>
      </c>
      <c r="C168" t="s">
        <v>289</v>
      </c>
      <c r="D168" t="s">
        <v>290</v>
      </c>
      <c r="E168" t="s">
        <v>15</v>
      </c>
      <c r="F168" t="s">
        <v>56</v>
      </c>
      <c r="G168" t="s">
        <v>16</v>
      </c>
      <c r="H168" t="s">
        <v>4497</v>
      </c>
      <c r="J168">
        <v>1</v>
      </c>
    </row>
    <row r="169" spans="1:10" x14ac:dyDescent="0.35">
      <c r="A169">
        <v>69000154939</v>
      </c>
      <c r="B169" t="s">
        <v>291</v>
      </c>
      <c r="C169" t="s">
        <v>53</v>
      </c>
      <c r="D169" t="s">
        <v>283</v>
      </c>
      <c r="E169" t="s">
        <v>15</v>
      </c>
      <c r="F169" t="s">
        <v>56</v>
      </c>
      <c r="G169" t="s">
        <v>16</v>
      </c>
      <c r="H169" t="s">
        <v>4497</v>
      </c>
      <c r="J169">
        <v>2</v>
      </c>
    </row>
    <row r="170" spans="1:10" x14ac:dyDescent="0.35">
      <c r="A170">
        <v>69000159286</v>
      </c>
      <c r="B170" t="s">
        <v>292</v>
      </c>
      <c r="C170" t="s">
        <v>151</v>
      </c>
      <c r="D170" t="s">
        <v>283</v>
      </c>
      <c r="E170" t="s">
        <v>15</v>
      </c>
      <c r="F170" t="s">
        <v>56</v>
      </c>
      <c r="G170" t="s">
        <v>16</v>
      </c>
      <c r="H170" t="s">
        <v>4497</v>
      </c>
      <c r="J170">
        <v>1</v>
      </c>
    </row>
    <row r="171" spans="1:10" x14ac:dyDescent="0.35">
      <c r="A171">
        <v>69001002918</v>
      </c>
      <c r="B171" t="s">
        <v>273</v>
      </c>
      <c r="C171" t="s">
        <v>53</v>
      </c>
      <c r="D171" t="s">
        <v>273</v>
      </c>
      <c r="E171" t="s">
        <v>15</v>
      </c>
      <c r="F171" t="s">
        <v>56</v>
      </c>
      <c r="G171" t="s">
        <v>16</v>
      </c>
      <c r="H171" t="s">
        <v>4497</v>
      </c>
      <c r="J171">
        <v>2</v>
      </c>
    </row>
    <row r="172" spans="1:10" x14ac:dyDescent="0.35">
      <c r="A172">
        <v>70137111214</v>
      </c>
      <c r="B172" t="s">
        <v>86</v>
      </c>
      <c r="C172" t="s">
        <v>87</v>
      </c>
      <c r="D172" t="s">
        <v>293</v>
      </c>
      <c r="E172" t="s">
        <v>15</v>
      </c>
      <c r="F172" t="s">
        <v>294</v>
      </c>
      <c r="G172" t="s">
        <v>15</v>
      </c>
      <c r="H172" t="s">
        <v>4525</v>
      </c>
      <c r="J172">
        <v>1</v>
      </c>
    </row>
    <row r="173" spans="1:10" x14ac:dyDescent="0.35">
      <c r="A173">
        <v>70847811190</v>
      </c>
      <c r="B173" t="s">
        <v>295</v>
      </c>
      <c r="C173" t="s">
        <v>230</v>
      </c>
      <c r="D173" t="s">
        <v>296</v>
      </c>
      <c r="E173" t="s">
        <v>15</v>
      </c>
      <c r="F173" t="s">
        <v>297</v>
      </c>
      <c r="G173" t="s">
        <v>16</v>
      </c>
      <c r="H173" t="s">
        <v>4526</v>
      </c>
      <c r="J173">
        <v>1</v>
      </c>
    </row>
    <row r="174" spans="1:10" x14ac:dyDescent="0.35">
      <c r="A174">
        <v>70847811190</v>
      </c>
      <c r="B174" t="s">
        <v>295</v>
      </c>
      <c r="C174" t="s">
        <v>230</v>
      </c>
      <c r="D174" t="s">
        <v>296</v>
      </c>
      <c r="E174" t="s">
        <v>15</v>
      </c>
      <c r="F174" t="s">
        <v>297</v>
      </c>
      <c r="G174" t="s">
        <v>31</v>
      </c>
      <c r="H174" t="s">
        <v>4526</v>
      </c>
      <c r="J174">
        <v>5</v>
      </c>
    </row>
    <row r="175" spans="1:10" x14ac:dyDescent="0.35">
      <c r="A175">
        <v>71464240400</v>
      </c>
      <c r="B175" t="s">
        <v>298</v>
      </c>
      <c r="C175" t="s">
        <v>239</v>
      </c>
      <c r="D175" t="s">
        <v>299</v>
      </c>
      <c r="E175" t="s">
        <v>15</v>
      </c>
      <c r="F175" t="s">
        <v>300</v>
      </c>
      <c r="G175" t="s">
        <v>15</v>
      </c>
      <c r="H175" t="s">
        <v>4527</v>
      </c>
      <c r="J175">
        <v>1</v>
      </c>
    </row>
    <row r="176" spans="1:10" x14ac:dyDescent="0.35">
      <c r="A176">
        <v>72030023014</v>
      </c>
      <c r="B176" t="s">
        <v>301</v>
      </c>
      <c r="C176" t="s">
        <v>302</v>
      </c>
      <c r="D176" t="s">
        <v>303</v>
      </c>
      <c r="E176" t="s">
        <v>15</v>
      </c>
      <c r="F176" t="s">
        <v>304</v>
      </c>
      <c r="G176" t="s">
        <v>15</v>
      </c>
      <c r="H176" t="s">
        <v>4528</v>
      </c>
      <c r="J176">
        <v>1</v>
      </c>
    </row>
    <row r="177" spans="1:10" x14ac:dyDescent="0.35">
      <c r="A177">
        <v>76280045314</v>
      </c>
      <c r="B177" t="s">
        <v>305</v>
      </c>
      <c r="C177" t="s">
        <v>306</v>
      </c>
      <c r="D177" t="s">
        <v>307</v>
      </c>
      <c r="E177" t="s">
        <v>308</v>
      </c>
      <c r="F177" t="s">
        <v>309</v>
      </c>
      <c r="G177" t="s">
        <v>61</v>
      </c>
      <c r="H177" t="s">
        <v>4529</v>
      </c>
      <c r="J177">
        <v>1</v>
      </c>
    </row>
    <row r="178" spans="1:10" x14ac:dyDescent="0.35">
      <c r="A178">
        <v>76301590052</v>
      </c>
      <c r="B178" t="s">
        <v>310</v>
      </c>
      <c r="C178" t="s">
        <v>311</v>
      </c>
      <c r="D178" t="s">
        <v>312</v>
      </c>
      <c r="E178" t="s">
        <v>16</v>
      </c>
      <c r="F178" t="s">
        <v>256</v>
      </c>
      <c r="G178" t="s">
        <v>41</v>
      </c>
      <c r="H178" t="s">
        <v>4523</v>
      </c>
      <c r="J178">
        <v>100</v>
      </c>
    </row>
    <row r="179" spans="1:10" x14ac:dyDescent="0.35">
      <c r="A179">
        <v>76412480044</v>
      </c>
      <c r="B179" t="s">
        <v>313</v>
      </c>
      <c r="C179" t="s">
        <v>69</v>
      </c>
      <c r="D179" t="s">
        <v>314</v>
      </c>
      <c r="E179" t="s">
        <v>20</v>
      </c>
      <c r="F179" t="s">
        <v>315</v>
      </c>
      <c r="G179" t="s">
        <v>22</v>
      </c>
      <c r="H179" t="s">
        <v>4530</v>
      </c>
      <c r="J179">
        <v>1</v>
      </c>
    </row>
    <row r="180" spans="1:10" x14ac:dyDescent="0.35">
      <c r="A180">
        <v>80686832133</v>
      </c>
      <c r="B180" t="s">
        <v>316</v>
      </c>
      <c r="C180" t="s">
        <v>128</v>
      </c>
      <c r="D180" t="s">
        <v>317</v>
      </c>
      <c r="E180" t="s">
        <v>318</v>
      </c>
      <c r="F180" t="s">
        <v>319</v>
      </c>
      <c r="G180" t="s">
        <v>16</v>
      </c>
      <c r="H180" t="s">
        <v>4531</v>
      </c>
      <c r="J180">
        <v>3</v>
      </c>
    </row>
    <row r="181" spans="1:10" x14ac:dyDescent="0.35">
      <c r="A181">
        <v>8080150059</v>
      </c>
      <c r="B181" t="s">
        <v>320</v>
      </c>
      <c r="C181" t="s">
        <v>38</v>
      </c>
      <c r="D181" t="s">
        <v>321</v>
      </c>
      <c r="E181" t="s">
        <v>308</v>
      </c>
      <c r="F181" t="s">
        <v>309</v>
      </c>
      <c r="G181" t="s">
        <v>22</v>
      </c>
      <c r="H181" t="s">
        <v>4529</v>
      </c>
      <c r="J181">
        <v>1</v>
      </c>
    </row>
    <row r="182" spans="1:10" x14ac:dyDescent="0.35">
      <c r="A182">
        <v>81821021023</v>
      </c>
      <c r="B182" t="s">
        <v>322</v>
      </c>
      <c r="C182" t="s">
        <v>43</v>
      </c>
      <c r="D182" t="s">
        <v>323</v>
      </c>
      <c r="E182" t="s">
        <v>73</v>
      </c>
      <c r="F182" t="s">
        <v>324</v>
      </c>
      <c r="G182" t="s">
        <v>33</v>
      </c>
      <c r="H182" t="s">
        <v>4532</v>
      </c>
      <c r="J182">
        <v>1</v>
      </c>
    </row>
    <row r="183" spans="1:10" x14ac:dyDescent="0.35">
      <c r="A183">
        <v>82000749981</v>
      </c>
      <c r="B183" t="s">
        <v>325</v>
      </c>
      <c r="C183" t="s">
        <v>326</v>
      </c>
      <c r="D183" t="s">
        <v>327</v>
      </c>
      <c r="E183" t="s">
        <v>22</v>
      </c>
      <c r="F183" t="s">
        <v>328</v>
      </c>
      <c r="G183" t="s">
        <v>16</v>
      </c>
      <c r="H183" t="s">
        <v>4533</v>
      </c>
      <c r="J183">
        <v>1</v>
      </c>
    </row>
    <row r="184" spans="1:10" x14ac:dyDescent="0.35">
      <c r="A184">
        <v>82000763581</v>
      </c>
      <c r="B184" t="s">
        <v>329</v>
      </c>
      <c r="C184" t="s">
        <v>110</v>
      </c>
      <c r="D184" t="s">
        <v>330</v>
      </c>
      <c r="E184" t="s">
        <v>22</v>
      </c>
      <c r="F184" t="s">
        <v>328</v>
      </c>
      <c r="G184" t="s">
        <v>16</v>
      </c>
      <c r="H184" t="s">
        <v>4533</v>
      </c>
      <c r="J184">
        <v>3</v>
      </c>
    </row>
    <row r="185" spans="1:10" x14ac:dyDescent="0.35">
      <c r="A185">
        <v>82000795254</v>
      </c>
      <c r="B185" t="s">
        <v>127</v>
      </c>
      <c r="C185" t="s">
        <v>326</v>
      </c>
      <c r="D185" t="s">
        <v>330</v>
      </c>
      <c r="E185" t="s">
        <v>22</v>
      </c>
      <c r="F185" t="s">
        <v>328</v>
      </c>
      <c r="G185" t="s">
        <v>16</v>
      </c>
      <c r="H185" t="s">
        <v>4533</v>
      </c>
      <c r="J185">
        <v>3</v>
      </c>
    </row>
    <row r="186" spans="1:10" x14ac:dyDescent="0.35">
      <c r="A186">
        <v>83900006266</v>
      </c>
      <c r="B186" t="s">
        <v>331</v>
      </c>
      <c r="C186" t="s">
        <v>9</v>
      </c>
      <c r="D186" t="s">
        <v>332</v>
      </c>
      <c r="E186" t="s">
        <v>71</v>
      </c>
      <c r="F186" t="s">
        <v>72</v>
      </c>
      <c r="G186" t="s">
        <v>16</v>
      </c>
      <c r="H186" t="s">
        <v>4501</v>
      </c>
      <c r="J186">
        <v>2</v>
      </c>
    </row>
    <row r="187" spans="1:10" x14ac:dyDescent="0.35">
      <c r="A187">
        <v>848503</v>
      </c>
      <c r="B187" t="s">
        <v>333</v>
      </c>
      <c r="C187" t="s">
        <v>334</v>
      </c>
      <c r="D187" t="s">
        <v>44</v>
      </c>
      <c r="E187" t="s">
        <v>22</v>
      </c>
      <c r="F187" t="s">
        <v>45</v>
      </c>
      <c r="G187" t="s">
        <v>22</v>
      </c>
      <c r="H187" t="s">
        <v>4495</v>
      </c>
      <c r="J187">
        <v>1</v>
      </c>
    </row>
    <row r="188" spans="1:10" x14ac:dyDescent="0.35">
      <c r="A188">
        <v>86169046332</v>
      </c>
      <c r="B188" t="s">
        <v>335</v>
      </c>
      <c r="C188" t="s">
        <v>336</v>
      </c>
      <c r="D188" t="s">
        <v>337</v>
      </c>
      <c r="E188" t="s">
        <v>22</v>
      </c>
      <c r="F188" t="s">
        <v>338</v>
      </c>
      <c r="G188" t="s">
        <v>22</v>
      </c>
      <c r="H188" t="s">
        <v>4534</v>
      </c>
      <c r="J188">
        <v>1</v>
      </c>
    </row>
    <row r="189" spans="1:10" x14ac:dyDescent="0.35">
      <c r="A189">
        <v>87000007888</v>
      </c>
      <c r="B189" t="s">
        <v>339</v>
      </c>
      <c r="C189" t="s">
        <v>36</v>
      </c>
      <c r="D189" t="s">
        <v>327</v>
      </c>
      <c r="E189" t="s">
        <v>22</v>
      </c>
      <c r="F189" t="s">
        <v>328</v>
      </c>
      <c r="G189" t="s">
        <v>16</v>
      </c>
      <c r="H189" t="s">
        <v>4533</v>
      </c>
      <c r="J189">
        <v>1</v>
      </c>
    </row>
    <row r="190" spans="1:10" x14ac:dyDescent="0.35">
      <c r="A190">
        <v>87000007895</v>
      </c>
      <c r="B190" t="s">
        <v>339</v>
      </c>
      <c r="C190" t="s">
        <v>128</v>
      </c>
      <c r="D190" t="s">
        <v>327</v>
      </c>
      <c r="E190" t="s">
        <v>22</v>
      </c>
      <c r="F190" t="s">
        <v>328</v>
      </c>
      <c r="G190" t="s">
        <v>16</v>
      </c>
      <c r="H190" t="s">
        <v>4533</v>
      </c>
      <c r="J190">
        <v>7</v>
      </c>
    </row>
    <row r="191" spans="1:10" x14ac:dyDescent="0.35">
      <c r="A191">
        <v>88004400453</v>
      </c>
      <c r="B191" t="s">
        <v>127</v>
      </c>
      <c r="C191" t="s">
        <v>128</v>
      </c>
      <c r="D191" t="s">
        <v>340</v>
      </c>
      <c r="E191" t="s">
        <v>308</v>
      </c>
      <c r="F191" t="s">
        <v>309</v>
      </c>
      <c r="G191" t="s">
        <v>16</v>
      </c>
      <c r="H191" t="s">
        <v>4529</v>
      </c>
      <c r="J191">
        <v>3</v>
      </c>
    </row>
    <row r="192" spans="1:10" x14ac:dyDescent="0.35">
      <c r="A192">
        <v>88004400712</v>
      </c>
      <c r="B192" t="s">
        <v>341</v>
      </c>
      <c r="C192" t="s">
        <v>128</v>
      </c>
      <c r="D192" t="s">
        <v>342</v>
      </c>
      <c r="E192" t="s">
        <v>15</v>
      </c>
      <c r="F192" t="s">
        <v>343</v>
      </c>
      <c r="G192" t="s">
        <v>16</v>
      </c>
      <c r="H192" t="s">
        <v>4535</v>
      </c>
      <c r="J192">
        <v>5</v>
      </c>
    </row>
    <row r="193" spans="1:10" x14ac:dyDescent="0.35">
      <c r="A193">
        <v>88004400729</v>
      </c>
      <c r="B193" t="s">
        <v>341</v>
      </c>
      <c r="C193" t="s">
        <v>36</v>
      </c>
      <c r="D193" t="s">
        <v>342</v>
      </c>
      <c r="E193" t="s">
        <v>15</v>
      </c>
      <c r="F193" t="s">
        <v>343</v>
      </c>
      <c r="G193" t="s">
        <v>16</v>
      </c>
      <c r="H193" t="s">
        <v>4535</v>
      </c>
      <c r="J193">
        <v>3</v>
      </c>
    </row>
    <row r="194" spans="1:10" x14ac:dyDescent="0.35">
      <c r="A194">
        <v>88544016794</v>
      </c>
      <c r="B194" t="s">
        <v>344</v>
      </c>
      <c r="C194" t="s">
        <v>36</v>
      </c>
      <c r="D194" t="s">
        <v>344</v>
      </c>
      <c r="E194" t="s">
        <v>15</v>
      </c>
      <c r="F194" t="s">
        <v>343</v>
      </c>
      <c r="G194" t="s">
        <v>16</v>
      </c>
      <c r="H194" t="s">
        <v>4535</v>
      </c>
      <c r="J194">
        <v>4</v>
      </c>
    </row>
    <row r="195" spans="1:10" x14ac:dyDescent="0.35">
      <c r="A195">
        <v>943888</v>
      </c>
      <c r="B195" t="s">
        <v>345</v>
      </c>
      <c r="C195" t="s">
        <v>38</v>
      </c>
      <c r="D195" t="s">
        <v>44</v>
      </c>
      <c r="E195" t="s">
        <v>22</v>
      </c>
      <c r="F195" t="s">
        <v>45</v>
      </c>
      <c r="G195" t="s">
        <v>22</v>
      </c>
      <c r="H195" t="s">
        <v>4495</v>
      </c>
      <c r="J195">
        <v>1</v>
      </c>
    </row>
    <row r="196" spans="1:10" x14ac:dyDescent="0.35">
      <c r="A196">
        <v>95188003189</v>
      </c>
      <c r="B196" t="s">
        <v>346</v>
      </c>
      <c r="C196" t="s">
        <v>38</v>
      </c>
      <c r="D196" t="s">
        <v>347</v>
      </c>
      <c r="E196" t="s">
        <v>15</v>
      </c>
      <c r="F196" t="s">
        <v>348</v>
      </c>
      <c r="G196" t="s">
        <v>41</v>
      </c>
      <c r="H196" t="s">
        <v>4536</v>
      </c>
      <c r="J196">
        <v>22</v>
      </c>
    </row>
    <row r="197" spans="1:10" x14ac:dyDescent="0.35">
      <c r="A197">
        <v>95188990342</v>
      </c>
      <c r="B197" t="s">
        <v>37</v>
      </c>
      <c r="C197" t="s">
        <v>81</v>
      </c>
      <c r="D197" t="s">
        <v>39</v>
      </c>
      <c r="E197" t="s">
        <v>15</v>
      </c>
      <c r="F197" t="s">
        <v>40</v>
      </c>
      <c r="G197" t="s">
        <v>41</v>
      </c>
      <c r="H197" t="s">
        <v>4494</v>
      </c>
      <c r="J197">
        <v>83</v>
      </c>
    </row>
    <row r="198" spans="1:10" x14ac:dyDescent="0.35">
      <c r="A198">
        <v>95188993008</v>
      </c>
      <c r="B198" t="s">
        <v>349</v>
      </c>
      <c r="C198" t="s">
        <v>38</v>
      </c>
      <c r="D198" t="s">
        <v>39</v>
      </c>
      <c r="E198" t="s">
        <v>15</v>
      </c>
      <c r="F198" t="s">
        <v>40</v>
      </c>
      <c r="G198" t="s">
        <v>41</v>
      </c>
      <c r="H198" t="s">
        <v>4494</v>
      </c>
      <c r="J198">
        <v>134</v>
      </c>
    </row>
    <row r="199" spans="1:10" x14ac:dyDescent="0.35">
      <c r="A199">
        <v>95188995002</v>
      </c>
      <c r="B199" t="s">
        <v>39</v>
      </c>
      <c r="C199" t="s">
        <v>9</v>
      </c>
      <c r="D199" t="s">
        <v>39</v>
      </c>
      <c r="E199" t="s">
        <v>15</v>
      </c>
      <c r="F199" t="s">
        <v>40</v>
      </c>
      <c r="G199" t="s">
        <v>41</v>
      </c>
      <c r="H199" t="s">
        <v>4494</v>
      </c>
      <c r="J199">
        <v>274</v>
      </c>
    </row>
    <row r="200" spans="1:10" x14ac:dyDescent="0.35">
      <c r="A200">
        <v>96619224319</v>
      </c>
      <c r="B200" t="s">
        <v>350</v>
      </c>
      <c r="C200" t="s">
        <v>159</v>
      </c>
      <c r="D200" t="s">
        <v>351</v>
      </c>
      <c r="E200" t="s">
        <v>15</v>
      </c>
      <c r="F200" t="s">
        <v>352</v>
      </c>
      <c r="G200" t="s">
        <v>16</v>
      </c>
      <c r="H200" t="s">
        <v>4537</v>
      </c>
      <c r="J200">
        <v>1</v>
      </c>
    </row>
    <row r="201" spans="1:10" x14ac:dyDescent="0.35">
      <c r="A201">
        <v>96619228539</v>
      </c>
      <c r="B201" t="s">
        <v>353</v>
      </c>
      <c r="C201" t="s">
        <v>354</v>
      </c>
      <c r="D201" t="s">
        <v>351</v>
      </c>
      <c r="E201" t="s">
        <v>15</v>
      </c>
      <c r="F201" t="s">
        <v>352</v>
      </c>
      <c r="G201" t="s">
        <v>16</v>
      </c>
      <c r="H201" t="s">
        <v>4537</v>
      </c>
      <c r="J201">
        <v>1</v>
      </c>
    </row>
    <row r="202" spans="1:10" x14ac:dyDescent="0.35">
      <c r="A202">
        <v>96619321841</v>
      </c>
      <c r="B202" t="s">
        <v>212</v>
      </c>
      <c r="C202" t="s">
        <v>9</v>
      </c>
      <c r="D202" t="s">
        <v>351</v>
      </c>
      <c r="E202" t="s">
        <v>15</v>
      </c>
      <c r="F202" t="s">
        <v>352</v>
      </c>
      <c r="G202" t="s">
        <v>16</v>
      </c>
      <c r="H202" t="s">
        <v>4537</v>
      </c>
      <c r="J202">
        <v>41</v>
      </c>
    </row>
    <row r="203" spans="1:10" x14ac:dyDescent="0.35">
      <c r="A203">
        <v>96619381784</v>
      </c>
      <c r="B203" t="s">
        <v>235</v>
      </c>
      <c r="C203" t="s">
        <v>9</v>
      </c>
      <c r="D203" t="s">
        <v>351</v>
      </c>
      <c r="E203" t="s">
        <v>15</v>
      </c>
      <c r="F203" t="s">
        <v>352</v>
      </c>
      <c r="G203" t="s">
        <v>16</v>
      </c>
      <c r="H203" t="s">
        <v>4537</v>
      </c>
      <c r="J203">
        <v>12</v>
      </c>
    </row>
    <row r="204" spans="1:10" x14ac:dyDescent="0.35">
      <c r="A204">
        <v>96619381784</v>
      </c>
      <c r="B204" t="s">
        <v>235</v>
      </c>
      <c r="C204" t="s">
        <v>9</v>
      </c>
      <c r="D204" t="s">
        <v>351</v>
      </c>
      <c r="E204" t="s">
        <v>15</v>
      </c>
      <c r="F204" t="s">
        <v>352</v>
      </c>
      <c r="G204" t="s">
        <v>22</v>
      </c>
      <c r="H204" t="s">
        <v>4537</v>
      </c>
      <c r="J204">
        <v>2</v>
      </c>
    </row>
    <row r="205" spans="1:10" x14ac:dyDescent="0.35">
      <c r="A205">
        <v>96619482016</v>
      </c>
      <c r="B205" t="s">
        <v>235</v>
      </c>
      <c r="C205" t="s">
        <v>9</v>
      </c>
      <c r="D205" t="s">
        <v>351</v>
      </c>
      <c r="E205" t="s">
        <v>15</v>
      </c>
      <c r="F205" t="s">
        <v>352</v>
      </c>
      <c r="G205" t="s">
        <v>22</v>
      </c>
      <c r="H205" t="s">
        <v>4537</v>
      </c>
      <c r="J205">
        <v>3</v>
      </c>
    </row>
    <row r="206" spans="1:10" x14ac:dyDescent="0.35">
      <c r="A206">
        <v>96619676859</v>
      </c>
      <c r="B206" t="s">
        <v>355</v>
      </c>
      <c r="C206" t="s">
        <v>53</v>
      </c>
      <c r="D206" t="s">
        <v>351</v>
      </c>
      <c r="E206" t="s">
        <v>15</v>
      </c>
      <c r="F206" t="s">
        <v>352</v>
      </c>
      <c r="G206" t="s">
        <v>16</v>
      </c>
      <c r="H206" t="s">
        <v>4537</v>
      </c>
      <c r="J206">
        <v>1</v>
      </c>
    </row>
    <row r="207" spans="1:10" x14ac:dyDescent="0.35">
      <c r="A207">
        <v>100007264365</v>
      </c>
      <c r="B207" t="s">
        <v>356</v>
      </c>
      <c r="C207" t="s">
        <v>9</v>
      </c>
      <c r="D207" t="s">
        <v>357</v>
      </c>
      <c r="E207" t="s">
        <v>150</v>
      </c>
      <c r="F207" t="s">
        <v>358</v>
      </c>
      <c r="G207" t="s">
        <v>150</v>
      </c>
      <c r="H207" t="s">
        <v>4538</v>
      </c>
      <c r="J207">
        <v>13</v>
      </c>
    </row>
    <row r="208" spans="1:10" x14ac:dyDescent="0.35">
      <c r="A208">
        <v>11111262683</v>
      </c>
      <c r="B208" t="s">
        <v>359</v>
      </c>
      <c r="C208" t="s">
        <v>230</v>
      </c>
      <c r="D208" t="s">
        <v>360</v>
      </c>
      <c r="E208" t="s">
        <v>22</v>
      </c>
      <c r="F208" t="s">
        <v>361</v>
      </c>
      <c r="G208" t="s">
        <v>16</v>
      </c>
      <c r="H208" t="s">
        <v>4539</v>
      </c>
      <c r="J208">
        <v>1</v>
      </c>
    </row>
    <row r="209" spans="1:10" x14ac:dyDescent="0.35">
      <c r="A209">
        <v>111251461301</v>
      </c>
      <c r="B209" t="s">
        <v>362</v>
      </c>
      <c r="C209" t="s">
        <v>83</v>
      </c>
      <c r="D209" t="s">
        <v>363</v>
      </c>
      <c r="E209" t="s">
        <v>61</v>
      </c>
      <c r="F209" t="s">
        <v>364</v>
      </c>
      <c r="G209" t="s">
        <v>61</v>
      </c>
      <c r="H209" t="s">
        <v>4540</v>
      </c>
      <c r="J209">
        <v>2</v>
      </c>
    </row>
    <row r="210" spans="1:10" x14ac:dyDescent="0.35">
      <c r="A210">
        <v>111471480311</v>
      </c>
      <c r="B210" t="s">
        <v>365</v>
      </c>
      <c r="C210" t="s">
        <v>83</v>
      </c>
      <c r="D210" t="s">
        <v>366</v>
      </c>
      <c r="E210" t="s">
        <v>61</v>
      </c>
      <c r="F210" t="s">
        <v>364</v>
      </c>
      <c r="G210" t="s">
        <v>61</v>
      </c>
      <c r="H210" t="s">
        <v>4540</v>
      </c>
      <c r="J210">
        <v>16</v>
      </c>
    </row>
    <row r="211" spans="1:10" x14ac:dyDescent="0.35">
      <c r="A211">
        <v>1117110</v>
      </c>
      <c r="B211" t="s">
        <v>367</v>
      </c>
      <c r="C211">
        <v>500</v>
      </c>
      <c r="D211" t="s">
        <v>323</v>
      </c>
      <c r="E211" t="s">
        <v>73</v>
      </c>
      <c r="F211" t="s">
        <v>324</v>
      </c>
      <c r="G211" t="s">
        <v>73</v>
      </c>
      <c r="H211" t="s">
        <v>4532</v>
      </c>
      <c r="J211">
        <v>1</v>
      </c>
    </row>
    <row r="212" spans="1:10" x14ac:dyDescent="0.35">
      <c r="A212">
        <v>1125382</v>
      </c>
      <c r="B212" t="s">
        <v>369</v>
      </c>
      <c r="C212" t="s">
        <v>370</v>
      </c>
      <c r="D212" t="s">
        <v>111</v>
      </c>
      <c r="E212" t="s">
        <v>22</v>
      </c>
      <c r="F212" t="s">
        <v>112</v>
      </c>
      <c r="G212" t="s">
        <v>22</v>
      </c>
      <c r="H212" t="s">
        <v>4508</v>
      </c>
      <c r="J212">
        <v>1</v>
      </c>
    </row>
    <row r="213" spans="1:10" x14ac:dyDescent="0.35">
      <c r="A213">
        <v>11313012253</v>
      </c>
      <c r="B213" t="s">
        <v>371</v>
      </c>
      <c r="C213" t="s">
        <v>278</v>
      </c>
      <c r="D213" t="s">
        <v>372</v>
      </c>
      <c r="E213" t="s">
        <v>15</v>
      </c>
      <c r="F213" t="s">
        <v>372</v>
      </c>
      <c r="G213" t="s">
        <v>150</v>
      </c>
      <c r="H213" t="s">
        <v>4541</v>
      </c>
      <c r="J213">
        <v>11</v>
      </c>
    </row>
    <row r="214" spans="1:10" x14ac:dyDescent="0.35">
      <c r="A214">
        <v>118624877363</v>
      </c>
      <c r="B214" t="s">
        <v>373</v>
      </c>
      <c r="C214" t="s">
        <v>43</v>
      </c>
      <c r="D214" t="s">
        <v>374</v>
      </c>
      <c r="E214" t="s">
        <v>20</v>
      </c>
      <c r="F214" t="s">
        <v>21</v>
      </c>
      <c r="G214" t="s">
        <v>22</v>
      </c>
      <c r="H214" t="s">
        <v>4490</v>
      </c>
      <c r="J214">
        <v>1</v>
      </c>
    </row>
    <row r="215" spans="1:10" x14ac:dyDescent="0.35">
      <c r="A215">
        <v>120112829792</v>
      </c>
      <c r="B215" t="s">
        <v>375</v>
      </c>
      <c r="C215" t="s">
        <v>83</v>
      </c>
      <c r="D215" t="s">
        <v>376</v>
      </c>
      <c r="E215" t="s">
        <v>117</v>
      </c>
      <c r="F215" t="s">
        <v>377</v>
      </c>
      <c r="G215" t="s">
        <v>117</v>
      </c>
      <c r="H215" t="s">
        <v>4542</v>
      </c>
      <c r="J215">
        <v>50</v>
      </c>
    </row>
    <row r="216" spans="1:10" x14ac:dyDescent="0.35">
      <c r="A216">
        <v>121210011058</v>
      </c>
      <c r="B216" t="s">
        <v>378</v>
      </c>
      <c r="C216" t="s">
        <v>326</v>
      </c>
      <c r="D216" t="s">
        <v>379</v>
      </c>
      <c r="E216" t="s">
        <v>117</v>
      </c>
      <c r="F216" t="s">
        <v>377</v>
      </c>
      <c r="G216" t="s">
        <v>117</v>
      </c>
      <c r="H216" t="s">
        <v>4542</v>
      </c>
      <c r="J216">
        <v>1</v>
      </c>
    </row>
    <row r="217" spans="1:10" x14ac:dyDescent="0.35">
      <c r="A217">
        <v>126910002016</v>
      </c>
      <c r="B217" t="s">
        <v>380</v>
      </c>
      <c r="C217" t="s">
        <v>192</v>
      </c>
      <c r="D217" t="s">
        <v>381</v>
      </c>
      <c r="E217" t="s">
        <v>382</v>
      </c>
      <c r="F217" t="s">
        <v>383</v>
      </c>
      <c r="G217" t="s">
        <v>61</v>
      </c>
      <c r="H217" t="s">
        <v>4543</v>
      </c>
      <c r="J217">
        <v>48</v>
      </c>
    </row>
    <row r="218" spans="1:10" x14ac:dyDescent="0.35">
      <c r="A218">
        <v>1480030</v>
      </c>
      <c r="B218" t="s">
        <v>384</v>
      </c>
      <c r="C218" t="s">
        <v>385</v>
      </c>
      <c r="D218" t="s">
        <v>386</v>
      </c>
      <c r="E218" t="s">
        <v>387</v>
      </c>
      <c r="F218" t="s">
        <v>388</v>
      </c>
      <c r="G218" t="s">
        <v>387</v>
      </c>
      <c r="H218" t="s">
        <v>4544</v>
      </c>
      <c r="J218">
        <v>10</v>
      </c>
    </row>
    <row r="219" spans="1:10" x14ac:dyDescent="0.35">
      <c r="A219">
        <v>157271161609</v>
      </c>
      <c r="B219" t="s">
        <v>180</v>
      </c>
      <c r="C219" t="s">
        <v>53</v>
      </c>
      <c r="D219" t="s">
        <v>55</v>
      </c>
      <c r="E219" t="s">
        <v>15</v>
      </c>
      <c r="F219" t="s">
        <v>56</v>
      </c>
      <c r="G219" t="s">
        <v>16</v>
      </c>
      <c r="H219" t="s">
        <v>4497</v>
      </c>
      <c r="J219">
        <v>1</v>
      </c>
    </row>
    <row r="220" spans="1:10" x14ac:dyDescent="0.35">
      <c r="A220">
        <v>16571911225</v>
      </c>
      <c r="B220" t="s">
        <v>389</v>
      </c>
      <c r="C220" t="s">
        <v>354</v>
      </c>
      <c r="D220" t="s">
        <v>48</v>
      </c>
      <c r="E220" t="s">
        <v>15</v>
      </c>
      <c r="F220" t="s">
        <v>49</v>
      </c>
      <c r="G220" t="s">
        <v>16</v>
      </c>
      <c r="H220" t="s">
        <v>4496</v>
      </c>
      <c r="J220">
        <v>3</v>
      </c>
    </row>
    <row r="221" spans="1:10" x14ac:dyDescent="0.35">
      <c r="A221">
        <v>16571920449</v>
      </c>
      <c r="B221" t="s">
        <v>156</v>
      </c>
      <c r="C221" t="s">
        <v>9</v>
      </c>
      <c r="D221" t="s">
        <v>48</v>
      </c>
      <c r="E221" t="s">
        <v>15</v>
      </c>
      <c r="F221" t="s">
        <v>49</v>
      </c>
      <c r="G221" t="s">
        <v>16</v>
      </c>
      <c r="H221" t="s">
        <v>4496</v>
      </c>
      <c r="J221">
        <v>2</v>
      </c>
    </row>
    <row r="222" spans="1:10" x14ac:dyDescent="0.35">
      <c r="A222">
        <v>16571940249</v>
      </c>
      <c r="B222" t="s">
        <v>390</v>
      </c>
      <c r="C222" t="s">
        <v>354</v>
      </c>
      <c r="D222" t="s">
        <v>48</v>
      </c>
      <c r="E222" t="s">
        <v>15</v>
      </c>
      <c r="F222" t="s">
        <v>49</v>
      </c>
      <c r="G222" t="s">
        <v>16</v>
      </c>
      <c r="H222" t="s">
        <v>4496</v>
      </c>
      <c r="J222">
        <v>3</v>
      </c>
    </row>
    <row r="223" spans="1:10" x14ac:dyDescent="0.35">
      <c r="A223">
        <v>16571951580</v>
      </c>
      <c r="B223" t="s">
        <v>391</v>
      </c>
      <c r="C223" t="s">
        <v>9</v>
      </c>
      <c r="D223" t="s">
        <v>48</v>
      </c>
      <c r="E223" t="s">
        <v>15</v>
      </c>
      <c r="F223" t="s">
        <v>49</v>
      </c>
      <c r="G223" t="s">
        <v>16</v>
      </c>
      <c r="H223" t="s">
        <v>4496</v>
      </c>
      <c r="J223">
        <v>8</v>
      </c>
    </row>
    <row r="224" spans="1:10" x14ac:dyDescent="0.35">
      <c r="A224">
        <v>16571953485</v>
      </c>
      <c r="B224" t="s">
        <v>392</v>
      </c>
      <c r="C224" t="s">
        <v>354</v>
      </c>
      <c r="D224" t="s">
        <v>48</v>
      </c>
      <c r="E224" t="s">
        <v>15</v>
      </c>
      <c r="F224" t="s">
        <v>49</v>
      </c>
      <c r="G224" t="s">
        <v>16</v>
      </c>
      <c r="H224" t="s">
        <v>4496</v>
      </c>
      <c r="J224">
        <v>7</v>
      </c>
    </row>
    <row r="225" spans="1:10" x14ac:dyDescent="0.35">
      <c r="A225">
        <v>16571957711</v>
      </c>
      <c r="B225" t="s">
        <v>393</v>
      </c>
      <c r="C225" t="s">
        <v>354</v>
      </c>
      <c r="D225" t="s">
        <v>48</v>
      </c>
      <c r="E225" t="s">
        <v>15</v>
      </c>
      <c r="F225" t="s">
        <v>49</v>
      </c>
      <c r="G225" t="s">
        <v>16</v>
      </c>
      <c r="H225" t="s">
        <v>4496</v>
      </c>
      <c r="J225">
        <v>20</v>
      </c>
    </row>
    <row r="226" spans="1:10" x14ac:dyDescent="0.35">
      <c r="A226">
        <v>16600000760</v>
      </c>
      <c r="B226" t="s">
        <v>394</v>
      </c>
      <c r="C226" t="s">
        <v>146</v>
      </c>
      <c r="D226" t="s">
        <v>52</v>
      </c>
      <c r="E226" t="s">
        <v>15</v>
      </c>
      <c r="F226" t="s">
        <v>14</v>
      </c>
      <c r="G226" t="s">
        <v>16</v>
      </c>
      <c r="H226" t="s">
        <v>4489</v>
      </c>
      <c r="J226">
        <v>1</v>
      </c>
    </row>
    <row r="227" spans="1:10" x14ac:dyDescent="0.35">
      <c r="A227">
        <v>16600010240</v>
      </c>
      <c r="B227" t="s">
        <v>394</v>
      </c>
      <c r="C227" t="s">
        <v>151</v>
      </c>
      <c r="D227" t="s">
        <v>52</v>
      </c>
      <c r="E227" t="s">
        <v>15</v>
      </c>
      <c r="F227" t="s">
        <v>14</v>
      </c>
      <c r="G227" t="s">
        <v>16</v>
      </c>
      <c r="H227" t="s">
        <v>4489</v>
      </c>
      <c r="J227">
        <v>4</v>
      </c>
    </row>
    <row r="228" spans="1:10" x14ac:dyDescent="0.35">
      <c r="A228">
        <v>17273504494</v>
      </c>
      <c r="B228" t="s">
        <v>57</v>
      </c>
      <c r="C228" t="s">
        <v>230</v>
      </c>
      <c r="D228" t="s">
        <v>59</v>
      </c>
      <c r="E228" t="s">
        <v>15</v>
      </c>
      <c r="F228" t="s">
        <v>60</v>
      </c>
      <c r="G228" t="s">
        <v>150</v>
      </c>
      <c r="H228" t="s">
        <v>4498</v>
      </c>
      <c r="J228">
        <v>4</v>
      </c>
    </row>
    <row r="229" spans="1:10" x14ac:dyDescent="0.35">
      <c r="A229">
        <v>17273504517</v>
      </c>
      <c r="B229" t="s">
        <v>395</v>
      </c>
      <c r="C229" t="s">
        <v>396</v>
      </c>
      <c r="D229" t="s">
        <v>59</v>
      </c>
      <c r="E229" t="s">
        <v>15</v>
      </c>
      <c r="F229" t="s">
        <v>60</v>
      </c>
      <c r="G229" t="s">
        <v>150</v>
      </c>
      <c r="H229" t="s">
        <v>4498</v>
      </c>
      <c r="J229">
        <v>104</v>
      </c>
    </row>
    <row r="230" spans="1:10" x14ac:dyDescent="0.35">
      <c r="A230">
        <v>180854000101</v>
      </c>
      <c r="B230" t="s">
        <v>397</v>
      </c>
      <c r="C230" t="s">
        <v>272</v>
      </c>
      <c r="D230" t="s">
        <v>398</v>
      </c>
      <c r="E230" t="s">
        <v>399</v>
      </c>
      <c r="F230" t="s">
        <v>400</v>
      </c>
      <c r="G230" t="s">
        <v>16</v>
      </c>
      <c r="H230" t="s">
        <v>4545</v>
      </c>
      <c r="J230">
        <v>1</v>
      </c>
    </row>
    <row r="231" spans="1:10" x14ac:dyDescent="0.35">
      <c r="A231">
        <v>180854000309</v>
      </c>
      <c r="B231" t="s">
        <v>401</v>
      </c>
      <c r="C231" t="s">
        <v>272</v>
      </c>
      <c r="D231" t="s">
        <v>398</v>
      </c>
      <c r="E231" t="s">
        <v>399</v>
      </c>
      <c r="F231" t="s">
        <v>400</v>
      </c>
      <c r="G231" t="s">
        <v>16</v>
      </c>
      <c r="H231" t="s">
        <v>4545</v>
      </c>
      <c r="J231">
        <v>1</v>
      </c>
    </row>
    <row r="232" spans="1:10" x14ac:dyDescent="0.35">
      <c r="A232">
        <v>19063001138</v>
      </c>
      <c r="B232" t="s">
        <v>402</v>
      </c>
      <c r="C232" t="s">
        <v>403</v>
      </c>
      <c r="D232" t="s">
        <v>404</v>
      </c>
      <c r="E232" t="s">
        <v>15</v>
      </c>
      <c r="F232" t="s">
        <v>135</v>
      </c>
      <c r="G232" t="s">
        <v>16</v>
      </c>
      <c r="H232" t="s">
        <v>4513</v>
      </c>
      <c r="J232">
        <v>3</v>
      </c>
    </row>
    <row r="233" spans="1:10" x14ac:dyDescent="0.35">
      <c r="A233">
        <v>19063001169</v>
      </c>
      <c r="B233" t="s">
        <v>405</v>
      </c>
      <c r="C233" t="s">
        <v>403</v>
      </c>
      <c r="D233" t="s">
        <v>404</v>
      </c>
      <c r="E233" t="s">
        <v>15</v>
      </c>
      <c r="F233" t="s">
        <v>135</v>
      </c>
      <c r="G233" t="s">
        <v>16</v>
      </c>
      <c r="H233" t="s">
        <v>4513</v>
      </c>
      <c r="J233">
        <v>2</v>
      </c>
    </row>
    <row r="234" spans="1:10" x14ac:dyDescent="0.35">
      <c r="A234">
        <v>19063001176</v>
      </c>
      <c r="B234" t="s">
        <v>406</v>
      </c>
      <c r="C234" t="s">
        <v>403</v>
      </c>
      <c r="D234" t="s">
        <v>404</v>
      </c>
      <c r="E234" t="s">
        <v>15</v>
      </c>
      <c r="F234" t="s">
        <v>135</v>
      </c>
      <c r="G234" t="s">
        <v>16</v>
      </c>
      <c r="H234" t="s">
        <v>4513</v>
      </c>
      <c r="J234">
        <v>2</v>
      </c>
    </row>
    <row r="235" spans="1:10" x14ac:dyDescent="0.35">
      <c r="A235">
        <v>193603751018</v>
      </c>
      <c r="B235" t="s">
        <v>407</v>
      </c>
      <c r="C235" t="s">
        <v>272</v>
      </c>
      <c r="D235" t="s">
        <v>408</v>
      </c>
      <c r="E235" t="s">
        <v>150</v>
      </c>
      <c r="F235" t="s">
        <v>409</v>
      </c>
      <c r="G235" t="s">
        <v>150</v>
      </c>
      <c r="H235" t="s">
        <v>4546</v>
      </c>
      <c r="J235">
        <v>2</v>
      </c>
    </row>
    <row r="236" spans="1:10" x14ac:dyDescent="0.35">
      <c r="A236">
        <v>194283300138</v>
      </c>
      <c r="B236" t="s">
        <v>410</v>
      </c>
      <c r="C236" t="s">
        <v>9</v>
      </c>
      <c r="D236" t="s">
        <v>411</v>
      </c>
      <c r="E236" t="s">
        <v>16</v>
      </c>
      <c r="F236" t="s">
        <v>412</v>
      </c>
      <c r="G236" t="s">
        <v>16</v>
      </c>
      <c r="H236" t="s">
        <v>4547</v>
      </c>
      <c r="J236">
        <v>3</v>
      </c>
    </row>
    <row r="237" spans="1:10" x14ac:dyDescent="0.35">
      <c r="A237">
        <v>196633965912</v>
      </c>
      <c r="B237" t="s">
        <v>235</v>
      </c>
      <c r="C237" t="s">
        <v>9</v>
      </c>
      <c r="D237" t="s">
        <v>351</v>
      </c>
      <c r="E237" t="s">
        <v>15</v>
      </c>
      <c r="F237" t="s">
        <v>352</v>
      </c>
      <c r="G237" t="s">
        <v>22</v>
      </c>
      <c r="H237" t="s">
        <v>4537</v>
      </c>
      <c r="J237">
        <v>6</v>
      </c>
    </row>
    <row r="238" spans="1:10" x14ac:dyDescent="0.35">
      <c r="A238">
        <v>211401180301</v>
      </c>
      <c r="B238" t="s">
        <v>413</v>
      </c>
      <c r="C238" t="s">
        <v>38</v>
      </c>
      <c r="D238" t="s">
        <v>414</v>
      </c>
      <c r="E238" t="s">
        <v>61</v>
      </c>
      <c r="F238" t="s">
        <v>85</v>
      </c>
      <c r="G238" t="s">
        <v>61</v>
      </c>
      <c r="H238" t="s">
        <v>4503</v>
      </c>
      <c r="J238">
        <v>1</v>
      </c>
    </row>
    <row r="239" spans="1:10" x14ac:dyDescent="0.35">
      <c r="A239">
        <v>221101020081</v>
      </c>
      <c r="B239" t="s">
        <v>262</v>
      </c>
      <c r="C239" t="s">
        <v>114</v>
      </c>
      <c r="D239" t="s">
        <v>415</v>
      </c>
      <c r="E239" t="s">
        <v>61</v>
      </c>
      <c r="F239" t="s">
        <v>416</v>
      </c>
      <c r="G239" t="s">
        <v>61</v>
      </c>
      <c r="H239" t="s">
        <v>4548</v>
      </c>
      <c r="J239">
        <v>6</v>
      </c>
    </row>
    <row r="240" spans="1:10" x14ac:dyDescent="0.35">
      <c r="A240">
        <v>225818220123</v>
      </c>
      <c r="B240" t="s">
        <v>82</v>
      </c>
      <c r="C240" t="s">
        <v>83</v>
      </c>
      <c r="D240" t="s">
        <v>84</v>
      </c>
      <c r="E240" t="s">
        <v>61</v>
      </c>
      <c r="F240" t="s">
        <v>85</v>
      </c>
      <c r="G240" t="s">
        <v>61</v>
      </c>
      <c r="H240" t="s">
        <v>4503</v>
      </c>
      <c r="J240">
        <v>1</v>
      </c>
    </row>
    <row r="241" spans="1:10" x14ac:dyDescent="0.35">
      <c r="A241">
        <v>25833821219</v>
      </c>
      <c r="B241" t="s">
        <v>417</v>
      </c>
      <c r="C241" t="s">
        <v>110</v>
      </c>
      <c r="D241" t="s">
        <v>76</v>
      </c>
      <c r="E241" t="s">
        <v>34</v>
      </c>
      <c r="F241" t="s">
        <v>77</v>
      </c>
      <c r="G241" t="s">
        <v>34</v>
      </c>
      <c r="H241" t="s">
        <v>4502</v>
      </c>
      <c r="J241">
        <v>2</v>
      </c>
    </row>
    <row r="242" spans="1:10" x14ac:dyDescent="0.35">
      <c r="A242">
        <v>28400017244</v>
      </c>
      <c r="B242" t="s">
        <v>418</v>
      </c>
      <c r="C242" t="s">
        <v>419</v>
      </c>
      <c r="D242" t="s">
        <v>92</v>
      </c>
      <c r="E242" t="s">
        <v>15</v>
      </c>
      <c r="F242" t="s">
        <v>56</v>
      </c>
      <c r="G242" t="s">
        <v>22</v>
      </c>
      <c r="H242" t="s">
        <v>4497</v>
      </c>
      <c r="J242">
        <v>1</v>
      </c>
    </row>
    <row r="243" spans="1:10" x14ac:dyDescent="0.35">
      <c r="A243">
        <v>284613110015</v>
      </c>
      <c r="B243" t="s">
        <v>420</v>
      </c>
      <c r="C243" t="s">
        <v>81</v>
      </c>
      <c r="D243" t="s">
        <v>420</v>
      </c>
      <c r="E243" t="s">
        <v>61</v>
      </c>
      <c r="F243" t="s">
        <v>421</v>
      </c>
      <c r="G243" t="s">
        <v>61</v>
      </c>
      <c r="H243" t="s">
        <v>4549</v>
      </c>
      <c r="J243">
        <v>29</v>
      </c>
    </row>
    <row r="244" spans="1:10" x14ac:dyDescent="0.35">
      <c r="A244">
        <v>284818120130</v>
      </c>
      <c r="B244" t="s">
        <v>422</v>
      </c>
      <c r="C244" t="s">
        <v>83</v>
      </c>
      <c r="D244" t="s">
        <v>84</v>
      </c>
      <c r="E244" t="s">
        <v>61</v>
      </c>
      <c r="F244" t="s">
        <v>85</v>
      </c>
      <c r="G244" t="s">
        <v>61</v>
      </c>
      <c r="H244" t="s">
        <v>4503</v>
      </c>
      <c r="J244">
        <v>1</v>
      </c>
    </row>
    <row r="245" spans="1:10" x14ac:dyDescent="0.35">
      <c r="A245">
        <v>2915128</v>
      </c>
      <c r="B245" t="s">
        <v>423</v>
      </c>
      <c r="C245" t="s">
        <v>110</v>
      </c>
      <c r="D245" t="s">
        <v>423</v>
      </c>
      <c r="E245" t="s">
        <v>130</v>
      </c>
      <c r="F245" t="s">
        <v>424</v>
      </c>
      <c r="G245" t="s">
        <v>387</v>
      </c>
      <c r="H245" t="s">
        <v>4550</v>
      </c>
      <c r="J245">
        <v>1</v>
      </c>
    </row>
    <row r="246" spans="1:10" x14ac:dyDescent="0.35">
      <c r="A246">
        <v>294292007636</v>
      </c>
      <c r="B246" t="s">
        <v>425</v>
      </c>
      <c r="C246" t="s">
        <v>94</v>
      </c>
      <c r="D246" t="s">
        <v>426</v>
      </c>
      <c r="E246" t="s">
        <v>22</v>
      </c>
      <c r="F246" t="s">
        <v>427</v>
      </c>
      <c r="G246" t="s">
        <v>22</v>
      </c>
      <c r="H246" t="s">
        <v>4551</v>
      </c>
      <c r="J246">
        <v>1</v>
      </c>
    </row>
    <row r="247" spans="1:10" x14ac:dyDescent="0.35">
      <c r="A247">
        <v>31200019042</v>
      </c>
      <c r="B247" t="s">
        <v>428</v>
      </c>
      <c r="C247" t="s">
        <v>429</v>
      </c>
      <c r="D247" t="s">
        <v>97</v>
      </c>
      <c r="E247" t="s">
        <v>15</v>
      </c>
      <c r="F247" t="s">
        <v>98</v>
      </c>
      <c r="G247" t="s">
        <v>16</v>
      </c>
      <c r="H247" t="s">
        <v>4505</v>
      </c>
      <c r="J247">
        <v>3</v>
      </c>
    </row>
    <row r="248" spans="1:10" x14ac:dyDescent="0.35">
      <c r="A248">
        <v>3257340</v>
      </c>
      <c r="B248" t="s">
        <v>430</v>
      </c>
      <c r="C248" t="s">
        <v>431</v>
      </c>
      <c r="D248" t="s">
        <v>432</v>
      </c>
      <c r="E248" t="s">
        <v>22</v>
      </c>
      <c r="F248" t="s">
        <v>64</v>
      </c>
      <c r="G248" t="s">
        <v>22</v>
      </c>
      <c r="H248" t="s">
        <v>4499</v>
      </c>
      <c r="J248">
        <v>1</v>
      </c>
    </row>
    <row r="249" spans="1:10" x14ac:dyDescent="0.35">
      <c r="A249">
        <v>3260630</v>
      </c>
      <c r="B249" t="s">
        <v>433</v>
      </c>
      <c r="C249" t="s">
        <v>434</v>
      </c>
      <c r="D249" t="s">
        <v>435</v>
      </c>
      <c r="E249" t="s">
        <v>308</v>
      </c>
      <c r="F249" t="s">
        <v>309</v>
      </c>
      <c r="G249" t="s">
        <v>22</v>
      </c>
      <c r="H249" t="s">
        <v>4529</v>
      </c>
      <c r="J249">
        <v>3</v>
      </c>
    </row>
    <row r="250" spans="1:10" x14ac:dyDescent="0.35">
      <c r="A250">
        <v>3266090</v>
      </c>
      <c r="B250" t="s">
        <v>436</v>
      </c>
      <c r="C250" t="s">
        <v>43</v>
      </c>
      <c r="D250" t="s">
        <v>432</v>
      </c>
      <c r="E250" t="s">
        <v>22</v>
      </c>
      <c r="F250" t="s">
        <v>64</v>
      </c>
      <c r="G250" t="s">
        <v>22</v>
      </c>
      <c r="H250" t="s">
        <v>4499</v>
      </c>
      <c r="J250">
        <v>1</v>
      </c>
    </row>
    <row r="251" spans="1:10" x14ac:dyDescent="0.35">
      <c r="A251">
        <v>3284766</v>
      </c>
      <c r="B251" t="s">
        <v>437</v>
      </c>
      <c r="C251" t="s">
        <v>69</v>
      </c>
      <c r="D251" t="s">
        <v>432</v>
      </c>
      <c r="E251" t="s">
        <v>22</v>
      </c>
      <c r="F251" t="s">
        <v>64</v>
      </c>
      <c r="G251" t="s">
        <v>22</v>
      </c>
      <c r="H251" t="s">
        <v>4499</v>
      </c>
      <c r="J251">
        <v>1</v>
      </c>
    </row>
    <row r="252" spans="1:10" x14ac:dyDescent="0.35">
      <c r="A252">
        <v>3403198</v>
      </c>
      <c r="B252" t="s">
        <v>438</v>
      </c>
      <c r="C252" t="s">
        <v>439</v>
      </c>
      <c r="D252" t="s">
        <v>432</v>
      </c>
      <c r="E252" t="s">
        <v>22</v>
      </c>
      <c r="F252" t="s">
        <v>64</v>
      </c>
      <c r="G252" t="s">
        <v>22</v>
      </c>
      <c r="H252" t="s">
        <v>4499</v>
      </c>
      <c r="J252">
        <v>1</v>
      </c>
    </row>
    <row r="253" spans="1:10" x14ac:dyDescent="0.35">
      <c r="A253">
        <v>342242017508</v>
      </c>
      <c r="B253" t="s">
        <v>440</v>
      </c>
      <c r="C253" t="s">
        <v>66</v>
      </c>
      <c r="D253" t="s">
        <v>441</v>
      </c>
      <c r="E253" t="s">
        <v>130</v>
      </c>
      <c r="F253" t="s">
        <v>131</v>
      </c>
      <c r="G253" t="s">
        <v>22</v>
      </c>
      <c r="H253" t="s">
        <v>4512</v>
      </c>
      <c r="J253">
        <v>1</v>
      </c>
    </row>
    <row r="254" spans="1:10" x14ac:dyDescent="0.35">
      <c r="A254">
        <v>3436271</v>
      </c>
      <c r="B254" t="s">
        <v>442</v>
      </c>
      <c r="C254" t="s">
        <v>443</v>
      </c>
      <c r="D254" t="s">
        <v>432</v>
      </c>
      <c r="E254" t="s">
        <v>22</v>
      </c>
      <c r="F254" t="s">
        <v>64</v>
      </c>
      <c r="G254" t="s">
        <v>22</v>
      </c>
      <c r="H254" t="s">
        <v>4499</v>
      </c>
      <c r="J254">
        <v>1</v>
      </c>
    </row>
    <row r="255" spans="1:10" x14ac:dyDescent="0.35">
      <c r="A255">
        <v>3441190</v>
      </c>
      <c r="B255" t="s">
        <v>444</v>
      </c>
      <c r="C255" t="s">
        <v>445</v>
      </c>
      <c r="D255" t="s">
        <v>432</v>
      </c>
      <c r="E255" t="s">
        <v>22</v>
      </c>
      <c r="F255" t="s">
        <v>64</v>
      </c>
      <c r="G255" t="s">
        <v>22</v>
      </c>
      <c r="H255" t="s">
        <v>4499</v>
      </c>
      <c r="J255">
        <v>1</v>
      </c>
    </row>
    <row r="256" spans="1:10" x14ac:dyDescent="0.35">
      <c r="A256">
        <v>380003562164</v>
      </c>
      <c r="B256" t="s">
        <v>446</v>
      </c>
      <c r="C256" t="s">
        <v>447</v>
      </c>
      <c r="D256" t="s">
        <v>448</v>
      </c>
      <c r="E256" t="s">
        <v>117</v>
      </c>
      <c r="F256" t="s">
        <v>449</v>
      </c>
      <c r="G256" t="s">
        <v>117</v>
      </c>
      <c r="H256" t="s">
        <v>4552</v>
      </c>
      <c r="J256">
        <v>53</v>
      </c>
    </row>
    <row r="257" spans="1:10" x14ac:dyDescent="0.35">
      <c r="A257">
        <v>411811050311</v>
      </c>
      <c r="B257" t="s">
        <v>450</v>
      </c>
      <c r="C257" t="s">
        <v>38</v>
      </c>
      <c r="D257" t="s">
        <v>84</v>
      </c>
      <c r="E257" t="s">
        <v>61</v>
      </c>
      <c r="F257" t="s">
        <v>85</v>
      </c>
      <c r="G257" t="s">
        <v>61</v>
      </c>
      <c r="H257" t="s">
        <v>4503</v>
      </c>
      <c r="J257">
        <v>5</v>
      </c>
    </row>
    <row r="258" spans="1:10" x14ac:dyDescent="0.35">
      <c r="A258">
        <v>412008130274</v>
      </c>
      <c r="B258" t="s">
        <v>451</v>
      </c>
      <c r="C258" t="s">
        <v>81</v>
      </c>
      <c r="D258" t="s">
        <v>451</v>
      </c>
      <c r="E258" t="s">
        <v>15</v>
      </c>
      <c r="F258" t="s">
        <v>14</v>
      </c>
      <c r="G258" t="s">
        <v>34</v>
      </c>
      <c r="H258" t="s">
        <v>4489</v>
      </c>
      <c r="J258">
        <v>402</v>
      </c>
    </row>
    <row r="259" spans="1:10" x14ac:dyDescent="0.35">
      <c r="A259">
        <v>418008118144</v>
      </c>
      <c r="B259" t="s">
        <v>262</v>
      </c>
      <c r="C259" t="s">
        <v>9</v>
      </c>
      <c r="D259" t="s">
        <v>452</v>
      </c>
      <c r="E259" t="s">
        <v>15</v>
      </c>
      <c r="F259" t="s">
        <v>14</v>
      </c>
      <c r="G259" t="s">
        <v>61</v>
      </c>
      <c r="H259" t="s">
        <v>4489</v>
      </c>
      <c r="J259">
        <v>21</v>
      </c>
    </row>
    <row r="260" spans="1:10" x14ac:dyDescent="0.35">
      <c r="A260">
        <v>4318224</v>
      </c>
      <c r="B260" t="s">
        <v>453</v>
      </c>
      <c r="C260" t="s">
        <v>454</v>
      </c>
      <c r="D260" t="s">
        <v>455</v>
      </c>
      <c r="E260" t="s">
        <v>41</v>
      </c>
      <c r="F260" t="s">
        <v>456</v>
      </c>
      <c r="G260" t="s">
        <v>41</v>
      </c>
      <c r="H260" t="s">
        <v>4553</v>
      </c>
      <c r="J260">
        <v>50</v>
      </c>
    </row>
    <row r="261" spans="1:10" x14ac:dyDescent="0.35">
      <c r="A261">
        <v>44000045432</v>
      </c>
      <c r="B261" t="s">
        <v>457</v>
      </c>
      <c r="C261" t="s">
        <v>458</v>
      </c>
      <c r="D261" t="s">
        <v>459</v>
      </c>
      <c r="E261" t="s">
        <v>15</v>
      </c>
      <c r="F261" t="s">
        <v>460</v>
      </c>
      <c r="G261" t="s">
        <v>15</v>
      </c>
      <c r="H261" t="s">
        <v>4554</v>
      </c>
      <c r="J261">
        <v>1</v>
      </c>
    </row>
    <row r="262" spans="1:10" x14ac:dyDescent="0.35">
      <c r="A262">
        <v>454023260000</v>
      </c>
      <c r="B262" t="s">
        <v>461</v>
      </c>
      <c r="C262" t="s">
        <v>462</v>
      </c>
      <c r="D262" t="s">
        <v>463</v>
      </c>
      <c r="E262" t="s">
        <v>464</v>
      </c>
      <c r="F262" t="s">
        <v>465</v>
      </c>
      <c r="G262" t="s">
        <v>22</v>
      </c>
      <c r="H262" t="s">
        <v>4555</v>
      </c>
      <c r="J262">
        <v>1</v>
      </c>
    </row>
    <row r="263" spans="1:10" x14ac:dyDescent="0.35">
      <c r="A263">
        <v>4540922</v>
      </c>
      <c r="B263" t="s">
        <v>466</v>
      </c>
      <c r="C263" t="s">
        <v>53</v>
      </c>
      <c r="D263" t="s">
        <v>55</v>
      </c>
      <c r="E263" t="s">
        <v>15</v>
      </c>
      <c r="F263" t="s">
        <v>56</v>
      </c>
      <c r="G263" t="s">
        <v>16</v>
      </c>
      <c r="H263" t="s">
        <v>4497</v>
      </c>
      <c r="J263">
        <v>1</v>
      </c>
    </row>
    <row r="264" spans="1:10" x14ac:dyDescent="0.35">
      <c r="A264">
        <v>45836006000</v>
      </c>
      <c r="B264" t="s">
        <v>467</v>
      </c>
      <c r="C264" t="s">
        <v>468</v>
      </c>
      <c r="D264" t="s">
        <v>469</v>
      </c>
      <c r="E264" t="s">
        <v>15</v>
      </c>
      <c r="F264" t="s">
        <v>470</v>
      </c>
      <c r="G264" t="s">
        <v>33</v>
      </c>
      <c r="H264" t="s">
        <v>4556</v>
      </c>
      <c r="J264">
        <v>52</v>
      </c>
    </row>
    <row r="265" spans="1:10" x14ac:dyDescent="0.35">
      <c r="A265">
        <v>45836006000</v>
      </c>
      <c r="B265" t="s">
        <v>467</v>
      </c>
      <c r="C265" t="s">
        <v>468</v>
      </c>
      <c r="D265" t="s">
        <v>469</v>
      </c>
      <c r="E265" t="s">
        <v>15</v>
      </c>
      <c r="F265" t="s">
        <v>470</v>
      </c>
      <c r="G265" t="s">
        <v>150</v>
      </c>
      <c r="H265" t="s">
        <v>4556</v>
      </c>
      <c r="J265">
        <v>6</v>
      </c>
    </row>
    <row r="266" spans="1:10" x14ac:dyDescent="0.35">
      <c r="A266">
        <v>4772248</v>
      </c>
      <c r="B266" t="s">
        <v>471</v>
      </c>
      <c r="C266" t="s">
        <v>472</v>
      </c>
      <c r="D266" t="s">
        <v>473</v>
      </c>
      <c r="E266" t="s">
        <v>41</v>
      </c>
      <c r="F266" t="s">
        <v>456</v>
      </c>
      <c r="G266" t="s">
        <v>41</v>
      </c>
      <c r="H266" t="s">
        <v>4553</v>
      </c>
      <c r="J266">
        <v>46</v>
      </c>
    </row>
    <row r="267" spans="1:10" x14ac:dyDescent="0.35">
      <c r="A267">
        <v>48500017852</v>
      </c>
      <c r="B267" t="s">
        <v>226</v>
      </c>
      <c r="C267" t="s">
        <v>181</v>
      </c>
      <c r="D267" t="s">
        <v>474</v>
      </c>
      <c r="E267" t="s">
        <v>130</v>
      </c>
      <c r="F267" t="s">
        <v>475</v>
      </c>
      <c r="G267" t="s">
        <v>16</v>
      </c>
      <c r="H267" t="s">
        <v>4557</v>
      </c>
      <c r="J267">
        <v>6</v>
      </c>
    </row>
    <row r="268" spans="1:10" x14ac:dyDescent="0.35">
      <c r="A268">
        <v>48500203545</v>
      </c>
      <c r="B268" t="s">
        <v>226</v>
      </c>
      <c r="C268" t="s">
        <v>200</v>
      </c>
      <c r="D268" t="s">
        <v>474</v>
      </c>
      <c r="E268" t="s">
        <v>130</v>
      </c>
      <c r="F268" t="s">
        <v>475</v>
      </c>
      <c r="G268" t="s">
        <v>16</v>
      </c>
      <c r="H268" t="s">
        <v>4557</v>
      </c>
      <c r="J268">
        <v>2</v>
      </c>
    </row>
    <row r="269" spans="1:10" x14ac:dyDescent="0.35">
      <c r="A269">
        <v>48500203545</v>
      </c>
      <c r="B269" t="s">
        <v>226</v>
      </c>
      <c r="C269" t="s">
        <v>200</v>
      </c>
      <c r="D269" t="s">
        <v>474</v>
      </c>
      <c r="E269" t="s">
        <v>130</v>
      </c>
      <c r="F269" t="s">
        <v>475</v>
      </c>
      <c r="G269" t="s">
        <v>31</v>
      </c>
      <c r="H269" t="s">
        <v>4557</v>
      </c>
      <c r="J269">
        <v>20</v>
      </c>
    </row>
    <row r="270" spans="1:10" x14ac:dyDescent="0.35">
      <c r="A270">
        <v>48500205549</v>
      </c>
      <c r="B270" t="s">
        <v>167</v>
      </c>
      <c r="C270" t="s">
        <v>476</v>
      </c>
      <c r="D270" t="s">
        <v>474</v>
      </c>
      <c r="E270" t="s">
        <v>130</v>
      </c>
      <c r="F270" t="s">
        <v>475</v>
      </c>
      <c r="G270" t="s">
        <v>16</v>
      </c>
      <c r="H270" t="s">
        <v>4557</v>
      </c>
      <c r="J270">
        <v>1</v>
      </c>
    </row>
    <row r="271" spans="1:10" x14ac:dyDescent="0.35">
      <c r="A271">
        <v>48500205556</v>
      </c>
      <c r="B271" t="s">
        <v>477</v>
      </c>
      <c r="C271" t="s">
        <v>476</v>
      </c>
      <c r="D271" t="s">
        <v>474</v>
      </c>
      <c r="E271" t="s">
        <v>130</v>
      </c>
      <c r="F271" t="s">
        <v>475</v>
      </c>
      <c r="G271" t="s">
        <v>16</v>
      </c>
      <c r="H271" t="s">
        <v>4557</v>
      </c>
      <c r="J271">
        <v>1</v>
      </c>
    </row>
    <row r="272" spans="1:10" x14ac:dyDescent="0.35">
      <c r="A272">
        <v>4853131</v>
      </c>
      <c r="B272" t="s">
        <v>478</v>
      </c>
      <c r="C272" t="s">
        <v>479</v>
      </c>
      <c r="D272" t="s">
        <v>474</v>
      </c>
      <c r="E272" t="s">
        <v>130</v>
      </c>
      <c r="F272" t="s">
        <v>475</v>
      </c>
      <c r="G272" t="s">
        <v>16</v>
      </c>
      <c r="H272" t="s">
        <v>4557</v>
      </c>
      <c r="J272">
        <v>1</v>
      </c>
    </row>
    <row r="273" spans="1:10" x14ac:dyDescent="0.35">
      <c r="A273">
        <v>50200012976</v>
      </c>
      <c r="B273" t="s">
        <v>480</v>
      </c>
      <c r="C273" t="s">
        <v>9</v>
      </c>
      <c r="D273" t="s">
        <v>134</v>
      </c>
      <c r="E273" t="s">
        <v>15</v>
      </c>
      <c r="F273" t="s">
        <v>135</v>
      </c>
      <c r="G273" t="s">
        <v>16</v>
      </c>
      <c r="H273" t="s">
        <v>4513</v>
      </c>
      <c r="J273">
        <v>3</v>
      </c>
    </row>
    <row r="274" spans="1:10" x14ac:dyDescent="0.35">
      <c r="A274">
        <v>50200012990</v>
      </c>
      <c r="B274" t="s">
        <v>481</v>
      </c>
      <c r="C274" t="s">
        <v>9</v>
      </c>
      <c r="D274" t="s">
        <v>134</v>
      </c>
      <c r="E274" t="s">
        <v>15</v>
      </c>
      <c r="F274" t="s">
        <v>135</v>
      </c>
      <c r="G274" t="s">
        <v>16</v>
      </c>
      <c r="H274" t="s">
        <v>4513</v>
      </c>
      <c r="J274">
        <v>6</v>
      </c>
    </row>
    <row r="275" spans="1:10" x14ac:dyDescent="0.35">
      <c r="A275">
        <v>50428451823</v>
      </c>
      <c r="B275" t="s">
        <v>482</v>
      </c>
      <c r="C275" t="s">
        <v>483</v>
      </c>
      <c r="D275" t="s">
        <v>484</v>
      </c>
      <c r="E275" t="s">
        <v>308</v>
      </c>
      <c r="F275" t="s">
        <v>309</v>
      </c>
      <c r="G275" t="s">
        <v>61</v>
      </c>
      <c r="H275" t="s">
        <v>4529</v>
      </c>
      <c r="J275">
        <v>1</v>
      </c>
    </row>
    <row r="276" spans="1:10" x14ac:dyDescent="0.35">
      <c r="A276">
        <v>526950002012</v>
      </c>
      <c r="B276" t="s">
        <v>485</v>
      </c>
      <c r="C276" t="s">
        <v>9</v>
      </c>
      <c r="D276" t="s">
        <v>381</v>
      </c>
      <c r="E276" t="s">
        <v>382</v>
      </c>
      <c r="F276" t="s">
        <v>383</v>
      </c>
      <c r="G276" t="s">
        <v>34</v>
      </c>
      <c r="H276" t="s">
        <v>4543</v>
      </c>
      <c r="J276">
        <v>3</v>
      </c>
    </row>
    <row r="277" spans="1:10" x14ac:dyDescent="0.35">
      <c r="A277">
        <v>54900001452</v>
      </c>
      <c r="B277" t="s">
        <v>486</v>
      </c>
      <c r="C277" t="s">
        <v>9</v>
      </c>
      <c r="D277" t="s">
        <v>140</v>
      </c>
      <c r="E277" t="s">
        <v>15</v>
      </c>
      <c r="F277" t="s">
        <v>25</v>
      </c>
      <c r="G277" t="s">
        <v>16</v>
      </c>
      <c r="H277" t="s">
        <v>4491</v>
      </c>
      <c r="J277">
        <v>1</v>
      </c>
    </row>
    <row r="278" spans="1:10" x14ac:dyDescent="0.35">
      <c r="A278">
        <v>5490733</v>
      </c>
      <c r="B278" t="s">
        <v>487</v>
      </c>
      <c r="C278" t="s">
        <v>53</v>
      </c>
      <c r="D278" t="s">
        <v>140</v>
      </c>
      <c r="E278" t="s">
        <v>15</v>
      </c>
      <c r="F278" t="s">
        <v>25</v>
      </c>
      <c r="G278" t="s">
        <v>16</v>
      </c>
      <c r="H278" t="s">
        <v>4491</v>
      </c>
      <c r="J278">
        <v>15</v>
      </c>
    </row>
    <row r="279" spans="1:10" x14ac:dyDescent="0.35">
      <c r="A279">
        <v>5544202</v>
      </c>
      <c r="B279" t="s">
        <v>148</v>
      </c>
      <c r="C279" t="s">
        <v>151</v>
      </c>
      <c r="D279" t="s">
        <v>55</v>
      </c>
      <c r="E279" t="s">
        <v>15</v>
      </c>
      <c r="F279" t="s">
        <v>56</v>
      </c>
      <c r="G279" t="s">
        <v>16</v>
      </c>
      <c r="H279" t="s">
        <v>4497</v>
      </c>
      <c r="J279">
        <v>1</v>
      </c>
    </row>
    <row r="280" spans="1:10" x14ac:dyDescent="0.35">
      <c r="A280">
        <v>55577106303</v>
      </c>
      <c r="B280" t="s">
        <v>488</v>
      </c>
      <c r="C280" t="s">
        <v>489</v>
      </c>
      <c r="D280" t="s">
        <v>55</v>
      </c>
      <c r="E280" t="s">
        <v>15</v>
      </c>
      <c r="F280" t="s">
        <v>56</v>
      </c>
      <c r="G280" t="s">
        <v>16</v>
      </c>
      <c r="H280" t="s">
        <v>4497</v>
      </c>
      <c r="J280">
        <v>2</v>
      </c>
    </row>
    <row r="281" spans="1:10" x14ac:dyDescent="0.35">
      <c r="A281">
        <v>55577106310</v>
      </c>
      <c r="B281" t="s">
        <v>167</v>
      </c>
      <c r="C281" t="s">
        <v>490</v>
      </c>
      <c r="D281" t="s">
        <v>55</v>
      </c>
      <c r="E281" t="s">
        <v>15</v>
      </c>
      <c r="F281" t="s">
        <v>56</v>
      </c>
      <c r="G281" t="s">
        <v>16</v>
      </c>
      <c r="H281" t="s">
        <v>4497</v>
      </c>
      <c r="J281">
        <v>2</v>
      </c>
    </row>
    <row r="282" spans="1:10" x14ac:dyDescent="0.35">
      <c r="A282">
        <v>55577160299</v>
      </c>
      <c r="B282" t="s">
        <v>491</v>
      </c>
      <c r="C282" t="s">
        <v>146</v>
      </c>
      <c r="D282" t="s">
        <v>55</v>
      </c>
      <c r="E282" t="s">
        <v>15</v>
      </c>
      <c r="F282" t="s">
        <v>56</v>
      </c>
      <c r="G282" t="s">
        <v>16</v>
      </c>
      <c r="H282" t="s">
        <v>4497</v>
      </c>
      <c r="J282">
        <v>1</v>
      </c>
    </row>
    <row r="283" spans="1:10" x14ac:dyDescent="0.35">
      <c r="A283">
        <v>55577420232</v>
      </c>
      <c r="B283" t="s">
        <v>156</v>
      </c>
      <c r="C283" t="s">
        <v>53</v>
      </c>
      <c r="D283" t="s">
        <v>55</v>
      </c>
      <c r="E283" t="s">
        <v>15</v>
      </c>
      <c r="F283" t="s">
        <v>56</v>
      </c>
      <c r="G283" t="s">
        <v>16</v>
      </c>
      <c r="H283" t="s">
        <v>4497</v>
      </c>
      <c r="J283">
        <v>3</v>
      </c>
    </row>
    <row r="284" spans="1:10" x14ac:dyDescent="0.35">
      <c r="A284">
        <v>55577420249</v>
      </c>
      <c r="B284" t="s">
        <v>492</v>
      </c>
      <c r="C284" t="s">
        <v>53</v>
      </c>
      <c r="D284" t="s">
        <v>55</v>
      </c>
      <c r="E284" t="s">
        <v>15</v>
      </c>
      <c r="F284" t="s">
        <v>56</v>
      </c>
      <c r="G284" t="s">
        <v>16</v>
      </c>
      <c r="H284" t="s">
        <v>4497</v>
      </c>
      <c r="J284">
        <v>10</v>
      </c>
    </row>
    <row r="285" spans="1:10" x14ac:dyDescent="0.35">
      <c r="A285">
        <v>55577420263</v>
      </c>
      <c r="B285" t="s">
        <v>148</v>
      </c>
      <c r="C285" t="s">
        <v>53</v>
      </c>
      <c r="D285" t="s">
        <v>55</v>
      </c>
      <c r="E285" t="s">
        <v>15</v>
      </c>
      <c r="F285" t="s">
        <v>56</v>
      </c>
      <c r="G285" t="s">
        <v>16</v>
      </c>
      <c r="H285" t="s">
        <v>4497</v>
      </c>
      <c r="J285">
        <v>2</v>
      </c>
    </row>
    <row r="286" spans="1:10" x14ac:dyDescent="0.35">
      <c r="A286">
        <v>55577420270</v>
      </c>
      <c r="B286" t="s">
        <v>141</v>
      </c>
      <c r="C286" t="s">
        <v>53</v>
      </c>
      <c r="D286" t="s">
        <v>55</v>
      </c>
      <c r="E286" t="s">
        <v>15</v>
      </c>
      <c r="F286" t="s">
        <v>56</v>
      </c>
      <c r="G286" t="s">
        <v>16</v>
      </c>
      <c r="H286" t="s">
        <v>4497</v>
      </c>
      <c r="J286">
        <v>10</v>
      </c>
    </row>
    <row r="287" spans="1:10" x14ac:dyDescent="0.35">
      <c r="A287">
        <v>55577420270</v>
      </c>
      <c r="B287" t="s">
        <v>141</v>
      </c>
      <c r="C287" t="s">
        <v>53</v>
      </c>
      <c r="D287" t="s">
        <v>55</v>
      </c>
      <c r="E287" t="s">
        <v>15</v>
      </c>
      <c r="F287" t="s">
        <v>56</v>
      </c>
      <c r="G287" t="s">
        <v>31</v>
      </c>
      <c r="H287" t="s">
        <v>4497</v>
      </c>
      <c r="J287">
        <v>5</v>
      </c>
    </row>
    <row r="288" spans="1:10" x14ac:dyDescent="0.35">
      <c r="A288">
        <v>55577420508</v>
      </c>
      <c r="B288" t="s">
        <v>493</v>
      </c>
      <c r="C288" t="s">
        <v>53</v>
      </c>
      <c r="D288" t="s">
        <v>55</v>
      </c>
      <c r="E288" t="s">
        <v>15</v>
      </c>
      <c r="F288" t="s">
        <v>56</v>
      </c>
      <c r="G288" t="s">
        <v>16</v>
      </c>
      <c r="H288" t="s">
        <v>4497</v>
      </c>
      <c r="J288">
        <v>1</v>
      </c>
    </row>
    <row r="289" spans="1:10" x14ac:dyDescent="0.35">
      <c r="A289">
        <v>55577420751</v>
      </c>
      <c r="B289" t="s">
        <v>494</v>
      </c>
      <c r="C289" t="s">
        <v>53</v>
      </c>
      <c r="D289" t="s">
        <v>55</v>
      </c>
      <c r="E289" t="s">
        <v>15</v>
      </c>
      <c r="F289" t="s">
        <v>56</v>
      </c>
      <c r="G289" t="s">
        <v>16</v>
      </c>
      <c r="H289" t="s">
        <v>4497</v>
      </c>
      <c r="J289">
        <v>2</v>
      </c>
    </row>
    <row r="290" spans="1:10" x14ac:dyDescent="0.35">
      <c r="A290">
        <v>55577420928</v>
      </c>
      <c r="B290" t="s">
        <v>495</v>
      </c>
      <c r="C290" t="s">
        <v>9</v>
      </c>
      <c r="D290" t="s">
        <v>55</v>
      </c>
      <c r="E290" t="s">
        <v>15</v>
      </c>
      <c r="F290" t="s">
        <v>56</v>
      </c>
      <c r="G290" t="s">
        <v>16</v>
      </c>
      <c r="H290" t="s">
        <v>4497</v>
      </c>
      <c r="J290">
        <v>10</v>
      </c>
    </row>
    <row r="291" spans="1:10" x14ac:dyDescent="0.35">
      <c r="A291">
        <v>55577420935</v>
      </c>
      <c r="B291" t="s">
        <v>496</v>
      </c>
      <c r="C291" t="s">
        <v>151</v>
      </c>
      <c r="D291" t="s">
        <v>55</v>
      </c>
      <c r="E291" t="s">
        <v>15</v>
      </c>
      <c r="F291" t="s">
        <v>56</v>
      </c>
      <c r="G291" t="s">
        <v>16</v>
      </c>
      <c r="H291" t="s">
        <v>4497</v>
      </c>
      <c r="J291">
        <v>3</v>
      </c>
    </row>
    <row r="292" spans="1:10" x14ac:dyDescent="0.35">
      <c r="A292">
        <v>55577420942</v>
      </c>
      <c r="B292" t="s">
        <v>497</v>
      </c>
      <c r="C292" t="s">
        <v>53</v>
      </c>
      <c r="D292" t="s">
        <v>55</v>
      </c>
      <c r="E292" t="s">
        <v>15</v>
      </c>
      <c r="F292" t="s">
        <v>56</v>
      </c>
      <c r="G292" t="s">
        <v>16</v>
      </c>
      <c r="H292" t="s">
        <v>4497</v>
      </c>
      <c r="J292">
        <v>12</v>
      </c>
    </row>
    <row r="293" spans="1:10" x14ac:dyDescent="0.35">
      <c r="A293">
        <v>55577420959</v>
      </c>
      <c r="B293" t="s">
        <v>498</v>
      </c>
      <c r="C293" t="s">
        <v>53</v>
      </c>
      <c r="D293" t="s">
        <v>55</v>
      </c>
      <c r="E293" t="s">
        <v>15</v>
      </c>
      <c r="F293" t="s">
        <v>56</v>
      </c>
      <c r="G293" t="s">
        <v>16</v>
      </c>
      <c r="H293" t="s">
        <v>4497</v>
      </c>
      <c r="J293">
        <v>1</v>
      </c>
    </row>
    <row r="294" spans="1:10" x14ac:dyDescent="0.35">
      <c r="A294">
        <v>55577421000</v>
      </c>
      <c r="B294" t="s">
        <v>148</v>
      </c>
      <c r="C294" t="s">
        <v>146</v>
      </c>
      <c r="D294" t="s">
        <v>55</v>
      </c>
      <c r="E294" t="s">
        <v>15</v>
      </c>
      <c r="F294" t="s">
        <v>56</v>
      </c>
      <c r="G294" t="s">
        <v>16</v>
      </c>
      <c r="H294" t="s">
        <v>4497</v>
      </c>
      <c r="J294">
        <v>5</v>
      </c>
    </row>
    <row r="295" spans="1:10" x14ac:dyDescent="0.35">
      <c r="A295">
        <v>55577421017</v>
      </c>
      <c r="B295" t="s">
        <v>156</v>
      </c>
      <c r="C295" t="s">
        <v>146</v>
      </c>
      <c r="D295" t="s">
        <v>55</v>
      </c>
      <c r="E295" t="s">
        <v>15</v>
      </c>
      <c r="F295" t="s">
        <v>56</v>
      </c>
      <c r="G295" t="s">
        <v>16</v>
      </c>
      <c r="H295" t="s">
        <v>4497</v>
      </c>
      <c r="J295">
        <v>1</v>
      </c>
    </row>
    <row r="296" spans="1:10" x14ac:dyDescent="0.35">
      <c r="A296">
        <v>55577421024</v>
      </c>
      <c r="B296" t="s">
        <v>141</v>
      </c>
      <c r="C296" t="s">
        <v>51</v>
      </c>
      <c r="D296" t="s">
        <v>55</v>
      </c>
      <c r="E296" t="s">
        <v>15</v>
      </c>
      <c r="F296" t="s">
        <v>56</v>
      </c>
      <c r="G296" t="s">
        <v>16</v>
      </c>
      <c r="H296" t="s">
        <v>4497</v>
      </c>
      <c r="J296">
        <v>8</v>
      </c>
    </row>
    <row r="297" spans="1:10" x14ac:dyDescent="0.35">
      <c r="A297">
        <v>55577423875</v>
      </c>
      <c r="B297" t="s">
        <v>499</v>
      </c>
      <c r="C297" t="s">
        <v>151</v>
      </c>
      <c r="D297" t="s">
        <v>55</v>
      </c>
      <c r="E297" t="s">
        <v>15</v>
      </c>
      <c r="F297" t="s">
        <v>56</v>
      </c>
      <c r="G297" t="s">
        <v>16</v>
      </c>
      <c r="H297" t="s">
        <v>4497</v>
      </c>
      <c r="J297">
        <v>4</v>
      </c>
    </row>
    <row r="298" spans="1:10" x14ac:dyDescent="0.35">
      <c r="A298">
        <v>55577423882</v>
      </c>
      <c r="B298" t="s">
        <v>500</v>
      </c>
      <c r="C298" t="s">
        <v>151</v>
      </c>
      <c r="D298" t="s">
        <v>55</v>
      </c>
      <c r="E298" t="s">
        <v>15</v>
      </c>
      <c r="F298" t="s">
        <v>56</v>
      </c>
      <c r="G298" t="s">
        <v>16</v>
      </c>
      <c r="H298" t="s">
        <v>4497</v>
      </c>
      <c r="J298">
        <v>3</v>
      </c>
    </row>
    <row r="299" spans="1:10" x14ac:dyDescent="0.35">
      <c r="A299">
        <v>55577425145</v>
      </c>
      <c r="B299" t="s">
        <v>501</v>
      </c>
      <c r="C299" t="s">
        <v>146</v>
      </c>
      <c r="D299" t="s">
        <v>55</v>
      </c>
      <c r="E299" t="s">
        <v>15</v>
      </c>
      <c r="F299" t="s">
        <v>56</v>
      </c>
      <c r="G299" t="s">
        <v>16</v>
      </c>
      <c r="H299" t="s">
        <v>4497</v>
      </c>
      <c r="J299">
        <v>1</v>
      </c>
    </row>
    <row r="300" spans="1:10" x14ac:dyDescent="0.35">
      <c r="A300">
        <v>55742357837</v>
      </c>
      <c r="B300" t="s">
        <v>502</v>
      </c>
      <c r="C300" t="s">
        <v>9</v>
      </c>
      <c r="D300" t="s">
        <v>160</v>
      </c>
      <c r="E300" t="s">
        <v>16</v>
      </c>
      <c r="F300" t="s">
        <v>28</v>
      </c>
      <c r="G300" t="s">
        <v>16</v>
      </c>
      <c r="H300" t="s">
        <v>4492</v>
      </c>
      <c r="J300">
        <v>3</v>
      </c>
    </row>
    <row r="301" spans="1:10" x14ac:dyDescent="0.35">
      <c r="A301">
        <v>56000004609</v>
      </c>
      <c r="B301" t="s">
        <v>503</v>
      </c>
      <c r="C301" t="s">
        <v>504</v>
      </c>
      <c r="D301" t="s">
        <v>168</v>
      </c>
      <c r="E301" t="s">
        <v>15</v>
      </c>
      <c r="F301" t="s">
        <v>25</v>
      </c>
      <c r="G301" t="s">
        <v>16</v>
      </c>
      <c r="H301" t="s">
        <v>4491</v>
      </c>
      <c r="J301">
        <v>1</v>
      </c>
    </row>
    <row r="302" spans="1:10" x14ac:dyDescent="0.35">
      <c r="A302">
        <v>5601591000025</v>
      </c>
      <c r="B302" t="s">
        <v>505</v>
      </c>
      <c r="C302" t="s">
        <v>192</v>
      </c>
      <c r="D302" t="s">
        <v>506</v>
      </c>
      <c r="E302" t="s">
        <v>507</v>
      </c>
      <c r="F302" t="s">
        <v>508</v>
      </c>
      <c r="G302" t="s">
        <v>34</v>
      </c>
      <c r="H302" t="s">
        <v>4558</v>
      </c>
      <c r="J302">
        <v>13</v>
      </c>
    </row>
    <row r="303" spans="1:10" x14ac:dyDescent="0.35">
      <c r="A303">
        <v>5609008</v>
      </c>
      <c r="B303" t="s">
        <v>509</v>
      </c>
      <c r="C303" t="s">
        <v>78</v>
      </c>
      <c r="D303" t="s">
        <v>168</v>
      </c>
      <c r="E303" t="s">
        <v>15</v>
      </c>
      <c r="F303" t="s">
        <v>25</v>
      </c>
      <c r="G303" t="s">
        <v>16</v>
      </c>
      <c r="H303" t="s">
        <v>4491</v>
      </c>
      <c r="J303">
        <v>4</v>
      </c>
    </row>
    <row r="304" spans="1:10" x14ac:dyDescent="0.35">
      <c r="A304">
        <v>565161370718</v>
      </c>
      <c r="B304" t="s">
        <v>510</v>
      </c>
      <c r="C304" t="s">
        <v>511</v>
      </c>
      <c r="D304" t="s">
        <v>512</v>
      </c>
      <c r="E304" t="s">
        <v>117</v>
      </c>
      <c r="F304" t="s">
        <v>513</v>
      </c>
      <c r="G304" t="s">
        <v>117</v>
      </c>
      <c r="H304" t="s">
        <v>4559</v>
      </c>
      <c r="J304">
        <v>1</v>
      </c>
    </row>
    <row r="305" spans="1:10" x14ac:dyDescent="0.35">
      <c r="A305">
        <v>5654309</v>
      </c>
      <c r="B305" t="s">
        <v>503</v>
      </c>
      <c r="C305" t="s">
        <v>53</v>
      </c>
      <c r="D305" t="s">
        <v>514</v>
      </c>
      <c r="E305" t="s">
        <v>15</v>
      </c>
      <c r="F305" t="s">
        <v>25</v>
      </c>
      <c r="G305" t="s">
        <v>16</v>
      </c>
      <c r="H305" t="s">
        <v>4491</v>
      </c>
      <c r="J305">
        <v>5</v>
      </c>
    </row>
    <row r="306" spans="1:10" x14ac:dyDescent="0.35">
      <c r="A306">
        <v>5654406</v>
      </c>
      <c r="B306" t="s">
        <v>515</v>
      </c>
      <c r="C306" t="s">
        <v>53</v>
      </c>
      <c r="D306" t="s">
        <v>514</v>
      </c>
      <c r="E306" t="s">
        <v>15</v>
      </c>
      <c r="F306" t="s">
        <v>25</v>
      </c>
      <c r="G306" t="s">
        <v>16</v>
      </c>
      <c r="H306" t="s">
        <v>4491</v>
      </c>
      <c r="J306">
        <v>3</v>
      </c>
    </row>
    <row r="307" spans="1:10" x14ac:dyDescent="0.35">
      <c r="A307">
        <v>5654503</v>
      </c>
      <c r="B307" t="s">
        <v>516</v>
      </c>
      <c r="C307" t="s">
        <v>53</v>
      </c>
      <c r="D307" t="s">
        <v>168</v>
      </c>
      <c r="E307" t="s">
        <v>15</v>
      </c>
      <c r="F307" t="s">
        <v>25</v>
      </c>
      <c r="G307" t="s">
        <v>16</v>
      </c>
      <c r="H307" t="s">
        <v>4491</v>
      </c>
      <c r="J307">
        <v>4</v>
      </c>
    </row>
    <row r="308" spans="1:10" x14ac:dyDescent="0.35">
      <c r="A308">
        <v>5726158</v>
      </c>
      <c r="B308" t="s">
        <v>183</v>
      </c>
      <c r="C308" t="s">
        <v>53</v>
      </c>
      <c r="D308" t="s">
        <v>55</v>
      </c>
      <c r="E308" t="s">
        <v>15</v>
      </c>
      <c r="F308" t="s">
        <v>56</v>
      </c>
      <c r="G308" t="s">
        <v>16</v>
      </c>
      <c r="H308" t="s">
        <v>4497</v>
      </c>
      <c r="J308">
        <v>3</v>
      </c>
    </row>
    <row r="309" spans="1:10" x14ac:dyDescent="0.35">
      <c r="A309">
        <v>57271160001</v>
      </c>
      <c r="B309" t="s">
        <v>176</v>
      </c>
      <c r="C309" t="s">
        <v>489</v>
      </c>
      <c r="D309" t="s">
        <v>55</v>
      </c>
      <c r="E309" t="s">
        <v>15</v>
      </c>
      <c r="F309" t="s">
        <v>56</v>
      </c>
      <c r="G309" t="s">
        <v>16</v>
      </c>
      <c r="H309" t="s">
        <v>4497</v>
      </c>
      <c r="J309">
        <v>1</v>
      </c>
    </row>
    <row r="310" spans="1:10" x14ac:dyDescent="0.35">
      <c r="A310">
        <v>57271160087</v>
      </c>
      <c r="B310" t="s">
        <v>517</v>
      </c>
      <c r="C310" t="s">
        <v>146</v>
      </c>
      <c r="D310" t="s">
        <v>55</v>
      </c>
      <c r="E310" t="s">
        <v>15</v>
      </c>
      <c r="F310" t="s">
        <v>56</v>
      </c>
      <c r="G310" t="s">
        <v>16</v>
      </c>
      <c r="H310" t="s">
        <v>4497</v>
      </c>
      <c r="J310">
        <v>1</v>
      </c>
    </row>
    <row r="311" spans="1:10" x14ac:dyDescent="0.35">
      <c r="A311">
        <v>57271160278</v>
      </c>
      <c r="B311" t="s">
        <v>491</v>
      </c>
      <c r="C311" t="s">
        <v>53</v>
      </c>
      <c r="D311" t="s">
        <v>55</v>
      </c>
      <c r="E311" t="s">
        <v>15</v>
      </c>
      <c r="F311" t="s">
        <v>56</v>
      </c>
      <c r="G311" t="s">
        <v>16</v>
      </c>
      <c r="H311" t="s">
        <v>4497</v>
      </c>
      <c r="J311">
        <v>1</v>
      </c>
    </row>
    <row r="312" spans="1:10" x14ac:dyDescent="0.35">
      <c r="A312">
        <v>57271162562</v>
      </c>
      <c r="B312" t="s">
        <v>178</v>
      </c>
      <c r="C312" t="s">
        <v>53</v>
      </c>
      <c r="D312" t="s">
        <v>55</v>
      </c>
      <c r="E312" t="s">
        <v>15</v>
      </c>
      <c r="F312" t="s">
        <v>56</v>
      </c>
      <c r="G312" t="s">
        <v>16</v>
      </c>
      <c r="H312" t="s">
        <v>4497</v>
      </c>
      <c r="J312">
        <v>7</v>
      </c>
    </row>
    <row r="313" spans="1:10" x14ac:dyDescent="0.35">
      <c r="A313">
        <v>57271162586</v>
      </c>
      <c r="B313" t="s">
        <v>518</v>
      </c>
      <c r="C313" t="s">
        <v>53</v>
      </c>
      <c r="D313" t="s">
        <v>55</v>
      </c>
      <c r="E313" t="s">
        <v>15</v>
      </c>
      <c r="F313" t="s">
        <v>56</v>
      </c>
      <c r="G313" t="s">
        <v>16</v>
      </c>
      <c r="H313" t="s">
        <v>4497</v>
      </c>
      <c r="J313">
        <v>4</v>
      </c>
    </row>
    <row r="314" spans="1:10" x14ac:dyDescent="0.35">
      <c r="A314">
        <v>57271162609</v>
      </c>
      <c r="B314" t="s">
        <v>519</v>
      </c>
      <c r="C314" t="s">
        <v>520</v>
      </c>
      <c r="D314" t="s">
        <v>55</v>
      </c>
      <c r="E314" t="s">
        <v>15</v>
      </c>
      <c r="F314" t="s">
        <v>56</v>
      </c>
      <c r="G314" t="s">
        <v>16</v>
      </c>
      <c r="H314" t="s">
        <v>4497</v>
      </c>
      <c r="J314">
        <v>4</v>
      </c>
    </row>
    <row r="315" spans="1:10" x14ac:dyDescent="0.35">
      <c r="A315">
        <v>57271162647</v>
      </c>
      <c r="B315" t="s">
        <v>521</v>
      </c>
      <c r="C315" t="s">
        <v>53</v>
      </c>
      <c r="D315" t="s">
        <v>55</v>
      </c>
      <c r="E315" t="s">
        <v>15</v>
      </c>
      <c r="F315" t="s">
        <v>56</v>
      </c>
      <c r="G315" t="s">
        <v>16</v>
      </c>
      <c r="H315" t="s">
        <v>4497</v>
      </c>
      <c r="J315">
        <v>5</v>
      </c>
    </row>
    <row r="316" spans="1:10" x14ac:dyDescent="0.35">
      <c r="A316">
        <v>57271162722</v>
      </c>
      <c r="B316" t="s">
        <v>522</v>
      </c>
      <c r="C316" t="s">
        <v>523</v>
      </c>
      <c r="D316" t="s">
        <v>55</v>
      </c>
      <c r="E316" t="s">
        <v>15</v>
      </c>
      <c r="F316" t="s">
        <v>56</v>
      </c>
      <c r="G316" t="s">
        <v>16</v>
      </c>
      <c r="H316" t="s">
        <v>4497</v>
      </c>
      <c r="J316">
        <v>2</v>
      </c>
    </row>
    <row r="317" spans="1:10" x14ac:dyDescent="0.35">
      <c r="A317">
        <v>57271162746</v>
      </c>
      <c r="B317" t="s">
        <v>493</v>
      </c>
      <c r="C317" t="s">
        <v>278</v>
      </c>
      <c r="D317" t="s">
        <v>55</v>
      </c>
      <c r="E317" t="s">
        <v>15</v>
      </c>
      <c r="F317" t="s">
        <v>56</v>
      </c>
      <c r="G317" t="s">
        <v>16</v>
      </c>
      <c r="H317" t="s">
        <v>4497</v>
      </c>
      <c r="J317">
        <v>1</v>
      </c>
    </row>
    <row r="318" spans="1:10" x14ac:dyDescent="0.35">
      <c r="A318">
        <v>57271162760</v>
      </c>
      <c r="B318" t="s">
        <v>524</v>
      </c>
      <c r="C318" t="s">
        <v>278</v>
      </c>
      <c r="D318" t="s">
        <v>55</v>
      </c>
      <c r="E318" t="s">
        <v>15</v>
      </c>
      <c r="F318" t="s">
        <v>56</v>
      </c>
      <c r="G318" t="s">
        <v>16</v>
      </c>
      <c r="H318" t="s">
        <v>4497</v>
      </c>
      <c r="J318">
        <v>1</v>
      </c>
    </row>
    <row r="319" spans="1:10" x14ac:dyDescent="0.35">
      <c r="A319">
        <v>57271163088</v>
      </c>
      <c r="B319" t="s">
        <v>525</v>
      </c>
      <c r="C319" t="s">
        <v>51</v>
      </c>
      <c r="D319" t="s">
        <v>55</v>
      </c>
      <c r="E319" t="s">
        <v>15</v>
      </c>
      <c r="F319" t="s">
        <v>56</v>
      </c>
      <c r="G319" t="s">
        <v>16</v>
      </c>
      <c r="H319" t="s">
        <v>4497</v>
      </c>
      <c r="J319">
        <v>2</v>
      </c>
    </row>
    <row r="320" spans="1:10" x14ac:dyDescent="0.35">
      <c r="A320">
        <v>57271163095</v>
      </c>
      <c r="B320" t="s">
        <v>526</v>
      </c>
      <c r="C320" t="s">
        <v>146</v>
      </c>
      <c r="D320" t="s">
        <v>55</v>
      </c>
      <c r="E320" t="s">
        <v>15</v>
      </c>
      <c r="F320" t="s">
        <v>56</v>
      </c>
      <c r="G320" t="s">
        <v>16</v>
      </c>
      <c r="H320" t="s">
        <v>4497</v>
      </c>
      <c r="J320">
        <v>5</v>
      </c>
    </row>
    <row r="321" spans="1:10" x14ac:dyDescent="0.35">
      <c r="A321">
        <v>57271163101</v>
      </c>
      <c r="B321" t="s">
        <v>527</v>
      </c>
      <c r="C321" t="s">
        <v>83</v>
      </c>
      <c r="D321" t="s">
        <v>528</v>
      </c>
      <c r="E321" t="s">
        <v>16</v>
      </c>
      <c r="F321" t="s">
        <v>529</v>
      </c>
      <c r="G321" t="s">
        <v>16</v>
      </c>
      <c r="H321" t="s">
        <v>4560</v>
      </c>
      <c r="J321">
        <v>3</v>
      </c>
    </row>
    <row r="322" spans="1:10" x14ac:dyDescent="0.35">
      <c r="A322">
        <v>57271163415</v>
      </c>
      <c r="B322" t="s">
        <v>530</v>
      </c>
      <c r="C322" t="s">
        <v>53</v>
      </c>
      <c r="D322" t="s">
        <v>55</v>
      </c>
      <c r="E322" t="s">
        <v>15</v>
      </c>
      <c r="F322" t="s">
        <v>56</v>
      </c>
      <c r="G322" t="s">
        <v>16</v>
      </c>
      <c r="H322" t="s">
        <v>4497</v>
      </c>
      <c r="J322">
        <v>1</v>
      </c>
    </row>
    <row r="323" spans="1:10" x14ac:dyDescent="0.35">
      <c r="A323">
        <v>57271163453</v>
      </c>
      <c r="B323" t="s">
        <v>531</v>
      </c>
      <c r="C323" t="s">
        <v>143</v>
      </c>
      <c r="D323" t="s">
        <v>55</v>
      </c>
      <c r="E323" t="s">
        <v>15</v>
      </c>
      <c r="F323" t="s">
        <v>56</v>
      </c>
      <c r="G323" t="s">
        <v>16</v>
      </c>
      <c r="H323" t="s">
        <v>4497</v>
      </c>
      <c r="J323">
        <v>1</v>
      </c>
    </row>
    <row r="324" spans="1:10" x14ac:dyDescent="0.35">
      <c r="A324">
        <v>57271163477</v>
      </c>
      <c r="B324" t="s">
        <v>532</v>
      </c>
      <c r="C324" t="s">
        <v>533</v>
      </c>
      <c r="D324" t="s">
        <v>55</v>
      </c>
      <c r="E324" t="s">
        <v>15</v>
      </c>
      <c r="F324" t="s">
        <v>56</v>
      </c>
      <c r="G324" t="s">
        <v>16</v>
      </c>
      <c r="H324" t="s">
        <v>4497</v>
      </c>
      <c r="J324">
        <v>1</v>
      </c>
    </row>
    <row r="325" spans="1:10" x14ac:dyDescent="0.35">
      <c r="A325">
        <v>57271163521</v>
      </c>
      <c r="B325" t="s">
        <v>180</v>
      </c>
      <c r="C325" t="s">
        <v>143</v>
      </c>
      <c r="D325" t="s">
        <v>55</v>
      </c>
      <c r="E325" t="s">
        <v>15</v>
      </c>
      <c r="F325" t="s">
        <v>56</v>
      </c>
      <c r="G325" t="s">
        <v>16</v>
      </c>
      <c r="H325" t="s">
        <v>4497</v>
      </c>
      <c r="J325">
        <v>2</v>
      </c>
    </row>
    <row r="326" spans="1:10" x14ac:dyDescent="0.35">
      <c r="A326">
        <v>57271163651</v>
      </c>
      <c r="B326" t="s">
        <v>182</v>
      </c>
      <c r="C326" t="s">
        <v>53</v>
      </c>
      <c r="D326" t="s">
        <v>55</v>
      </c>
      <c r="E326" t="s">
        <v>15</v>
      </c>
      <c r="F326" t="s">
        <v>56</v>
      </c>
      <c r="G326" t="s">
        <v>16</v>
      </c>
      <c r="H326" t="s">
        <v>4497</v>
      </c>
      <c r="J326">
        <v>1</v>
      </c>
    </row>
    <row r="327" spans="1:10" x14ac:dyDescent="0.35">
      <c r="A327">
        <v>57271164108</v>
      </c>
      <c r="B327" t="s">
        <v>534</v>
      </c>
      <c r="C327" t="s">
        <v>53</v>
      </c>
      <c r="D327" t="s">
        <v>55</v>
      </c>
      <c r="E327" t="s">
        <v>15</v>
      </c>
      <c r="F327" t="s">
        <v>56</v>
      </c>
      <c r="G327" t="s">
        <v>16</v>
      </c>
      <c r="H327" t="s">
        <v>4497</v>
      </c>
      <c r="J327">
        <v>3</v>
      </c>
    </row>
    <row r="328" spans="1:10" x14ac:dyDescent="0.35">
      <c r="A328">
        <v>57271164122</v>
      </c>
      <c r="B328" t="s">
        <v>183</v>
      </c>
      <c r="C328" t="s">
        <v>53</v>
      </c>
      <c r="D328" t="s">
        <v>55</v>
      </c>
      <c r="E328" t="s">
        <v>15</v>
      </c>
      <c r="F328" t="s">
        <v>56</v>
      </c>
      <c r="G328" t="s">
        <v>16</v>
      </c>
      <c r="H328" t="s">
        <v>4497</v>
      </c>
      <c r="J328">
        <v>4</v>
      </c>
    </row>
    <row r="329" spans="1:10" x14ac:dyDescent="0.35">
      <c r="A329">
        <v>57271164153</v>
      </c>
      <c r="B329" t="s">
        <v>535</v>
      </c>
      <c r="C329" t="s">
        <v>53</v>
      </c>
      <c r="D329" t="s">
        <v>55</v>
      </c>
      <c r="E329" t="s">
        <v>15</v>
      </c>
      <c r="F329" t="s">
        <v>56</v>
      </c>
      <c r="G329" t="s">
        <v>16</v>
      </c>
      <c r="H329" t="s">
        <v>4497</v>
      </c>
      <c r="J329">
        <v>8</v>
      </c>
    </row>
    <row r="330" spans="1:10" x14ac:dyDescent="0.35">
      <c r="A330">
        <v>57271164177</v>
      </c>
      <c r="B330" t="s">
        <v>390</v>
      </c>
      <c r="C330" t="s">
        <v>151</v>
      </c>
      <c r="D330" t="s">
        <v>243</v>
      </c>
      <c r="E330" t="s">
        <v>15</v>
      </c>
      <c r="F330" t="s">
        <v>56</v>
      </c>
      <c r="G330" t="s">
        <v>16</v>
      </c>
      <c r="H330" t="s">
        <v>4497</v>
      </c>
      <c r="J330">
        <v>2</v>
      </c>
    </row>
    <row r="331" spans="1:10" x14ac:dyDescent="0.35">
      <c r="A331">
        <v>57271164306</v>
      </c>
      <c r="B331" t="s">
        <v>141</v>
      </c>
      <c r="C331" t="s">
        <v>489</v>
      </c>
      <c r="D331" t="s">
        <v>55</v>
      </c>
      <c r="E331" t="s">
        <v>15</v>
      </c>
      <c r="F331" t="s">
        <v>56</v>
      </c>
      <c r="G331" t="s">
        <v>16</v>
      </c>
      <c r="H331" t="s">
        <v>4497</v>
      </c>
      <c r="J331">
        <v>2</v>
      </c>
    </row>
    <row r="332" spans="1:10" x14ac:dyDescent="0.35">
      <c r="A332">
        <v>57271164672</v>
      </c>
      <c r="B332" t="s">
        <v>536</v>
      </c>
      <c r="C332" t="s">
        <v>53</v>
      </c>
      <c r="D332" t="s">
        <v>55</v>
      </c>
      <c r="E332" t="s">
        <v>15</v>
      </c>
      <c r="F332" t="s">
        <v>56</v>
      </c>
      <c r="G332" t="s">
        <v>16</v>
      </c>
      <c r="H332" t="s">
        <v>4497</v>
      </c>
      <c r="J332">
        <v>1</v>
      </c>
    </row>
    <row r="333" spans="1:10" x14ac:dyDescent="0.35">
      <c r="A333">
        <v>57271164771</v>
      </c>
      <c r="B333" t="s">
        <v>537</v>
      </c>
      <c r="C333" t="s">
        <v>53</v>
      </c>
      <c r="D333" t="s">
        <v>55</v>
      </c>
      <c r="E333" t="s">
        <v>15</v>
      </c>
      <c r="F333" t="s">
        <v>56</v>
      </c>
      <c r="G333" t="s">
        <v>16</v>
      </c>
      <c r="H333" t="s">
        <v>4497</v>
      </c>
      <c r="J333">
        <v>5</v>
      </c>
    </row>
    <row r="334" spans="1:10" x14ac:dyDescent="0.35">
      <c r="A334">
        <v>57271425162</v>
      </c>
      <c r="B334" t="s">
        <v>491</v>
      </c>
      <c r="C334" t="s">
        <v>146</v>
      </c>
      <c r="D334" t="s">
        <v>55</v>
      </c>
      <c r="E334" t="s">
        <v>15</v>
      </c>
      <c r="F334" t="s">
        <v>56</v>
      </c>
      <c r="G334" t="s">
        <v>16</v>
      </c>
      <c r="H334" t="s">
        <v>4497</v>
      </c>
      <c r="J334">
        <v>7</v>
      </c>
    </row>
    <row r="335" spans="1:10" x14ac:dyDescent="0.35">
      <c r="A335">
        <v>57271555180</v>
      </c>
      <c r="B335" t="s">
        <v>199</v>
      </c>
      <c r="C335" t="s">
        <v>146</v>
      </c>
      <c r="D335" t="s">
        <v>55</v>
      </c>
      <c r="E335" t="s">
        <v>15</v>
      </c>
      <c r="F335" t="s">
        <v>56</v>
      </c>
      <c r="G335" t="s">
        <v>16</v>
      </c>
      <c r="H335" t="s">
        <v>4497</v>
      </c>
      <c r="J335">
        <v>2</v>
      </c>
    </row>
    <row r="336" spans="1:10" x14ac:dyDescent="0.35">
      <c r="A336">
        <v>57271555418</v>
      </c>
      <c r="B336" t="s">
        <v>538</v>
      </c>
      <c r="C336" t="s">
        <v>9</v>
      </c>
      <c r="D336" t="s">
        <v>55</v>
      </c>
      <c r="E336" t="s">
        <v>15</v>
      </c>
      <c r="F336" t="s">
        <v>56</v>
      </c>
      <c r="G336" t="s">
        <v>16</v>
      </c>
      <c r="H336" t="s">
        <v>4497</v>
      </c>
      <c r="J336">
        <v>2</v>
      </c>
    </row>
    <row r="337" spans="1:10" x14ac:dyDescent="0.35">
      <c r="A337">
        <v>57271555432</v>
      </c>
      <c r="B337" t="s">
        <v>186</v>
      </c>
      <c r="C337" t="s">
        <v>146</v>
      </c>
      <c r="D337" t="s">
        <v>55</v>
      </c>
      <c r="E337" t="s">
        <v>15</v>
      </c>
      <c r="F337" t="s">
        <v>56</v>
      </c>
      <c r="G337" t="s">
        <v>16</v>
      </c>
      <c r="H337" t="s">
        <v>4497</v>
      </c>
      <c r="J337">
        <v>3</v>
      </c>
    </row>
    <row r="338" spans="1:10" x14ac:dyDescent="0.35">
      <c r="A338">
        <v>5727162</v>
      </c>
      <c r="B338" t="s">
        <v>180</v>
      </c>
      <c r="C338" t="s">
        <v>53</v>
      </c>
      <c r="D338" t="s">
        <v>55</v>
      </c>
      <c r="E338" t="s">
        <v>15</v>
      </c>
      <c r="F338" t="s">
        <v>56</v>
      </c>
      <c r="G338" t="s">
        <v>16</v>
      </c>
      <c r="H338" t="s">
        <v>4497</v>
      </c>
      <c r="J338">
        <v>1</v>
      </c>
    </row>
    <row r="339" spans="1:10" x14ac:dyDescent="0.35">
      <c r="A339">
        <v>57379105010</v>
      </c>
      <c r="B339" t="s">
        <v>191</v>
      </c>
      <c r="C339" t="s">
        <v>253</v>
      </c>
      <c r="D339" t="s">
        <v>189</v>
      </c>
      <c r="E339" t="s">
        <v>16</v>
      </c>
      <c r="F339" t="s">
        <v>190</v>
      </c>
      <c r="G339" t="s">
        <v>16</v>
      </c>
      <c r="H339" t="s">
        <v>4518</v>
      </c>
      <c r="J339">
        <v>2</v>
      </c>
    </row>
    <row r="340" spans="1:10" x14ac:dyDescent="0.35">
      <c r="A340">
        <v>57379600119</v>
      </c>
      <c r="B340" t="s">
        <v>212</v>
      </c>
      <c r="C340" t="s">
        <v>9</v>
      </c>
      <c r="D340" t="s">
        <v>189</v>
      </c>
      <c r="E340" t="s">
        <v>16</v>
      </c>
      <c r="F340" t="s">
        <v>190</v>
      </c>
      <c r="G340" t="s">
        <v>16</v>
      </c>
      <c r="H340" t="s">
        <v>4518</v>
      </c>
      <c r="J340">
        <v>4</v>
      </c>
    </row>
    <row r="341" spans="1:10" x14ac:dyDescent="0.35">
      <c r="A341">
        <v>59600010865</v>
      </c>
      <c r="B341" t="s">
        <v>226</v>
      </c>
      <c r="C341" t="s">
        <v>278</v>
      </c>
      <c r="D341" t="s">
        <v>539</v>
      </c>
      <c r="E341" t="s">
        <v>15</v>
      </c>
      <c r="F341" t="s">
        <v>14</v>
      </c>
      <c r="G341" t="s">
        <v>16</v>
      </c>
      <c r="H341" t="s">
        <v>4489</v>
      </c>
      <c r="J341">
        <v>1</v>
      </c>
    </row>
    <row r="342" spans="1:10" x14ac:dyDescent="0.35">
      <c r="A342">
        <v>59600038081</v>
      </c>
      <c r="B342" t="s">
        <v>540</v>
      </c>
      <c r="C342" t="s">
        <v>278</v>
      </c>
      <c r="D342" t="s">
        <v>539</v>
      </c>
      <c r="E342" t="s">
        <v>15</v>
      </c>
      <c r="F342" t="s">
        <v>14</v>
      </c>
      <c r="G342" t="s">
        <v>16</v>
      </c>
      <c r="H342" t="s">
        <v>4489</v>
      </c>
      <c r="J342">
        <v>5</v>
      </c>
    </row>
    <row r="343" spans="1:10" x14ac:dyDescent="0.35">
      <c r="A343">
        <v>5965736</v>
      </c>
      <c r="B343" t="s">
        <v>541</v>
      </c>
      <c r="C343" t="s">
        <v>542</v>
      </c>
      <c r="D343" t="s">
        <v>543</v>
      </c>
      <c r="E343" t="s">
        <v>15</v>
      </c>
      <c r="F343" t="s">
        <v>14</v>
      </c>
      <c r="G343" t="s">
        <v>16</v>
      </c>
      <c r="H343" t="s">
        <v>4489</v>
      </c>
      <c r="J343">
        <v>3</v>
      </c>
    </row>
    <row r="344" spans="1:10" x14ac:dyDescent="0.35">
      <c r="A344">
        <v>603813404005</v>
      </c>
      <c r="B344" t="s">
        <v>544</v>
      </c>
      <c r="C344" t="s">
        <v>545</v>
      </c>
      <c r="D344" t="s">
        <v>546</v>
      </c>
      <c r="E344" t="s">
        <v>547</v>
      </c>
      <c r="F344" t="s">
        <v>548</v>
      </c>
      <c r="G344" t="s">
        <v>547</v>
      </c>
      <c r="H344" t="s">
        <v>4561</v>
      </c>
      <c r="J344">
        <v>37</v>
      </c>
    </row>
    <row r="345" spans="1:10" x14ac:dyDescent="0.35">
      <c r="A345">
        <v>603813404012</v>
      </c>
      <c r="B345" t="s">
        <v>549</v>
      </c>
      <c r="C345" t="s">
        <v>192</v>
      </c>
      <c r="D345" t="s">
        <v>546</v>
      </c>
      <c r="E345" t="s">
        <v>547</v>
      </c>
      <c r="F345" t="s">
        <v>548</v>
      </c>
      <c r="G345" t="s">
        <v>547</v>
      </c>
      <c r="H345" t="s">
        <v>4561</v>
      </c>
      <c r="J345">
        <v>19</v>
      </c>
    </row>
    <row r="346" spans="1:10" x14ac:dyDescent="0.35">
      <c r="A346">
        <v>60383029616</v>
      </c>
      <c r="B346" t="s">
        <v>196</v>
      </c>
      <c r="C346" t="s">
        <v>96</v>
      </c>
      <c r="D346" t="s">
        <v>194</v>
      </c>
      <c r="E346" t="s">
        <v>16</v>
      </c>
      <c r="F346" t="s">
        <v>195</v>
      </c>
      <c r="G346" t="s">
        <v>16</v>
      </c>
      <c r="H346" t="s">
        <v>4519</v>
      </c>
      <c r="J346">
        <v>1</v>
      </c>
    </row>
    <row r="347" spans="1:10" x14ac:dyDescent="0.35">
      <c r="A347">
        <v>60383048426</v>
      </c>
      <c r="B347" t="s">
        <v>226</v>
      </c>
      <c r="C347" t="s">
        <v>200</v>
      </c>
      <c r="D347" t="s">
        <v>194</v>
      </c>
      <c r="E347" t="s">
        <v>16</v>
      </c>
      <c r="F347" t="s">
        <v>195</v>
      </c>
      <c r="G347" t="s">
        <v>16</v>
      </c>
      <c r="H347" t="s">
        <v>4519</v>
      </c>
      <c r="J347">
        <v>1</v>
      </c>
    </row>
    <row r="348" spans="1:10" x14ac:dyDescent="0.35">
      <c r="A348">
        <v>60383055370</v>
      </c>
      <c r="B348" t="s">
        <v>550</v>
      </c>
      <c r="C348" t="s">
        <v>214</v>
      </c>
      <c r="D348" t="s">
        <v>194</v>
      </c>
      <c r="E348" t="s">
        <v>16</v>
      </c>
      <c r="F348" t="s">
        <v>195</v>
      </c>
      <c r="G348" t="s">
        <v>16</v>
      </c>
      <c r="H348" t="s">
        <v>4519</v>
      </c>
      <c r="J348">
        <v>1</v>
      </c>
    </row>
    <row r="349" spans="1:10" x14ac:dyDescent="0.35">
      <c r="A349">
        <v>60383076610</v>
      </c>
      <c r="B349" t="s">
        <v>551</v>
      </c>
      <c r="C349" t="s">
        <v>96</v>
      </c>
      <c r="D349" t="s">
        <v>194</v>
      </c>
      <c r="E349" t="s">
        <v>16</v>
      </c>
      <c r="F349" t="s">
        <v>195</v>
      </c>
      <c r="G349" t="s">
        <v>16</v>
      </c>
      <c r="H349" t="s">
        <v>4519</v>
      </c>
      <c r="J349">
        <v>2</v>
      </c>
    </row>
    <row r="350" spans="1:10" x14ac:dyDescent="0.35">
      <c r="A350">
        <v>60383104177</v>
      </c>
      <c r="B350" t="s">
        <v>552</v>
      </c>
      <c r="C350" t="s">
        <v>110</v>
      </c>
      <c r="D350" t="s">
        <v>194</v>
      </c>
      <c r="E350" t="s">
        <v>16</v>
      </c>
      <c r="F350" t="s">
        <v>195</v>
      </c>
      <c r="G350" t="s">
        <v>16</v>
      </c>
      <c r="H350" t="s">
        <v>4519</v>
      </c>
      <c r="J350">
        <v>1</v>
      </c>
    </row>
    <row r="351" spans="1:10" x14ac:dyDescent="0.35">
      <c r="A351">
        <v>60383131272</v>
      </c>
      <c r="B351" t="s">
        <v>553</v>
      </c>
      <c r="C351" t="s">
        <v>236</v>
      </c>
      <c r="D351" t="s">
        <v>194</v>
      </c>
      <c r="E351" t="s">
        <v>16</v>
      </c>
      <c r="F351" t="s">
        <v>195</v>
      </c>
      <c r="G351" t="s">
        <v>16</v>
      </c>
      <c r="H351" t="s">
        <v>4519</v>
      </c>
      <c r="J351">
        <v>1</v>
      </c>
    </row>
    <row r="352" spans="1:10" x14ac:dyDescent="0.35">
      <c r="A352">
        <v>60383132002</v>
      </c>
      <c r="B352" t="s">
        <v>554</v>
      </c>
      <c r="C352" t="s">
        <v>96</v>
      </c>
      <c r="D352" t="s">
        <v>194</v>
      </c>
      <c r="E352" t="s">
        <v>16</v>
      </c>
      <c r="F352" t="s">
        <v>195</v>
      </c>
      <c r="G352" t="s">
        <v>16</v>
      </c>
      <c r="H352" t="s">
        <v>4519</v>
      </c>
      <c r="J352">
        <v>2</v>
      </c>
    </row>
    <row r="353" spans="1:10" x14ac:dyDescent="0.35">
      <c r="A353">
        <v>60383132019</v>
      </c>
      <c r="B353" t="s">
        <v>555</v>
      </c>
      <c r="C353" t="s">
        <v>96</v>
      </c>
      <c r="D353" t="s">
        <v>194</v>
      </c>
      <c r="E353" t="s">
        <v>16</v>
      </c>
      <c r="F353" t="s">
        <v>195</v>
      </c>
      <c r="G353" t="s">
        <v>16</v>
      </c>
      <c r="H353" t="s">
        <v>4519</v>
      </c>
      <c r="J353">
        <v>1</v>
      </c>
    </row>
    <row r="354" spans="1:10" x14ac:dyDescent="0.35">
      <c r="A354">
        <v>60383137700</v>
      </c>
      <c r="B354" t="s">
        <v>556</v>
      </c>
      <c r="C354" t="s">
        <v>81</v>
      </c>
      <c r="D354" t="s">
        <v>194</v>
      </c>
      <c r="E354" t="s">
        <v>16</v>
      </c>
      <c r="F354" t="s">
        <v>195</v>
      </c>
      <c r="G354" t="s">
        <v>16</v>
      </c>
      <c r="H354" t="s">
        <v>4519</v>
      </c>
      <c r="J354">
        <v>2</v>
      </c>
    </row>
    <row r="355" spans="1:10" x14ac:dyDescent="0.35">
      <c r="A355">
        <v>60383185251</v>
      </c>
      <c r="B355" t="s">
        <v>210</v>
      </c>
      <c r="C355" t="s">
        <v>96</v>
      </c>
      <c r="D355" t="s">
        <v>194</v>
      </c>
      <c r="E355" t="s">
        <v>16</v>
      </c>
      <c r="F355" t="s">
        <v>195</v>
      </c>
      <c r="G355" t="s">
        <v>16</v>
      </c>
      <c r="H355" t="s">
        <v>4519</v>
      </c>
      <c r="J355">
        <v>7</v>
      </c>
    </row>
    <row r="356" spans="1:10" x14ac:dyDescent="0.35">
      <c r="A356">
        <v>60383653293</v>
      </c>
      <c r="B356" t="s">
        <v>212</v>
      </c>
      <c r="C356" t="s">
        <v>9</v>
      </c>
      <c r="D356" t="s">
        <v>194</v>
      </c>
      <c r="E356" t="s">
        <v>16</v>
      </c>
      <c r="F356" t="s">
        <v>195</v>
      </c>
      <c r="G356" t="s">
        <v>16</v>
      </c>
      <c r="H356" t="s">
        <v>4519</v>
      </c>
      <c r="J356">
        <v>38</v>
      </c>
    </row>
    <row r="357" spans="1:10" x14ac:dyDescent="0.35">
      <c r="A357">
        <v>60383758783</v>
      </c>
      <c r="B357" t="s">
        <v>212</v>
      </c>
      <c r="C357" t="s">
        <v>9</v>
      </c>
      <c r="D357" t="s">
        <v>557</v>
      </c>
      <c r="E357" t="s">
        <v>16</v>
      </c>
      <c r="F357" t="s">
        <v>195</v>
      </c>
      <c r="G357" t="s">
        <v>16</v>
      </c>
      <c r="H357" t="s">
        <v>4519</v>
      </c>
      <c r="J357">
        <v>24</v>
      </c>
    </row>
    <row r="358" spans="1:10" x14ac:dyDescent="0.35">
      <c r="A358">
        <v>60383863449</v>
      </c>
      <c r="B358" t="s">
        <v>216</v>
      </c>
      <c r="C358" t="s">
        <v>214</v>
      </c>
      <c r="D358" t="s">
        <v>194</v>
      </c>
      <c r="E358" t="s">
        <v>16</v>
      </c>
      <c r="F358" t="s">
        <v>195</v>
      </c>
      <c r="G358" t="s">
        <v>16</v>
      </c>
      <c r="H358" t="s">
        <v>4519</v>
      </c>
      <c r="J358">
        <v>1</v>
      </c>
    </row>
    <row r="359" spans="1:10" x14ac:dyDescent="0.35">
      <c r="A359">
        <v>60383976552</v>
      </c>
      <c r="B359" t="s">
        <v>558</v>
      </c>
      <c r="C359" t="s">
        <v>559</v>
      </c>
      <c r="D359" t="s">
        <v>194</v>
      </c>
      <c r="E359" t="s">
        <v>16</v>
      </c>
      <c r="F359" t="s">
        <v>195</v>
      </c>
      <c r="G359" t="s">
        <v>16</v>
      </c>
      <c r="H359" t="s">
        <v>4519</v>
      </c>
      <c r="J359">
        <v>1</v>
      </c>
    </row>
    <row r="360" spans="1:10" x14ac:dyDescent="0.35">
      <c r="A360">
        <v>60383997076</v>
      </c>
      <c r="B360" t="s">
        <v>560</v>
      </c>
      <c r="C360" t="s">
        <v>81</v>
      </c>
      <c r="D360" t="s">
        <v>194</v>
      </c>
      <c r="E360" t="s">
        <v>16</v>
      </c>
      <c r="F360" t="s">
        <v>195</v>
      </c>
      <c r="G360" t="s">
        <v>16</v>
      </c>
      <c r="H360" t="s">
        <v>4519</v>
      </c>
      <c r="J360">
        <v>3</v>
      </c>
    </row>
    <row r="361" spans="1:10" x14ac:dyDescent="0.35">
      <c r="A361">
        <v>60410016978</v>
      </c>
      <c r="B361" t="s">
        <v>561</v>
      </c>
      <c r="C361" t="s">
        <v>562</v>
      </c>
      <c r="D361" t="s">
        <v>563</v>
      </c>
      <c r="E361" t="s">
        <v>15</v>
      </c>
      <c r="F361" t="s">
        <v>56</v>
      </c>
      <c r="G361" t="s">
        <v>16</v>
      </c>
      <c r="H361" t="s">
        <v>4497</v>
      </c>
      <c r="J361">
        <v>1</v>
      </c>
    </row>
    <row r="362" spans="1:10" x14ac:dyDescent="0.35">
      <c r="A362">
        <v>60410018019</v>
      </c>
      <c r="B362" t="s">
        <v>564</v>
      </c>
      <c r="C362" t="s">
        <v>565</v>
      </c>
      <c r="D362" t="s">
        <v>566</v>
      </c>
      <c r="E362" t="s">
        <v>15</v>
      </c>
      <c r="F362" t="s">
        <v>56</v>
      </c>
      <c r="G362" t="s">
        <v>16</v>
      </c>
      <c r="H362" t="s">
        <v>4497</v>
      </c>
      <c r="J362">
        <v>4</v>
      </c>
    </row>
    <row r="363" spans="1:10" x14ac:dyDescent="0.35">
      <c r="A363">
        <v>60410018798</v>
      </c>
      <c r="B363" t="s">
        <v>567</v>
      </c>
      <c r="C363" t="s">
        <v>568</v>
      </c>
      <c r="D363" t="s">
        <v>92</v>
      </c>
      <c r="E363" t="s">
        <v>15</v>
      </c>
      <c r="F363" t="s">
        <v>56</v>
      </c>
      <c r="G363" t="s">
        <v>16</v>
      </c>
      <c r="H363" t="s">
        <v>4497</v>
      </c>
      <c r="J363">
        <v>1</v>
      </c>
    </row>
    <row r="364" spans="1:10" x14ac:dyDescent="0.35">
      <c r="A364">
        <v>60410067826</v>
      </c>
      <c r="B364" t="s">
        <v>569</v>
      </c>
      <c r="C364" t="s">
        <v>570</v>
      </c>
      <c r="D364" t="s">
        <v>571</v>
      </c>
      <c r="E364" t="s">
        <v>15</v>
      </c>
      <c r="F364" t="s">
        <v>56</v>
      </c>
      <c r="G364" t="s">
        <v>16</v>
      </c>
      <c r="H364" t="s">
        <v>4497</v>
      </c>
      <c r="J364">
        <v>1</v>
      </c>
    </row>
    <row r="365" spans="1:10" x14ac:dyDescent="0.35">
      <c r="A365">
        <v>605388881243</v>
      </c>
      <c r="B365" t="s">
        <v>572</v>
      </c>
      <c r="C365" t="s">
        <v>253</v>
      </c>
      <c r="D365" t="s">
        <v>573</v>
      </c>
      <c r="E365" t="s">
        <v>15</v>
      </c>
      <c r="F365" t="s">
        <v>574</v>
      </c>
      <c r="G365" t="s">
        <v>16</v>
      </c>
      <c r="H365" t="s">
        <v>4562</v>
      </c>
      <c r="J365">
        <v>27</v>
      </c>
    </row>
    <row r="366" spans="1:10" x14ac:dyDescent="0.35">
      <c r="A366">
        <v>606110287722</v>
      </c>
      <c r="B366" t="s">
        <v>575</v>
      </c>
      <c r="C366" t="s">
        <v>576</v>
      </c>
      <c r="D366" t="s">
        <v>577</v>
      </c>
      <c r="E366" t="s">
        <v>578</v>
      </c>
      <c r="F366" t="s">
        <v>579</v>
      </c>
      <c r="G366" t="s">
        <v>117</v>
      </c>
      <c r="H366" t="s">
        <v>4563</v>
      </c>
      <c r="J366">
        <v>30</v>
      </c>
    </row>
    <row r="367" spans="1:10" x14ac:dyDescent="0.35">
      <c r="A367">
        <v>606110287739</v>
      </c>
      <c r="B367" t="s">
        <v>580</v>
      </c>
      <c r="C367" t="s">
        <v>472</v>
      </c>
      <c r="D367" t="s">
        <v>577</v>
      </c>
      <c r="E367" t="s">
        <v>578</v>
      </c>
      <c r="F367" t="s">
        <v>579</v>
      </c>
      <c r="G367" t="s">
        <v>117</v>
      </c>
      <c r="H367" t="s">
        <v>4563</v>
      </c>
      <c r="J367">
        <v>5</v>
      </c>
    </row>
    <row r="368" spans="1:10" x14ac:dyDescent="0.35">
      <c r="A368">
        <v>606110287746</v>
      </c>
      <c r="B368" t="s">
        <v>581</v>
      </c>
      <c r="C368" t="s">
        <v>472</v>
      </c>
      <c r="D368" t="s">
        <v>577</v>
      </c>
      <c r="E368" t="s">
        <v>578</v>
      </c>
      <c r="F368" t="s">
        <v>579</v>
      </c>
      <c r="G368" t="s">
        <v>117</v>
      </c>
      <c r="H368" t="s">
        <v>4563</v>
      </c>
      <c r="J368">
        <v>8</v>
      </c>
    </row>
    <row r="369" spans="1:10" x14ac:dyDescent="0.35">
      <c r="A369">
        <v>606110287753</v>
      </c>
      <c r="B369" t="s">
        <v>582</v>
      </c>
      <c r="C369" t="s">
        <v>472</v>
      </c>
      <c r="D369" t="s">
        <v>577</v>
      </c>
      <c r="E369" t="s">
        <v>578</v>
      </c>
      <c r="F369" t="s">
        <v>579</v>
      </c>
      <c r="G369" t="s">
        <v>117</v>
      </c>
      <c r="H369" t="s">
        <v>4563</v>
      </c>
      <c r="J369">
        <v>3</v>
      </c>
    </row>
    <row r="370" spans="1:10" x14ac:dyDescent="0.35">
      <c r="A370">
        <v>606110287753</v>
      </c>
      <c r="B370" t="s">
        <v>582</v>
      </c>
      <c r="C370" t="s">
        <v>472</v>
      </c>
      <c r="D370" t="s">
        <v>577</v>
      </c>
      <c r="E370" t="s">
        <v>578</v>
      </c>
      <c r="F370" t="s">
        <v>579</v>
      </c>
      <c r="G370" t="s">
        <v>33</v>
      </c>
      <c r="H370" t="s">
        <v>4563</v>
      </c>
      <c r="J370">
        <v>425</v>
      </c>
    </row>
    <row r="371" spans="1:10" x14ac:dyDescent="0.35">
      <c r="A371">
        <v>606110287791</v>
      </c>
      <c r="B371" t="s">
        <v>583</v>
      </c>
      <c r="C371" t="s">
        <v>472</v>
      </c>
      <c r="D371" t="s">
        <v>577</v>
      </c>
      <c r="E371" t="s">
        <v>578</v>
      </c>
      <c r="F371" t="s">
        <v>579</v>
      </c>
      <c r="G371" t="s">
        <v>117</v>
      </c>
      <c r="H371" t="s">
        <v>4563</v>
      </c>
      <c r="J371">
        <v>30</v>
      </c>
    </row>
    <row r="372" spans="1:10" x14ac:dyDescent="0.35">
      <c r="A372">
        <v>606110287814</v>
      </c>
      <c r="B372" t="s">
        <v>584</v>
      </c>
      <c r="C372" t="s">
        <v>472</v>
      </c>
      <c r="D372" t="s">
        <v>577</v>
      </c>
      <c r="E372" t="s">
        <v>578</v>
      </c>
      <c r="F372" t="s">
        <v>579</v>
      </c>
      <c r="G372" t="s">
        <v>117</v>
      </c>
      <c r="H372" t="s">
        <v>4563</v>
      </c>
      <c r="J372">
        <v>31</v>
      </c>
    </row>
    <row r="373" spans="1:10" x14ac:dyDescent="0.35">
      <c r="A373">
        <v>606110287968</v>
      </c>
      <c r="B373" t="s">
        <v>295</v>
      </c>
      <c r="C373" t="s">
        <v>472</v>
      </c>
      <c r="D373" t="s">
        <v>577</v>
      </c>
      <c r="E373" t="s">
        <v>578</v>
      </c>
      <c r="F373" t="s">
        <v>579</v>
      </c>
      <c r="G373" t="s">
        <v>117</v>
      </c>
      <c r="H373" t="s">
        <v>4563</v>
      </c>
      <c r="J373">
        <v>315</v>
      </c>
    </row>
    <row r="374" spans="1:10" x14ac:dyDescent="0.35">
      <c r="A374">
        <v>606110287968</v>
      </c>
      <c r="B374" t="s">
        <v>295</v>
      </c>
      <c r="C374" t="s">
        <v>472</v>
      </c>
      <c r="D374" t="s">
        <v>577</v>
      </c>
      <c r="E374" t="s">
        <v>578</v>
      </c>
      <c r="F374" t="s">
        <v>579</v>
      </c>
      <c r="G374" t="s">
        <v>33</v>
      </c>
      <c r="H374" t="s">
        <v>4563</v>
      </c>
      <c r="J374">
        <v>681</v>
      </c>
    </row>
    <row r="375" spans="1:10" x14ac:dyDescent="0.35">
      <c r="A375">
        <v>606110288088</v>
      </c>
      <c r="B375" t="s">
        <v>585</v>
      </c>
      <c r="C375" t="s">
        <v>472</v>
      </c>
      <c r="D375" t="s">
        <v>586</v>
      </c>
      <c r="E375" t="s">
        <v>578</v>
      </c>
      <c r="F375" t="s">
        <v>579</v>
      </c>
      <c r="G375" t="s">
        <v>578</v>
      </c>
      <c r="H375" t="s">
        <v>4563</v>
      </c>
      <c r="J375">
        <v>2</v>
      </c>
    </row>
    <row r="376" spans="1:10" x14ac:dyDescent="0.35">
      <c r="A376">
        <v>606110288095</v>
      </c>
      <c r="B376" t="s">
        <v>587</v>
      </c>
      <c r="C376" t="s">
        <v>472</v>
      </c>
      <c r="D376" t="s">
        <v>586</v>
      </c>
      <c r="E376" t="s">
        <v>578</v>
      </c>
      <c r="F376" t="s">
        <v>579</v>
      </c>
      <c r="G376" t="s">
        <v>578</v>
      </c>
      <c r="H376" t="s">
        <v>4563</v>
      </c>
      <c r="J376">
        <v>10</v>
      </c>
    </row>
    <row r="377" spans="1:10" x14ac:dyDescent="0.35">
      <c r="A377">
        <v>606110288118</v>
      </c>
      <c r="B377" t="s">
        <v>588</v>
      </c>
      <c r="C377" t="s">
        <v>472</v>
      </c>
      <c r="D377" t="s">
        <v>577</v>
      </c>
      <c r="E377" t="s">
        <v>578</v>
      </c>
      <c r="F377" t="s">
        <v>579</v>
      </c>
      <c r="G377" t="s">
        <v>117</v>
      </c>
      <c r="H377" t="s">
        <v>4563</v>
      </c>
      <c r="J377">
        <v>14</v>
      </c>
    </row>
    <row r="378" spans="1:10" x14ac:dyDescent="0.35">
      <c r="A378">
        <v>606110701099</v>
      </c>
      <c r="B378" t="s">
        <v>589</v>
      </c>
      <c r="C378" t="s">
        <v>9</v>
      </c>
      <c r="D378" t="s">
        <v>590</v>
      </c>
      <c r="E378" t="s">
        <v>34</v>
      </c>
      <c r="F378" t="s">
        <v>591</v>
      </c>
      <c r="G378" t="s">
        <v>34</v>
      </c>
      <c r="H378" t="s">
        <v>4564</v>
      </c>
      <c r="J378">
        <v>93</v>
      </c>
    </row>
    <row r="379" spans="1:10" x14ac:dyDescent="0.35">
      <c r="A379">
        <v>606110701105</v>
      </c>
      <c r="B379" t="s">
        <v>592</v>
      </c>
      <c r="C379" t="s">
        <v>192</v>
      </c>
      <c r="D379" t="s">
        <v>590</v>
      </c>
      <c r="E379" t="s">
        <v>34</v>
      </c>
      <c r="F379" t="s">
        <v>591</v>
      </c>
      <c r="G379" t="s">
        <v>34</v>
      </c>
      <c r="H379" t="s">
        <v>4564</v>
      </c>
      <c r="J379">
        <v>3</v>
      </c>
    </row>
    <row r="380" spans="1:10" x14ac:dyDescent="0.35">
      <c r="A380">
        <v>606110701112</v>
      </c>
      <c r="B380" t="s">
        <v>592</v>
      </c>
      <c r="C380" t="s">
        <v>36</v>
      </c>
      <c r="D380" t="s">
        <v>590</v>
      </c>
      <c r="E380" t="s">
        <v>34</v>
      </c>
      <c r="F380" t="s">
        <v>591</v>
      </c>
      <c r="G380" t="s">
        <v>34</v>
      </c>
      <c r="H380" t="s">
        <v>4564</v>
      </c>
      <c r="J380">
        <v>3</v>
      </c>
    </row>
    <row r="381" spans="1:10" x14ac:dyDescent="0.35">
      <c r="A381">
        <v>606110790734</v>
      </c>
      <c r="B381" t="s">
        <v>593</v>
      </c>
      <c r="C381" t="s">
        <v>472</v>
      </c>
      <c r="D381" t="s">
        <v>594</v>
      </c>
      <c r="E381" t="s">
        <v>33</v>
      </c>
      <c r="F381" t="s">
        <v>595</v>
      </c>
      <c r="G381" t="s">
        <v>33</v>
      </c>
      <c r="H381" t="s">
        <v>4565</v>
      </c>
      <c r="J381">
        <v>20</v>
      </c>
    </row>
    <row r="382" spans="1:10" x14ac:dyDescent="0.35">
      <c r="A382">
        <v>608887089158</v>
      </c>
      <c r="B382" t="s">
        <v>596</v>
      </c>
      <c r="C382" t="s">
        <v>454</v>
      </c>
      <c r="D382" t="s">
        <v>597</v>
      </c>
      <c r="E382" t="s">
        <v>598</v>
      </c>
      <c r="F382" t="s">
        <v>599</v>
      </c>
      <c r="G382" t="s">
        <v>41</v>
      </c>
      <c r="H382" t="s">
        <v>4566</v>
      </c>
      <c r="J382">
        <v>50</v>
      </c>
    </row>
    <row r="383" spans="1:10" x14ac:dyDescent="0.35">
      <c r="A383">
        <v>608887110692</v>
      </c>
      <c r="B383" t="s">
        <v>581</v>
      </c>
      <c r="C383" t="s">
        <v>110</v>
      </c>
      <c r="D383" t="s">
        <v>600</v>
      </c>
      <c r="E383" t="s">
        <v>387</v>
      </c>
      <c r="F383" t="s">
        <v>601</v>
      </c>
      <c r="G383" t="s">
        <v>387</v>
      </c>
      <c r="H383" t="s">
        <v>4567</v>
      </c>
      <c r="J383">
        <v>2</v>
      </c>
    </row>
    <row r="384" spans="1:10" x14ac:dyDescent="0.35">
      <c r="A384">
        <v>608887110753</v>
      </c>
      <c r="B384" t="s">
        <v>581</v>
      </c>
      <c r="C384" t="s">
        <v>110</v>
      </c>
      <c r="D384" t="s">
        <v>600</v>
      </c>
      <c r="E384" t="s">
        <v>387</v>
      </c>
      <c r="F384" t="s">
        <v>601</v>
      </c>
      <c r="G384" t="s">
        <v>387</v>
      </c>
      <c r="H384" t="s">
        <v>4567</v>
      </c>
      <c r="J384">
        <v>3</v>
      </c>
    </row>
    <row r="385" spans="1:10" x14ac:dyDescent="0.35">
      <c r="A385">
        <v>608887110890</v>
      </c>
      <c r="B385" t="s">
        <v>602</v>
      </c>
      <c r="C385" t="s">
        <v>603</v>
      </c>
      <c r="D385" t="s">
        <v>604</v>
      </c>
      <c r="E385" t="s">
        <v>387</v>
      </c>
      <c r="F385" t="s">
        <v>601</v>
      </c>
      <c r="G385" t="s">
        <v>387</v>
      </c>
      <c r="H385" t="s">
        <v>4567</v>
      </c>
      <c r="J385">
        <v>2</v>
      </c>
    </row>
    <row r="386" spans="1:10" x14ac:dyDescent="0.35">
      <c r="A386">
        <v>608887110968</v>
      </c>
      <c r="B386" t="s">
        <v>605</v>
      </c>
      <c r="C386" t="s">
        <v>110</v>
      </c>
      <c r="D386" t="s">
        <v>604</v>
      </c>
      <c r="E386" t="s">
        <v>387</v>
      </c>
      <c r="F386" t="s">
        <v>601</v>
      </c>
      <c r="G386" t="s">
        <v>387</v>
      </c>
      <c r="H386" t="s">
        <v>4567</v>
      </c>
      <c r="J386">
        <v>5</v>
      </c>
    </row>
    <row r="387" spans="1:10" x14ac:dyDescent="0.35">
      <c r="A387">
        <v>610696090768</v>
      </c>
      <c r="B387" t="s">
        <v>606</v>
      </c>
      <c r="C387" t="s">
        <v>472</v>
      </c>
      <c r="D387" t="s">
        <v>607</v>
      </c>
      <c r="E387" t="s">
        <v>22</v>
      </c>
      <c r="F387" t="s">
        <v>608</v>
      </c>
      <c r="G387" t="s">
        <v>34</v>
      </c>
      <c r="H387" t="s">
        <v>4568</v>
      </c>
      <c r="J387">
        <v>23</v>
      </c>
    </row>
    <row r="388" spans="1:10" x14ac:dyDescent="0.35">
      <c r="A388">
        <v>611355387281</v>
      </c>
      <c r="B388" t="s">
        <v>609</v>
      </c>
      <c r="C388" t="s">
        <v>610</v>
      </c>
      <c r="D388" t="s">
        <v>611</v>
      </c>
      <c r="E388" t="s">
        <v>308</v>
      </c>
      <c r="F388" t="s">
        <v>309</v>
      </c>
      <c r="G388" t="s">
        <v>578</v>
      </c>
      <c r="H388" t="s">
        <v>4529</v>
      </c>
      <c r="J388">
        <v>7</v>
      </c>
    </row>
    <row r="389" spans="1:10" x14ac:dyDescent="0.35">
      <c r="A389">
        <v>612001783037</v>
      </c>
      <c r="B389" t="s">
        <v>612</v>
      </c>
      <c r="C389" t="s">
        <v>568</v>
      </c>
      <c r="D389" t="s">
        <v>613</v>
      </c>
      <c r="E389" t="s">
        <v>15</v>
      </c>
      <c r="F389" t="s">
        <v>460</v>
      </c>
      <c r="G389" t="s">
        <v>22</v>
      </c>
      <c r="H389" t="s">
        <v>4554</v>
      </c>
      <c r="J389">
        <v>1</v>
      </c>
    </row>
    <row r="390" spans="1:10" x14ac:dyDescent="0.35">
      <c r="A390">
        <v>612101726422</v>
      </c>
      <c r="B390" t="s">
        <v>614</v>
      </c>
      <c r="C390" t="s">
        <v>615</v>
      </c>
      <c r="D390" t="s">
        <v>613</v>
      </c>
      <c r="E390" t="s">
        <v>15</v>
      </c>
      <c r="F390" t="s">
        <v>460</v>
      </c>
      <c r="G390" t="s">
        <v>22</v>
      </c>
      <c r="H390" t="s">
        <v>4554</v>
      </c>
      <c r="J390">
        <v>1</v>
      </c>
    </row>
    <row r="391" spans="1:10" x14ac:dyDescent="0.35">
      <c r="A391">
        <v>612118218422</v>
      </c>
      <c r="B391" t="s">
        <v>616</v>
      </c>
      <c r="C391" t="s">
        <v>617</v>
      </c>
      <c r="D391" t="s">
        <v>613</v>
      </c>
      <c r="E391" t="s">
        <v>15</v>
      </c>
      <c r="F391" t="s">
        <v>460</v>
      </c>
      <c r="G391" t="s">
        <v>22</v>
      </c>
      <c r="H391" t="s">
        <v>4554</v>
      </c>
      <c r="J391">
        <v>1</v>
      </c>
    </row>
    <row r="392" spans="1:10" x14ac:dyDescent="0.35">
      <c r="A392">
        <v>613008725792</v>
      </c>
      <c r="B392" t="s">
        <v>618</v>
      </c>
      <c r="C392" t="s">
        <v>53</v>
      </c>
      <c r="D392" t="s">
        <v>619</v>
      </c>
      <c r="E392" t="s">
        <v>15</v>
      </c>
      <c r="F392" t="s">
        <v>620</v>
      </c>
      <c r="G392" t="s">
        <v>41</v>
      </c>
      <c r="H392" t="s">
        <v>4569</v>
      </c>
      <c r="J392">
        <v>13</v>
      </c>
    </row>
    <row r="393" spans="1:10" x14ac:dyDescent="0.35">
      <c r="A393">
        <v>61314000032</v>
      </c>
      <c r="B393" t="s">
        <v>212</v>
      </c>
      <c r="C393" t="s">
        <v>9</v>
      </c>
      <c r="D393" t="s">
        <v>219</v>
      </c>
      <c r="E393" t="s">
        <v>130</v>
      </c>
      <c r="F393" t="s">
        <v>220</v>
      </c>
      <c r="G393" t="s">
        <v>16</v>
      </c>
      <c r="H393" t="s">
        <v>4520</v>
      </c>
      <c r="J393">
        <v>1</v>
      </c>
    </row>
    <row r="394" spans="1:10" x14ac:dyDescent="0.35">
      <c r="A394">
        <v>61314000070</v>
      </c>
      <c r="B394" t="s">
        <v>621</v>
      </c>
      <c r="C394" t="s">
        <v>81</v>
      </c>
      <c r="D394" t="s">
        <v>219</v>
      </c>
      <c r="E394" t="s">
        <v>130</v>
      </c>
      <c r="F394" t="s">
        <v>220</v>
      </c>
      <c r="G394" t="s">
        <v>16</v>
      </c>
      <c r="H394" t="s">
        <v>4520</v>
      </c>
      <c r="J394">
        <v>8</v>
      </c>
    </row>
    <row r="395" spans="1:10" x14ac:dyDescent="0.35">
      <c r="A395">
        <v>616050664149</v>
      </c>
      <c r="B395" t="s">
        <v>622</v>
      </c>
      <c r="C395" t="s">
        <v>623</v>
      </c>
      <c r="D395" t="s">
        <v>624</v>
      </c>
      <c r="E395" t="s">
        <v>31</v>
      </c>
      <c r="F395" t="s">
        <v>625</v>
      </c>
      <c r="G395" t="s">
        <v>31</v>
      </c>
      <c r="H395" t="s">
        <v>4570</v>
      </c>
      <c r="J395">
        <v>62</v>
      </c>
    </row>
    <row r="396" spans="1:10" x14ac:dyDescent="0.35">
      <c r="A396">
        <v>617669180563</v>
      </c>
      <c r="B396" t="s">
        <v>626</v>
      </c>
      <c r="C396" t="s">
        <v>627</v>
      </c>
      <c r="D396" t="s">
        <v>628</v>
      </c>
      <c r="E396" t="s">
        <v>11</v>
      </c>
      <c r="F396" t="s">
        <v>629</v>
      </c>
      <c r="G396" t="s">
        <v>11</v>
      </c>
      <c r="H396" t="s">
        <v>4571</v>
      </c>
      <c r="J396">
        <v>1</v>
      </c>
    </row>
    <row r="397" spans="1:10" x14ac:dyDescent="0.35">
      <c r="A397">
        <v>617669180570</v>
      </c>
      <c r="B397" t="s">
        <v>626</v>
      </c>
      <c r="C397" t="s">
        <v>630</v>
      </c>
      <c r="D397" t="s">
        <v>628</v>
      </c>
      <c r="E397" t="s">
        <v>11</v>
      </c>
      <c r="F397" t="s">
        <v>629</v>
      </c>
      <c r="G397" t="s">
        <v>11</v>
      </c>
      <c r="H397" t="s">
        <v>4571</v>
      </c>
      <c r="J397">
        <v>1</v>
      </c>
    </row>
    <row r="398" spans="1:10" x14ac:dyDescent="0.35">
      <c r="A398">
        <v>6200017</v>
      </c>
      <c r="B398" t="s">
        <v>631</v>
      </c>
      <c r="C398" t="s">
        <v>9</v>
      </c>
      <c r="D398" t="s">
        <v>514</v>
      </c>
      <c r="E398" t="s">
        <v>15</v>
      </c>
      <c r="F398" t="s">
        <v>25</v>
      </c>
      <c r="G398" t="s">
        <v>16</v>
      </c>
      <c r="H398" t="s">
        <v>4491</v>
      </c>
      <c r="J398">
        <v>2</v>
      </c>
    </row>
    <row r="399" spans="1:10" x14ac:dyDescent="0.35">
      <c r="A399">
        <v>620042152408</v>
      </c>
      <c r="B399" t="s">
        <v>632</v>
      </c>
      <c r="C399" t="s">
        <v>9</v>
      </c>
      <c r="D399" t="s">
        <v>632</v>
      </c>
      <c r="E399" t="s">
        <v>15</v>
      </c>
      <c r="F399" t="s">
        <v>633</v>
      </c>
      <c r="G399" t="s">
        <v>16</v>
      </c>
      <c r="H399" t="s">
        <v>4572</v>
      </c>
      <c r="J399">
        <v>2</v>
      </c>
    </row>
    <row r="400" spans="1:10" x14ac:dyDescent="0.35">
      <c r="A400">
        <v>620101005218</v>
      </c>
      <c r="B400" t="s">
        <v>634</v>
      </c>
      <c r="C400" t="s">
        <v>635</v>
      </c>
      <c r="D400" t="s">
        <v>636</v>
      </c>
      <c r="E400" t="s">
        <v>637</v>
      </c>
      <c r="F400" t="s">
        <v>638</v>
      </c>
      <c r="G400" t="s">
        <v>61</v>
      </c>
      <c r="H400" t="s">
        <v>4573</v>
      </c>
      <c r="J400">
        <v>1</v>
      </c>
    </row>
    <row r="401" spans="1:10" x14ac:dyDescent="0.35">
      <c r="A401">
        <v>620213015600</v>
      </c>
      <c r="B401" t="s">
        <v>339</v>
      </c>
      <c r="C401" t="s">
        <v>128</v>
      </c>
      <c r="D401" t="s">
        <v>639</v>
      </c>
      <c r="E401" t="s">
        <v>640</v>
      </c>
      <c r="F401" t="s">
        <v>641</v>
      </c>
      <c r="G401" t="s">
        <v>16</v>
      </c>
      <c r="H401" t="s">
        <v>4574</v>
      </c>
      <c r="J401">
        <v>13</v>
      </c>
    </row>
    <row r="402" spans="1:10" x14ac:dyDescent="0.35">
      <c r="A402">
        <v>620213015709</v>
      </c>
      <c r="B402" t="s">
        <v>339</v>
      </c>
      <c r="C402" t="s">
        <v>36</v>
      </c>
      <c r="D402" t="s">
        <v>639</v>
      </c>
      <c r="E402" t="s">
        <v>640</v>
      </c>
      <c r="F402" t="s">
        <v>641</v>
      </c>
      <c r="G402" t="s">
        <v>16</v>
      </c>
      <c r="H402" t="s">
        <v>4574</v>
      </c>
      <c r="J402">
        <v>9</v>
      </c>
    </row>
    <row r="403" spans="1:10" x14ac:dyDescent="0.35">
      <c r="A403">
        <v>62100011263</v>
      </c>
      <c r="B403" t="s">
        <v>642</v>
      </c>
      <c r="C403" t="s">
        <v>9</v>
      </c>
      <c r="D403" t="s">
        <v>514</v>
      </c>
      <c r="E403" t="s">
        <v>15</v>
      </c>
      <c r="F403" t="s">
        <v>25</v>
      </c>
      <c r="G403" t="s">
        <v>16</v>
      </c>
      <c r="H403" t="s">
        <v>4491</v>
      </c>
      <c r="J403">
        <v>1</v>
      </c>
    </row>
    <row r="404" spans="1:10" x14ac:dyDescent="0.35">
      <c r="A404">
        <v>621033967506</v>
      </c>
      <c r="B404" t="s">
        <v>589</v>
      </c>
      <c r="C404" t="s">
        <v>9</v>
      </c>
      <c r="D404" t="s">
        <v>643</v>
      </c>
      <c r="E404" t="s">
        <v>34</v>
      </c>
      <c r="F404" t="s">
        <v>644</v>
      </c>
      <c r="G404" t="s">
        <v>34</v>
      </c>
      <c r="H404" t="s">
        <v>4575</v>
      </c>
      <c r="J404">
        <v>150</v>
      </c>
    </row>
    <row r="405" spans="1:10" x14ac:dyDescent="0.35">
      <c r="A405">
        <v>6210519</v>
      </c>
      <c r="B405" t="s">
        <v>645</v>
      </c>
      <c r="C405" t="s">
        <v>9</v>
      </c>
      <c r="D405" t="s">
        <v>514</v>
      </c>
      <c r="E405" t="s">
        <v>15</v>
      </c>
      <c r="F405" t="s">
        <v>25</v>
      </c>
      <c r="G405" t="s">
        <v>16</v>
      </c>
      <c r="H405" t="s">
        <v>4491</v>
      </c>
      <c r="J405">
        <v>2</v>
      </c>
    </row>
    <row r="406" spans="1:10" x14ac:dyDescent="0.35">
      <c r="A406">
        <v>6211615</v>
      </c>
      <c r="B406" t="s">
        <v>646</v>
      </c>
      <c r="C406" t="s">
        <v>253</v>
      </c>
      <c r="D406" t="s">
        <v>514</v>
      </c>
      <c r="E406" t="s">
        <v>15</v>
      </c>
      <c r="F406" t="s">
        <v>25</v>
      </c>
      <c r="G406" t="s">
        <v>16</v>
      </c>
      <c r="H406" t="s">
        <v>4491</v>
      </c>
      <c r="J406">
        <v>1</v>
      </c>
    </row>
    <row r="407" spans="1:10" x14ac:dyDescent="0.35">
      <c r="A407">
        <v>6211712</v>
      </c>
      <c r="B407" t="s">
        <v>647</v>
      </c>
      <c r="C407" t="s">
        <v>272</v>
      </c>
      <c r="D407" t="s">
        <v>514</v>
      </c>
      <c r="E407" t="s">
        <v>15</v>
      </c>
      <c r="F407" t="s">
        <v>25</v>
      </c>
      <c r="G407" t="s">
        <v>16</v>
      </c>
      <c r="H407" t="s">
        <v>4491</v>
      </c>
      <c r="J407">
        <v>2</v>
      </c>
    </row>
    <row r="408" spans="1:10" x14ac:dyDescent="0.35">
      <c r="A408">
        <v>6212313</v>
      </c>
      <c r="B408" t="s">
        <v>648</v>
      </c>
      <c r="C408" t="s">
        <v>38</v>
      </c>
      <c r="D408" t="s">
        <v>514</v>
      </c>
      <c r="E408" t="s">
        <v>15</v>
      </c>
      <c r="F408" t="s">
        <v>25</v>
      </c>
      <c r="G408" t="s">
        <v>16</v>
      </c>
      <c r="H408" t="s">
        <v>4491</v>
      </c>
      <c r="J408">
        <v>1</v>
      </c>
    </row>
    <row r="409" spans="1:10" x14ac:dyDescent="0.35">
      <c r="A409">
        <v>6215718</v>
      </c>
      <c r="B409" t="s">
        <v>394</v>
      </c>
      <c r="C409" t="s">
        <v>78</v>
      </c>
      <c r="D409" t="s">
        <v>514</v>
      </c>
      <c r="E409" t="s">
        <v>15</v>
      </c>
      <c r="F409" t="s">
        <v>25</v>
      </c>
      <c r="G409" t="s">
        <v>16</v>
      </c>
      <c r="H409" t="s">
        <v>4491</v>
      </c>
      <c r="J409">
        <v>6</v>
      </c>
    </row>
    <row r="410" spans="1:10" x14ac:dyDescent="0.35">
      <c r="A410">
        <v>6221010</v>
      </c>
      <c r="B410" t="s">
        <v>631</v>
      </c>
      <c r="C410" t="s">
        <v>146</v>
      </c>
      <c r="D410" t="s">
        <v>514</v>
      </c>
      <c r="E410" t="s">
        <v>15</v>
      </c>
      <c r="F410" t="s">
        <v>25</v>
      </c>
      <c r="G410" t="s">
        <v>16</v>
      </c>
      <c r="H410" t="s">
        <v>4491</v>
      </c>
      <c r="J410">
        <v>45</v>
      </c>
    </row>
    <row r="411" spans="1:10" x14ac:dyDescent="0.35">
      <c r="A411">
        <v>623235214839</v>
      </c>
      <c r="B411" t="s">
        <v>649</v>
      </c>
      <c r="C411" t="s">
        <v>81</v>
      </c>
      <c r="D411" t="s">
        <v>650</v>
      </c>
      <c r="E411" t="s">
        <v>71</v>
      </c>
      <c r="F411" t="s">
        <v>72</v>
      </c>
      <c r="G411" t="s">
        <v>22</v>
      </c>
      <c r="H411" t="s">
        <v>4501</v>
      </c>
      <c r="J411">
        <v>1</v>
      </c>
    </row>
    <row r="412" spans="1:10" x14ac:dyDescent="0.35">
      <c r="A412">
        <v>626570616672</v>
      </c>
      <c r="B412" t="s">
        <v>544</v>
      </c>
      <c r="C412" t="s">
        <v>472</v>
      </c>
      <c r="D412" t="s">
        <v>651</v>
      </c>
      <c r="E412" t="s">
        <v>61</v>
      </c>
      <c r="F412" t="s">
        <v>652</v>
      </c>
      <c r="G412" t="s">
        <v>61</v>
      </c>
      <c r="H412" t="s">
        <v>4576</v>
      </c>
      <c r="J412">
        <v>100</v>
      </c>
    </row>
    <row r="413" spans="1:10" x14ac:dyDescent="0.35">
      <c r="A413">
        <v>627098163365</v>
      </c>
      <c r="B413" t="s">
        <v>653</v>
      </c>
      <c r="C413" t="s">
        <v>654</v>
      </c>
      <c r="D413" t="s">
        <v>655</v>
      </c>
      <c r="E413" t="s">
        <v>16</v>
      </c>
      <c r="F413" t="s">
        <v>656</v>
      </c>
      <c r="G413" t="s">
        <v>16</v>
      </c>
      <c r="H413" t="s">
        <v>4577</v>
      </c>
      <c r="J413">
        <v>1</v>
      </c>
    </row>
    <row r="414" spans="1:10" x14ac:dyDescent="0.35">
      <c r="A414">
        <v>629071000322</v>
      </c>
      <c r="B414" t="s">
        <v>657</v>
      </c>
      <c r="C414" t="s">
        <v>278</v>
      </c>
      <c r="D414" t="s">
        <v>398</v>
      </c>
      <c r="E414" t="s">
        <v>399</v>
      </c>
      <c r="F414" t="s">
        <v>400</v>
      </c>
      <c r="G414" t="s">
        <v>16</v>
      </c>
      <c r="H414" t="s">
        <v>4545</v>
      </c>
      <c r="J414">
        <v>1</v>
      </c>
    </row>
    <row r="415" spans="1:10" x14ac:dyDescent="0.35">
      <c r="A415">
        <v>630282995963</v>
      </c>
      <c r="B415" t="s">
        <v>658</v>
      </c>
      <c r="C415" t="s">
        <v>659</v>
      </c>
      <c r="D415" t="s">
        <v>660</v>
      </c>
      <c r="E415" t="s">
        <v>41</v>
      </c>
      <c r="F415" t="s">
        <v>661</v>
      </c>
      <c r="G415" t="s">
        <v>41</v>
      </c>
      <c r="H415" t="s">
        <v>4578</v>
      </c>
      <c r="J415">
        <v>45</v>
      </c>
    </row>
    <row r="416" spans="1:10" x14ac:dyDescent="0.35">
      <c r="A416">
        <v>63124005443</v>
      </c>
      <c r="B416" t="s">
        <v>269</v>
      </c>
      <c r="C416" t="s">
        <v>253</v>
      </c>
      <c r="D416" t="s">
        <v>224</v>
      </c>
      <c r="E416" t="s">
        <v>16</v>
      </c>
      <c r="F416" t="s">
        <v>225</v>
      </c>
      <c r="G416" t="s">
        <v>16</v>
      </c>
      <c r="H416" t="s">
        <v>4521</v>
      </c>
      <c r="J416">
        <v>2</v>
      </c>
    </row>
    <row r="417" spans="1:10" x14ac:dyDescent="0.35">
      <c r="A417">
        <v>631282994963</v>
      </c>
      <c r="B417" t="s">
        <v>662</v>
      </c>
      <c r="C417" t="s">
        <v>663</v>
      </c>
      <c r="D417" t="s">
        <v>660</v>
      </c>
      <c r="E417" t="s">
        <v>41</v>
      </c>
      <c r="F417" t="s">
        <v>661</v>
      </c>
      <c r="G417" t="s">
        <v>41</v>
      </c>
      <c r="H417" t="s">
        <v>4578</v>
      </c>
      <c r="J417">
        <v>50</v>
      </c>
    </row>
    <row r="418" spans="1:10" x14ac:dyDescent="0.35">
      <c r="A418">
        <v>63209091736</v>
      </c>
      <c r="B418" t="s">
        <v>664</v>
      </c>
      <c r="C418" t="s">
        <v>38</v>
      </c>
      <c r="D418" t="s">
        <v>227</v>
      </c>
      <c r="E418" t="s">
        <v>16</v>
      </c>
      <c r="F418" t="s">
        <v>228</v>
      </c>
      <c r="G418" t="s">
        <v>16</v>
      </c>
      <c r="H418" t="s">
        <v>4522</v>
      </c>
      <c r="J418">
        <v>8</v>
      </c>
    </row>
    <row r="419" spans="1:10" x14ac:dyDescent="0.35">
      <c r="A419">
        <v>6328986</v>
      </c>
      <c r="B419" t="s">
        <v>229</v>
      </c>
      <c r="C419" t="s">
        <v>230</v>
      </c>
      <c r="D419" t="s">
        <v>227</v>
      </c>
      <c r="E419" t="s">
        <v>16</v>
      </c>
      <c r="F419" t="s">
        <v>228</v>
      </c>
      <c r="G419" t="s">
        <v>16</v>
      </c>
      <c r="H419" t="s">
        <v>4522</v>
      </c>
      <c r="J419">
        <v>3</v>
      </c>
    </row>
    <row r="420" spans="1:10" x14ac:dyDescent="0.35">
      <c r="A420">
        <v>6392192</v>
      </c>
      <c r="B420" t="s">
        <v>269</v>
      </c>
      <c r="C420" t="s">
        <v>110</v>
      </c>
      <c r="D420" t="s">
        <v>260</v>
      </c>
      <c r="E420" t="s">
        <v>16</v>
      </c>
      <c r="F420" t="s">
        <v>261</v>
      </c>
      <c r="G420" t="s">
        <v>16</v>
      </c>
      <c r="H420" t="s">
        <v>4524</v>
      </c>
      <c r="J420">
        <v>1</v>
      </c>
    </row>
    <row r="421" spans="1:10" x14ac:dyDescent="0.35">
      <c r="A421">
        <v>6440060</v>
      </c>
      <c r="B421" t="s">
        <v>235</v>
      </c>
      <c r="C421" t="s">
        <v>9</v>
      </c>
      <c r="D421" t="s">
        <v>27</v>
      </c>
      <c r="E421" t="s">
        <v>16</v>
      </c>
      <c r="F421" t="s">
        <v>28</v>
      </c>
      <c r="G421" t="s">
        <v>16</v>
      </c>
      <c r="H421" t="s">
        <v>4492</v>
      </c>
      <c r="J421">
        <v>3</v>
      </c>
    </row>
    <row r="422" spans="1:10" x14ac:dyDescent="0.35">
      <c r="A422">
        <v>64480001018</v>
      </c>
      <c r="B422" t="s">
        <v>167</v>
      </c>
      <c r="C422" t="s">
        <v>214</v>
      </c>
      <c r="D422" t="s">
        <v>27</v>
      </c>
      <c r="E422" t="s">
        <v>16</v>
      </c>
      <c r="F422" t="s">
        <v>28</v>
      </c>
      <c r="G422" t="s">
        <v>16</v>
      </c>
      <c r="H422" t="s">
        <v>4492</v>
      </c>
      <c r="J422">
        <v>1</v>
      </c>
    </row>
    <row r="423" spans="1:10" x14ac:dyDescent="0.35">
      <c r="A423">
        <v>64480001032</v>
      </c>
      <c r="B423" t="s">
        <v>252</v>
      </c>
      <c r="C423" t="s">
        <v>214</v>
      </c>
      <c r="D423" t="s">
        <v>27</v>
      </c>
      <c r="E423" t="s">
        <v>16</v>
      </c>
      <c r="F423" t="s">
        <v>28</v>
      </c>
      <c r="G423" t="s">
        <v>16</v>
      </c>
      <c r="H423" t="s">
        <v>4492</v>
      </c>
      <c r="J423">
        <v>1</v>
      </c>
    </row>
    <row r="424" spans="1:10" x14ac:dyDescent="0.35">
      <c r="A424">
        <v>64480001049</v>
      </c>
      <c r="B424" t="s">
        <v>665</v>
      </c>
      <c r="C424" t="s">
        <v>214</v>
      </c>
      <c r="D424" t="s">
        <v>27</v>
      </c>
      <c r="E424" t="s">
        <v>16</v>
      </c>
      <c r="F424" t="s">
        <v>28</v>
      </c>
      <c r="G424" t="s">
        <v>16</v>
      </c>
      <c r="H424" t="s">
        <v>4492</v>
      </c>
      <c r="J424">
        <v>1</v>
      </c>
    </row>
    <row r="425" spans="1:10" x14ac:dyDescent="0.35">
      <c r="A425">
        <v>64480001100</v>
      </c>
      <c r="B425" t="s">
        <v>666</v>
      </c>
      <c r="C425" t="s">
        <v>78</v>
      </c>
      <c r="D425" t="s">
        <v>27</v>
      </c>
      <c r="E425" t="s">
        <v>16</v>
      </c>
      <c r="F425" t="s">
        <v>28</v>
      </c>
      <c r="G425" t="s">
        <v>16</v>
      </c>
      <c r="H425" t="s">
        <v>4492</v>
      </c>
      <c r="J425">
        <v>7</v>
      </c>
    </row>
    <row r="426" spans="1:10" x14ac:dyDescent="0.35">
      <c r="A426">
        <v>64480001254</v>
      </c>
      <c r="B426" t="s">
        <v>667</v>
      </c>
      <c r="C426" t="s">
        <v>214</v>
      </c>
      <c r="D426" t="s">
        <v>27</v>
      </c>
      <c r="E426" t="s">
        <v>16</v>
      </c>
      <c r="F426" t="s">
        <v>28</v>
      </c>
      <c r="G426" t="s">
        <v>16</v>
      </c>
      <c r="H426" t="s">
        <v>4492</v>
      </c>
      <c r="J426">
        <v>2</v>
      </c>
    </row>
    <row r="427" spans="1:10" x14ac:dyDescent="0.35">
      <c r="A427">
        <v>64480003005</v>
      </c>
      <c r="B427" t="s">
        <v>668</v>
      </c>
      <c r="C427" t="s">
        <v>278</v>
      </c>
      <c r="D427" t="s">
        <v>27</v>
      </c>
      <c r="E427" t="s">
        <v>16</v>
      </c>
      <c r="F427" t="s">
        <v>28</v>
      </c>
      <c r="G427" t="s">
        <v>16</v>
      </c>
      <c r="H427" t="s">
        <v>4492</v>
      </c>
      <c r="J427">
        <v>2</v>
      </c>
    </row>
    <row r="428" spans="1:10" x14ac:dyDescent="0.35">
      <c r="A428">
        <v>64480003012</v>
      </c>
      <c r="B428" t="s">
        <v>669</v>
      </c>
      <c r="C428" t="s">
        <v>278</v>
      </c>
      <c r="D428" t="s">
        <v>27</v>
      </c>
      <c r="E428" t="s">
        <v>16</v>
      </c>
      <c r="F428" t="s">
        <v>28</v>
      </c>
      <c r="G428" t="s">
        <v>16</v>
      </c>
      <c r="H428" t="s">
        <v>4492</v>
      </c>
      <c r="J428">
        <v>4</v>
      </c>
    </row>
    <row r="429" spans="1:10" x14ac:dyDescent="0.35">
      <c r="A429">
        <v>64480003029</v>
      </c>
      <c r="B429" t="s">
        <v>26</v>
      </c>
      <c r="C429" t="s">
        <v>181</v>
      </c>
      <c r="D429" t="s">
        <v>27</v>
      </c>
      <c r="E429" t="s">
        <v>16</v>
      </c>
      <c r="F429" t="s">
        <v>28</v>
      </c>
      <c r="G429" t="s">
        <v>16</v>
      </c>
      <c r="H429" t="s">
        <v>4492</v>
      </c>
      <c r="J429">
        <v>5</v>
      </c>
    </row>
    <row r="430" spans="1:10" x14ac:dyDescent="0.35">
      <c r="A430">
        <v>64480003043</v>
      </c>
      <c r="B430" t="s">
        <v>670</v>
      </c>
      <c r="C430" t="s">
        <v>278</v>
      </c>
      <c r="D430" t="s">
        <v>27</v>
      </c>
      <c r="E430" t="s">
        <v>16</v>
      </c>
      <c r="F430" t="s">
        <v>28</v>
      </c>
      <c r="G430" t="s">
        <v>16</v>
      </c>
      <c r="H430" t="s">
        <v>4492</v>
      </c>
      <c r="J430">
        <v>2</v>
      </c>
    </row>
    <row r="431" spans="1:10" x14ac:dyDescent="0.35">
      <c r="A431">
        <v>64480003050</v>
      </c>
      <c r="B431" t="s">
        <v>671</v>
      </c>
      <c r="C431" t="s">
        <v>278</v>
      </c>
      <c r="D431" t="s">
        <v>27</v>
      </c>
      <c r="E431" t="s">
        <v>16</v>
      </c>
      <c r="F431" t="s">
        <v>28</v>
      </c>
      <c r="G431" t="s">
        <v>16</v>
      </c>
      <c r="H431" t="s">
        <v>4492</v>
      </c>
      <c r="J431">
        <v>3</v>
      </c>
    </row>
    <row r="432" spans="1:10" x14ac:dyDescent="0.35">
      <c r="A432">
        <v>64480003067</v>
      </c>
      <c r="B432" t="s">
        <v>394</v>
      </c>
      <c r="C432" t="s">
        <v>278</v>
      </c>
      <c r="D432" t="s">
        <v>27</v>
      </c>
      <c r="E432" t="s">
        <v>16</v>
      </c>
      <c r="F432" t="s">
        <v>28</v>
      </c>
      <c r="G432" t="s">
        <v>16</v>
      </c>
      <c r="H432" t="s">
        <v>4492</v>
      </c>
      <c r="J432">
        <v>2</v>
      </c>
    </row>
    <row r="433" spans="1:10" x14ac:dyDescent="0.35">
      <c r="A433">
        <v>64480006013</v>
      </c>
      <c r="B433" t="s">
        <v>672</v>
      </c>
      <c r="C433" t="s">
        <v>9</v>
      </c>
      <c r="D433" t="s">
        <v>27</v>
      </c>
      <c r="E433" t="s">
        <v>16</v>
      </c>
      <c r="F433" t="s">
        <v>28</v>
      </c>
      <c r="G433" t="s">
        <v>16</v>
      </c>
      <c r="H433" t="s">
        <v>4492</v>
      </c>
      <c r="J433">
        <v>67</v>
      </c>
    </row>
    <row r="434" spans="1:10" x14ac:dyDescent="0.35">
      <c r="A434">
        <v>64480006150</v>
      </c>
      <c r="B434" t="s">
        <v>235</v>
      </c>
      <c r="C434" t="s">
        <v>673</v>
      </c>
      <c r="D434" t="s">
        <v>27</v>
      </c>
      <c r="E434" t="s">
        <v>16</v>
      </c>
      <c r="F434" t="s">
        <v>28</v>
      </c>
      <c r="G434" t="s">
        <v>16</v>
      </c>
      <c r="H434" t="s">
        <v>4492</v>
      </c>
      <c r="J434">
        <v>4</v>
      </c>
    </row>
    <row r="435" spans="1:10" x14ac:dyDescent="0.35">
      <c r="A435">
        <v>64480006259</v>
      </c>
      <c r="B435" t="s">
        <v>674</v>
      </c>
      <c r="C435" t="s">
        <v>110</v>
      </c>
      <c r="D435" t="s">
        <v>27</v>
      </c>
      <c r="E435" t="s">
        <v>16</v>
      </c>
      <c r="F435" t="s">
        <v>28</v>
      </c>
      <c r="G435" t="s">
        <v>16</v>
      </c>
      <c r="H435" t="s">
        <v>4492</v>
      </c>
      <c r="J435">
        <v>2</v>
      </c>
    </row>
    <row r="436" spans="1:10" x14ac:dyDescent="0.35">
      <c r="A436">
        <v>64480095291</v>
      </c>
      <c r="B436" t="s">
        <v>675</v>
      </c>
      <c r="C436" t="s">
        <v>278</v>
      </c>
      <c r="D436" t="s">
        <v>27</v>
      </c>
      <c r="E436" t="s">
        <v>16</v>
      </c>
      <c r="F436" t="s">
        <v>28</v>
      </c>
      <c r="G436" t="s">
        <v>16</v>
      </c>
      <c r="H436" t="s">
        <v>4492</v>
      </c>
      <c r="J436">
        <v>3</v>
      </c>
    </row>
    <row r="437" spans="1:10" x14ac:dyDescent="0.35">
      <c r="A437">
        <v>647946942928</v>
      </c>
      <c r="B437" t="s">
        <v>676</v>
      </c>
      <c r="C437" t="s">
        <v>78</v>
      </c>
      <c r="D437" t="s">
        <v>677</v>
      </c>
      <c r="E437" t="s">
        <v>308</v>
      </c>
      <c r="F437" t="s">
        <v>309</v>
      </c>
      <c r="G437" t="s">
        <v>34</v>
      </c>
      <c r="H437" t="s">
        <v>4529</v>
      </c>
      <c r="J437">
        <v>14</v>
      </c>
    </row>
    <row r="438" spans="1:10" x14ac:dyDescent="0.35">
      <c r="A438">
        <v>647946949354</v>
      </c>
      <c r="B438" t="s">
        <v>592</v>
      </c>
      <c r="C438" t="s">
        <v>678</v>
      </c>
      <c r="D438" t="s">
        <v>679</v>
      </c>
      <c r="E438" t="s">
        <v>22</v>
      </c>
      <c r="F438" t="s">
        <v>680</v>
      </c>
      <c r="G438" t="s">
        <v>34</v>
      </c>
      <c r="H438" t="s">
        <v>4579</v>
      </c>
      <c r="J438">
        <v>72</v>
      </c>
    </row>
    <row r="439" spans="1:10" x14ac:dyDescent="0.35">
      <c r="A439">
        <v>647946949378</v>
      </c>
      <c r="B439" t="s">
        <v>592</v>
      </c>
      <c r="C439" t="s">
        <v>681</v>
      </c>
      <c r="D439" t="s">
        <v>682</v>
      </c>
      <c r="E439" t="s">
        <v>34</v>
      </c>
      <c r="F439" t="s">
        <v>683</v>
      </c>
      <c r="G439" t="s">
        <v>34</v>
      </c>
      <c r="H439" t="s">
        <v>4580</v>
      </c>
      <c r="J439">
        <v>659</v>
      </c>
    </row>
    <row r="440" spans="1:10" x14ac:dyDescent="0.35">
      <c r="A440">
        <v>647946949613</v>
      </c>
      <c r="B440" t="s">
        <v>684</v>
      </c>
      <c r="C440" t="s">
        <v>9</v>
      </c>
      <c r="D440" t="s">
        <v>682</v>
      </c>
      <c r="E440" t="s">
        <v>34</v>
      </c>
      <c r="F440" t="s">
        <v>683</v>
      </c>
      <c r="G440" t="s">
        <v>34</v>
      </c>
      <c r="H440" t="s">
        <v>4580</v>
      </c>
      <c r="J440">
        <v>65</v>
      </c>
    </row>
    <row r="441" spans="1:10" x14ac:dyDescent="0.35">
      <c r="A441">
        <v>65400001019</v>
      </c>
      <c r="B441" t="s">
        <v>685</v>
      </c>
      <c r="C441" t="s">
        <v>53</v>
      </c>
      <c r="D441" t="s">
        <v>24</v>
      </c>
      <c r="E441" t="s">
        <v>15</v>
      </c>
      <c r="F441" t="s">
        <v>25</v>
      </c>
      <c r="G441" t="s">
        <v>16</v>
      </c>
      <c r="H441" t="s">
        <v>4491</v>
      </c>
      <c r="J441">
        <v>1</v>
      </c>
    </row>
    <row r="442" spans="1:10" x14ac:dyDescent="0.35">
      <c r="A442">
        <v>65400001019</v>
      </c>
      <c r="B442" t="s">
        <v>685</v>
      </c>
      <c r="C442" t="s">
        <v>53</v>
      </c>
      <c r="D442" t="s">
        <v>24</v>
      </c>
      <c r="E442" t="s">
        <v>15</v>
      </c>
      <c r="F442" t="s">
        <v>25</v>
      </c>
      <c r="G442" t="s">
        <v>34</v>
      </c>
      <c r="H442" t="s">
        <v>4491</v>
      </c>
      <c r="J442">
        <v>3</v>
      </c>
    </row>
    <row r="443" spans="1:10" x14ac:dyDescent="0.35">
      <c r="A443">
        <v>65400005239</v>
      </c>
      <c r="B443" t="s">
        <v>23</v>
      </c>
      <c r="C443" t="s">
        <v>326</v>
      </c>
      <c r="D443" t="s">
        <v>24</v>
      </c>
      <c r="E443" t="s">
        <v>15</v>
      </c>
      <c r="F443" t="s">
        <v>25</v>
      </c>
      <c r="G443" t="s">
        <v>16</v>
      </c>
      <c r="H443" t="s">
        <v>4491</v>
      </c>
      <c r="J443">
        <v>3</v>
      </c>
    </row>
    <row r="444" spans="1:10" x14ac:dyDescent="0.35">
      <c r="A444">
        <v>65400010219</v>
      </c>
      <c r="B444" t="s">
        <v>23</v>
      </c>
      <c r="C444" t="s">
        <v>278</v>
      </c>
      <c r="D444" t="s">
        <v>24</v>
      </c>
      <c r="E444" t="s">
        <v>15</v>
      </c>
      <c r="F444" t="s">
        <v>25</v>
      </c>
      <c r="G444" t="s">
        <v>16</v>
      </c>
      <c r="H444" t="s">
        <v>4491</v>
      </c>
      <c r="J444">
        <v>1</v>
      </c>
    </row>
    <row r="445" spans="1:10" x14ac:dyDescent="0.35">
      <c r="A445">
        <v>65400010981</v>
      </c>
      <c r="B445" t="s">
        <v>167</v>
      </c>
      <c r="C445" t="s">
        <v>239</v>
      </c>
      <c r="D445" t="s">
        <v>240</v>
      </c>
      <c r="E445" t="s">
        <v>15</v>
      </c>
      <c r="F445" t="s">
        <v>56</v>
      </c>
      <c r="G445" t="s">
        <v>16</v>
      </c>
      <c r="H445" t="s">
        <v>4497</v>
      </c>
      <c r="J445">
        <v>3</v>
      </c>
    </row>
    <row r="446" spans="1:10" x14ac:dyDescent="0.35">
      <c r="A446">
        <v>65400010998</v>
      </c>
      <c r="B446" t="s">
        <v>478</v>
      </c>
      <c r="C446" t="s">
        <v>686</v>
      </c>
      <c r="D446" t="s">
        <v>240</v>
      </c>
      <c r="E446" t="s">
        <v>15</v>
      </c>
      <c r="F446" t="s">
        <v>56</v>
      </c>
      <c r="G446" t="s">
        <v>16</v>
      </c>
      <c r="H446" t="s">
        <v>4497</v>
      </c>
      <c r="J446">
        <v>1</v>
      </c>
    </row>
    <row r="447" spans="1:10" x14ac:dyDescent="0.35">
      <c r="A447">
        <v>65400011001</v>
      </c>
      <c r="B447" t="s">
        <v>687</v>
      </c>
      <c r="C447" t="s">
        <v>239</v>
      </c>
      <c r="D447" t="s">
        <v>240</v>
      </c>
      <c r="E447" t="s">
        <v>15</v>
      </c>
      <c r="F447" t="s">
        <v>56</v>
      </c>
      <c r="G447" t="s">
        <v>16</v>
      </c>
      <c r="H447" t="s">
        <v>4497</v>
      </c>
      <c r="J447">
        <v>5</v>
      </c>
    </row>
    <row r="448" spans="1:10" x14ac:dyDescent="0.35">
      <c r="A448">
        <v>65400011254</v>
      </c>
      <c r="B448" t="s">
        <v>244</v>
      </c>
      <c r="C448" t="s">
        <v>239</v>
      </c>
      <c r="D448" t="s">
        <v>240</v>
      </c>
      <c r="E448" t="s">
        <v>15</v>
      </c>
      <c r="F448" t="s">
        <v>56</v>
      </c>
      <c r="G448" t="s">
        <v>16</v>
      </c>
      <c r="H448" t="s">
        <v>4497</v>
      </c>
      <c r="J448">
        <v>3</v>
      </c>
    </row>
    <row r="449" spans="1:10" x14ac:dyDescent="0.35">
      <c r="A449">
        <v>6547339</v>
      </c>
      <c r="B449" t="s">
        <v>688</v>
      </c>
      <c r="C449" t="s">
        <v>214</v>
      </c>
      <c r="D449" t="s">
        <v>273</v>
      </c>
      <c r="E449" t="s">
        <v>15</v>
      </c>
      <c r="F449" t="s">
        <v>56</v>
      </c>
      <c r="G449" t="s">
        <v>16</v>
      </c>
      <c r="H449" t="s">
        <v>4497</v>
      </c>
      <c r="J449">
        <v>1</v>
      </c>
    </row>
    <row r="450" spans="1:10" x14ac:dyDescent="0.35">
      <c r="A450">
        <v>6547436</v>
      </c>
      <c r="B450" t="s">
        <v>689</v>
      </c>
      <c r="C450" t="s">
        <v>78</v>
      </c>
      <c r="D450" t="s">
        <v>24</v>
      </c>
      <c r="E450" t="s">
        <v>15</v>
      </c>
      <c r="F450" t="s">
        <v>25</v>
      </c>
      <c r="G450" t="s">
        <v>16</v>
      </c>
      <c r="H450" t="s">
        <v>4491</v>
      </c>
      <c r="J450">
        <v>4</v>
      </c>
    </row>
    <row r="451" spans="1:10" x14ac:dyDescent="0.35">
      <c r="A451">
        <v>655003919240</v>
      </c>
      <c r="B451" t="s">
        <v>339</v>
      </c>
      <c r="C451" t="s">
        <v>128</v>
      </c>
      <c r="D451" t="s">
        <v>690</v>
      </c>
      <c r="E451" t="s">
        <v>16</v>
      </c>
      <c r="F451" t="s">
        <v>691</v>
      </c>
      <c r="G451" t="s">
        <v>16</v>
      </c>
      <c r="H451" t="s">
        <v>4581</v>
      </c>
      <c r="J451">
        <v>5</v>
      </c>
    </row>
    <row r="452" spans="1:10" x14ac:dyDescent="0.35">
      <c r="A452">
        <v>65684112647</v>
      </c>
      <c r="B452" t="s">
        <v>692</v>
      </c>
      <c r="C452" t="s">
        <v>43</v>
      </c>
      <c r="D452" t="s">
        <v>693</v>
      </c>
      <c r="E452" t="s">
        <v>15</v>
      </c>
      <c r="F452" t="s">
        <v>172</v>
      </c>
      <c r="G452" t="s">
        <v>16</v>
      </c>
      <c r="H452" t="s">
        <v>4517</v>
      </c>
      <c r="J452">
        <v>1</v>
      </c>
    </row>
    <row r="453" spans="1:10" x14ac:dyDescent="0.35">
      <c r="A453">
        <v>65684116157</v>
      </c>
      <c r="B453" t="s">
        <v>693</v>
      </c>
      <c r="C453" t="s">
        <v>81</v>
      </c>
      <c r="D453" t="s">
        <v>693</v>
      </c>
      <c r="E453" t="s">
        <v>15</v>
      </c>
      <c r="F453" t="s">
        <v>172</v>
      </c>
      <c r="G453" t="s">
        <v>16</v>
      </c>
      <c r="H453" t="s">
        <v>4517</v>
      </c>
      <c r="J453">
        <v>1</v>
      </c>
    </row>
    <row r="454" spans="1:10" x14ac:dyDescent="0.35">
      <c r="A454">
        <v>659048179157</v>
      </c>
      <c r="B454" t="s">
        <v>668</v>
      </c>
      <c r="C454" t="s">
        <v>114</v>
      </c>
      <c r="D454" t="s">
        <v>694</v>
      </c>
      <c r="E454" t="s">
        <v>117</v>
      </c>
      <c r="F454" t="s">
        <v>695</v>
      </c>
      <c r="G454" t="s">
        <v>117</v>
      </c>
      <c r="H454" t="s">
        <v>4582</v>
      </c>
      <c r="J454">
        <v>2</v>
      </c>
    </row>
    <row r="455" spans="1:10" x14ac:dyDescent="0.35">
      <c r="A455">
        <v>659048179164</v>
      </c>
      <c r="B455" t="s">
        <v>696</v>
      </c>
      <c r="C455" t="s">
        <v>114</v>
      </c>
      <c r="D455" t="s">
        <v>694</v>
      </c>
      <c r="E455" t="s">
        <v>117</v>
      </c>
      <c r="F455" t="s">
        <v>695</v>
      </c>
      <c r="G455" t="s">
        <v>117</v>
      </c>
      <c r="H455" t="s">
        <v>4582</v>
      </c>
      <c r="J455">
        <v>1</v>
      </c>
    </row>
    <row r="456" spans="1:10" x14ac:dyDescent="0.35">
      <c r="A456">
        <v>659048179171</v>
      </c>
      <c r="B456" t="s">
        <v>167</v>
      </c>
      <c r="C456" t="s">
        <v>114</v>
      </c>
      <c r="D456" t="s">
        <v>694</v>
      </c>
      <c r="E456" t="s">
        <v>117</v>
      </c>
      <c r="F456" t="s">
        <v>695</v>
      </c>
      <c r="G456" t="s">
        <v>117</v>
      </c>
      <c r="H456" t="s">
        <v>4582</v>
      </c>
      <c r="J456">
        <v>1</v>
      </c>
    </row>
    <row r="457" spans="1:10" x14ac:dyDescent="0.35">
      <c r="A457">
        <v>659525423797</v>
      </c>
      <c r="B457" t="s">
        <v>697</v>
      </c>
      <c r="C457" t="s">
        <v>83</v>
      </c>
      <c r="D457" t="s">
        <v>698</v>
      </c>
      <c r="E457" t="s">
        <v>34</v>
      </c>
      <c r="F457" t="s">
        <v>699</v>
      </c>
      <c r="G457" t="s">
        <v>34</v>
      </c>
      <c r="H457" t="s">
        <v>4583</v>
      </c>
      <c r="J457">
        <v>1</v>
      </c>
    </row>
    <row r="458" spans="1:10" x14ac:dyDescent="0.35">
      <c r="A458">
        <v>66800020228</v>
      </c>
      <c r="B458" t="s">
        <v>700</v>
      </c>
      <c r="C458" t="s">
        <v>230</v>
      </c>
      <c r="D458" t="s">
        <v>70</v>
      </c>
      <c r="E458" t="s">
        <v>71</v>
      </c>
      <c r="F458" t="s">
        <v>72</v>
      </c>
      <c r="G458" t="s">
        <v>16</v>
      </c>
      <c r="H458" t="s">
        <v>4501</v>
      </c>
      <c r="J458">
        <v>3</v>
      </c>
    </row>
    <row r="459" spans="1:10" x14ac:dyDescent="0.35">
      <c r="A459">
        <v>66800020228</v>
      </c>
      <c r="B459" t="s">
        <v>700</v>
      </c>
      <c r="C459" t="s">
        <v>230</v>
      </c>
      <c r="D459" t="s">
        <v>70</v>
      </c>
      <c r="E459" t="s">
        <v>71</v>
      </c>
      <c r="F459" t="s">
        <v>72</v>
      </c>
      <c r="G459" t="s">
        <v>31</v>
      </c>
      <c r="H459" t="s">
        <v>4501</v>
      </c>
      <c r="J459">
        <v>1</v>
      </c>
    </row>
    <row r="460" spans="1:10" x14ac:dyDescent="0.35">
      <c r="A460">
        <v>66800020235</v>
      </c>
      <c r="B460" t="s">
        <v>701</v>
      </c>
      <c r="C460" t="s">
        <v>230</v>
      </c>
      <c r="D460" t="s">
        <v>70</v>
      </c>
      <c r="E460" t="s">
        <v>71</v>
      </c>
      <c r="F460" t="s">
        <v>72</v>
      </c>
      <c r="G460" t="s">
        <v>16</v>
      </c>
      <c r="H460" t="s">
        <v>4501</v>
      </c>
      <c r="J460">
        <v>1</v>
      </c>
    </row>
    <row r="461" spans="1:10" x14ac:dyDescent="0.35">
      <c r="A461">
        <v>66800020242</v>
      </c>
      <c r="B461" t="s">
        <v>702</v>
      </c>
      <c r="C461" t="s">
        <v>230</v>
      </c>
      <c r="D461" t="s">
        <v>70</v>
      </c>
      <c r="E461" t="s">
        <v>71</v>
      </c>
      <c r="F461" t="s">
        <v>72</v>
      </c>
      <c r="G461" t="s">
        <v>16</v>
      </c>
      <c r="H461" t="s">
        <v>4501</v>
      </c>
      <c r="J461">
        <v>4</v>
      </c>
    </row>
    <row r="462" spans="1:10" x14ac:dyDescent="0.35">
      <c r="A462">
        <v>67000004452</v>
      </c>
      <c r="B462" t="s">
        <v>703</v>
      </c>
      <c r="C462" t="s">
        <v>9</v>
      </c>
      <c r="D462" t="s">
        <v>246</v>
      </c>
      <c r="E462" t="s">
        <v>15</v>
      </c>
      <c r="F462" t="s">
        <v>14</v>
      </c>
      <c r="G462" t="s">
        <v>16</v>
      </c>
      <c r="H462" t="s">
        <v>4489</v>
      </c>
      <c r="J462">
        <v>2</v>
      </c>
    </row>
    <row r="463" spans="1:10" x14ac:dyDescent="0.35">
      <c r="A463">
        <v>67000011627</v>
      </c>
      <c r="B463" t="s">
        <v>167</v>
      </c>
      <c r="C463" t="s">
        <v>9</v>
      </c>
      <c r="D463" t="s">
        <v>246</v>
      </c>
      <c r="E463" t="s">
        <v>15</v>
      </c>
      <c r="F463" t="s">
        <v>14</v>
      </c>
      <c r="G463" t="s">
        <v>16</v>
      </c>
      <c r="H463" t="s">
        <v>4489</v>
      </c>
      <c r="J463">
        <v>1</v>
      </c>
    </row>
    <row r="464" spans="1:10" x14ac:dyDescent="0.35">
      <c r="A464">
        <v>67000011689</v>
      </c>
      <c r="B464" t="s">
        <v>704</v>
      </c>
      <c r="C464" t="s">
        <v>9</v>
      </c>
      <c r="D464" t="s">
        <v>705</v>
      </c>
      <c r="E464" t="s">
        <v>15</v>
      </c>
      <c r="F464" t="s">
        <v>14</v>
      </c>
      <c r="G464" t="s">
        <v>16</v>
      </c>
      <c r="H464" t="s">
        <v>4489</v>
      </c>
      <c r="J464">
        <v>1</v>
      </c>
    </row>
    <row r="465" spans="1:10" x14ac:dyDescent="0.35">
      <c r="A465">
        <v>67000011900</v>
      </c>
      <c r="B465" t="s">
        <v>706</v>
      </c>
      <c r="C465" t="s">
        <v>51</v>
      </c>
      <c r="D465" t="s">
        <v>707</v>
      </c>
      <c r="E465" t="s">
        <v>15</v>
      </c>
      <c r="F465" t="s">
        <v>14</v>
      </c>
      <c r="G465" t="s">
        <v>16</v>
      </c>
      <c r="H465" t="s">
        <v>4489</v>
      </c>
      <c r="J465">
        <v>1</v>
      </c>
    </row>
    <row r="466" spans="1:10" x14ac:dyDescent="0.35">
      <c r="A466">
        <v>67000104022</v>
      </c>
      <c r="B466" t="s">
        <v>249</v>
      </c>
      <c r="C466" t="s">
        <v>146</v>
      </c>
      <c r="D466" t="s">
        <v>14</v>
      </c>
      <c r="E466" t="s">
        <v>15</v>
      </c>
      <c r="F466" t="s">
        <v>14</v>
      </c>
      <c r="G466" t="s">
        <v>16</v>
      </c>
      <c r="H466" t="s">
        <v>4489</v>
      </c>
      <c r="J466">
        <v>34</v>
      </c>
    </row>
    <row r="467" spans="1:10" x14ac:dyDescent="0.35">
      <c r="A467">
        <v>67000107467</v>
      </c>
      <c r="B467" t="s">
        <v>708</v>
      </c>
      <c r="C467" t="s">
        <v>146</v>
      </c>
      <c r="D467" t="s">
        <v>14</v>
      </c>
      <c r="E467" t="s">
        <v>15</v>
      </c>
      <c r="F467" t="s">
        <v>14</v>
      </c>
      <c r="G467" t="s">
        <v>16</v>
      </c>
      <c r="H467" t="s">
        <v>4489</v>
      </c>
      <c r="J467">
        <v>8</v>
      </c>
    </row>
    <row r="468" spans="1:10" x14ac:dyDescent="0.35">
      <c r="A468">
        <v>6701468</v>
      </c>
      <c r="B468" t="s">
        <v>709</v>
      </c>
      <c r="C468" t="s">
        <v>214</v>
      </c>
      <c r="D468" t="s">
        <v>14</v>
      </c>
      <c r="E468" t="s">
        <v>15</v>
      </c>
      <c r="F468" t="s">
        <v>14</v>
      </c>
      <c r="G468" t="s">
        <v>16</v>
      </c>
      <c r="H468" t="s">
        <v>4489</v>
      </c>
      <c r="J468">
        <v>1</v>
      </c>
    </row>
    <row r="469" spans="1:10" x14ac:dyDescent="0.35">
      <c r="A469">
        <v>6702106</v>
      </c>
      <c r="B469" t="s">
        <v>710</v>
      </c>
      <c r="C469" t="s">
        <v>214</v>
      </c>
      <c r="D469" t="s">
        <v>14</v>
      </c>
      <c r="E469" t="s">
        <v>15</v>
      </c>
      <c r="F469" t="s">
        <v>14</v>
      </c>
      <c r="G469" t="s">
        <v>16</v>
      </c>
      <c r="H469" t="s">
        <v>4489</v>
      </c>
      <c r="J469">
        <v>1</v>
      </c>
    </row>
    <row r="470" spans="1:10" x14ac:dyDescent="0.35">
      <c r="A470">
        <v>6717401</v>
      </c>
      <c r="B470" t="s">
        <v>684</v>
      </c>
      <c r="C470" t="s">
        <v>53</v>
      </c>
      <c r="D470" t="s">
        <v>711</v>
      </c>
      <c r="E470" t="s">
        <v>15</v>
      </c>
      <c r="F470" t="s">
        <v>14</v>
      </c>
      <c r="G470" t="s">
        <v>16</v>
      </c>
      <c r="H470" t="s">
        <v>4489</v>
      </c>
      <c r="J470">
        <v>49</v>
      </c>
    </row>
    <row r="471" spans="1:10" x14ac:dyDescent="0.35">
      <c r="A471">
        <v>6717508</v>
      </c>
      <c r="B471" t="s">
        <v>711</v>
      </c>
      <c r="C471" t="s">
        <v>110</v>
      </c>
      <c r="D471" t="s">
        <v>14</v>
      </c>
      <c r="E471" t="s">
        <v>15</v>
      </c>
      <c r="F471" t="s">
        <v>14</v>
      </c>
      <c r="G471" t="s">
        <v>16</v>
      </c>
      <c r="H471" t="s">
        <v>4489</v>
      </c>
      <c r="J471">
        <v>1</v>
      </c>
    </row>
    <row r="472" spans="1:10" x14ac:dyDescent="0.35">
      <c r="A472">
        <v>671785501008</v>
      </c>
      <c r="B472" t="s">
        <v>712</v>
      </c>
      <c r="C472" t="s">
        <v>9</v>
      </c>
      <c r="D472" t="s">
        <v>713</v>
      </c>
      <c r="E472" t="s">
        <v>16</v>
      </c>
      <c r="F472" t="s">
        <v>714</v>
      </c>
      <c r="G472" t="s">
        <v>16</v>
      </c>
      <c r="H472" t="s">
        <v>4584</v>
      </c>
      <c r="J472">
        <v>14</v>
      </c>
    </row>
    <row r="473" spans="1:10" x14ac:dyDescent="0.35">
      <c r="A473">
        <v>6720007</v>
      </c>
      <c r="B473" t="s">
        <v>715</v>
      </c>
      <c r="C473" t="s">
        <v>278</v>
      </c>
      <c r="D473" t="s">
        <v>711</v>
      </c>
      <c r="E473" t="s">
        <v>15</v>
      </c>
      <c r="F473" t="s">
        <v>14</v>
      </c>
      <c r="G473" t="s">
        <v>16</v>
      </c>
      <c r="H473" t="s">
        <v>4489</v>
      </c>
      <c r="J473">
        <v>3</v>
      </c>
    </row>
    <row r="474" spans="1:10" x14ac:dyDescent="0.35">
      <c r="A474">
        <v>67311020110</v>
      </c>
      <c r="B474" t="s">
        <v>167</v>
      </c>
      <c r="C474" t="s">
        <v>38</v>
      </c>
      <c r="D474" t="s">
        <v>255</v>
      </c>
      <c r="E474" t="s">
        <v>16</v>
      </c>
      <c r="F474" t="s">
        <v>256</v>
      </c>
      <c r="G474" t="s">
        <v>16</v>
      </c>
      <c r="H474" t="s">
        <v>4523</v>
      </c>
      <c r="J474">
        <v>14</v>
      </c>
    </row>
    <row r="475" spans="1:10" x14ac:dyDescent="0.35">
      <c r="A475">
        <v>67311028338</v>
      </c>
      <c r="B475" t="s">
        <v>716</v>
      </c>
      <c r="C475" t="s">
        <v>717</v>
      </c>
      <c r="D475" t="s">
        <v>255</v>
      </c>
      <c r="E475" t="s">
        <v>16</v>
      </c>
      <c r="F475" t="s">
        <v>256</v>
      </c>
      <c r="G475" t="s">
        <v>16</v>
      </c>
      <c r="H475" t="s">
        <v>4523</v>
      </c>
      <c r="J475">
        <v>1</v>
      </c>
    </row>
    <row r="476" spans="1:10" x14ac:dyDescent="0.35">
      <c r="A476">
        <v>67311141273</v>
      </c>
      <c r="B476" t="s">
        <v>718</v>
      </c>
      <c r="C476" t="s">
        <v>38</v>
      </c>
      <c r="D476" t="s">
        <v>255</v>
      </c>
      <c r="E476" t="s">
        <v>16</v>
      </c>
      <c r="F476" t="s">
        <v>256</v>
      </c>
      <c r="G476" t="s">
        <v>16</v>
      </c>
      <c r="H476" t="s">
        <v>4523</v>
      </c>
      <c r="J476">
        <v>4</v>
      </c>
    </row>
    <row r="477" spans="1:10" x14ac:dyDescent="0.35">
      <c r="A477">
        <v>67311141273</v>
      </c>
      <c r="B477" t="s">
        <v>718</v>
      </c>
      <c r="C477" t="s">
        <v>38</v>
      </c>
      <c r="D477" t="s">
        <v>255</v>
      </c>
      <c r="E477" t="s">
        <v>16</v>
      </c>
      <c r="F477" t="s">
        <v>256</v>
      </c>
      <c r="G477" t="s">
        <v>31</v>
      </c>
      <c r="H477" t="s">
        <v>4523</v>
      </c>
      <c r="J477">
        <v>4</v>
      </c>
    </row>
    <row r="478" spans="1:10" x14ac:dyDescent="0.35">
      <c r="A478">
        <v>67311723134</v>
      </c>
      <c r="B478" t="s">
        <v>719</v>
      </c>
      <c r="C478" t="s">
        <v>257</v>
      </c>
      <c r="D478" t="s">
        <v>258</v>
      </c>
      <c r="E478" t="s">
        <v>16</v>
      </c>
      <c r="F478" t="s">
        <v>256</v>
      </c>
      <c r="G478" t="s">
        <v>16</v>
      </c>
      <c r="H478" t="s">
        <v>4523</v>
      </c>
      <c r="J478">
        <v>2</v>
      </c>
    </row>
    <row r="479" spans="1:10" x14ac:dyDescent="0.35">
      <c r="A479">
        <v>6741602</v>
      </c>
      <c r="B479" t="s">
        <v>249</v>
      </c>
      <c r="C479" t="s">
        <v>81</v>
      </c>
      <c r="D479" t="s">
        <v>14</v>
      </c>
      <c r="E479" t="s">
        <v>15</v>
      </c>
      <c r="F479" t="s">
        <v>14</v>
      </c>
      <c r="G479" t="s">
        <v>16</v>
      </c>
      <c r="H479" t="s">
        <v>4489</v>
      </c>
      <c r="J479">
        <v>2</v>
      </c>
    </row>
    <row r="480" spans="1:10" x14ac:dyDescent="0.35">
      <c r="A480">
        <v>6742708</v>
      </c>
      <c r="B480" t="s">
        <v>13</v>
      </c>
      <c r="C480" t="s">
        <v>78</v>
      </c>
      <c r="D480" t="s">
        <v>14</v>
      </c>
      <c r="E480" t="s">
        <v>15</v>
      </c>
      <c r="F480" t="s">
        <v>14</v>
      </c>
      <c r="G480" t="s">
        <v>16</v>
      </c>
      <c r="H480" t="s">
        <v>4489</v>
      </c>
      <c r="J480">
        <v>6</v>
      </c>
    </row>
    <row r="481" spans="1:10" x14ac:dyDescent="0.35">
      <c r="A481">
        <v>6746209</v>
      </c>
      <c r="B481" t="s">
        <v>14</v>
      </c>
      <c r="C481" t="s">
        <v>9</v>
      </c>
      <c r="D481" t="s">
        <v>14</v>
      </c>
      <c r="E481" t="s">
        <v>15</v>
      </c>
      <c r="F481" t="s">
        <v>14</v>
      </c>
      <c r="G481" t="s">
        <v>16</v>
      </c>
      <c r="H481" t="s">
        <v>4489</v>
      </c>
      <c r="J481">
        <v>26</v>
      </c>
    </row>
    <row r="482" spans="1:10" x14ac:dyDescent="0.35">
      <c r="A482">
        <v>6746306</v>
      </c>
      <c r="B482" t="s">
        <v>251</v>
      </c>
      <c r="C482" t="s">
        <v>9</v>
      </c>
      <c r="D482" t="s">
        <v>14</v>
      </c>
      <c r="E482" t="s">
        <v>15</v>
      </c>
      <c r="F482" t="s">
        <v>14</v>
      </c>
      <c r="G482" t="s">
        <v>16</v>
      </c>
      <c r="H482" t="s">
        <v>4489</v>
      </c>
      <c r="J482">
        <v>4</v>
      </c>
    </row>
    <row r="483" spans="1:10" x14ac:dyDescent="0.35">
      <c r="A483">
        <v>6746403</v>
      </c>
      <c r="B483" t="s">
        <v>250</v>
      </c>
      <c r="C483" t="s">
        <v>9</v>
      </c>
      <c r="D483" t="s">
        <v>14</v>
      </c>
      <c r="E483" t="s">
        <v>15</v>
      </c>
      <c r="F483" t="s">
        <v>14</v>
      </c>
      <c r="G483" t="s">
        <v>16</v>
      </c>
      <c r="H483" t="s">
        <v>4489</v>
      </c>
      <c r="J483">
        <v>18</v>
      </c>
    </row>
    <row r="484" spans="1:10" x14ac:dyDescent="0.35">
      <c r="A484">
        <v>6746500</v>
      </c>
      <c r="B484" t="s">
        <v>156</v>
      </c>
      <c r="C484" t="s">
        <v>9</v>
      </c>
      <c r="D484" t="s">
        <v>705</v>
      </c>
      <c r="E484" t="s">
        <v>15</v>
      </c>
      <c r="F484" t="s">
        <v>14</v>
      </c>
      <c r="G484" t="s">
        <v>16</v>
      </c>
      <c r="H484" t="s">
        <v>4489</v>
      </c>
      <c r="J484">
        <v>14</v>
      </c>
    </row>
    <row r="485" spans="1:10" x14ac:dyDescent="0.35">
      <c r="A485">
        <v>6747606</v>
      </c>
      <c r="B485" t="s">
        <v>720</v>
      </c>
      <c r="C485" t="s">
        <v>53</v>
      </c>
      <c r="D485" t="s">
        <v>707</v>
      </c>
      <c r="E485" t="s">
        <v>15</v>
      </c>
      <c r="F485" t="s">
        <v>14</v>
      </c>
      <c r="G485" t="s">
        <v>16</v>
      </c>
      <c r="H485" t="s">
        <v>4489</v>
      </c>
      <c r="J485">
        <v>2</v>
      </c>
    </row>
    <row r="486" spans="1:10" x14ac:dyDescent="0.35">
      <c r="A486">
        <v>6747907</v>
      </c>
      <c r="B486" t="s">
        <v>167</v>
      </c>
      <c r="C486" t="s">
        <v>53</v>
      </c>
      <c r="D486" t="s">
        <v>707</v>
      </c>
      <c r="E486" t="s">
        <v>15</v>
      </c>
      <c r="F486" t="s">
        <v>14</v>
      </c>
      <c r="G486" t="s">
        <v>16</v>
      </c>
      <c r="H486" t="s">
        <v>4489</v>
      </c>
      <c r="J486">
        <v>8</v>
      </c>
    </row>
    <row r="487" spans="1:10" x14ac:dyDescent="0.35">
      <c r="A487">
        <v>6748003</v>
      </c>
      <c r="B487" t="s">
        <v>213</v>
      </c>
      <c r="C487" t="s">
        <v>53</v>
      </c>
      <c r="D487" t="s">
        <v>707</v>
      </c>
      <c r="E487" t="s">
        <v>15</v>
      </c>
      <c r="F487" t="s">
        <v>14</v>
      </c>
      <c r="G487" t="s">
        <v>16</v>
      </c>
      <c r="H487" t="s">
        <v>4489</v>
      </c>
      <c r="J487">
        <v>4</v>
      </c>
    </row>
    <row r="488" spans="1:10" x14ac:dyDescent="0.35">
      <c r="A488">
        <v>6748508</v>
      </c>
      <c r="B488" t="s">
        <v>721</v>
      </c>
      <c r="C488" t="s">
        <v>146</v>
      </c>
      <c r="D488" t="s">
        <v>707</v>
      </c>
      <c r="E488" t="s">
        <v>15</v>
      </c>
      <c r="F488" t="s">
        <v>14</v>
      </c>
      <c r="G488" t="s">
        <v>16</v>
      </c>
      <c r="H488" t="s">
        <v>4489</v>
      </c>
      <c r="J488">
        <v>11</v>
      </c>
    </row>
    <row r="489" spans="1:10" x14ac:dyDescent="0.35">
      <c r="A489">
        <v>6748605</v>
      </c>
      <c r="B489" t="s">
        <v>722</v>
      </c>
      <c r="C489" t="s">
        <v>146</v>
      </c>
      <c r="D489" t="s">
        <v>707</v>
      </c>
      <c r="E489" t="s">
        <v>15</v>
      </c>
      <c r="F489" t="s">
        <v>14</v>
      </c>
      <c r="G489" t="s">
        <v>16</v>
      </c>
      <c r="H489" t="s">
        <v>4489</v>
      </c>
      <c r="J489">
        <v>2</v>
      </c>
    </row>
    <row r="490" spans="1:10" x14ac:dyDescent="0.35">
      <c r="A490">
        <v>6748702</v>
      </c>
      <c r="B490" t="s">
        <v>167</v>
      </c>
      <c r="C490" t="s">
        <v>146</v>
      </c>
      <c r="D490" t="s">
        <v>707</v>
      </c>
      <c r="E490" t="s">
        <v>15</v>
      </c>
      <c r="F490" t="s">
        <v>14</v>
      </c>
      <c r="G490" t="s">
        <v>16</v>
      </c>
      <c r="H490" t="s">
        <v>4489</v>
      </c>
      <c r="J490">
        <v>1</v>
      </c>
    </row>
    <row r="491" spans="1:10" x14ac:dyDescent="0.35">
      <c r="A491">
        <v>6748809</v>
      </c>
      <c r="B491" t="s">
        <v>723</v>
      </c>
      <c r="C491" t="s">
        <v>146</v>
      </c>
      <c r="D491" t="s">
        <v>707</v>
      </c>
      <c r="E491" t="s">
        <v>15</v>
      </c>
      <c r="F491" t="s">
        <v>14</v>
      </c>
      <c r="G491" t="s">
        <v>16</v>
      </c>
      <c r="H491" t="s">
        <v>4489</v>
      </c>
      <c r="J491">
        <v>3</v>
      </c>
    </row>
    <row r="492" spans="1:10" x14ac:dyDescent="0.35">
      <c r="A492">
        <v>6748906</v>
      </c>
      <c r="B492" t="s">
        <v>724</v>
      </c>
      <c r="C492" t="s">
        <v>146</v>
      </c>
      <c r="D492" t="s">
        <v>707</v>
      </c>
      <c r="E492" t="s">
        <v>15</v>
      </c>
      <c r="F492" t="s">
        <v>14</v>
      </c>
      <c r="G492" t="s">
        <v>16</v>
      </c>
      <c r="H492" t="s">
        <v>4489</v>
      </c>
      <c r="J492">
        <v>2</v>
      </c>
    </row>
    <row r="493" spans="1:10" x14ac:dyDescent="0.35">
      <c r="A493">
        <v>6749002</v>
      </c>
      <c r="B493" t="s">
        <v>725</v>
      </c>
      <c r="C493" t="s">
        <v>146</v>
      </c>
      <c r="D493" t="s">
        <v>707</v>
      </c>
      <c r="E493" t="s">
        <v>15</v>
      </c>
      <c r="F493" t="s">
        <v>14</v>
      </c>
      <c r="G493" t="s">
        <v>16</v>
      </c>
      <c r="H493" t="s">
        <v>4489</v>
      </c>
      <c r="J493">
        <v>4</v>
      </c>
    </row>
    <row r="494" spans="1:10" x14ac:dyDescent="0.35">
      <c r="A494">
        <v>6750600</v>
      </c>
      <c r="B494" t="s">
        <v>156</v>
      </c>
      <c r="C494" t="s">
        <v>78</v>
      </c>
      <c r="D494" t="s">
        <v>705</v>
      </c>
      <c r="E494" t="s">
        <v>15</v>
      </c>
      <c r="F494" t="s">
        <v>14</v>
      </c>
      <c r="G494" t="s">
        <v>16</v>
      </c>
      <c r="H494" t="s">
        <v>4489</v>
      </c>
      <c r="J494">
        <v>3</v>
      </c>
    </row>
    <row r="495" spans="1:10" x14ac:dyDescent="0.35">
      <c r="A495">
        <v>6750600</v>
      </c>
      <c r="B495" t="s">
        <v>156</v>
      </c>
      <c r="C495" t="s">
        <v>78</v>
      </c>
      <c r="D495" t="s">
        <v>705</v>
      </c>
      <c r="E495" t="s">
        <v>15</v>
      </c>
      <c r="F495" t="s">
        <v>14</v>
      </c>
      <c r="G495" t="s">
        <v>34</v>
      </c>
      <c r="H495" t="s">
        <v>4489</v>
      </c>
      <c r="J495">
        <v>120</v>
      </c>
    </row>
    <row r="496" spans="1:10" x14ac:dyDescent="0.35">
      <c r="A496">
        <v>6756905</v>
      </c>
      <c r="B496" t="s">
        <v>626</v>
      </c>
      <c r="C496" t="s">
        <v>9</v>
      </c>
      <c r="D496" t="s">
        <v>14</v>
      </c>
      <c r="E496" t="s">
        <v>15</v>
      </c>
      <c r="F496" t="s">
        <v>14</v>
      </c>
      <c r="G496" t="s">
        <v>16</v>
      </c>
      <c r="H496" t="s">
        <v>4489</v>
      </c>
      <c r="J496">
        <v>1</v>
      </c>
    </row>
    <row r="497" spans="1:10" x14ac:dyDescent="0.35">
      <c r="A497">
        <v>6757700</v>
      </c>
      <c r="B497" t="s">
        <v>726</v>
      </c>
      <c r="C497" t="s">
        <v>146</v>
      </c>
      <c r="D497" t="s">
        <v>707</v>
      </c>
      <c r="E497" t="s">
        <v>15</v>
      </c>
      <c r="F497" t="s">
        <v>14</v>
      </c>
      <c r="G497" t="s">
        <v>16</v>
      </c>
      <c r="H497" t="s">
        <v>4489</v>
      </c>
      <c r="J497">
        <v>1</v>
      </c>
    </row>
    <row r="498" spans="1:10" x14ac:dyDescent="0.35">
      <c r="A498">
        <v>6757807</v>
      </c>
      <c r="B498" t="s">
        <v>727</v>
      </c>
      <c r="C498" t="s">
        <v>146</v>
      </c>
      <c r="D498" t="s">
        <v>707</v>
      </c>
      <c r="E498" t="s">
        <v>15</v>
      </c>
      <c r="F498" t="s">
        <v>14</v>
      </c>
      <c r="G498" t="s">
        <v>16</v>
      </c>
      <c r="H498" t="s">
        <v>4489</v>
      </c>
      <c r="J498">
        <v>1</v>
      </c>
    </row>
    <row r="499" spans="1:10" x14ac:dyDescent="0.35">
      <c r="A499">
        <v>6780504</v>
      </c>
      <c r="B499" t="s">
        <v>249</v>
      </c>
      <c r="C499" t="s">
        <v>38</v>
      </c>
      <c r="D499" t="s">
        <v>14</v>
      </c>
      <c r="E499" t="s">
        <v>15</v>
      </c>
      <c r="F499" t="s">
        <v>14</v>
      </c>
      <c r="G499" t="s">
        <v>16</v>
      </c>
      <c r="H499" t="s">
        <v>4489</v>
      </c>
      <c r="J499">
        <v>21</v>
      </c>
    </row>
    <row r="500" spans="1:10" x14ac:dyDescent="0.35">
      <c r="A500">
        <v>6780601</v>
      </c>
      <c r="B500" t="s">
        <v>250</v>
      </c>
      <c r="C500" t="s">
        <v>38</v>
      </c>
      <c r="D500" t="s">
        <v>14</v>
      </c>
      <c r="E500" t="s">
        <v>15</v>
      </c>
      <c r="F500" t="s">
        <v>14</v>
      </c>
      <c r="G500" t="s">
        <v>16</v>
      </c>
      <c r="H500" t="s">
        <v>4489</v>
      </c>
      <c r="J500">
        <v>4</v>
      </c>
    </row>
    <row r="501" spans="1:10" x14ac:dyDescent="0.35">
      <c r="A501">
        <v>6780805</v>
      </c>
      <c r="B501" t="s">
        <v>728</v>
      </c>
      <c r="C501" t="s">
        <v>38</v>
      </c>
      <c r="D501" t="s">
        <v>705</v>
      </c>
      <c r="E501" t="s">
        <v>15</v>
      </c>
      <c r="F501" t="s">
        <v>14</v>
      </c>
      <c r="G501" t="s">
        <v>16</v>
      </c>
      <c r="H501" t="s">
        <v>4489</v>
      </c>
      <c r="J501">
        <v>4</v>
      </c>
    </row>
    <row r="502" spans="1:10" x14ac:dyDescent="0.35">
      <c r="A502">
        <v>6781804</v>
      </c>
      <c r="B502" t="s">
        <v>729</v>
      </c>
      <c r="C502" t="s">
        <v>9</v>
      </c>
      <c r="D502" t="s">
        <v>14</v>
      </c>
      <c r="E502" t="s">
        <v>15</v>
      </c>
      <c r="F502" t="s">
        <v>14</v>
      </c>
      <c r="G502" t="s">
        <v>16</v>
      </c>
      <c r="H502" t="s">
        <v>4489</v>
      </c>
      <c r="J502">
        <v>1</v>
      </c>
    </row>
    <row r="503" spans="1:10" x14ac:dyDescent="0.35">
      <c r="A503">
        <v>6790608</v>
      </c>
      <c r="B503" t="s">
        <v>250</v>
      </c>
      <c r="C503" t="s">
        <v>81</v>
      </c>
      <c r="D503" t="s">
        <v>14</v>
      </c>
      <c r="E503" t="s">
        <v>15</v>
      </c>
      <c r="F503" t="s">
        <v>14</v>
      </c>
      <c r="G503" t="s">
        <v>16</v>
      </c>
      <c r="H503" t="s">
        <v>4489</v>
      </c>
      <c r="J503">
        <v>2</v>
      </c>
    </row>
    <row r="504" spans="1:10" x14ac:dyDescent="0.35">
      <c r="A504">
        <v>6791801</v>
      </c>
      <c r="B504" t="s">
        <v>249</v>
      </c>
      <c r="C504" t="s">
        <v>272</v>
      </c>
      <c r="D504" t="s">
        <v>14</v>
      </c>
      <c r="E504" t="s">
        <v>15</v>
      </c>
      <c r="F504" t="s">
        <v>14</v>
      </c>
      <c r="G504" t="s">
        <v>16</v>
      </c>
      <c r="H504" t="s">
        <v>4489</v>
      </c>
      <c r="J504">
        <v>2</v>
      </c>
    </row>
    <row r="505" spans="1:10" x14ac:dyDescent="0.35">
      <c r="A505">
        <v>6792004</v>
      </c>
      <c r="B505" t="s">
        <v>709</v>
      </c>
      <c r="C505" t="s">
        <v>272</v>
      </c>
      <c r="D505" t="s">
        <v>14</v>
      </c>
      <c r="E505" t="s">
        <v>15</v>
      </c>
      <c r="F505" t="s">
        <v>14</v>
      </c>
      <c r="G505" t="s">
        <v>16</v>
      </c>
      <c r="H505" t="s">
        <v>4489</v>
      </c>
      <c r="J505">
        <v>1</v>
      </c>
    </row>
    <row r="506" spans="1:10" x14ac:dyDescent="0.35">
      <c r="A506">
        <v>6792101</v>
      </c>
      <c r="B506" t="s">
        <v>730</v>
      </c>
      <c r="C506" t="s">
        <v>272</v>
      </c>
      <c r="D506" t="s">
        <v>705</v>
      </c>
      <c r="E506" t="s">
        <v>15</v>
      </c>
      <c r="F506" t="s">
        <v>14</v>
      </c>
      <c r="G506" t="s">
        <v>16</v>
      </c>
      <c r="H506" t="s">
        <v>4489</v>
      </c>
      <c r="J506">
        <v>2</v>
      </c>
    </row>
    <row r="507" spans="1:10" x14ac:dyDescent="0.35">
      <c r="A507">
        <v>6796000</v>
      </c>
      <c r="B507" t="s">
        <v>731</v>
      </c>
      <c r="C507" t="s">
        <v>9</v>
      </c>
      <c r="D507" t="s">
        <v>254</v>
      </c>
      <c r="E507" t="s">
        <v>15</v>
      </c>
      <c r="F507" t="s">
        <v>14</v>
      </c>
      <c r="G507" t="s">
        <v>16</v>
      </c>
      <c r="H507" t="s">
        <v>4489</v>
      </c>
      <c r="J507">
        <v>1</v>
      </c>
    </row>
    <row r="508" spans="1:10" x14ac:dyDescent="0.35">
      <c r="A508">
        <v>6796000</v>
      </c>
      <c r="B508" t="s">
        <v>731</v>
      </c>
      <c r="C508" t="s">
        <v>9</v>
      </c>
      <c r="D508" t="s">
        <v>254</v>
      </c>
      <c r="E508" t="s">
        <v>15</v>
      </c>
      <c r="F508" t="s">
        <v>14</v>
      </c>
      <c r="G508" t="s">
        <v>33</v>
      </c>
      <c r="H508" t="s">
        <v>4489</v>
      </c>
      <c r="J508">
        <v>169</v>
      </c>
    </row>
    <row r="509" spans="1:10" x14ac:dyDescent="0.35">
      <c r="A509">
        <v>67997020558</v>
      </c>
      <c r="B509" t="s">
        <v>732</v>
      </c>
      <c r="C509" t="s">
        <v>110</v>
      </c>
      <c r="D509" t="s">
        <v>260</v>
      </c>
      <c r="E509" t="s">
        <v>16</v>
      </c>
      <c r="F509" t="s">
        <v>261</v>
      </c>
      <c r="G509" t="s">
        <v>16</v>
      </c>
      <c r="H509" t="s">
        <v>4524</v>
      </c>
      <c r="J509">
        <v>2</v>
      </c>
    </row>
    <row r="510" spans="1:10" x14ac:dyDescent="0.35">
      <c r="A510">
        <v>67997719995</v>
      </c>
      <c r="B510" t="s">
        <v>733</v>
      </c>
      <c r="C510" t="s">
        <v>230</v>
      </c>
      <c r="D510" t="s">
        <v>260</v>
      </c>
      <c r="E510" t="s">
        <v>16</v>
      </c>
      <c r="F510" t="s">
        <v>261</v>
      </c>
      <c r="G510" t="s">
        <v>16</v>
      </c>
      <c r="H510" t="s">
        <v>4524</v>
      </c>
      <c r="J510">
        <v>2</v>
      </c>
    </row>
    <row r="511" spans="1:10" x14ac:dyDescent="0.35">
      <c r="A511">
        <v>67997720199</v>
      </c>
      <c r="B511" t="s">
        <v>269</v>
      </c>
      <c r="C511" t="s">
        <v>230</v>
      </c>
      <c r="D511" t="s">
        <v>260</v>
      </c>
      <c r="E511" t="s">
        <v>16</v>
      </c>
      <c r="F511" t="s">
        <v>261</v>
      </c>
      <c r="G511" t="s">
        <v>16</v>
      </c>
      <c r="H511" t="s">
        <v>4524</v>
      </c>
      <c r="J511">
        <v>16</v>
      </c>
    </row>
    <row r="512" spans="1:10" x14ac:dyDescent="0.35">
      <c r="A512">
        <v>680018009020</v>
      </c>
      <c r="B512" t="s">
        <v>734</v>
      </c>
      <c r="C512" t="s">
        <v>431</v>
      </c>
      <c r="D512" t="s">
        <v>735</v>
      </c>
      <c r="E512" t="s">
        <v>637</v>
      </c>
      <c r="F512" t="s">
        <v>736</v>
      </c>
      <c r="G512" t="s">
        <v>41</v>
      </c>
      <c r="H512" t="s">
        <v>4585</v>
      </c>
      <c r="J512">
        <v>50</v>
      </c>
    </row>
    <row r="513" spans="1:10" x14ac:dyDescent="0.35">
      <c r="A513">
        <v>681103202531</v>
      </c>
      <c r="B513" t="s">
        <v>737</v>
      </c>
      <c r="C513" t="s">
        <v>36</v>
      </c>
      <c r="D513" t="s">
        <v>738</v>
      </c>
      <c r="E513" t="s">
        <v>34</v>
      </c>
      <c r="F513" t="s">
        <v>739</v>
      </c>
      <c r="G513" t="s">
        <v>34</v>
      </c>
      <c r="H513" t="s">
        <v>4586</v>
      </c>
      <c r="J513">
        <v>252</v>
      </c>
    </row>
    <row r="514" spans="1:10" x14ac:dyDescent="0.35">
      <c r="A514">
        <v>681103202586</v>
      </c>
      <c r="B514" t="s">
        <v>740</v>
      </c>
      <c r="C514" t="s">
        <v>472</v>
      </c>
      <c r="D514" t="s">
        <v>738</v>
      </c>
      <c r="E514" t="s">
        <v>34</v>
      </c>
      <c r="F514" t="s">
        <v>739</v>
      </c>
      <c r="G514" t="s">
        <v>34</v>
      </c>
      <c r="H514" t="s">
        <v>4586</v>
      </c>
      <c r="J514">
        <v>1</v>
      </c>
    </row>
    <row r="515" spans="1:10" x14ac:dyDescent="0.35">
      <c r="A515">
        <v>681103202593</v>
      </c>
      <c r="B515" t="s">
        <v>741</v>
      </c>
      <c r="C515" t="s">
        <v>472</v>
      </c>
      <c r="D515" t="s">
        <v>738</v>
      </c>
      <c r="E515" t="s">
        <v>34</v>
      </c>
      <c r="F515" t="s">
        <v>739</v>
      </c>
      <c r="G515" t="s">
        <v>34</v>
      </c>
      <c r="H515" t="s">
        <v>4586</v>
      </c>
      <c r="J515">
        <v>453</v>
      </c>
    </row>
    <row r="516" spans="1:10" x14ac:dyDescent="0.35">
      <c r="A516">
        <v>681103202609</v>
      </c>
      <c r="B516" t="s">
        <v>742</v>
      </c>
      <c r="C516" t="s">
        <v>472</v>
      </c>
      <c r="D516" t="s">
        <v>738</v>
      </c>
      <c r="E516" t="s">
        <v>34</v>
      </c>
      <c r="F516" t="s">
        <v>739</v>
      </c>
      <c r="G516" t="s">
        <v>34</v>
      </c>
      <c r="H516" t="s">
        <v>4586</v>
      </c>
      <c r="J516">
        <v>101</v>
      </c>
    </row>
    <row r="517" spans="1:10" x14ac:dyDescent="0.35">
      <c r="A517">
        <v>681103202678</v>
      </c>
      <c r="B517" t="s">
        <v>743</v>
      </c>
      <c r="C517" t="s">
        <v>110</v>
      </c>
      <c r="D517" t="s">
        <v>738</v>
      </c>
      <c r="E517" t="s">
        <v>34</v>
      </c>
      <c r="F517" t="s">
        <v>739</v>
      </c>
      <c r="G517" t="s">
        <v>34</v>
      </c>
      <c r="H517" t="s">
        <v>4586</v>
      </c>
      <c r="J517">
        <v>1</v>
      </c>
    </row>
    <row r="518" spans="1:10" x14ac:dyDescent="0.35">
      <c r="A518">
        <v>681103202722</v>
      </c>
      <c r="B518" t="s">
        <v>744</v>
      </c>
      <c r="C518" t="s">
        <v>472</v>
      </c>
      <c r="D518" t="s">
        <v>738</v>
      </c>
      <c r="E518" t="s">
        <v>34</v>
      </c>
      <c r="F518" t="s">
        <v>739</v>
      </c>
      <c r="G518" t="s">
        <v>34</v>
      </c>
      <c r="H518" t="s">
        <v>4586</v>
      </c>
      <c r="J518">
        <v>1</v>
      </c>
    </row>
    <row r="519" spans="1:10" x14ac:dyDescent="0.35">
      <c r="A519">
        <v>68274000072</v>
      </c>
      <c r="B519" t="s">
        <v>745</v>
      </c>
      <c r="C519" t="s">
        <v>146</v>
      </c>
      <c r="D519" t="s">
        <v>222</v>
      </c>
      <c r="E519" t="s">
        <v>71</v>
      </c>
      <c r="F519" t="s">
        <v>72</v>
      </c>
      <c r="G519" t="s">
        <v>16</v>
      </c>
      <c r="H519" t="s">
        <v>4501</v>
      </c>
      <c r="J519">
        <v>4</v>
      </c>
    </row>
    <row r="520" spans="1:10" x14ac:dyDescent="0.35">
      <c r="A520">
        <v>68274000218</v>
      </c>
      <c r="B520" t="s">
        <v>262</v>
      </c>
      <c r="C520" t="s">
        <v>9</v>
      </c>
      <c r="D520" t="s">
        <v>222</v>
      </c>
      <c r="E520" t="s">
        <v>71</v>
      </c>
      <c r="F520" t="s">
        <v>72</v>
      </c>
      <c r="G520" t="s">
        <v>16</v>
      </c>
      <c r="H520" t="s">
        <v>4501</v>
      </c>
      <c r="J520">
        <v>31</v>
      </c>
    </row>
    <row r="521" spans="1:10" x14ac:dyDescent="0.35">
      <c r="A521">
        <v>68274193996</v>
      </c>
      <c r="B521" t="s">
        <v>288</v>
      </c>
      <c r="C521" t="s">
        <v>9</v>
      </c>
      <c r="D521" t="s">
        <v>746</v>
      </c>
      <c r="E521" t="s">
        <v>15</v>
      </c>
      <c r="F521" t="s">
        <v>747</v>
      </c>
      <c r="G521" t="s">
        <v>16</v>
      </c>
      <c r="H521" t="s">
        <v>4587</v>
      </c>
      <c r="J521">
        <v>26</v>
      </c>
    </row>
    <row r="522" spans="1:10" x14ac:dyDescent="0.35">
      <c r="A522">
        <v>68274194665</v>
      </c>
      <c r="B522" t="s">
        <v>748</v>
      </c>
      <c r="C522" t="s">
        <v>9</v>
      </c>
      <c r="D522" t="s">
        <v>746</v>
      </c>
      <c r="E522" t="s">
        <v>15</v>
      </c>
      <c r="F522" t="s">
        <v>747</v>
      </c>
      <c r="G522" t="s">
        <v>16</v>
      </c>
      <c r="H522" t="s">
        <v>4587</v>
      </c>
      <c r="J522">
        <v>1</v>
      </c>
    </row>
    <row r="523" spans="1:10" x14ac:dyDescent="0.35">
      <c r="A523">
        <v>68274264450</v>
      </c>
      <c r="B523" t="s">
        <v>749</v>
      </c>
      <c r="C523" t="s">
        <v>253</v>
      </c>
      <c r="D523" t="s">
        <v>746</v>
      </c>
      <c r="E523" t="s">
        <v>15</v>
      </c>
      <c r="F523" t="s">
        <v>747</v>
      </c>
      <c r="G523" t="s">
        <v>16</v>
      </c>
      <c r="H523" t="s">
        <v>4587</v>
      </c>
      <c r="J523">
        <v>2</v>
      </c>
    </row>
    <row r="524" spans="1:10" x14ac:dyDescent="0.35">
      <c r="A524">
        <v>68274264498</v>
      </c>
      <c r="B524" t="s">
        <v>213</v>
      </c>
      <c r="C524" t="s">
        <v>9</v>
      </c>
      <c r="D524" t="s">
        <v>746</v>
      </c>
      <c r="E524" t="s">
        <v>15</v>
      </c>
      <c r="F524" t="s">
        <v>747</v>
      </c>
      <c r="G524" t="s">
        <v>16</v>
      </c>
      <c r="H524" t="s">
        <v>4587</v>
      </c>
      <c r="J524">
        <v>20</v>
      </c>
    </row>
    <row r="525" spans="1:10" x14ac:dyDescent="0.35">
      <c r="A525">
        <v>68274311475</v>
      </c>
      <c r="B525" t="s">
        <v>750</v>
      </c>
      <c r="C525" t="s">
        <v>110</v>
      </c>
      <c r="D525" t="s">
        <v>222</v>
      </c>
      <c r="E525" t="s">
        <v>71</v>
      </c>
      <c r="F525" t="s">
        <v>72</v>
      </c>
      <c r="G525" t="s">
        <v>16</v>
      </c>
      <c r="H525" t="s">
        <v>4501</v>
      </c>
      <c r="J525">
        <v>1</v>
      </c>
    </row>
    <row r="526" spans="1:10" x14ac:dyDescent="0.35">
      <c r="A526">
        <v>68274311482</v>
      </c>
      <c r="B526" t="s">
        <v>751</v>
      </c>
      <c r="C526" t="s">
        <v>110</v>
      </c>
      <c r="D526" t="s">
        <v>222</v>
      </c>
      <c r="E526" t="s">
        <v>71</v>
      </c>
      <c r="F526" t="s">
        <v>72</v>
      </c>
      <c r="G526" t="s">
        <v>16</v>
      </c>
      <c r="H526" t="s">
        <v>4501</v>
      </c>
      <c r="J526">
        <v>1</v>
      </c>
    </row>
    <row r="527" spans="1:10" x14ac:dyDescent="0.35">
      <c r="A527">
        <v>6827465</v>
      </c>
      <c r="B527" t="s">
        <v>752</v>
      </c>
      <c r="C527" t="s">
        <v>9</v>
      </c>
      <c r="D527" t="s">
        <v>222</v>
      </c>
      <c r="E527" t="s">
        <v>71</v>
      </c>
      <c r="F527" t="s">
        <v>72</v>
      </c>
      <c r="G527" t="s">
        <v>22</v>
      </c>
      <c r="H527" t="s">
        <v>4501</v>
      </c>
      <c r="J527">
        <v>1</v>
      </c>
    </row>
    <row r="528" spans="1:10" x14ac:dyDescent="0.35">
      <c r="A528">
        <v>684910297783</v>
      </c>
      <c r="B528" t="s">
        <v>753</v>
      </c>
      <c r="C528" t="s">
        <v>83</v>
      </c>
      <c r="D528" t="s">
        <v>694</v>
      </c>
      <c r="E528" t="s">
        <v>117</v>
      </c>
      <c r="F528" t="s">
        <v>695</v>
      </c>
      <c r="G528" t="s">
        <v>117</v>
      </c>
      <c r="H528" t="s">
        <v>4582</v>
      </c>
      <c r="J528">
        <v>3</v>
      </c>
    </row>
    <row r="529" spans="1:10" x14ac:dyDescent="0.35">
      <c r="A529">
        <v>68493427186</v>
      </c>
      <c r="B529" t="s">
        <v>212</v>
      </c>
      <c r="C529" t="s">
        <v>9</v>
      </c>
      <c r="D529" t="s">
        <v>754</v>
      </c>
      <c r="E529" t="s">
        <v>16</v>
      </c>
      <c r="F529" t="s">
        <v>755</v>
      </c>
      <c r="G529" t="s">
        <v>16</v>
      </c>
      <c r="H529" t="s">
        <v>4588</v>
      </c>
      <c r="J529">
        <v>5</v>
      </c>
    </row>
    <row r="530" spans="1:10" x14ac:dyDescent="0.35">
      <c r="A530">
        <v>6854836</v>
      </c>
      <c r="B530" t="s">
        <v>756</v>
      </c>
      <c r="C530" t="s">
        <v>603</v>
      </c>
      <c r="D530" t="s">
        <v>756</v>
      </c>
      <c r="E530" t="s">
        <v>308</v>
      </c>
      <c r="F530" t="s">
        <v>309</v>
      </c>
      <c r="G530" t="s">
        <v>33</v>
      </c>
      <c r="H530" t="s">
        <v>4529</v>
      </c>
      <c r="J530">
        <v>100</v>
      </c>
    </row>
    <row r="531" spans="1:10" x14ac:dyDescent="0.35">
      <c r="A531">
        <v>6854836</v>
      </c>
      <c r="B531" t="s">
        <v>756</v>
      </c>
      <c r="C531" t="s">
        <v>603</v>
      </c>
      <c r="D531" t="s">
        <v>756</v>
      </c>
      <c r="E531" t="s">
        <v>308</v>
      </c>
      <c r="F531" t="s">
        <v>309</v>
      </c>
      <c r="G531" t="s">
        <v>34</v>
      </c>
      <c r="H531" t="s">
        <v>4529</v>
      </c>
      <c r="J531">
        <v>278</v>
      </c>
    </row>
    <row r="532" spans="1:10" x14ac:dyDescent="0.35">
      <c r="A532">
        <v>68700302572</v>
      </c>
      <c r="B532" t="s">
        <v>757</v>
      </c>
      <c r="C532" t="s">
        <v>272</v>
      </c>
      <c r="D532" t="s">
        <v>270</v>
      </c>
      <c r="E532" t="s">
        <v>16</v>
      </c>
      <c r="F532" t="s">
        <v>225</v>
      </c>
      <c r="G532" t="s">
        <v>16</v>
      </c>
      <c r="H532" t="s">
        <v>4521</v>
      </c>
      <c r="J532">
        <v>3</v>
      </c>
    </row>
    <row r="533" spans="1:10" x14ac:dyDescent="0.35">
      <c r="A533">
        <v>69000009826</v>
      </c>
      <c r="B533" t="s">
        <v>668</v>
      </c>
      <c r="C533" t="s">
        <v>110</v>
      </c>
      <c r="D533" t="s">
        <v>273</v>
      </c>
      <c r="E533" t="s">
        <v>15</v>
      </c>
      <c r="F533" t="s">
        <v>56</v>
      </c>
      <c r="G533" t="s">
        <v>16</v>
      </c>
      <c r="H533" t="s">
        <v>4497</v>
      </c>
      <c r="J533">
        <v>3</v>
      </c>
    </row>
    <row r="534" spans="1:10" x14ac:dyDescent="0.35">
      <c r="A534">
        <v>69000009840</v>
      </c>
      <c r="B534" t="s">
        <v>273</v>
      </c>
      <c r="C534" t="s">
        <v>758</v>
      </c>
      <c r="D534" t="s">
        <v>273</v>
      </c>
      <c r="E534" t="s">
        <v>15</v>
      </c>
      <c r="F534" t="s">
        <v>56</v>
      </c>
      <c r="G534" t="s">
        <v>16</v>
      </c>
      <c r="H534" t="s">
        <v>4497</v>
      </c>
      <c r="J534">
        <v>3</v>
      </c>
    </row>
    <row r="535" spans="1:10" x14ac:dyDescent="0.35">
      <c r="A535">
        <v>69000010020</v>
      </c>
      <c r="B535" t="s">
        <v>668</v>
      </c>
      <c r="C535" t="s">
        <v>278</v>
      </c>
      <c r="D535" t="s">
        <v>273</v>
      </c>
      <c r="E535" t="s">
        <v>15</v>
      </c>
      <c r="F535" t="s">
        <v>56</v>
      </c>
      <c r="G535" t="s">
        <v>16</v>
      </c>
      <c r="H535" t="s">
        <v>4497</v>
      </c>
      <c r="J535">
        <v>6</v>
      </c>
    </row>
    <row r="536" spans="1:10" x14ac:dyDescent="0.35">
      <c r="A536">
        <v>69000010631</v>
      </c>
      <c r="B536" t="s">
        <v>275</v>
      </c>
      <c r="C536" t="s">
        <v>81</v>
      </c>
      <c r="D536" t="s">
        <v>273</v>
      </c>
      <c r="E536" t="s">
        <v>15</v>
      </c>
      <c r="F536" t="s">
        <v>56</v>
      </c>
      <c r="G536" t="s">
        <v>16</v>
      </c>
      <c r="H536" t="s">
        <v>4497</v>
      </c>
      <c r="J536">
        <v>1</v>
      </c>
    </row>
    <row r="537" spans="1:10" x14ac:dyDescent="0.35">
      <c r="A537">
        <v>69000010785</v>
      </c>
      <c r="B537" t="s">
        <v>759</v>
      </c>
      <c r="C537" t="s">
        <v>472</v>
      </c>
      <c r="D537" t="s">
        <v>273</v>
      </c>
      <c r="E537" t="s">
        <v>15</v>
      </c>
      <c r="F537" t="s">
        <v>56</v>
      </c>
      <c r="G537" t="s">
        <v>16</v>
      </c>
      <c r="H537" t="s">
        <v>4497</v>
      </c>
      <c r="J537">
        <v>1</v>
      </c>
    </row>
    <row r="538" spans="1:10" x14ac:dyDescent="0.35">
      <c r="A538">
        <v>69000013748</v>
      </c>
      <c r="B538" t="s">
        <v>760</v>
      </c>
      <c r="C538" t="s">
        <v>53</v>
      </c>
      <c r="D538" t="s">
        <v>273</v>
      </c>
      <c r="E538" t="s">
        <v>15</v>
      </c>
      <c r="F538" t="s">
        <v>56</v>
      </c>
      <c r="G538" t="s">
        <v>16</v>
      </c>
      <c r="H538" t="s">
        <v>4497</v>
      </c>
      <c r="J538">
        <v>5</v>
      </c>
    </row>
    <row r="539" spans="1:10" x14ac:dyDescent="0.35">
      <c r="A539">
        <v>69000013830</v>
      </c>
      <c r="B539" t="s">
        <v>689</v>
      </c>
      <c r="C539" t="s">
        <v>146</v>
      </c>
      <c r="D539" t="s">
        <v>273</v>
      </c>
      <c r="E539" t="s">
        <v>15</v>
      </c>
      <c r="F539" t="s">
        <v>56</v>
      </c>
      <c r="G539" t="s">
        <v>16</v>
      </c>
      <c r="H539" t="s">
        <v>4497</v>
      </c>
      <c r="J539">
        <v>1</v>
      </c>
    </row>
    <row r="540" spans="1:10" x14ac:dyDescent="0.35">
      <c r="A540">
        <v>69000016213</v>
      </c>
      <c r="B540" t="s">
        <v>761</v>
      </c>
      <c r="C540" t="s">
        <v>53</v>
      </c>
      <c r="D540" t="s">
        <v>280</v>
      </c>
      <c r="E540" t="s">
        <v>15</v>
      </c>
      <c r="F540" t="s">
        <v>56</v>
      </c>
      <c r="G540" t="s">
        <v>16</v>
      </c>
      <c r="H540" t="s">
        <v>4497</v>
      </c>
      <c r="J540">
        <v>5</v>
      </c>
    </row>
    <row r="541" spans="1:10" x14ac:dyDescent="0.35">
      <c r="A541">
        <v>69000019832</v>
      </c>
      <c r="B541" t="s">
        <v>275</v>
      </c>
      <c r="C541" t="s">
        <v>53</v>
      </c>
      <c r="D541" t="s">
        <v>273</v>
      </c>
      <c r="E541" t="s">
        <v>15</v>
      </c>
      <c r="F541" t="s">
        <v>56</v>
      </c>
      <c r="G541" t="s">
        <v>16</v>
      </c>
      <c r="H541" t="s">
        <v>4497</v>
      </c>
      <c r="J541">
        <v>9</v>
      </c>
    </row>
    <row r="542" spans="1:10" x14ac:dyDescent="0.35">
      <c r="A542">
        <v>69000020081</v>
      </c>
      <c r="B542" t="s">
        <v>283</v>
      </c>
      <c r="C542" t="s">
        <v>78</v>
      </c>
      <c r="D542" t="s">
        <v>283</v>
      </c>
      <c r="E542" t="s">
        <v>15</v>
      </c>
      <c r="F542" t="s">
        <v>56</v>
      </c>
      <c r="G542" t="s">
        <v>16</v>
      </c>
      <c r="H542" t="s">
        <v>4497</v>
      </c>
      <c r="J542">
        <v>1</v>
      </c>
    </row>
    <row r="543" spans="1:10" x14ac:dyDescent="0.35">
      <c r="A543">
        <v>69000040607</v>
      </c>
      <c r="B543" t="s">
        <v>762</v>
      </c>
      <c r="C543" t="s">
        <v>151</v>
      </c>
      <c r="D543" t="s">
        <v>282</v>
      </c>
      <c r="E543" t="s">
        <v>15</v>
      </c>
      <c r="F543" t="s">
        <v>56</v>
      </c>
      <c r="G543" t="s">
        <v>16</v>
      </c>
      <c r="H543" t="s">
        <v>4497</v>
      </c>
      <c r="J543">
        <v>10</v>
      </c>
    </row>
    <row r="544" spans="1:10" x14ac:dyDescent="0.35">
      <c r="A544">
        <v>69000050569</v>
      </c>
      <c r="B544" t="s">
        <v>139</v>
      </c>
      <c r="C544" t="s">
        <v>9</v>
      </c>
      <c r="D544" t="s">
        <v>283</v>
      </c>
      <c r="E544" t="s">
        <v>15</v>
      </c>
      <c r="F544" t="s">
        <v>56</v>
      </c>
      <c r="G544" t="s">
        <v>16</v>
      </c>
      <c r="H544" t="s">
        <v>4497</v>
      </c>
      <c r="J544">
        <v>4</v>
      </c>
    </row>
    <row r="545" spans="1:10" x14ac:dyDescent="0.35">
      <c r="A545">
        <v>69000052273</v>
      </c>
      <c r="B545" t="s">
        <v>477</v>
      </c>
      <c r="C545" t="s">
        <v>151</v>
      </c>
      <c r="D545" t="s">
        <v>285</v>
      </c>
      <c r="E545" t="s">
        <v>15</v>
      </c>
      <c r="F545" t="s">
        <v>56</v>
      </c>
      <c r="G545" t="s">
        <v>16</v>
      </c>
      <c r="H545" t="s">
        <v>4497</v>
      </c>
      <c r="J545">
        <v>3</v>
      </c>
    </row>
    <row r="546" spans="1:10" x14ac:dyDescent="0.35">
      <c r="A546">
        <v>69000052617</v>
      </c>
      <c r="B546" t="s">
        <v>763</v>
      </c>
      <c r="C546" t="s">
        <v>53</v>
      </c>
      <c r="D546" t="s">
        <v>285</v>
      </c>
      <c r="E546" t="s">
        <v>15</v>
      </c>
      <c r="F546" t="s">
        <v>56</v>
      </c>
      <c r="G546" t="s">
        <v>16</v>
      </c>
      <c r="H546" t="s">
        <v>4497</v>
      </c>
      <c r="J546">
        <v>1</v>
      </c>
    </row>
    <row r="547" spans="1:10" x14ac:dyDescent="0.35">
      <c r="A547">
        <v>69000061008</v>
      </c>
      <c r="B547" t="s">
        <v>764</v>
      </c>
      <c r="C547" t="s">
        <v>253</v>
      </c>
      <c r="D547" t="s">
        <v>285</v>
      </c>
      <c r="E547" t="s">
        <v>15</v>
      </c>
      <c r="F547" t="s">
        <v>56</v>
      </c>
      <c r="G547" t="s">
        <v>16</v>
      </c>
      <c r="H547" t="s">
        <v>4497</v>
      </c>
      <c r="J547">
        <v>14</v>
      </c>
    </row>
    <row r="548" spans="1:10" x14ac:dyDescent="0.35">
      <c r="A548">
        <v>69000061015</v>
      </c>
      <c r="B548" t="s">
        <v>765</v>
      </c>
      <c r="C548" t="s">
        <v>53</v>
      </c>
      <c r="D548" t="s">
        <v>285</v>
      </c>
      <c r="E548" t="s">
        <v>15</v>
      </c>
      <c r="F548" t="s">
        <v>56</v>
      </c>
      <c r="G548" t="s">
        <v>16</v>
      </c>
      <c r="H548" t="s">
        <v>4497</v>
      </c>
      <c r="J548">
        <v>15</v>
      </c>
    </row>
    <row r="549" spans="1:10" x14ac:dyDescent="0.35">
      <c r="A549">
        <v>69000061015</v>
      </c>
      <c r="B549" t="s">
        <v>765</v>
      </c>
      <c r="C549" t="s">
        <v>53</v>
      </c>
      <c r="D549" t="s">
        <v>285</v>
      </c>
      <c r="E549" t="s">
        <v>15</v>
      </c>
      <c r="F549" t="s">
        <v>56</v>
      </c>
      <c r="G549" t="s">
        <v>31</v>
      </c>
      <c r="H549" t="s">
        <v>4497</v>
      </c>
      <c r="J549">
        <v>2</v>
      </c>
    </row>
    <row r="550" spans="1:10" x14ac:dyDescent="0.35">
      <c r="A550">
        <v>69000061039</v>
      </c>
      <c r="B550" t="s">
        <v>384</v>
      </c>
      <c r="C550" t="s">
        <v>146</v>
      </c>
      <c r="D550" t="s">
        <v>285</v>
      </c>
      <c r="E550" t="s">
        <v>15</v>
      </c>
      <c r="F550" t="s">
        <v>56</v>
      </c>
      <c r="G550" t="s">
        <v>16</v>
      </c>
      <c r="H550" t="s">
        <v>4497</v>
      </c>
      <c r="J550">
        <v>1</v>
      </c>
    </row>
    <row r="551" spans="1:10" x14ac:dyDescent="0.35">
      <c r="A551">
        <v>69000061053</v>
      </c>
      <c r="B551" t="s">
        <v>766</v>
      </c>
      <c r="C551" t="s">
        <v>192</v>
      </c>
      <c r="D551" t="s">
        <v>285</v>
      </c>
      <c r="E551" t="s">
        <v>15</v>
      </c>
      <c r="F551" t="s">
        <v>56</v>
      </c>
      <c r="G551" t="s">
        <v>16</v>
      </c>
      <c r="H551" t="s">
        <v>4497</v>
      </c>
      <c r="J551">
        <v>1</v>
      </c>
    </row>
    <row r="552" spans="1:10" x14ac:dyDescent="0.35">
      <c r="A552">
        <v>69000061053</v>
      </c>
      <c r="B552" t="s">
        <v>766</v>
      </c>
      <c r="C552" t="s">
        <v>192</v>
      </c>
      <c r="D552" t="s">
        <v>285</v>
      </c>
      <c r="E552" t="s">
        <v>15</v>
      </c>
      <c r="F552" t="s">
        <v>56</v>
      </c>
      <c r="G552" t="s">
        <v>31</v>
      </c>
      <c r="H552" t="s">
        <v>4497</v>
      </c>
      <c r="J552">
        <v>2</v>
      </c>
    </row>
    <row r="553" spans="1:10" x14ac:dyDescent="0.35">
      <c r="A553">
        <v>69000070116</v>
      </c>
      <c r="B553" t="s">
        <v>201</v>
      </c>
      <c r="C553" t="s">
        <v>53</v>
      </c>
      <c r="D553" t="s">
        <v>280</v>
      </c>
      <c r="E553" t="s">
        <v>15</v>
      </c>
      <c r="F553" t="s">
        <v>56</v>
      </c>
      <c r="G553" t="s">
        <v>16</v>
      </c>
      <c r="H553" t="s">
        <v>4497</v>
      </c>
      <c r="J553">
        <v>2</v>
      </c>
    </row>
    <row r="554" spans="1:10" x14ac:dyDescent="0.35">
      <c r="A554">
        <v>69000147344</v>
      </c>
      <c r="B554" t="s">
        <v>767</v>
      </c>
      <c r="C554" t="s">
        <v>53</v>
      </c>
      <c r="D554" t="s">
        <v>283</v>
      </c>
      <c r="E554" t="s">
        <v>15</v>
      </c>
      <c r="F554" t="s">
        <v>56</v>
      </c>
      <c r="G554" t="s">
        <v>16</v>
      </c>
      <c r="H554" t="s">
        <v>4497</v>
      </c>
      <c r="J554">
        <v>7</v>
      </c>
    </row>
    <row r="555" spans="1:10" x14ac:dyDescent="0.35">
      <c r="A555">
        <v>69000154939</v>
      </c>
      <c r="B555" t="s">
        <v>291</v>
      </c>
      <c r="C555" t="s">
        <v>53</v>
      </c>
      <c r="D555" t="s">
        <v>283</v>
      </c>
      <c r="E555" t="s">
        <v>15</v>
      </c>
      <c r="F555" t="s">
        <v>56</v>
      </c>
      <c r="G555" t="s">
        <v>16</v>
      </c>
      <c r="H555" t="s">
        <v>4497</v>
      </c>
      <c r="J555">
        <v>5</v>
      </c>
    </row>
    <row r="556" spans="1:10" x14ac:dyDescent="0.35">
      <c r="A556">
        <v>69000158715</v>
      </c>
      <c r="B556" t="s">
        <v>768</v>
      </c>
      <c r="C556" t="s">
        <v>53</v>
      </c>
      <c r="D556" t="s">
        <v>283</v>
      </c>
      <c r="E556" t="s">
        <v>15</v>
      </c>
      <c r="F556" t="s">
        <v>56</v>
      </c>
      <c r="G556" t="s">
        <v>16</v>
      </c>
      <c r="H556" t="s">
        <v>4497</v>
      </c>
      <c r="J556">
        <v>5</v>
      </c>
    </row>
    <row r="557" spans="1:10" x14ac:dyDescent="0.35">
      <c r="A557">
        <v>69000158920</v>
      </c>
      <c r="B557" t="s">
        <v>769</v>
      </c>
      <c r="C557" t="s">
        <v>53</v>
      </c>
      <c r="D557" t="s">
        <v>283</v>
      </c>
      <c r="E557" t="s">
        <v>15</v>
      </c>
      <c r="F557" t="s">
        <v>56</v>
      </c>
      <c r="G557" t="s">
        <v>16</v>
      </c>
      <c r="H557" t="s">
        <v>4497</v>
      </c>
      <c r="J557">
        <v>2</v>
      </c>
    </row>
    <row r="558" spans="1:10" x14ac:dyDescent="0.35">
      <c r="A558">
        <v>69000159286</v>
      </c>
      <c r="B558" t="s">
        <v>770</v>
      </c>
      <c r="C558" t="s">
        <v>53</v>
      </c>
      <c r="D558" t="s">
        <v>283</v>
      </c>
      <c r="E558" t="s">
        <v>15</v>
      </c>
      <c r="F558" t="s">
        <v>56</v>
      </c>
      <c r="G558" t="s">
        <v>16</v>
      </c>
      <c r="H558" t="s">
        <v>4497</v>
      </c>
      <c r="J558">
        <v>3</v>
      </c>
    </row>
    <row r="559" spans="1:10" x14ac:dyDescent="0.35">
      <c r="A559">
        <v>69000160671</v>
      </c>
      <c r="B559" t="s">
        <v>771</v>
      </c>
      <c r="C559" t="s">
        <v>53</v>
      </c>
      <c r="D559" t="s">
        <v>283</v>
      </c>
      <c r="E559" t="s">
        <v>15</v>
      </c>
      <c r="F559" t="s">
        <v>56</v>
      </c>
      <c r="G559" t="s">
        <v>16</v>
      </c>
      <c r="H559" t="s">
        <v>4497</v>
      </c>
      <c r="J559">
        <v>3</v>
      </c>
    </row>
    <row r="560" spans="1:10" x14ac:dyDescent="0.35">
      <c r="A560">
        <v>6900700</v>
      </c>
      <c r="B560" t="s">
        <v>772</v>
      </c>
      <c r="C560" t="s">
        <v>110</v>
      </c>
      <c r="D560" t="s">
        <v>273</v>
      </c>
      <c r="E560" t="s">
        <v>15</v>
      </c>
      <c r="F560" t="s">
        <v>56</v>
      </c>
      <c r="G560" t="s">
        <v>16</v>
      </c>
      <c r="H560" t="s">
        <v>4497</v>
      </c>
      <c r="J560">
        <v>2</v>
      </c>
    </row>
    <row r="561" spans="1:10" x14ac:dyDescent="0.35">
      <c r="A561">
        <v>6926102</v>
      </c>
      <c r="B561" t="s">
        <v>273</v>
      </c>
      <c r="C561" t="s">
        <v>78</v>
      </c>
      <c r="D561" t="s">
        <v>273</v>
      </c>
      <c r="E561" t="s">
        <v>15</v>
      </c>
      <c r="F561" t="s">
        <v>56</v>
      </c>
      <c r="G561" t="s">
        <v>16</v>
      </c>
      <c r="H561" t="s">
        <v>4497</v>
      </c>
      <c r="J561">
        <v>5</v>
      </c>
    </row>
    <row r="562" spans="1:10" x14ac:dyDescent="0.35">
      <c r="A562">
        <v>6998206</v>
      </c>
      <c r="B562" t="s">
        <v>273</v>
      </c>
      <c r="C562" t="s">
        <v>81</v>
      </c>
      <c r="D562" t="s">
        <v>273</v>
      </c>
      <c r="E562" t="s">
        <v>15</v>
      </c>
      <c r="F562" t="s">
        <v>56</v>
      </c>
      <c r="G562" t="s">
        <v>16</v>
      </c>
      <c r="H562" t="s">
        <v>4497</v>
      </c>
      <c r="J562">
        <v>9</v>
      </c>
    </row>
    <row r="563" spans="1:10" x14ac:dyDescent="0.35">
      <c r="A563">
        <v>6999100</v>
      </c>
      <c r="B563" t="s">
        <v>668</v>
      </c>
      <c r="C563" t="s">
        <v>151</v>
      </c>
      <c r="D563" t="s">
        <v>273</v>
      </c>
      <c r="E563" t="s">
        <v>15</v>
      </c>
      <c r="F563" t="s">
        <v>56</v>
      </c>
      <c r="G563" t="s">
        <v>16</v>
      </c>
      <c r="H563" t="s">
        <v>4497</v>
      </c>
      <c r="J563">
        <v>2</v>
      </c>
    </row>
    <row r="564" spans="1:10" x14ac:dyDescent="0.35">
      <c r="A564">
        <v>6999108</v>
      </c>
      <c r="B564" t="s">
        <v>273</v>
      </c>
      <c r="C564" t="s">
        <v>53</v>
      </c>
      <c r="D564" t="s">
        <v>273</v>
      </c>
      <c r="E564" t="s">
        <v>15</v>
      </c>
      <c r="F564" t="s">
        <v>56</v>
      </c>
      <c r="G564" t="s">
        <v>16</v>
      </c>
      <c r="H564" t="s">
        <v>4497</v>
      </c>
      <c r="J564">
        <v>17</v>
      </c>
    </row>
    <row r="565" spans="1:10" x14ac:dyDescent="0.35">
      <c r="A565">
        <v>700083059390</v>
      </c>
      <c r="B565" t="s">
        <v>773</v>
      </c>
      <c r="C565" t="s">
        <v>774</v>
      </c>
      <c r="D565" t="s">
        <v>775</v>
      </c>
      <c r="E565" t="s">
        <v>776</v>
      </c>
      <c r="F565" t="s">
        <v>777</v>
      </c>
      <c r="G565" t="s">
        <v>34</v>
      </c>
      <c r="H565" t="s">
        <v>4589</v>
      </c>
      <c r="J565">
        <v>2</v>
      </c>
    </row>
    <row r="566" spans="1:10" x14ac:dyDescent="0.35">
      <c r="A566">
        <v>700083059826</v>
      </c>
      <c r="B566" t="s">
        <v>778</v>
      </c>
      <c r="C566" t="s">
        <v>272</v>
      </c>
      <c r="D566" t="s">
        <v>779</v>
      </c>
      <c r="E566" t="s">
        <v>780</v>
      </c>
      <c r="F566" t="s">
        <v>781</v>
      </c>
      <c r="G566" t="s">
        <v>34</v>
      </c>
      <c r="H566" t="s">
        <v>4590</v>
      </c>
      <c r="J566">
        <v>328</v>
      </c>
    </row>
    <row r="567" spans="1:10" x14ac:dyDescent="0.35">
      <c r="A567">
        <v>700083060006</v>
      </c>
      <c r="B567" t="s">
        <v>295</v>
      </c>
      <c r="C567" t="s">
        <v>472</v>
      </c>
      <c r="D567" t="s">
        <v>679</v>
      </c>
      <c r="E567" t="s">
        <v>22</v>
      </c>
      <c r="F567" t="s">
        <v>680</v>
      </c>
      <c r="G567" t="s">
        <v>34</v>
      </c>
      <c r="H567" t="s">
        <v>4579</v>
      </c>
      <c r="J567">
        <v>1</v>
      </c>
    </row>
    <row r="568" spans="1:10" x14ac:dyDescent="0.35">
      <c r="A568">
        <v>700083060273</v>
      </c>
      <c r="B568" t="s">
        <v>167</v>
      </c>
      <c r="C568" t="s">
        <v>472</v>
      </c>
      <c r="D568" t="s">
        <v>782</v>
      </c>
      <c r="E568" t="s">
        <v>578</v>
      </c>
      <c r="F568" t="s">
        <v>783</v>
      </c>
      <c r="G568" t="s">
        <v>117</v>
      </c>
      <c r="H568" t="s">
        <v>4591</v>
      </c>
      <c r="J568">
        <v>6</v>
      </c>
    </row>
    <row r="569" spans="1:10" x14ac:dyDescent="0.35">
      <c r="A569">
        <v>700083060280</v>
      </c>
      <c r="B569" t="s">
        <v>668</v>
      </c>
      <c r="C569" t="s">
        <v>472</v>
      </c>
      <c r="D569" t="s">
        <v>782</v>
      </c>
      <c r="E569" t="s">
        <v>578</v>
      </c>
      <c r="F569" t="s">
        <v>783</v>
      </c>
      <c r="G569" t="s">
        <v>117</v>
      </c>
      <c r="H569" t="s">
        <v>4591</v>
      </c>
      <c r="J569">
        <v>5</v>
      </c>
    </row>
    <row r="570" spans="1:10" x14ac:dyDescent="0.35">
      <c r="A570">
        <v>700083060297</v>
      </c>
      <c r="B570" t="s">
        <v>784</v>
      </c>
      <c r="C570" t="s">
        <v>472</v>
      </c>
      <c r="D570" t="s">
        <v>782</v>
      </c>
      <c r="E570" t="s">
        <v>578</v>
      </c>
      <c r="F570" t="s">
        <v>783</v>
      </c>
      <c r="G570" t="s">
        <v>117</v>
      </c>
      <c r="H570" t="s">
        <v>4591</v>
      </c>
      <c r="J570">
        <v>4</v>
      </c>
    </row>
    <row r="571" spans="1:10" x14ac:dyDescent="0.35">
      <c r="A571">
        <v>700083060679</v>
      </c>
      <c r="B571" t="s">
        <v>675</v>
      </c>
      <c r="C571" t="s">
        <v>472</v>
      </c>
      <c r="D571" t="s">
        <v>782</v>
      </c>
      <c r="E571" t="s">
        <v>578</v>
      </c>
      <c r="F571" t="s">
        <v>783</v>
      </c>
      <c r="G571" t="s">
        <v>117</v>
      </c>
      <c r="H571" t="s">
        <v>4591</v>
      </c>
      <c r="J571">
        <v>12</v>
      </c>
    </row>
    <row r="572" spans="1:10" x14ac:dyDescent="0.35">
      <c r="A572">
        <v>700083060709</v>
      </c>
      <c r="B572" t="s">
        <v>668</v>
      </c>
      <c r="C572" t="s">
        <v>472</v>
      </c>
      <c r="D572" t="s">
        <v>785</v>
      </c>
      <c r="E572" t="s">
        <v>578</v>
      </c>
      <c r="F572" t="s">
        <v>783</v>
      </c>
      <c r="G572" t="s">
        <v>117</v>
      </c>
      <c r="H572" t="s">
        <v>4591</v>
      </c>
      <c r="J572">
        <v>1</v>
      </c>
    </row>
    <row r="573" spans="1:10" x14ac:dyDescent="0.35">
      <c r="A573">
        <v>700083060730</v>
      </c>
      <c r="B573" t="s">
        <v>288</v>
      </c>
      <c r="C573" t="s">
        <v>472</v>
      </c>
      <c r="D573" t="s">
        <v>785</v>
      </c>
      <c r="E573" t="s">
        <v>578</v>
      </c>
      <c r="F573" t="s">
        <v>783</v>
      </c>
      <c r="G573" t="s">
        <v>117</v>
      </c>
      <c r="H573" t="s">
        <v>4591</v>
      </c>
      <c r="J573">
        <v>3</v>
      </c>
    </row>
    <row r="574" spans="1:10" x14ac:dyDescent="0.35">
      <c r="A574">
        <v>700083060815</v>
      </c>
      <c r="B574" t="s">
        <v>581</v>
      </c>
      <c r="C574" t="s">
        <v>472</v>
      </c>
      <c r="D574" t="s">
        <v>611</v>
      </c>
      <c r="E574" t="s">
        <v>308</v>
      </c>
      <c r="F574" t="s">
        <v>309</v>
      </c>
      <c r="G574" t="s">
        <v>117</v>
      </c>
      <c r="H574" t="s">
        <v>4529</v>
      </c>
      <c r="J574">
        <v>1</v>
      </c>
    </row>
    <row r="575" spans="1:10" x14ac:dyDescent="0.35">
      <c r="A575">
        <v>701197345706</v>
      </c>
      <c r="B575" t="s">
        <v>786</v>
      </c>
      <c r="C575" t="s">
        <v>9</v>
      </c>
      <c r="D575" t="s">
        <v>787</v>
      </c>
      <c r="E575" t="s">
        <v>788</v>
      </c>
      <c r="F575" t="s">
        <v>789</v>
      </c>
      <c r="G575" t="s">
        <v>33</v>
      </c>
      <c r="H575" t="s">
        <v>4592</v>
      </c>
      <c r="J575">
        <v>24</v>
      </c>
    </row>
    <row r="576" spans="1:10" x14ac:dyDescent="0.35">
      <c r="A576">
        <v>701698525010</v>
      </c>
      <c r="B576" t="s">
        <v>790</v>
      </c>
      <c r="C576" t="s">
        <v>253</v>
      </c>
      <c r="D576" t="s">
        <v>791</v>
      </c>
      <c r="E576" t="s">
        <v>34</v>
      </c>
      <c r="F576" t="s">
        <v>792</v>
      </c>
      <c r="G576" t="s">
        <v>34</v>
      </c>
      <c r="H576" t="s">
        <v>4593</v>
      </c>
      <c r="J576">
        <v>267</v>
      </c>
    </row>
    <row r="577" spans="1:10" x14ac:dyDescent="0.35">
      <c r="A577">
        <v>701698525027</v>
      </c>
      <c r="B577" t="s">
        <v>790</v>
      </c>
      <c r="C577" t="s">
        <v>192</v>
      </c>
      <c r="D577" t="s">
        <v>791</v>
      </c>
      <c r="E577" t="s">
        <v>34</v>
      </c>
      <c r="F577" t="s">
        <v>792</v>
      </c>
      <c r="G577" t="s">
        <v>34</v>
      </c>
      <c r="H577" t="s">
        <v>4593</v>
      </c>
      <c r="J577">
        <v>119</v>
      </c>
    </row>
    <row r="578" spans="1:10" x14ac:dyDescent="0.35">
      <c r="A578">
        <v>701698525034</v>
      </c>
      <c r="B578" t="s">
        <v>793</v>
      </c>
      <c r="C578" t="s">
        <v>75</v>
      </c>
      <c r="D578" t="s">
        <v>791</v>
      </c>
      <c r="E578" t="s">
        <v>34</v>
      </c>
      <c r="F578" t="s">
        <v>792</v>
      </c>
      <c r="G578" t="s">
        <v>34</v>
      </c>
      <c r="H578" t="s">
        <v>4593</v>
      </c>
      <c r="J578">
        <v>22</v>
      </c>
    </row>
    <row r="579" spans="1:10" x14ac:dyDescent="0.35">
      <c r="A579">
        <v>705632476345</v>
      </c>
      <c r="B579" t="s">
        <v>794</v>
      </c>
      <c r="C579" t="s">
        <v>9</v>
      </c>
      <c r="D579" t="s">
        <v>795</v>
      </c>
      <c r="E579" t="s">
        <v>33</v>
      </c>
      <c r="F579" t="s">
        <v>796</v>
      </c>
      <c r="G579" t="s">
        <v>33</v>
      </c>
      <c r="H579" t="s">
        <v>4594</v>
      </c>
      <c r="J579">
        <v>245</v>
      </c>
    </row>
    <row r="580" spans="1:10" x14ac:dyDescent="0.35">
      <c r="A580">
        <v>705632559215</v>
      </c>
      <c r="B580" t="s">
        <v>797</v>
      </c>
      <c r="C580" t="s">
        <v>9</v>
      </c>
      <c r="D580" t="s">
        <v>798</v>
      </c>
      <c r="E580" t="s">
        <v>71</v>
      </c>
      <c r="F580" t="s">
        <v>799</v>
      </c>
      <c r="G580" t="s">
        <v>11</v>
      </c>
      <c r="H580" t="s">
        <v>4595</v>
      </c>
      <c r="J580">
        <v>17</v>
      </c>
    </row>
    <row r="581" spans="1:10" x14ac:dyDescent="0.35">
      <c r="A581">
        <v>705632559222</v>
      </c>
      <c r="B581" t="s">
        <v>800</v>
      </c>
      <c r="C581" t="s">
        <v>801</v>
      </c>
      <c r="D581" t="s">
        <v>798</v>
      </c>
      <c r="E581" t="s">
        <v>71</v>
      </c>
      <c r="F581" t="s">
        <v>799</v>
      </c>
      <c r="G581" t="s">
        <v>11</v>
      </c>
      <c r="H581" t="s">
        <v>4595</v>
      </c>
      <c r="J581">
        <v>6</v>
      </c>
    </row>
    <row r="582" spans="1:10" x14ac:dyDescent="0.35">
      <c r="A582">
        <v>705632559222</v>
      </c>
      <c r="B582" t="s">
        <v>800</v>
      </c>
      <c r="C582" t="s">
        <v>801</v>
      </c>
      <c r="D582" t="s">
        <v>798</v>
      </c>
      <c r="E582" t="s">
        <v>71</v>
      </c>
      <c r="F582" t="s">
        <v>799</v>
      </c>
      <c r="G582" t="s">
        <v>150</v>
      </c>
      <c r="H582" t="s">
        <v>4595</v>
      </c>
      <c r="J582">
        <v>11</v>
      </c>
    </row>
    <row r="583" spans="1:10" x14ac:dyDescent="0.35">
      <c r="A583">
        <v>705632600955</v>
      </c>
      <c r="B583" t="s">
        <v>802</v>
      </c>
      <c r="C583" t="s">
        <v>272</v>
      </c>
      <c r="D583" t="s">
        <v>802</v>
      </c>
      <c r="E583" t="s">
        <v>41</v>
      </c>
      <c r="F583" t="s">
        <v>803</v>
      </c>
      <c r="G583" t="s">
        <v>578</v>
      </c>
      <c r="H583" t="s">
        <v>4596</v>
      </c>
      <c r="J583">
        <v>3</v>
      </c>
    </row>
    <row r="584" spans="1:10" x14ac:dyDescent="0.35">
      <c r="A584">
        <v>707389527660</v>
      </c>
      <c r="B584" t="s">
        <v>581</v>
      </c>
      <c r="C584" t="s">
        <v>472</v>
      </c>
      <c r="D584" t="s">
        <v>804</v>
      </c>
      <c r="E584" t="s">
        <v>578</v>
      </c>
      <c r="F584" t="s">
        <v>783</v>
      </c>
      <c r="G584" t="s">
        <v>117</v>
      </c>
      <c r="H584" t="s">
        <v>4591</v>
      </c>
      <c r="J584">
        <v>1</v>
      </c>
    </row>
    <row r="585" spans="1:10" x14ac:dyDescent="0.35">
      <c r="A585">
        <v>708002401619</v>
      </c>
      <c r="B585" t="s">
        <v>805</v>
      </c>
      <c r="C585" t="s">
        <v>806</v>
      </c>
      <c r="D585" t="s">
        <v>807</v>
      </c>
      <c r="E585" t="s">
        <v>22</v>
      </c>
      <c r="F585" t="s">
        <v>808</v>
      </c>
      <c r="G585" t="s">
        <v>22</v>
      </c>
      <c r="H585" t="s">
        <v>4597</v>
      </c>
      <c r="J585">
        <v>1</v>
      </c>
    </row>
    <row r="586" spans="1:10" x14ac:dyDescent="0.35">
      <c r="A586">
        <v>708002407727</v>
      </c>
      <c r="B586" t="s">
        <v>809</v>
      </c>
      <c r="C586" t="s">
        <v>806</v>
      </c>
      <c r="D586" t="s">
        <v>807</v>
      </c>
      <c r="E586" t="s">
        <v>22</v>
      </c>
      <c r="F586" t="s">
        <v>808</v>
      </c>
      <c r="G586" t="s">
        <v>22</v>
      </c>
      <c r="H586" t="s">
        <v>4597</v>
      </c>
      <c r="J586">
        <v>1</v>
      </c>
    </row>
    <row r="587" spans="1:10" x14ac:dyDescent="0.35">
      <c r="A587">
        <v>70847029656</v>
      </c>
      <c r="B587" t="s">
        <v>810</v>
      </c>
      <c r="C587" t="s">
        <v>623</v>
      </c>
      <c r="D587" t="s">
        <v>296</v>
      </c>
      <c r="E587" t="s">
        <v>15</v>
      </c>
      <c r="F587" t="s">
        <v>297</v>
      </c>
      <c r="G587" t="s">
        <v>16</v>
      </c>
      <c r="H587" t="s">
        <v>4526</v>
      </c>
      <c r="J587">
        <v>1</v>
      </c>
    </row>
    <row r="588" spans="1:10" x14ac:dyDescent="0.35">
      <c r="A588">
        <v>7216718</v>
      </c>
      <c r="B588" t="s">
        <v>494</v>
      </c>
      <c r="C588" t="s">
        <v>9</v>
      </c>
      <c r="D588" t="s">
        <v>55</v>
      </c>
      <c r="E588" t="s">
        <v>15</v>
      </c>
      <c r="F588" t="s">
        <v>56</v>
      </c>
      <c r="G588" t="s">
        <v>16</v>
      </c>
      <c r="H588" t="s">
        <v>4497</v>
      </c>
      <c r="J588">
        <v>1</v>
      </c>
    </row>
    <row r="589" spans="1:10" x14ac:dyDescent="0.35">
      <c r="A589">
        <v>722777707509</v>
      </c>
      <c r="B589" t="s">
        <v>380</v>
      </c>
      <c r="C589" t="s">
        <v>326</v>
      </c>
      <c r="D589" t="s">
        <v>811</v>
      </c>
      <c r="E589" t="s">
        <v>117</v>
      </c>
      <c r="F589" t="s">
        <v>695</v>
      </c>
      <c r="G589" t="s">
        <v>117</v>
      </c>
      <c r="H589" t="s">
        <v>4582</v>
      </c>
      <c r="J589">
        <v>2687</v>
      </c>
    </row>
    <row r="590" spans="1:10" x14ac:dyDescent="0.35">
      <c r="A590">
        <v>722777707523</v>
      </c>
      <c r="B590" t="s">
        <v>812</v>
      </c>
      <c r="C590" t="s">
        <v>192</v>
      </c>
      <c r="D590" t="s">
        <v>811</v>
      </c>
      <c r="E590" t="s">
        <v>117</v>
      </c>
      <c r="F590" t="s">
        <v>695</v>
      </c>
      <c r="G590" t="s">
        <v>117</v>
      </c>
      <c r="H590" t="s">
        <v>4582</v>
      </c>
      <c r="J590">
        <v>6</v>
      </c>
    </row>
    <row r="591" spans="1:10" x14ac:dyDescent="0.35">
      <c r="A591">
        <v>728028491876</v>
      </c>
      <c r="B591" t="s">
        <v>813</v>
      </c>
      <c r="C591" t="s">
        <v>814</v>
      </c>
      <c r="D591" t="s">
        <v>815</v>
      </c>
      <c r="E591" t="s">
        <v>816</v>
      </c>
      <c r="F591" t="s">
        <v>817</v>
      </c>
      <c r="G591" t="s">
        <v>33</v>
      </c>
      <c r="H591" t="s">
        <v>4598</v>
      </c>
      <c r="J591">
        <v>50</v>
      </c>
    </row>
    <row r="592" spans="1:10" x14ac:dyDescent="0.35">
      <c r="A592">
        <v>735850727455</v>
      </c>
      <c r="B592" t="s">
        <v>818</v>
      </c>
      <c r="C592" t="s">
        <v>9</v>
      </c>
      <c r="D592" t="s">
        <v>819</v>
      </c>
      <c r="E592" t="s">
        <v>776</v>
      </c>
      <c r="F592" t="s">
        <v>820</v>
      </c>
      <c r="G592" t="s">
        <v>34</v>
      </c>
      <c r="H592" t="s">
        <v>4599</v>
      </c>
      <c r="J592">
        <v>303</v>
      </c>
    </row>
    <row r="593" spans="1:10" x14ac:dyDescent="0.35">
      <c r="A593">
        <v>735850727455</v>
      </c>
      <c r="B593" t="s">
        <v>818</v>
      </c>
      <c r="C593" t="s">
        <v>9</v>
      </c>
      <c r="D593" t="s">
        <v>819</v>
      </c>
      <c r="E593" t="s">
        <v>776</v>
      </c>
      <c r="F593" t="s">
        <v>820</v>
      </c>
      <c r="G593" t="s">
        <v>73</v>
      </c>
      <c r="H593" t="s">
        <v>4599</v>
      </c>
      <c r="J593">
        <v>1</v>
      </c>
    </row>
    <row r="594" spans="1:10" x14ac:dyDescent="0.35">
      <c r="A594">
        <v>735850727462</v>
      </c>
      <c r="B594" t="s">
        <v>821</v>
      </c>
      <c r="C594" t="s">
        <v>192</v>
      </c>
      <c r="D594" t="s">
        <v>819</v>
      </c>
      <c r="E594" t="s">
        <v>776</v>
      </c>
      <c r="F594" t="s">
        <v>820</v>
      </c>
      <c r="G594" t="s">
        <v>33</v>
      </c>
      <c r="H594" t="s">
        <v>4599</v>
      </c>
      <c r="J594">
        <v>5</v>
      </c>
    </row>
    <row r="595" spans="1:10" x14ac:dyDescent="0.35">
      <c r="A595">
        <v>735850727462</v>
      </c>
      <c r="B595" t="s">
        <v>821</v>
      </c>
      <c r="C595" t="s">
        <v>192</v>
      </c>
      <c r="D595" t="s">
        <v>819</v>
      </c>
      <c r="E595" t="s">
        <v>776</v>
      </c>
      <c r="F595" t="s">
        <v>820</v>
      </c>
      <c r="G595" t="s">
        <v>34</v>
      </c>
      <c r="H595" t="s">
        <v>4599</v>
      </c>
      <c r="J595">
        <v>205</v>
      </c>
    </row>
    <row r="596" spans="1:10" x14ac:dyDescent="0.35">
      <c r="A596">
        <v>736532548139</v>
      </c>
      <c r="B596" t="s">
        <v>822</v>
      </c>
      <c r="C596" t="s">
        <v>681</v>
      </c>
      <c r="D596" t="s">
        <v>823</v>
      </c>
      <c r="E596" t="s">
        <v>308</v>
      </c>
      <c r="F596" t="s">
        <v>309</v>
      </c>
      <c r="G596" t="s">
        <v>34</v>
      </c>
      <c r="H596" t="s">
        <v>4529</v>
      </c>
      <c r="J596">
        <v>1</v>
      </c>
    </row>
    <row r="597" spans="1:10" x14ac:dyDescent="0.35">
      <c r="A597">
        <v>739252175913</v>
      </c>
      <c r="B597" t="s">
        <v>446</v>
      </c>
      <c r="C597" t="s">
        <v>192</v>
      </c>
      <c r="D597" t="s">
        <v>824</v>
      </c>
      <c r="E597" t="s">
        <v>308</v>
      </c>
      <c r="F597" t="s">
        <v>309</v>
      </c>
      <c r="G597" t="s">
        <v>117</v>
      </c>
      <c r="H597" t="s">
        <v>4529</v>
      </c>
      <c r="J597">
        <v>5</v>
      </c>
    </row>
    <row r="598" spans="1:10" x14ac:dyDescent="0.35">
      <c r="A598">
        <v>745110162568</v>
      </c>
      <c r="B598" t="s">
        <v>485</v>
      </c>
      <c r="C598" t="s">
        <v>825</v>
      </c>
      <c r="D598" t="s">
        <v>826</v>
      </c>
      <c r="E598" t="s">
        <v>827</v>
      </c>
      <c r="F598" t="s">
        <v>828</v>
      </c>
      <c r="G598" t="s">
        <v>150</v>
      </c>
      <c r="H598" t="s">
        <v>4600</v>
      </c>
      <c r="J598">
        <v>22</v>
      </c>
    </row>
    <row r="599" spans="1:10" x14ac:dyDescent="0.35">
      <c r="A599">
        <v>745110162575</v>
      </c>
      <c r="B599" t="s">
        <v>829</v>
      </c>
      <c r="C599" t="s">
        <v>114</v>
      </c>
      <c r="D599" t="s">
        <v>826</v>
      </c>
      <c r="E599" t="s">
        <v>827</v>
      </c>
      <c r="F599" t="s">
        <v>828</v>
      </c>
      <c r="G599" t="s">
        <v>150</v>
      </c>
      <c r="H599" t="s">
        <v>4600</v>
      </c>
      <c r="J599">
        <v>3</v>
      </c>
    </row>
    <row r="600" spans="1:10" x14ac:dyDescent="0.35">
      <c r="A600">
        <v>745110332619</v>
      </c>
      <c r="B600" t="s">
        <v>544</v>
      </c>
      <c r="C600" t="s">
        <v>81</v>
      </c>
      <c r="D600" t="s">
        <v>830</v>
      </c>
      <c r="E600" t="s">
        <v>308</v>
      </c>
      <c r="F600" t="s">
        <v>309</v>
      </c>
      <c r="G600" t="s">
        <v>11</v>
      </c>
      <c r="H600" t="s">
        <v>4529</v>
      </c>
      <c r="J600">
        <v>14</v>
      </c>
    </row>
    <row r="601" spans="1:10" x14ac:dyDescent="0.35">
      <c r="A601">
        <v>745110360049</v>
      </c>
      <c r="B601" t="s">
        <v>831</v>
      </c>
      <c r="C601" t="s">
        <v>81</v>
      </c>
      <c r="D601" t="s">
        <v>832</v>
      </c>
      <c r="E601" t="s">
        <v>11</v>
      </c>
      <c r="F601" t="s">
        <v>833</v>
      </c>
      <c r="G601" t="s">
        <v>150</v>
      </c>
      <c r="H601" t="s">
        <v>4601</v>
      </c>
      <c r="J601">
        <v>15</v>
      </c>
    </row>
    <row r="602" spans="1:10" x14ac:dyDescent="0.35">
      <c r="A602">
        <v>745110421344</v>
      </c>
      <c r="B602" t="s">
        <v>834</v>
      </c>
      <c r="C602" t="s">
        <v>9</v>
      </c>
      <c r="D602" t="s">
        <v>835</v>
      </c>
      <c r="E602" t="s">
        <v>11</v>
      </c>
      <c r="F602" t="s">
        <v>836</v>
      </c>
      <c r="G602" t="s">
        <v>11</v>
      </c>
      <c r="H602" t="s">
        <v>4602</v>
      </c>
      <c r="J602">
        <v>2</v>
      </c>
    </row>
    <row r="603" spans="1:10" x14ac:dyDescent="0.35">
      <c r="A603">
        <v>745110421344</v>
      </c>
      <c r="B603" t="s">
        <v>834</v>
      </c>
      <c r="C603" t="s">
        <v>9</v>
      </c>
      <c r="D603" t="s">
        <v>835</v>
      </c>
      <c r="E603" t="s">
        <v>11</v>
      </c>
      <c r="F603" t="s">
        <v>836</v>
      </c>
      <c r="G603" t="s">
        <v>34</v>
      </c>
      <c r="H603" t="s">
        <v>4602</v>
      </c>
      <c r="J603">
        <v>4</v>
      </c>
    </row>
    <row r="604" spans="1:10" x14ac:dyDescent="0.35">
      <c r="A604">
        <v>745110421351</v>
      </c>
      <c r="B604" t="s">
        <v>8</v>
      </c>
      <c r="C604" t="s">
        <v>837</v>
      </c>
      <c r="D604" t="s">
        <v>835</v>
      </c>
      <c r="E604" t="s">
        <v>11</v>
      </c>
      <c r="F604" t="s">
        <v>836</v>
      </c>
      <c r="G604" t="s">
        <v>11</v>
      </c>
      <c r="H604" t="s">
        <v>4602</v>
      </c>
      <c r="J604">
        <v>1</v>
      </c>
    </row>
    <row r="605" spans="1:10" x14ac:dyDescent="0.35">
      <c r="A605">
        <v>745110422457</v>
      </c>
      <c r="B605" t="s">
        <v>838</v>
      </c>
      <c r="C605" t="s">
        <v>326</v>
      </c>
      <c r="D605" t="s">
        <v>839</v>
      </c>
      <c r="E605" t="s">
        <v>117</v>
      </c>
      <c r="F605" t="s">
        <v>840</v>
      </c>
      <c r="G605" t="s">
        <v>117</v>
      </c>
      <c r="H605" t="s">
        <v>4603</v>
      </c>
      <c r="J605">
        <v>4</v>
      </c>
    </row>
    <row r="606" spans="1:10" x14ac:dyDescent="0.35">
      <c r="A606">
        <v>745110637950</v>
      </c>
      <c r="B606" t="s">
        <v>384</v>
      </c>
      <c r="C606" t="s">
        <v>9</v>
      </c>
      <c r="D606" t="s">
        <v>841</v>
      </c>
      <c r="E606" t="s">
        <v>22</v>
      </c>
      <c r="F606" t="s">
        <v>842</v>
      </c>
      <c r="G606" t="s">
        <v>31</v>
      </c>
      <c r="H606" t="s">
        <v>4604</v>
      </c>
      <c r="J606">
        <v>22</v>
      </c>
    </row>
    <row r="607" spans="1:10" x14ac:dyDescent="0.35">
      <c r="A607">
        <v>745110637967</v>
      </c>
      <c r="B607" t="s">
        <v>843</v>
      </c>
      <c r="C607" t="s">
        <v>825</v>
      </c>
      <c r="D607" t="s">
        <v>844</v>
      </c>
      <c r="E607" t="s">
        <v>308</v>
      </c>
      <c r="F607" t="s">
        <v>309</v>
      </c>
      <c r="G607" t="s">
        <v>31</v>
      </c>
      <c r="H607" t="s">
        <v>4529</v>
      </c>
      <c r="J607">
        <v>4</v>
      </c>
    </row>
    <row r="608" spans="1:10" x14ac:dyDescent="0.35">
      <c r="A608">
        <v>745110738671</v>
      </c>
      <c r="B608" t="s">
        <v>845</v>
      </c>
      <c r="C608" t="s">
        <v>326</v>
      </c>
      <c r="D608" t="s">
        <v>846</v>
      </c>
      <c r="E608" t="s">
        <v>117</v>
      </c>
      <c r="F608" t="s">
        <v>847</v>
      </c>
      <c r="G608" t="s">
        <v>117</v>
      </c>
      <c r="H608" t="s">
        <v>4605</v>
      </c>
      <c r="J608">
        <v>7</v>
      </c>
    </row>
    <row r="609" spans="1:10" x14ac:dyDescent="0.35">
      <c r="A609">
        <v>745110855545</v>
      </c>
      <c r="B609" t="s">
        <v>848</v>
      </c>
      <c r="C609" t="s">
        <v>849</v>
      </c>
      <c r="D609" t="s">
        <v>850</v>
      </c>
      <c r="E609" t="s">
        <v>578</v>
      </c>
      <c r="F609" t="s">
        <v>579</v>
      </c>
      <c r="G609" t="s">
        <v>117</v>
      </c>
      <c r="H609" t="s">
        <v>4563</v>
      </c>
      <c r="J609">
        <v>50</v>
      </c>
    </row>
    <row r="610" spans="1:10" x14ac:dyDescent="0.35">
      <c r="A610">
        <v>745110855552</v>
      </c>
      <c r="B610" t="s">
        <v>850</v>
      </c>
      <c r="C610" t="s">
        <v>849</v>
      </c>
      <c r="D610" t="s">
        <v>850</v>
      </c>
      <c r="E610" t="s">
        <v>578</v>
      </c>
      <c r="F610" t="s">
        <v>579</v>
      </c>
      <c r="G610" t="s">
        <v>117</v>
      </c>
      <c r="H610" t="s">
        <v>4563</v>
      </c>
      <c r="J610">
        <v>50</v>
      </c>
    </row>
    <row r="611" spans="1:10" x14ac:dyDescent="0.35">
      <c r="A611">
        <v>745110904571</v>
      </c>
      <c r="B611" t="s">
        <v>851</v>
      </c>
      <c r="C611" t="s">
        <v>253</v>
      </c>
      <c r="D611" t="s">
        <v>852</v>
      </c>
      <c r="E611" t="s">
        <v>308</v>
      </c>
      <c r="F611" t="s">
        <v>309</v>
      </c>
      <c r="G611" t="s">
        <v>11</v>
      </c>
      <c r="H611" t="s">
        <v>4529</v>
      </c>
      <c r="J611">
        <v>4</v>
      </c>
    </row>
    <row r="612" spans="1:10" x14ac:dyDescent="0.35">
      <c r="A612">
        <v>745110917106</v>
      </c>
      <c r="B612" t="s">
        <v>167</v>
      </c>
      <c r="C612" t="s">
        <v>806</v>
      </c>
      <c r="D612" t="s">
        <v>694</v>
      </c>
      <c r="E612" t="s">
        <v>117</v>
      </c>
      <c r="F612" t="s">
        <v>695</v>
      </c>
      <c r="G612" t="s">
        <v>117</v>
      </c>
      <c r="H612" t="s">
        <v>4582</v>
      </c>
      <c r="J612">
        <v>135</v>
      </c>
    </row>
    <row r="613" spans="1:10" x14ac:dyDescent="0.35">
      <c r="A613">
        <v>745110917113</v>
      </c>
      <c r="B613" t="s">
        <v>853</v>
      </c>
      <c r="C613" t="s">
        <v>806</v>
      </c>
      <c r="D613" t="s">
        <v>694</v>
      </c>
      <c r="E613" t="s">
        <v>117</v>
      </c>
      <c r="F613" t="s">
        <v>695</v>
      </c>
      <c r="G613" t="s">
        <v>117</v>
      </c>
      <c r="H613" t="s">
        <v>4582</v>
      </c>
      <c r="J613">
        <v>4</v>
      </c>
    </row>
    <row r="614" spans="1:10" x14ac:dyDescent="0.35">
      <c r="A614">
        <v>745110917120</v>
      </c>
      <c r="B614" t="s">
        <v>854</v>
      </c>
      <c r="C614" t="s">
        <v>806</v>
      </c>
      <c r="D614" t="s">
        <v>694</v>
      </c>
      <c r="E614" t="s">
        <v>117</v>
      </c>
      <c r="F614" t="s">
        <v>695</v>
      </c>
      <c r="G614" t="s">
        <v>117</v>
      </c>
      <c r="H614" t="s">
        <v>4582</v>
      </c>
      <c r="J614">
        <v>12</v>
      </c>
    </row>
    <row r="615" spans="1:10" x14ac:dyDescent="0.35">
      <c r="A615">
        <v>745110917137</v>
      </c>
      <c r="B615" t="s">
        <v>696</v>
      </c>
      <c r="C615" t="s">
        <v>806</v>
      </c>
      <c r="D615" t="s">
        <v>694</v>
      </c>
      <c r="E615" t="s">
        <v>117</v>
      </c>
      <c r="F615" t="s">
        <v>695</v>
      </c>
      <c r="G615" t="s">
        <v>117</v>
      </c>
      <c r="H615" t="s">
        <v>4582</v>
      </c>
      <c r="J615">
        <v>97</v>
      </c>
    </row>
    <row r="616" spans="1:10" x14ac:dyDescent="0.35">
      <c r="A616">
        <v>745110917144</v>
      </c>
      <c r="B616" t="s">
        <v>855</v>
      </c>
      <c r="C616" t="s">
        <v>83</v>
      </c>
      <c r="D616" t="s">
        <v>694</v>
      </c>
      <c r="E616" t="s">
        <v>117</v>
      </c>
      <c r="F616" t="s">
        <v>695</v>
      </c>
      <c r="G616" t="s">
        <v>117</v>
      </c>
      <c r="H616" t="s">
        <v>4582</v>
      </c>
      <c r="J616">
        <v>4</v>
      </c>
    </row>
    <row r="617" spans="1:10" x14ac:dyDescent="0.35">
      <c r="A617">
        <v>745110917168</v>
      </c>
      <c r="B617" t="s">
        <v>668</v>
      </c>
      <c r="C617" t="s">
        <v>83</v>
      </c>
      <c r="D617" t="s">
        <v>694</v>
      </c>
      <c r="E617" t="s">
        <v>117</v>
      </c>
      <c r="F617" t="s">
        <v>695</v>
      </c>
      <c r="G617" t="s">
        <v>117</v>
      </c>
      <c r="H617" t="s">
        <v>4582</v>
      </c>
      <c r="J617">
        <v>60</v>
      </c>
    </row>
    <row r="618" spans="1:10" x14ac:dyDescent="0.35">
      <c r="A618">
        <v>745125053370</v>
      </c>
      <c r="B618" t="s">
        <v>856</v>
      </c>
      <c r="C618" t="s">
        <v>9</v>
      </c>
      <c r="D618" t="s">
        <v>357</v>
      </c>
      <c r="E618" t="s">
        <v>150</v>
      </c>
      <c r="F618" t="s">
        <v>358</v>
      </c>
      <c r="G618" t="s">
        <v>11</v>
      </c>
      <c r="H618" t="s">
        <v>4538</v>
      </c>
      <c r="J618">
        <v>24</v>
      </c>
    </row>
    <row r="619" spans="1:10" x14ac:dyDescent="0.35">
      <c r="A619">
        <v>745125114736</v>
      </c>
      <c r="B619" t="s">
        <v>857</v>
      </c>
      <c r="C619" t="s">
        <v>272</v>
      </c>
      <c r="D619" t="s">
        <v>858</v>
      </c>
      <c r="E619" t="s">
        <v>11</v>
      </c>
      <c r="F619" t="s">
        <v>859</v>
      </c>
      <c r="G619" t="s">
        <v>11</v>
      </c>
      <c r="H619" t="s">
        <v>4606</v>
      </c>
      <c r="J619">
        <v>20</v>
      </c>
    </row>
    <row r="620" spans="1:10" x14ac:dyDescent="0.35">
      <c r="A620">
        <v>745125752327</v>
      </c>
      <c r="B620" t="s">
        <v>589</v>
      </c>
      <c r="C620" t="s">
        <v>192</v>
      </c>
      <c r="D620" t="s">
        <v>860</v>
      </c>
      <c r="E620" t="s">
        <v>11</v>
      </c>
      <c r="F620" t="s">
        <v>861</v>
      </c>
      <c r="G620" t="s">
        <v>34</v>
      </c>
      <c r="H620" t="s">
        <v>4607</v>
      </c>
      <c r="J620">
        <v>2</v>
      </c>
    </row>
    <row r="621" spans="1:10" x14ac:dyDescent="0.35">
      <c r="A621">
        <v>745178589840</v>
      </c>
      <c r="B621" t="s">
        <v>834</v>
      </c>
      <c r="C621" t="s">
        <v>9</v>
      </c>
      <c r="D621" t="s">
        <v>862</v>
      </c>
      <c r="E621" t="s">
        <v>11</v>
      </c>
      <c r="F621" t="s">
        <v>863</v>
      </c>
      <c r="G621" t="s">
        <v>11</v>
      </c>
      <c r="H621" t="s">
        <v>4608</v>
      </c>
      <c r="J621">
        <v>507</v>
      </c>
    </row>
    <row r="622" spans="1:10" x14ac:dyDescent="0.35">
      <c r="A622">
        <v>745178589857</v>
      </c>
      <c r="B622" t="s">
        <v>834</v>
      </c>
      <c r="C622" t="s">
        <v>192</v>
      </c>
      <c r="D622" t="s">
        <v>862</v>
      </c>
      <c r="E622" t="s">
        <v>11</v>
      </c>
      <c r="F622" t="s">
        <v>863</v>
      </c>
      <c r="G622" t="s">
        <v>11</v>
      </c>
      <c r="H622" t="s">
        <v>4608</v>
      </c>
      <c r="J622">
        <v>1</v>
      </c>
    </row>
    <row r="623" spans="1:10" x14ac:dyDescent="0.35">
      <c r="A623">
        <v>745178751117</v>
      </c>
      <c r="B623" t="s">
        <v>864</v>
      </c>
      <c r="C623" t="s">
        <v>865</v>
      </c>
      <c r="D623" t="s">
        <v>866</v>
      </c>
      <c r="E623" t="s">
        <v>867</v>
      </c>
      <c r="F623" t="s">
        <v>868</v>
      </c>
      <c r="G623" t="s">
        <v>41</v>
      </c>
      <c r="H623" t="s">
        <v>4609</v>
      </c>
      <c r="J623">
        <v>54</v>
      </c>
    </row>
    <row r="624" spans="1:10" x14ac:dyDescent="0.35">
      <c r="A624">
        <v>745178919531</v>
      </c>
      <c r="B624" t="s">
        <v>834</v>
      </c>
      <c r="C624" t="s">
        <v>9</v>
      </c>
      <c r="D624" t="s">
        <v>869</v>
      </c>
      <c r="E624" t="s">
        <v>11</v>
      </c>
      <c r="F624" t="s">
        <v>870</v>
      </c>
      <c r="G624" t="s">
        <v>11</v>
      </c>
      <c r="H624" t="s">
        <v>4610</v>
      </c>
      <c r="J624">
        <v>53</v>
      </c>
    </row>
    <row r="625" spans="1:10" x14ac:dyDescent="0.35">
      <c r="A625">
        <v>745240015505</v>
      </c>
      <c r="B625" t="s">
        <v>262</v>
      </c>
      <c r="C625" t="s">
        <v>472</v>
      </c>
      <c r="D625" t="s">
        <v>871</v>
      </c>
      <c r="E625" t="s">
        <v>61</v>
      </c>
      <c r="F625" t="s">
        <v>872</v>
      </c>
      <c r="G625" t="s">
        <v>61</v>
      </c>
      <c r="H625" t="s">
        <v>4611</v>
      </c>
      <c r="J625">
        <v>70</v>
      </c>
    </row>
    <row r="626" spans="1:10" x14ac:dyDescent="0.35">
      <c r="A626">
        <v>745240015512</v>
      </c>
      <c r="B626" t="s">
        <v>262</v>
      </c>
      <c r="C626" t="s">
        <v>9</v>
      </c>
      <c r="D626" t="s">
        <v>871</v>
      </c>
      <c r="E626" t="s">
        <v>61</v>
      </c>
      <c r="F626" t="s">
        <v>872</v>
      </c>
      <c r="G626" t="s">
        <v>61</v>
      </c>
      <c r="H626" t="s">
        <v>4611</v>
      </c>
      <c r="J626">
        <v>20</v>
      </c>
    </row>
    <row r="627" spans="1:10" x14ac:dyDescent="0.35">
      <c r="A627">
        <v>745240015529</v>
      </c>
      <c r="B627" t="s">
        <v>262</v>
      </c>
      <c r="C627" t="s">
        <v>825</v>
      </c>
      <c r="D627" t="s">
        <v>871</v>
      </c>
      <c r="E627" t="s">
        <v>61</v>
      </c>
      <c r="F627" t="s">
        <v>872</v>
      </c>
      <c r="G627" t="s">
        <v>61</v>
      </c>
      <c r="H627" t="s">
        <v>4611</v>
      </c>
      <c r="J627">
        <v>100</v>
      </c>
    </row>
    <row r="628" spans="1:10" x14ac:dyDescent="0.35">
      <c r="A628">
        <v>745240447696</v>
      </c>
      <c r="B628" t="s">
        <v>873</v>
      </c>
      <c r="C628" t="s">
        <v>603</v>
      </c>
      <c r="D628" t="s">
        <v>756</v>
      </c>
      <c r="E628" t="s">
        <v>308</v>
      </c>
      <c r="F628" t="s">
        <v>309</v>
      </c>
      <c r="G628" t="s">
        <v>34</v>
      </c>
      <c r="H628" t="s">
        <v>4529</v>
      </c>
      <c r="J628">
        <v>228</v>
      </c>
    </row>
    <row r="629" spans="1:10" x14ac:dyDescent="0.35">
      <c r="A629">
        <v>745240560999</v>
      </c>
      <c r="B629" t="s">
        <v>544</v>
      </c>
      <c r="C629" t="s">
        <v>81</v>
      </c>
      <c r="D629" t="s">
        <v>874</v>
      </c>
      <c r="E629" t="s">
        <v>308</v>
      </c>
      <c r="F629" t="s">
        <v>309</v>
      </c>
      <c r="G629" t="s">
        <v>11</v>
      </c>
      <c r="H629" t="s">
        <v>4529</v>
      </c>
      <c r="J629">
        <v>16</v>
      </c>
    </row>
    <row r="630" spans="1:10" x14ac:dyDescent="0.35">
      <c r="A630">
        <v>745760402601</v>
      </c>
      <c r="B630" t="s">
        <v>834</v>
      </c>
      <c r="C630" t="s">
        <v>253</v>
      </c>
      <c r="D630" t="s">
        <v>875</v>
      </c>
      <c r="E630" t="s">
        <v>308</v>
      </c>
      <c r="F630" t="s">
        <v>309</v>
      </c>
      <c r="G630" t="s">
        <v>11</v>
      </c>
      <c r="H630" t="s">
        <v>4529</v>
      </c>
      <c r="J630">
        <v>25</v>
      </c>
    </row>
    <row r="631" spans="1:10" x14ac:dyDescent="0.35">
      <c r="A631">
        <v>745760467068</v>
      </c>
      <c r="B631" t="s">
        <v>876</v>
      </c>
      <c r="C631" t="s">
        <v>877</v>
      </c>
      <c r="D631" t="s">
        <v>876</v>
      </c>
      <c r="E631" t="s">
        <v>130</v>
      </c>
      <c r="F631" t="s">
        <v>878</v>
      </c>
      <c r="G631" t="s">
        <v>150</v>
      </c>
      <c r="H631" t="s">
        <v>4612</v>
      </c>
      <c r="J631">
        <v>82</v>
      </c>
    </row>
    <row r="632" spans="1:10" x14ac:dyDescent="0.35">
      <c r="A632">
        <v>745760741090</v>
      </c>
      <c r="B632" t="s">
        <v>879</v>
      </c>
      <c r="C632" t="s">
        <v>38</v>
      </c>
      <c r="D632" t="s">
        <v>880</v>
      </c>
      <c r="E632" t="s">
        <v>31</v>
      </c>
      <c r="F632" t="s">
        <v>881</v>
      </c>
      <c r="G632" t="s">
        <v>31</v>
      </c>
      <c r="H632" t="s">
        <v>4613</v>
      </c>
      <c r="J632">
        <v>31</v>
      </c>
    </row>
    <row r="633" spans="1:10" x14ac:dyDescent="0.35">
      <c r="A633">
        <v>760122320546</v>
      </c>
      <c r="B633" t="s">
        <v>668</v>
      </c>
      <c r="C633" t="s">
        <v>114</v>
      </c>
      <c r="D633" t="s">
        <v>882</v>
      </c>
      <c r="E633" t="s">
        <v>598</v>
      </c>
      <c r="F633" t="s">
        <v>883</v>
      </c>
      <c r="G633" t="s">
        <v>598</v>
      </c>
      <c r="H633" t="s">
        <v>4614</v>
      </c>
      <c r="J633">
        <v>12</v>
      </c>
    </row>
    <row r="634" spans="1:10" x14ac:dyDescent="0.35">
      <c r="A634">
        <v>769503196770</v>
      </c>
      <c r="B634" t="s">
        <v>884</v>
      </c>
      <c r="C634" t="s">
        <v>610</v>
      </c>
      <c r="D634" t="s">
        <v>885</v>
      </c>
      <c r="E634" t="s">
        <v>117</v>
      </c>
      <c r="F634" t="s">
        <v>886</v>
      </c>
      <c r="G634" t="s">
        <v>117</v>
      </c>
      <c r="H634" t="s">
        <v>4615</v>
      </c>
      <c r="J634">
        <v>19</v>
      </c>
    </row>
    <row r="635" spans="1:10" x14ac:dyDescent="0.35">
      <c r="A635">
        <v>769503452036</v>
      </c>
      <c r="B635" t="s">
        <v>887</v>
      </c>
      <c r="C635" t="s">
        <v>38</v>
      </c>
      <c r="D635" t="s">
        <v>888</v>
      </c>
      <c r="E635" t="s">
        <v>61</v>
      </c>
      <c r="F635" t="s">
        <v>364</v>
      </c>
      <c r="G635" t="s">
        <v>33</v>
      </c>
      <c r="H635" t="s">
        <v>4540</v>
      </c>
      <c r="J635">
        <v>25</v>
      </c>
    </row>
    <row r="636" spans="1:10" x14ac:dyDescent="0.35">
      <c r="A636">
        <v>769503452043</v>
      </c>
      <c r="B636" t="s">
        <v>889</v>
      </c>
      <c r="C636" t="s">
        <v>38</v>
      </c>
      <c r="D636" t="s">
        <v>888</v>
      </c>
      <c r="E636" t="s">
        <v>61</v>
      </c>
      <c r="F636" t="s">
        <v>364</v>
      </c>
      <c r="G636" t="s">
        <v>33</v>
      </c>
      <c r="H636" t="s">
        <v>4540</v>
      </c>
      <c r="J636">
        <v>86</v>
      </c>
    </row>
    <row r="637" spans="1:10" x14ac:dyDescent="0.35">
      <c r="A637">
        <v>769503826110</v>
      </c>
      <c r="B637" t="s">
        <v>890</v>
      </c>
      <c r="C637" t="s">
        <v>38</v>
      </c>
      <c r="D637" t="s">
        <v>888</v>
      </c>
      <c r="E637" t="s">
        <v>61</v>
      </c>
      <c r="F637" t="s">
        <v>364</v>
      </c>
      <c r="G637" t="s">
        <v>33</v>
      </c>
      <c r="H637" t="s">
        <v>4540</v>
      </c>
      <c r="J637">
        <v>25</v>
      </c>
    </row>
    <row r="638" spans="1:10" x14ac:dyDescent="0.35">
      <c r="A638">
        <v>776103000222</v>
      </c>
      <c r="B638" t="s">
        <v>891</v>
      </c>
      <c r="C638" t="s">
        <v>892</v>
      </c>
      <c r="D638" t="s">
        <v>330</v>
      </c>
      <c r="E638" t="s">
        <v>22</v>
      </c>
      <c r="F638" t="s">
        <v>328</v>
      </c>
      <c r="G638" t="s">
        <v>16</v>
      </c>
      <c r="H638" t="s">
        <v>4533</v>
      </c>
      <c r="J638">
        <v>2</v>
      </c>
    </row>
    <row r="639" spans="1:10" x14ac:dyDescent="0.35">
      <c r="A639">
        <v>776103000239</v>
      </c>
      <c r="B639" t="s">
        <v>891</v>
      </c>
      <c r="C639" t="s">
        <v>36</v>
      </c>
      <c r="D639" t="s">
        <v>330</v>
      </c>
      <c r="E639" t="s">
        <v>22</v>
      </c>
      <c r="F639" t="s">
        <v>328</v>
      </c>
      <c r="G639" t="s">
        <v>16</v>
      </c>
      <c r="H639" t="s">
        <v>4533</v>
      </c>
      <c r="J639">
        <v>18</v>
      </c>
    </row>
    <row r="640" spans="1:10" x14ac:dyDescent="0.35">
      <c r="A640">
        <v>780042340844</v>
      </c>
      <c r="B640" t="s">
        <v>592</v>
      </c>
      <c r="C640" t="s">
        <v>472</v>
      </c>
      <c r="D640" t="s">
        <v>682</v>
      </c>
      <c r="E640" t="s">
        <v>34</v>
      </c>
      <c r="F640" t="s">
        <v>683</v>
      </c>
      <c r="G640" t="s">
        <v>34</v>
      </c>
      <c r="H640" t="s">
        <v>4580</v>
      </c>
      <c r="J640">
        <v>2</v>
      </c>
    </row>
    <row r="641" spans="1:10" x14ac:dyDescent="0.35">
      <c r="A641">
        <v>781159187797</v>
      </c>
      <c r="B641" t="s">
        <v>893</v>
      </c>
      <c r="C641" t="s">
        <v>38</v>
      </c>
      <c r="D641" t="s">
        <v>894</v>
      </c>
      <c r="E641" t="s">
        <v>33</v>
      </c>
      <c r="F641" t="s">
        <v>595</v>
      </c>
      <c r="G641" t="s">
        <v>33</v>
      </c>
      <c r="H641" t="s">
        <v>4565</v>
      </c>
      <c r="J641">
        <v>68</v>
      </c>
    </row>
    <row r="642" spans="1:10" x14ac:dyDescent="0.35">
      <c r="A642">
        <v>781159187865</v>
      </c>
      <c r="B642" t="s">
        <v>895</v>
      </c>
      <c r="C642" t="s">
        <v>78</v>
      </c>
      <c r="D642" t="s">
        <v>896</v>
      </c>
      <c r="E642" t="s">
        <v>33</v>
      </c>
      <c r="F642" t="s">
        <v>595</v>
      </c>
      <c r="G642" t="s">
        <v>33</v>
      </c>
      <c r="H642" t="s">
        <v>4565</v>
      </c>
      <c r="J642">
        <v>555</v>
      </c>
    </row>
    <row r="643" spans="1:10" x14ac:dyDescent="0.35">
      <c r="A643">
        <v>781159297106</v>
      </c>
      <c r="B643" t="s">
        <v>897</v>
      </c>
      <c r="C643" t="s">
        <v>81</v>
      </c>
      <c r="D643" t="s">
        <v>898</v>
      </c>
      <c r="E643" t="s">
        <v>33</v>
      </c>
      <c r="F643" t="s">
        <v>898</v>
      </c>
      <c r="G643" t="s">
        <v>33</v>
      </c>
      <c r="H643" t="s">
        <v>4616</v>
      </c>
      <c r="J643">
        <v>5</v>
      </c>
    </row>
    <row r="644" spans="1:10" x14ac:dyDescent="0.35">
      <c r="A644">
        <v>781159624544</v>
      </c>
      <c r="B644" t="s">
        <v>592</v>
      </c>
      <c r="C644" t="s">
        <v>899</v>
      </c>
      <c r="D644" t="s">
        <v>900</v>
      </c>
      <c r="E644" t="s">
        <v>15</v>
      </c>
      <c r="F644" t="s">
        <v>901</v>
      </c>
      <c r="G644" t="s">
        <v>34</v>
      </c>
      <c r="H644" t="s">
        <v>4617</v>
      </c>
      <c r="J644">
        <v>201</v>
      </c>
    </row>
    <row r="645" spans="1:10" x14ac:dyDescent="0.35">
      <c r="A645">
        <v>781718086073</v>
      </c>
      <c r="B645" t="s">
        <v>902</v>
      </c>
      <c r="C645" t="s">
        <v>903</v>
      </c>
      <c r="D645" t="s">
        <v>904</v>
      </c>
      <c r="E645" t="s">
        <v>308</v>
      </c>
      <c r="F645" t="s">
        <v>309</v>
      </c>
      <c r="G645" t="s">
        <v>34</v>
      </c>
      <c r="H645" t="s">
        <v>4529</v>
      </c>
      <c r="J645">
        <v>39</v>
      </c>
    </row>
    <row r="646" spans="1:10" x14ac:dyDescent="0.35">
      <c r="A646">
        <v>781718548212</v>
      </c>
      <c r="B646" t="s">
        <v>905</v>
      </c>
      <c r="C646">
        <v>0.5</v>
      </c>
      <c r="D646" t="s">
        <v>907</v>
      </c>
      <c r="E646" t="s">
        <v>308</v>
      </c>
      <c r="F646" t="s">
        <v>309</v>
      </c>
      <c r="G646" t="s">
        <v>34</v>
      </c>
      <c r="H646" t="s">
        <v>4529</v>
      </c>
      <c r="J646">
        <v>2</v>
      </c>
    </row>
    <row r="647" spans="1:10" x14ac:dyDescent="0.35">
      <c r="A647">
        <v>781718548236</v>
      </c>
      <c r="B647" t="s">
        <v>907</v>
      </c>
      <c r="C647" t="s">
        <v>9</v>
      </c>
      <c r="D647" t="s">
        <v>907</v>
      </c>
      <c r="E647" t="s">
        <v>308</v>
      </c>
      <c r="F647" t="s">
        <v>309</v>
      </c>
      <c r="G647" t="s">
        <v>11</v>
      </c>
      <c r="H647" t="s">
        <v>4529</v>
      </c>
      <c r="J647">
        <v>1</v>
      </c>
    </row>
    <row r="648" spans="1:10" x14ac:dyDescent="0.35">
      <c r="A648">
        <v>781718548236</v>
      </c>
      <c r="B648" t="s">
        <v>907</v>
      </c>
      <c r="C648" t="s">
        <v>9</v>
      </c>
      <c r="D648" t="s">
        <v>907</v>
      </c>
      <c r="E648" t="s">
        <v>308</v>
      </c>
      <c r="F648" t="s">
        <v>309</v>
      </c>
      <c r="G648" t="s">
        <v>34</v>
      </c>
      <c r="H648" t="s">
        <v>4529</v>
      </c>
      <c r="J648">
        <v>1</v>
      </c>
    </row>
    <row r="649" spans="1:10" x14ac:dyDescent="0.35">
      <c r="A649">
        <v>781718777377</v>
      </c>
      <c r="B649" t="s">
        <v>908</v>
      </c>
      <c r="C649" t="s">
        <v>909</v>
      </c>
      <c r="D649" t="s">
        <v>910</v>
      </c>
      <c r="E649" t="s">
        <v>308</v>
      </c>
      <c r="F649" t="s">
        <v>309</v>
      </c>
      <c r="G649" t="s">
        <v>34</v>
      </c>
      <c r="H649" t="s">
        <v>4529</v>
      </c>
      <c r="J649">
        <v>1</v>
      </c>
    </row>
    <row r="650" spans="1:10" x14ac:dyDescent="0.35">
      <c r="A650">
        <v>781718777377</v>
      </c>
      <c r="B650" t="s">
        <v>908</v>
      </c>
      <c r="C650" t="s">
        <v>909</v>
      </c>
      <c r="D650" t="s">
        <v>910</v>
      </c>
      <c r="E650" t="s">
        <v>308</v>
      </c>
      <c r="F650" t="s">
        <v>309</v>
      </c>
      <c r="G650" t="s">
        <v>578</v>
      </c>
      <c r="H650" t="s">
        <v>4529</v>
      </c>
      <c r="J650">
        <v>2</v>
      </c>
    </row>
    <row r="651" spans="1:10" x14ac:dyDescent="0.35">
      <c r="A651">
        <v>784300169536</v>
      </c>
      <c r="B651" t="s">
        <v>911</v>
      </c>
      <c r="C651" t="s">
        <v>912</v>
      </c>
      <c r="D651" t="s">
        <v>660</v>
      </c>
      <c r="E651" t="s">
        <v>41</v>
      </c>
      <c r="F651" t="s">
        <v>661</v>
      </c>
      <c r="G651" t="s">
        <v>41</v>
      </c>
      <c r="H651" t="s">
        <v>4578</v>
      </c>
      <c r="J651">
        <v>745</v>
      </c>
    </row>
    <row r="652" spans="1:10" x14ac:dyDescent="0.35">
      <c r="A652">
        <v>786162650030</v>
      </c>
      <c r="B652" t="s">
        <v>913</v>
      </c>
      <c r="C652" t="s">
        <v>9</v>
      </c>
      <c r="D652" t="s">
        <v>914</v>
      </c>
      <c r="E652" t="s">
        <v>15</v>
      </c>
      <c r="F652" t="s">
        <v>14</v>
      </c>
      <c r="G652" t="s">
        <v>16</v>
      </c>
      <c r="H652" t="s">
        <v>4489</v>
      </c>
      <c r="J652">
        <v>2</v>
      </c>
    </row>
    <row r="653" spans="1:10" x14ac:dyDescent="0.35">
      <c r="A653">
        <v>786162650078</v>
      </c>
      <c r="B653" t="s">
        <v>915</v>
      </c>
      <c r="C653" t="s">
        <v>9</v>
      </c>
      <c r="D653" t="s">
        <v>914</v>
      </c>
      <c r="E653" t="s">
        <v>15</v>
      </c>
      <c r="F653" t="s">
        <v>14</v>
      </c>
      <c r="G653" t="s">
        <v>16</v>
      </c>
      <c r="H653" t="s">
        <v>4489</v>
      </c>
      <c r="J653">
        <v>1</v>
      </c>
    </row>
    <row r="654" spans="1:10" x14ac:dyDescent="0.35">
      <c r="A654">
        <v>786162650115</v>
      </c>
      <c r="B654" t="s">
        <v>916</v>
      </c>
      <c r="C654" t="s">
        <v>53</v>
      </c>
      <c r="D654" t="s">
        <v>917</v>
      </c>
      <c r="E654" t="s">
        <v>15</v>
      </c>
      <c r="F654" t="s">
        <v>14</v>
      </c>
      <c r="G654" t="s">
        <v>16</v>
      </c>
      <c r="H654" t="s">
        <v>4489</v>
      </c>
      <c r="J654">
        <v>4</v>
      </c>
    </row>
    <row r="655" spans="1:10" x14ac:dyDescent="0.35">
      <c r="A655">
        <v>786162650375</v>
      </c>
      <c r="B655" t="s">
        <v>262</v>
      </c>
      <c r="C655" t="s">
        <v>81</v>
      </c>
      <c r="D655" t="s">
        <v>914</v>
      </c>
      <c r="E655" t="s">
        <v>15</v>
      </c>
      <c r="F655" t="s">
        <v>14</v>
      </c>
      <c r="G655" t="s">
        <v>16</v>
      </c>
      <c r="H655" t="s">
        <v>4489</v>
      </c>
      <c r="J655">
        <v>2</v>
      </c>
    </row>
    <row r="656" spans="1:10" x14ac:dyDescent="0.35">
      <c r="A656">
        <v>786411642021</v>
      </c>
      <c r="B656" t="s">
        <v>918</v>
      </c>
      <c r="C656" t="s">
        <v>919</v>
      </c>
      <c r="D656" t="s">
        <v>660</v>
      </c>
      <c r="E656" t="s">
        <v>41</v>
      </c>
      <c r="F656" t="s">
        <v>661</v>
      </c>
      <c r="G656" t="s">
        <v>41</v>
      </c>
      <c r="H656" t="s">
        <v>4578</v>
      </c>
      <c r="J656">
        <v>94</v>
      </c>
    </row>
    <row r="657" spans="1:10" x14ac:dyDescent="0.35">
      <c r="A657">
        <v>791688873924</v>
      </c>
      <c r="B657" t="s">
        <v>920</v>
      </c>
      <c r="C657" t="s">
        <v>83</v>
      </c>
      <c r="D657" t="s">
        <v>124</v>
      </c>
      <c r="E657" t="s">
        <v>921</v>
      </c>
      <c r="F657" t="s">
        <v>922</v>
      </c>
      <c r="G657" t="s">
        <v>921</v>
      </c>
      <c r="H657" t="s">
        <v>4618</v>
      </c>
      <c r="J657">
        <v>5</v>
      </c>
    </row>
    <row r="658" spans="1:10" x14ac:dyDescent="0.35">
      <c r="A658">
        <v>792382341429</v>
      </c>
      <c r="B658" t="s">
        <v>923</v>
      </c>
      <c r="C658" t="s">
        <v>272</v>
      </c>
      <c r="D658" t="s">
        <v>924</v>
      </c>
      <c r="E658" t="s">
        <v>150</v>
      </c>
      <c r="F658" t="s">
        <v>925</v>
      </c>
      <c r="G658" t="s">
        <v>150</v>
      </c>
      <c r="H658" t="s">
        <v>4619</v>
      </c>
      <c r="J658">
        <v>20</v>
      </c>
    </row>
    <row r="659" spans="1:10" x14ac:dyDescent="0.35">
      <c r="A659">
        <v>792382342730</v>
      </c>
      <c r="B659" t="s">
        <v>262</v>
      </c>
      <c r="C659" t="s">
        <v>9</v>
      </c>
      <c r="D659" t="s">
        <v>926</v>
      </c>
      <c r="E659" t="s">
        <v>308</v>
      </c>
      <c r="F659" t="s">
        <v>309</v>
      </c>
      <c r="G659" t="s">
        <v>11</v>
      </c>
      <c r="H659" t="s">
        <v>4529</v>
      </c>
      <c r="J659">
        <v>20</v>
      </c>
    </row>
    <row r="660" spans="1:10" x14ac:dyDescent="0.35">
      <c r="A660">
        <v>792382352296</v>
      </c>
      <c r="B660" t="s">
        <v>262</v>
      </c>
      <c r="C660" t="s">
        <v>192</v>
      </c>
      <c r="D660" t="s">
        <v>927</v>
      </c>
      <c r="E660" t="s">
        <v>11</v>
      </c>
      <c r="F660" t="s">
        <v>928</v>
      </c>
      <c r="G660" t="s">
        <v>11</v>
      </c>
      <c r="H660" t="s">
        <v>4620</v>
      </c>
      <c r="J660">
        <v>1</v>
      </c>
    </row>
    <row r="661" spans="1:10" x14ac:dyDescent="0.35">
      <c r="A661">
        <v>792382402564</v>
      </c>
      <c r="B661" t="s">
        <v>929</v>
      </c>
      <c r="C661" t="s">
        <v>253</v>
      </c>
      <c r="D661" t="s">
        <v>852</v>
      </c>
      <c r="E661" t="s">
        <v>308</v>
      </c>
      <c r="F661" t="s">
        <v>309</v>
      </c>
      <c r="G661" t="s">
        <v>11</v>
      </c>
      <c r="H661" t="s">
        <v>4529</v>
      </c>
      <c r="J661">
        <v>1</v>
      </c>
    </row>
    <row r="662" spans="1:10" x14ac:dyDescent="0.35">
      <c r="A662">
        <v>792382409518</v>
      </c>
      <c r="B662" t="s">
        <v>262</v>
      </c>
      <c r="C662" t="s">
        <v>9</v>
      </c>
      <c r="D662" t="s">
        <v>930</v>
      </c>
      <c r="E662" t="s">
        <v>308</v>
      </c>
      <c r="F662" t="s">
        <v>309</v>
      </c>
      <c r="G662" t="s">
        <v>11</v>
      </c>
      <c r="H662" t="s">
        <v>4529</v>
      </c>
      <c r="J662">
        <v>44</v>
      </c>
    </row>
    <row r="663" spans="1:10" x14ac:dyDescent="0.35">
      <c r="A663">
        <v>792382409532</v>
      </c>
      <c r="B663" t="s">
        <v>262</v>
      </c>
      <c r="C663" t="s">
        <v>81</v>
      </c>
      <c r="D663" t="s">
        <v>930</v>
      </c>
      <c r="E663" t="s">
        <v>308</v>
      </c>
      <c r="F663" t="s">
        <v>309</v>
      </c>
      <c r="G663" t="s">
        <v>11</v>
      </c>
      <c r="H663" t="s">
        <v>4529</v>
      </c>
      <c r="J663">
        <v>22</v>
      </c>
    </row>
    <row r="664" spans="1:10" x14ac:dyDescent="0.35">
      <c r="A664">
        <v>792382409549</v>
      </c>
      <c r="B664" t="s">
        <v>852</v>
      </c>
      <c r="C664" t="s">
        <v>931</v>
      </c>
      <c r="D664" t="s">
        <v>930</v>
      </c>
      <c r="E664" t="s">
        <v>308</v>
      </c>
      <c r="F664" t="s">
        <v>309</v>
      </c>
      <c r="G664" t="s">
        <v>11</v>
      </c>
      <c r="H664" t="s">
        <v>4529</v>
      </c>
      <c r="J664">
        <v>3</v>
      </c>
    </row>
    <row r="665" spans="1:10" x14ac:dyDescent="0.35">
      <c r="A665">
        <v>792382431564</v>
      </c>
      <c r="B665" t="s">
        <v>932</v>
      </c>
      <c r="C665" t="s">
        <v>272</v>
      </c>
      <c r="D665" t="s">
        <v>933</v>
      </c>
      <c r="E665" t="s">
        <v>11</v>
      </c>
      <c r="F665" t="s">
        <v>934</v>
      </c>
      <c r="G665" t="s">
        <v>11</v>
      </c>
      <c r="H665" t="s">
        <v>4621</v>
      </c>
      <c r="J665">
        <v>57</v>
      </c>
    </row>
    <row r="666" spans="1:10" x14ac:dyDescent="0.35">
      <c r="A666">
        <v>792382436460</v>
      </c>
      <c r="B666" t="s">
        <v>8</v>
      </c>
      <c r="C666" t="s">
        <v>192</v>
      </c>
      <c r="D666" t="s">
        <v>933</v>
      </c>
      <c r="E666" t="s">
        <v>11</v>
      </c>
      <c r="F666" t="s">
        <v>934</v>
      </c>
      <c r="G666" t="s">
        <v>11</v>
      </c>
      <c r="H666" t="s">
        <v>4621</v>
      </c>
      <c r="J666">
        <v>8</v>
      </c>
    </row>
    <row r="667" spans="1:10" x14ac:dyDescent="0.35">
      <c r="A667">
        <v>792382452057</v>
      </c>
      <c r="B667" t="s">
        <v>834</v>
      </c>
      <c r="C667" t="s">
        <v>9</v>
      </c>
      <c r="D667" t="s">
        <v>935</v>
      </c>
      <c r="E667" t="s">
        <v>308</v>
      </c>
      <c r="F667" t="s">
        <v>309</v>
      </c>
      <c r="G667" t="s">
        <v>11</v>
      </c>
      <c r="H667" t="s">
        <v>4529</v>
      </c>
      <c r="J667">
        <v>1</v>
      </c>
    </row>
    <row r="668" spans="1:10" x14ac:dyDescent="0.35">
      <c r="A668">
        <v>792382471072</v>
      </c>
      <c r="B668" t="s">
        <v>936</v>
      </c>
      <c r="C668" t="s">
        <v>9</v>
      </c>
      <c r="D668" t="s">
        <v>937</v>
      </c>
      <c r="E668" t="s">
        <v>776</v>
      </c>
      <c r="F668" t="s">
        <v>938</v>
      </c>
      <c r="G668" t="s">
        <v>11</v>
      </c>
      <c r="H668" t="s">
        <v>4622</v>
      </c>
      <c r="J668">
        <v>74</v>
      </c>
    </row>
    <row r="669" spans="1:10" x14ac:dyDescent="0.35">
      <c r="A669">
        <v>792382471089</v>
      </c>
      <c r="B669" t="s">
        <v>262</v>
      </c>
      <c r="C669" t="s">
        <v>81</v>
      </c>
      <c r="D669" t="s">
        <v>937</v>
      </c>
      <c r="E669" t="s">
        <v>776</v>
      </c>
      <c r="F669" t="s">
        <v>938</v>
      </c>
      <c r="G669" t="s">
        <v>11</v>
      </c>
      <c r="H669" t="s">
        <v>4622</v>
      </c>
      <c r="J669">
        <v>63</v>
      </c>
    </row>
    <row r="670" spans="1:10" x14ac:dyDescent="0.35">
      <c r="A670">
        <v>792382471140</v>
      </c>
      <c r="B670" t="s">
        <v>262</v>
      </c>
      <c r="C670" t="s">
        <v>939</v>
      </c>
      <c r="D670" t="s">
        <v>940</v>
      </c>
      <c r="E670" t="s">
        <v>11</v>
      </c>
      <c r="F670" t="s">
        <v>941</v>
      </c>
      <c r="G670" t="s">
        <v>11</v>
      </c>
      <c r="H670" t="s">
        <v>4623</v>
      </c>
      <c r="J670">
        <v>10</v>
      </c>
    </row>
    <row r="671" spans="1:10" x14ac:dyDescent="0.35">
      <c r="A671">
        <v>792382472390</v>
      </c>
      <c r="B671" t="s">
        <v>942</v>
      </c>
      <c r="C671" t="s">
        <v>943</v>
      </c>
      <c r="D671" t="s">
        <v>944</v>
      </c>
      <c r="E671" t="s">
        <v>11</v>
      </c>
      <c r="F671" t="s">
        <v>945</v>
      </c>
      <c r="G671" t="s">
        <v>11</v>
      </c>
      <c r="H671" t="s">
        <v>4624</v>
      </c>
      <c r="J671">
        <v>11</v>
      </c>
    </row>
    <row r="672" spans="1:10" x14ac:dyDescent="0.35">
      <c r="A672">
        <v>792382482009</v>
      </c>
      <c r="B672" t="s">
        <v>946</v>
      </c>
      <c r="C672" t="s">
        <v>253</v>
      </c>
      <c r="D672" t="s">
        <v>852</v>
      </c>
      <c r="E672" t="s">
        <v>308</v>
      </c>
      <c r="F672" t="s">
        <v>309</v>
      </c>
      <c r="G672" t="s">
        <v>11</v>
      </c>
      <c r="H672" t="s">
        <v>4529</v>
      </c>
      <c r="J672">
        <v>10</v>
      </c>
    </row>
    <row r="673" spans="1:10" x14ac:dyDescent="0.35">
      <c r="A673">
        <v>792382482009</v>
      </c>
      <c r="B673" t="s">
        <v>946</v>
      </c>
      <c r="C673" t="s">
        <v>253</v>
      </c>
      <c r="D673" t="s">
        <v>852</v>
      </c>
      <c r="E673" t="s">
        <v>308</v>
      </c>
      <c r="F673" t="s">
        <v>309</v>
      </c>
      <c r="G673" t="s">
        <v>34</v>
      </c>
      <c r="H673" t="s">
        <v>4529</v>
      </c>
      <c r="J673">
        <v>122</v>
      </c>
    </row>
    <row r="674" spans="1:10" x14ac:dyDescent="0.35">
      <c r="A674">
        <v>792382494569</v>
      </c>
      <c r="B674" t="s">
        <v>947</v>
      </c>
      <c r="C674" t="s">
        <v>9</v>
      </c>
      <c r="D674" t="s">
        <v>948</v>
      </c>
      <c r="E674" t="s">
        <v>308</v>
      </c>
      <c r="F674" t="s">
        <v>309</v>
      </c>
      <c r="G674" t="s">
        <v>11</v>
      </c>
      <c r="H674" t="s">
        <v>4529</v>
      </c>
      <c r="J674">
        <v>1</v>
      </c>
    </row>
    <row r="675" spans="1:10" x14ac:dyDescent="0.35">
      <c r="A675">
        <v>792382494569</v>
      </c>
      <c r="B675" t="s">
        <v>947</v>
      </c>
      <c r="C675" t="s">
        <v>9</v>
      </c>
      <c r="D675" t="s">
        <v>948</v>
      </c>
      <c r="E675" t="s">
        <v>308</v>
      </c>
      <c r="F675" t="s">
        <v>309</v>
      </c>
      <c r="G675" t="s">
        <v>34</v>
      </c>
      <c r="H675" t="s">
        <v>4529</v>
      </c>
      <c r="J675">
        <v>35</v>
      </c>
    </row>
    <row r="676" spans="1:10" x14ac:dyDescent="0.35">
      <c r="A676">
        <v>792382497843</v>
      </c>
      <c r="B676" t="s">
        <v>834</v>
      </c>
      <c r="C676" t="s">
        <v>81</v>
      </c>
      <c r="D676" t="s">
        <v>222</v>
      </c>
      <c r="E676" t="s">
        <v>71</v>
      </c>
      <c r="F676" t="s">
        <v>72</v>
      </c>
      <c r="G676" t="s">
        <v>11</v>
      </c>
      <c r="H676" t="s">
        <v>4501</v>
      </c>
      <c r="J676">
        <v>2</v>
      </c>
    </row>
    <row r="677" spans="1:10" x14ac:dyDescent="0.35">
      <c r="A677">
        <v>792382500703</v>
      </c>
      <c r="B677" t="s">
        <v>8</v>
      </c>
      <c r="C677" t="s">
        <v>253</v>
      </c>
      <c r="D677" t="s">
        <v>949</v>
      </c>
      <c r="E677" t="s">
        <v>308</v>
      </c>
      <c r="F677" t="s">
        <v>309</v>
      </c>
      <c r="G677" t="s">
        <v>11</v>
      </c>
      <c r="H677" t="s">
        <v>4529</v>
      </c>
      <c r="J677">
        <v>3</v>
      </c>
    </row>
    <row r="678" spans="1:10" x14ac:dyDescent="0.35">
      <c r="A678">
        <v>792382500710</v>
      </c>
      <c r="B678" t="s">
        <v>950</v>
      </c>
      <c r="C678" t="s">
        <v>81</v>
      </c>
      <c r="D678" t="s">
        <v>949</v>
      </c>
      <c r="E678" t="s">
        <v>308</v>
      </c>
      <c r="F678" t="s">
        <v>309</v>
      </c>
      <c r="G678" t="s">
        <v>11</v>
      </c>
      <c r="H678" t="s">
        <v>4529</v>
      </c>
      <c r="J678">
        <v>3</v>
      </c>
    </row>
    <row r="679" spans="1:10" x14ac:dyDescent="0.35">
      <c r="A679">
        <v>792382502639</v>
      </c>
      <c r="B679" t="s">
        <v>684</v>
      </c>
      <c r="C679" t="s">
        <v>9</v>
      </c>
      <c r="D679" t="s">
        <v>285</v>
      </c>
      <c r="E679" t="s">
        <v>15</v>
      </c>
      <c r="F679" t="s">
        <v>56</v>
      </c>
      <c r="G679" t="s">
        <v>16</v>
      </c>
      <c r="H679" t="s">
        <v>4497</v>
      </c>
      <c r="J679">
        <v>1</v>
      </c>
    </row>
    <row r="680" spans="1:10" x14ac:dyDescent="0.35">
      <c r="A680">
        <v>792382502639</v>
      </c>
      <c r="B680" t="s">
        <v>684</v>
      </c>
      <c r="C680" t="s">
        <v>9</v>
      </c>
      <c r="D680" t="s">
        <v>285</v>
      </c>
      <c r="E680" t="s">
        <v>15</v>
      </c>
      <c r="F680" t="s">
        <v>56</v>
      </c>
      <c r="G680" t="s">
        <v>11</v>
      </c>
      <c r="H680" t="s">
        <v>4497</v>
      </c>
      <c r="J680">
        <v>16</v>
      </c>
    </row>
    <row r="681" spans="1:10" x14ac:dyDescent="0.35">
      <c r="A681">
        <v>792382559947</v>
      </c>
      <c r="B681" t="s">
        <v>8</v>
      </c>
      <c r="C681" t="s">
        <v>9</v>
      </c>
      <c r="D681" t="s">
        <v>951</v>
      </c>
      <c r="E681" t="s">
        <v>952</v>
      </c>
      <c r="F681" t="s">
        <v>953</v>
      </c>
      <c r="G681" t="s">
        <v>11</v>
      </c>
      <c r="H681" t="s">
        <v>4625</v>
      </c>
      <c r="J681">
        <v>184</v>
      </c>
    </row>
    <row r="682" spans="1:10" x14ac:dyDescent="0.35">
      <c r="A682">
        <v>792382559961</v>
      </c>
      <c r="B682" t="s">
        <v>8</v>
      </c>
      <c r="C682" t="s">
        <v>192</v>
      </c>
      <c r="D682" t="s">
        <v>954</v>
      </c>
      <c r="E682" t="s">
        <v>952</v>
      </c>
      <c r="F682" t="s">
        <v>955</v>
      </c>
      <c r="G682" t="s">
        <v>11</v>
      </c>
      <c r="H682" t="s">
        <v>4626</v>
      </c>
      <c r="J682">
        <v>9</v>
      </c>
    </row>
    <row r="683" spans="1:10" x14ac:dyDescent="0.35">
      <c r="A683">
        <v>792382570652</v>
      </c>
      <c r="B683" t="s">
        <v>8</v>
      </c>
      <c r="C683" t="s">
        <v>253</v>
      </c>
      <c r="D683" t="s">
        <v>956</v>
      </c>
      <c r="E683" t="s">
        <v>11</v>
      </c>
      <c r="F683" t="s">
        <v>957</v>
      </c>
      <c r="G683" t="s">
        <v>11</v>
      </c>
      <c r="H683" t="s">
        <v>4627</v>
      </c>
      <c r="J683">
        <v>6</v>
      </c>
    </row>
    <row r="684" spans="1:10" x14ac:dyDescent="0.35">
      <c r="A684">
        <v>792382570669</v>
      </c>
      <c r="B684" t="s">
        <v>8</v>
      </c>
      <c r="C684" t="s">
        <v>825</v>
      </c>
      <c r="D684" t="s">
        <v>956</v>
      </c>
      <c r="E684" t="s">
        <v>11</v>
      </c>
      <c r="F684" t="s">
        <v>957</v>
      </c>
      <c r="G684" t="s">
        <v>11</v>
      </c>
      <c r="H684" t="s">
        <v>4627</v>
      </c>
      <c r="J684">
        <v>12</v>
      </c>
    </row>
    <row r="685" spans="1:10" x14ac:dyDescent="0.35">
      <c r="A685">
        <v>792382613885</v>
      </c>
      <c r="B685" t="s">
        <v>8</v>
      </c>
      <c r="C685" t="s">
        <v>958</v>
      </c>
      <c r="D685" t="s">
        <v>959</v>
      </c>
      <c r="E685" t="s">
        <v>11</v>
      </c>
      <c r="F685" t="s">
        <v>960</v>
      </c>
      <c r="G685" t="s">
        <v>11</v>
      </c>
      <c r="H685" t="s">
        <v>4628</v>
      </c>
      <c r="J685">
        <v>1</v>
      </c>
    </row>
    <row r="686" spans="1:10" x14ac:dyDescent="0.35">
      <c r="A686">
        <v>792382613908</v>
      </c>
      <c r="B686" t="s">
        <v>8</v>
      </c>
      <c r="C686" t="s">
        <v>961</v>
      </c>
      <c r="D686" t="s">
        <v>959</v>
      </c>
      <c r="E686" t="s">
        <v>11</v>
      </c>
      <c r="F686" t="s">
        <v>960</v>
      </c>
      <c r="G686" t="s">
        <v>11</v>
      </c>
      <c r="H686" t="s">
        <v>4628</v>
      </c>
      <c r="J686">
        <v>2</v>
      </c>
    </row>
    <row r="687" spans="1:10" x14ac:dyDescent="0.35">
      <c r="A687">
        <v>792721718875</v>
      </c>
      <c r="B687" t="s">
        <v>962</v>
      </c>
      <c r="C687" t="s">
        <v>919</v>
      </c>
      <c r="D687" t="s">
        <v>963</v>
      </c>
      <c r="E687" t="s">
        <v>964</v>
      </c>
      <c r="F687" t="s">
        <v>965</v>
      </c>
      <c r="G687" t="s">
        <v>61</v>
      </c>
      <c r="H687" t="s">
        <v>4629</v>
      </c>
      <c r="J687">
        <v>12</v>
      </c>
    </row>
    <row r="688" spans="1:10" x14ac:dyDescent="0.35">
      <c r="A688">
        <v>797776292752</v>
      </c>
      <c r="B688" t="s">
        <v>966</v>
      </c>
      <c r="C688" t="s">
        <v>967</v>
      </c>
      <c r="D688" t="s">
        <v>968</v>
      </c>
      <c r="E688" t="s">
        <v>117</v>
      </c>
      <c r="F688" t="s">
        <v>969</v>
      </c>
      <c r="G688" t="s">
        <v>117</v>
      </c>
      <c r="H688" t="s">
        <v>4630</v>
      </c>
      <c r="J688">
        <v>10</v>
      </c>
    </row>
    <row r="689" spans="1:10" x14ac:dyDescent="0.35">
      <c r="A689">
        <v>799439745841</v>
      </c>
      <c r="B689" t="s">
        <v>970</v>
      </c>
      <c r="C689" t="s">
        <v>971</v>
      </c>
      <c r="D689" t="s">
        <v>972</v>
      </c>
      <c r="E689" t="s">
        <v>73</v>
      </c>
      <c r="F689" t="s">
        <v>973</v>
      </c>
      <c r="G689" t="s">
        <v>34</v>
      </c>
      <c r="H689" t="s">
        <v>4631</v>
      </c>
      <c r="J689">
        <v>1</v>
      </c>
    </row>
    <row r="690" spans="1:10" x14ac:dyDescent="0.35">
      <c r="A690">
        <v>799439793835</v>
      </c>
      <c r="B690" t="s">
        <v>974</v>
      </c>
      <c r="C690" t="s">
        <v>9</v>
      </c>
      <c r="D690" t="s">
        <v>176</v>
      </c>
      <c r="E690" t="s">
        <v>33</v>
      </c>
      <c r="F690" t="s">
        <v>595</v>
      </c>
      <c r="G690" t="s">
        <v>33</v>
      </c>
      <c r="H690" t="s">
        <v>4565</v>
      </c>
      <c r="J690">
        <v>160</v>
      </c>
    </row>
    <row r="691" spans="1:10" x14ac:dyDescent="0.35">
      <c r="A691">
        <v>799439793897</v>
      </c>
      <c r="B691" t="s">
        <v>975</v>
      </c>
      <c r="C691" t="s">
        <v>472</v>
      </c>
      <c r="D691" t="s">
        <v>594</v>
      </c>
      <c r="E691" t="s">
        <v>33</v>
      </c>
      <c r="F691" t="s">
        <v>595</v>
      </c>
      <c r="G691" t="s">
        <v>33</v>
      </c>
      <c r="H691" t="s">
        <v>4565</v>
      </c>
      <c r="J691">
        <v>50</v>
      </c>
    </row>
    <row r="692" spans="1:10" x14ac:dyDescent="0.35">
      <c r="A692">
        <v>8036131</v>
      </c>
      <c r="B692" t="s">
        <v>210</v>
      </c>
      <c r="C692" t="s">
        <v>96</v>
      </c>
      <c r="D692" t="s">
        <v>194</v>
      </c>
      <c r="E692" t="s">
        <v>16</v>
      </c>
      <c r="F692" t="s">
        <v>195</v>
      </c>
      <c r="G692" t="s">
        <v>16</v>
      </c>
      <c r="H692" t="s">
        <v>4519</v>
      </c>
      <c r="J692">
        <v>1</v>
      </c>
    </row>
    <row r="693" spans="1:10" x14ac:dyDescent="0.35">
      <c r="A693">
        <v>80660620992</v>
      </c>
      <c r="B693" t="s">
        <v>976</v>
      </c>
      <c r="C693" t="s">
        <v>66</v>
      </c>
      <c r="D693" t="s">
        <v>976</v>
      </c>
      <c r="E693" t="s">
        <v>15</v>
      </c>
      <c r="F693" t="s">
        <v>343</v>
      </c>
      <c r="G693" t="s">
        <v>16</v>
      </c>
      <c r="H693" t="s">
        <v>4535</v>
      </c>
      <c r="J693">
        <v>3</v>
      </c>
    </row>
    <row r="694" spans="1:10" x14ac:dyDescent="0.35">
      <c r="A694">
        <v>810116120369</v>
      </c>
      <c r="B694" t="s">
        <v>977</v>
      </c>
      <c r="C694" t="s">
        <v>188</v>
      </c>
      <c r="D694" t="s">
        <v>978</v>
      </c>
      <c r="E694" t="s">
        <v>15</v>
      </c>
      <c r="F694" t="s">
        <v>979</v>
      </c>
      <c r="G694" t="s">
        <v>16</v>
      </c>
      <c r="H694" t="s">
        <v>4632</v>
      </c>
      <c r="J694">
        <v>1</v>
      </c>
    </row>
    <row r="695" spans="1:10" x14ac:dyDescent="0.35">
      <c r="A695">
        <v>810116123506</v>
      </c>
      <c r="B695" t="s">
        <v>980</v>
      </c>
      <c r="C695" t="s">
        <v>9</v>
      </c>
      <c r="D695" t="s">
        <v>978</v>
      </c>
      <c r="E695" t="s">
        <v>15</v>
      </c>
      <c r="F695" t="s">
        <v>979</v>
      </c>
      <c r="G695" t="s">
        <v>16</v>
      </c>
      <c r="H695" t="s">
        <v>4632</v>
      </c>
      <c r="J695">
        <v>3</v>
      </c>
    </row>
    <row r="696" spans="1:10" x14ac:dyDescent="0.35">
      <c r="A696">
        <v>817939012079</v>
      </c>
      <c r="B696" t="s">
        <v>981</v>
      </c>
      <c r="C696" t="s">
        <v>533</v>
      </c>
      <c r="D696" t="s">
        <v>982</v>
      </c>
      <c r="E696" t="s">
        <v>15</v>
      </c>
      <c r="F696" t="s">
        <v>983</v>
      </c>
      <c r="G696" t="s">
        <v>22</v>
      </c>
      <c r="H696" t="s">
        <v>4633</v>
      </c>
      <c r="J696">
        <v>4</v>
      </c>
    </row>
    <row r="697" spans="1:10" x14ac:dyDescent="0.35">
      <c r="A697">
        <v>82000743149</v>
      </c>
      <c r="B697" t="s">
        <v>891</v>
      </c>
      <c r="C697" t="s">
        <v>984</v>
      </c>
      <c r="D697" t="s">
        <v>330</v>
      </c>
      <c r="E697" t="s">
        <v>22</v>
      </c>
      <c r="F697" t="s">
        <v>328</v>
      </c>
      <c r="G697" t="s">
        <v>16</v>
      </c>
      <c r="H697" t="s">
        <v>4533</v>
      </c>
      <c r="J697">
        <v>5</v>
      </c>
    </row>
    <row r="698" spans="1:10" x14ac:dyDescent="0.35">
      <c r="A698">
        <v>82000763581</v>
      </c>
      <c r="B698" t="s">
        <v>985</v>
      </c>
      <c r="C698" t="s">
        <v>159</v>
      </c>
      <c r="D698" t="s">
        <v>330</v>
      </c>
      <c r="E698" t="s">
        <v>22</v>
      </c>
      <c r="F698" t="s">
        <v>328</v>
      </c>
      <c r="G698" t="s">
        <v>16</v>
      </c>
      <c r="H698" t="s">
        <v>4533</v>
      </c>
      <c r="J698">
        <v>1</v>
      </c>
    </row>
    <row r="699" spans="1:10" x14ac:dyDescent="0.35">
      <c r="A699">
        <v>82000795254</v>
      </c>
      <c r="B699" t="s">
        <v>986</v>
      </c>
      <c r="C699" t="s">
        <v>326</v>
      </c>
      <c r="D699" t="s">
        <v>330</v>
      </c>
      <c r="E699" t="s">
        <v>22</v>
      </c>
      <c r="F699" t="s">
        <v>328</v>
      </c>
      <c r="G699" t="s">
        <v>16</v>
      </c>
      <c r="H699" t="s">
        <v>4533</v>
      </c>
      <c r="J699">
        <v>3</v>
      </c>
    </row>
    <row r="700" spans="1:10" x14ac:dyDescent="0.35">
      <c r="A700">
        <v>821111770008</v>
      </c>
      <c r="B700" t="s">
        <v>156</v>
      </c>
      <c r="C700" t="s">
        <v>53</v>
      </c>
      <c r="D700" t="s">
        <v>55</v>
      </c>
      <c r="E700" t="s">
        <v>15</v>
      </c>
      <c r="F700" t="s">
        <v>56</v>
      </c>
      <c r="G700" t="s">
        <v>16</v>
      </c>
      <c r="H700" t="s">
        <v>4497</v>
      </c>
      <c r="J700">
        <v>1</v>
      </c>
    </row>
    <row r="701" spans="1:10" x14ac:dyDescent="0.35">
      <c r="A701">
        <v>82592633538</v>
      </c>
      <c r="B701" t="s">
        <v>987</v>
      </c>
      <c r="C701" t="s">
        <v>988</v>
      </c>
      <c r="D701" t="s">
        <v>989</v>
      </c>
      <c r="E701" t="s">
        <v>22</v>
      </c>
      <c r="F701" t="s">
        <v>990</v>
      </c>
      <c r="G701" t="s">
        <v>16</v>
      </c>
      <c r="H701" t="s">
        <v>4634</v>
      </c>
      <c r="J701">
        <v>1</v>
      </c>
    </row>
    <row r="702" spans="1:10" x14ac:dyDescent="0.35">
      <c r="A702">
        <v>83900006266</v>
      </c>
      <c r="B702" t="s">
        <v>991</v>
      </c>
      <c r="C702" t="s">
        <v>9</v>
      </c>
      <c r="D702" t="s">
        <v>332</v>
      </c>
      <c r="E702" t="s">
        <v>71</v>
      </c>
      <c r="F702" t="s">
        <v>72</v>
      </c>
      <c r="G702" t="s">
        <v>16</v>
      </c>
      <c r="H702" t="s">
        <v>4501</v>
      </c>
      <c r="J702">
        <v>5</v>
      </c>
    </row>
    <row r="703" spans="1:10" x14ac:dyDescent="0.35">
      <c r="A703">
        <v>849819001071</v>
      </c>
      <c r="B703" t="s">
        <v>992</v>
      </c>
      <c r="C703" t="s">
        <v>993</v>
      </c>
      <c r="D703" t="s">
        <v>994</v>
      </c>
      <c r="E703" t="s">
        <v>318</v>
      </c>
      <c r="F703" t="s">
        <v>319</v>
      </c>
      <c r="G703" t="s">
        <v>16</v>
      </c>
      <c r="H703" t="s">
        <v>4531</v>
      </c>
      <c r="J703">
        <v>1</v>
      </c>
    </row>
    <row r="704" spans="1:10" x14ac:dyDescent="0.35">
      <c r="A704">
        <v>850000594203</v>
      </c>
      <c r="B704" t="s">
        <v>295</v>
      </c>
      <c r="C704" t="s">
        <v>9</v>
      </c>
      <c r="D704" t="s">
        <v>995</v>
      </c>
      <c r="E704" t="s">
        <v>130</v>
      </c>
      <c r="F704" t="s">
        <v>996</v>
      </c>
      <c r="G704" t="s">
        <v>387</v>
      </c>
      <c r="H704" t="s">
        <v>4635</v>
      </c>
      <c r="J704">
        <v>173</v>
      </c>
    </row>
    <row r="705" spans="1:10" x14ac:dyDescent="0.35">
      <c r="A705">
        <v>850000594210</v>
      </c>
      <c r="B705" t="s">
        <v>997</v>
      </c>
      <c r="C705" t="s">
        <v>814</v>
      </c>
      <c r="D705" t="s">
        <v>998</v>
      </c>
      <c r="E705" t="s">
        <v>15</v>
      </c>
      <c r="F705" t="s">
        <v>901</v>
      </c>
      <c r="G705" t="s">
        <v>387</v>
      </c>
      <c r="H705" t="s">
        <v>4617</v>
      </c>
      <c r="J705">
        <v>1</v>
      </c>
    </row>
    <row r="706" spans="1:10" x14ac:dyDescent="0.35">
      <c r="A706">
        <v>850000594487</v>
      </c>
      <c r="B706" t="s">
        <v>999</v>
      </c>
      <c r="C706" t="s">
        <v>472</v>
      </c>
      <c r="D706" t="s">
        <v>1000</v>
      </c>
      <c r="E706" t="s">
        <v>15</v>
      </c>
      <c r="F706" t="s">
        <v>901</v>
      </c>
      <c r="G706" t="s">
        <v>387</v>
      </c>
      <c r="H706" t="s">
        <v>4617</v>
      </c>
      <c r="J706">
        <v>1</v>
      </c>
    </row>
    <row r="707" spans="1:10" x14ac:dyDescent="0.35">
      <c r="A707">
        <v>850000594517</v>
      </c>
      <c r="B707" t="s">
        <v>1001</v>
      </c>
      <c r="C707" t="s">
        <v>472</v>
      </c>
      <c r="D707" t="s">
        <v>998</v>
      </c>
      <c r="E707" t="s">
        <v>15</v>
      </c>
      <c r="F707" t="s">
        <v>901</v>
      </c>
      <c r="G707" t="s">
        <v>387</v>
      </c>
      <c r="H707" t="s">
        <v>4617</v>
      </c>
      <c r="J707">
        <v>80</v>
      </c>
    </row>
    <row r="708" spans="1:10" x14ac:dyDescent="0.35">
      <c r="A708">
        <v>850000594692</v>
      </c>
      <c r="B708" t="s">
        <v>998</v>
      </c>
      <c r="C708" t="s">
        <v>110</v>
      </c>
      <c r="D708" t="s">
        <v>998</v>
      </c>
      <c r="E708" t="s">
        <v>15</v>
      </c>
      <c r="F708" t="s">
        <v>901</v>
      </c>
      <c r="G708" t="s">
        <v>387</v>
      </c>
      <c r="H708" t="s">
        <v>4617</v>
      </c>
      <c r="J708">
        <v>2</v>
      </c>
    </row>
    <row r="709" spans="1:10" x14ac:dyDescent="0.35">
      <c r="A709">
        <v>850000594869</v>
      </c>
      <c r="B709" t="s">
        <v>1002</v>
      </c>
      <c r="C709" t="s">
        <v>1003</v>
      </c>
      <c r="D709" t="s">
        <v>998</v>
      </c>
      <c r="E709" t="s">
        <v>15</v>
      </c>
      <c r="F709" t="s">
        <v>901</v>
      </c>
      <c r="G709" t="s">
        <v>387</v>
      </c>
      <c r="H709" t="s">
        <v>4617</v>
      </c>
      <c r="J709">
        <v>1</v>
      </c>
    </row>
    <row r="710" spans="1:10" x14ac:dyDescent="0.35">
      <c r="A710">
        <v>850003560441</v>
      </c>
      <c r="B710" t="s">
        <v>247</v>
      </c>
      <c r="C710" t="s">
        <v>253</v>
      </c>
      <c r="D710" t="s">
        <v>978</v>
      </c>
      <c r="E710" t="s">
        <v>15</v>
      </c>
      <c r="F710" t="s">
        <v>979</v>
      </c>
      <c r="G710" t="s">
        <v>22</v>
      </c>
      <c r="H710" t="s">
        <v>4632</v>
      </c>
      <c r="J710">
        <v>1</v>
      </c>
    </row>
    <row r="711" spans="1:10" x14ac:dyDescent="0.35">
      <c r="A711">
        <v>850003560717</v>
      </c>
      <c r="B711" t="s">
        <v>247</v>
      </c>
      <c r="C711" t="s">
        <v>9</v>
      </c>
      <c r="D711" t="s">
        <v>978</v>
      </c>
      <c r="E711" t="s">
        <v>15</v>
      </c>
      <c r="F711" t="s">
        <v>979</v>
      </c>
      <c r="G711" t="s">
        <v>22</v>
      </c>
      <c r="H711" t="s">
        <v>4632</v>
      </c>
      <c r="J711">
        <v>2</v>
      </c>
    </row>
    <row r="712" spans="1:10" x14ac:dyDescent="0.35">
      <c r="A712">
        <v>850003560991</v>
      </c>
      <c r="B712" t="s">
        <v>1004</v>
      </c>
      <c r="C712" t="s">
        <v>9</v>
      </c>
      <c r="D712" t="s">
        <v>978</v>
      </c>
      <c r="E712" t="s">
        <v>15</v>
      </c>
      <c r="F712" t="s">
        <v>979</v>
      </c>
      <c r="G712" t="s">
        <v>22</v>
      </c>
      <c r="H712" t="s">
        <v>4632</v>
      </c>
      <c r="J712">
        <v>1</v>
      </c>
    </row>
    <row r="713" spans="1:10" x14ac:dyDescent="0.35">
      <c r="A713">
        <v>850027880129</v>
      </c>
      <c r="B713" t="s">
        <v>1005</v>
      </c>
      <c r="C713" t="s">
        <v>562</v>
      </c>
      <c r="D713" t="s">
        <v>1006</v>
      </c>
      <c r="E713" t="s">
        <v>15</v>
      </c>
      <c r="F713" t="s">
        <v>1007</v>
      </c>
      <c r="G713" t="s">
        <v>34</v>
      </c>
      <c r="H713" t="s">
        <v>4636</v>
      </c>
      <c r="J713">
        <v>1</v>
      </c>
    </row>
    <row r="714" spans="1:10" x14ac:dyDescent="0.35">
      <c r="A714">
        <v>853148003002</v>
      </c>
      <c r="B714" t="s">
        <v>884</v>
      </c>
      <c r="C714" t="s">
        <v>192</v>
      </c>
      <c r="D714" t="s">
        <v>386</v>
      </c>
      <c r="E714" t="s">
        <v>387</v>
      </c>
      <c r="F714" t="s">
        <v>388</v>
      </c>
      <c r="G714" t="s">
        <v>387</v>
      </c>
      <c r="H714" t="s">
        <v>4544</v>
      </c>
      <c r="J714">
        <v>716</v>
      </c>
    </row>
    <row r="715" spans="1:10" x14ac:dyDescent="0.35">
      <c r="A715">
        <v>853148003019</v>
      </c>
      <c r="B715" t="s">
        <v>884</v>
      </c>
      <c r="C715" t="s">
        <v>1008</v>
      </c>
      <c r="D715" t="s">
        <v>386</v>
      </c>
      <c r="E715" t="s">
        <v>387</v>
      </c>
      <c r="F715" t="s">
        <v>388</v>
      </c>
      <c r="G715" t="s">
        <v>387</v>
      </c>
      <c r="H715" t="s">
        <v>4544</v>
      </c>
      <c r="J715">
        <v>103</v>
      </c>
    </row>
    <row r="716" spans="1:10" x14ac:dyDescent="0.35">
      <c r="A716">
        <v>853148003040</v>
      </c>
      <c r="B716" t="s">
        <v>1009</v>
      </c>
      <c r="C716" t="s">
        <v>472</v>
      </c>
      <c r="D716" t="s">
        <v>14</v>
      </c>
      <c r="E716" t="s">
        <v>15</v>
      </c>
      <c r="F716" t="s">
        <v>14</v>
      </c>
      <c r="G716" t="s">
        <v>387</v>
      </c>
      <c r="H716" t="s">
        <v>4489</v>
      </c>
      <c r="J716">
        <v>57</v>
      </c>
    </row>
    <row r="717" spans="1:10" x14ac:dyDescent="0.35">
      <c r="A717">
        <v>853148003088</v>
      </c>
      <c r="B717" t="s">
        <v>1010</v>
      </c>
      <c r="C717" t="s">
        <v>472</v>
      </c>
      <c r="D717" t="s">
        <v>998</v>
      </c>
      <c r="E717" t="s">
        <v>15</v>
      </c>
      <c r="F717" t="s">
        <v>901</v>
      </c>
      <c r="G717" t="s">
        <v>387</v>
      </c>
      <c r="H717" t="s">
        <v>4617</v>
      </c>
      <c r="J717">
        <v>7</v>
      </c>
    </row>
    <row r="718" spans="1:10" x14ac:dyDescent="0.35">
      <c r="A718">
        <v>853148003118</v>
      </c>
      <c r="B718" t="s">
        <v>1000</v>
      </c>
      <c r="C718" t="s">
        <v>472</v>
      </c>
      <c r="D718" t="s">
        <v>1000</v>
      </c>
      <c r="E718" t="s">
        <v>15</v>
      </c>
      <c r="F718" t="s">
        <v>901</v>
      </c>
      <c r="G718" t="s">
        <v>387</v>
      </c>
      <c r="H718" t="s">
        <v>4617</v>
      </c>
      <c r="J718">
        <v>4</v>
      </c>
    </row>
    <row r="719" spans="1:10" x14ac:dyDescent="0.35">
      <c r="A719">
        <v>853148003217</v>
      </c>
      <c r="B719" t="s">
        <v>1011</v>
      </c>
      <c r="C719" t="s">
        <v>472</v>
      </c>
      <c r="D719" t="s">
        <v>998</v>
      </c>
      <c r="E719" t="s">
        <v>15</v>
      </c>
      <c r="F719" t="s">
        <v>901</v>
      </c>
      <c r="G719" t="s">
        <v>387</v>
      </c>
      <c r="H719" t="s">
        <v>4617</v>
      </c>
      <c r="J719">
        <v>90</v>
      </c>
    </row>
    <row r="720" spans="1:10" x14ac:dyDescent="0.35">
      <c r="A720">
        <v>853148003309</v>
      </c>
      <c r="B720" t="s">
        <v>1012</v>
      </c>
      <c r="C720" t="s">
        <v>110</v>
      </c>
      <c r="D720" t="s">
        <v>386</v>
      </c>
      <c r="E720" t="s">
        <v>387</v>
      </c>
      <c r="F720" t="s">
        <v>388</v>
      </c>
      <c r="G720" t="s">
        <v>387</v>
      </c>
      <c r="H720" t="s">
        <v>4544</v>
      </c>
      <c r="J720">
        <v>1</v>
      </c>
    </row>
    <row r="721" spans="1:10" x14ac:dyDescent="0.35">
      <c r="A721">
        <v>853148003316</v>
      </c>
      <c r="B721" t="s">
        <v>1013</v>
      </c>
      <c r="C721" t="s">
        <v>472</v>
      </c>
      <c r="D721" t="s">
        <v>998</v>
      </c>
      <c r="E721" t="s">
        <v>15</v>
      </c>
      <c r="F721" t="s">
        <v>901</v>
      </c>
      <c r="G721" t="s">
        <v>387</v>
      </c>
      <c r="H721" t="s">
        <v>4617</v>
      </c>
      <c r="J721">
        <v>12</v>
      </c>
    </row>
    <row r="722" spans="1:10" x14ac:dyDescent="0.35">
      <c r="A722">
        <v>853148003378</v>
      </c>
      <c r="B722" t="s">
        <v>1014</v>
      </c>
      <c r="C722" t="s">
        <v>814</v>
      </c>
      <c r="D722" t="s">
        <v>1000</v>
      </c>
      <c r="E722" t="s">
        <v>15</v>
      </c>
      <c r="F722" t="s">
        <v>901</v>
      </c>
      <c r="G722" t="s">
        <v>387</v>
      </c>
      <c r="H722" t="s">
        <v>4617</v>
      </c>
      <c r="J722">
        <v>1</v>
      </c>
    </row>
    <row r="723" spans="1:10" x14ac:dyDescent="0.35">
      <c r="A723">
        <v>853148003415</v>
      </c>
      <c r="B723" t="s">
        <v>1015</v>
      </c>
      <c r="C723" t="s">
        <v>603</v>
      </c>
      <c r="D723" t="s">
        <v>386</v>
      </c>
      <c r="E723" t="s">
        <v>387</v>
      </c>
      <c r="F723" t="s">
        <v>388</v>
      </c>
      <c r="G723" t="s">
        <v>387</v>
      </c>
      <c r="H723" t="s">
        <v>4544</v>
      </c>
      <c r="J723">
        <v>32</v>
      </c>
    </row>
    <row r="724" spans="1:10" x14ac:dyDescent="0.35">
      <c r="A724">
        <v>853148003972</v>
      </c>
      <c r="B724" t="s">
        <v>1016</v>
      </c>
      <c r="C724" t="s">
        <v>814</v>
      </c>
      <c r="D724" t="s">
        <v>1009</v>
      </c>
      <c r="E724" t="s">
        <v>41</v>
      </c>
      <c r="F724" t="s">
        <v>456</v>
      </c>
      <c r="G724" t="s">
        <v>387</v>
      </c>
      <c r="H724" t="s">
        <v>4553</v>
      </c>
      <c r="J724">
        <v>1</v>
      </c>
    </row>
    <row r="725" spans="1:10" x14ac:dyDescent="0.35">
      <c r="A725">
        <v>865613770012</v>
      </c>
      <c r="B725" t="s">
        <v>262</v>
      </c>
      <c r="C725" t="s">
        <v>81</v>
      </c>
      <c r="D725" t="s">
        <v>420</v>
      </c>
      <c r="E725" t="s">
        <v>61</v>
      </c>
      <c r="F725" t="s">
        <v>421</v>
      </c>
      <c r="G725" t="s">
        <v>61</v>
      </c>
      <c r="H725" t="s">
        <v>4549</v>
      </c>
      <c r="J725">
        <v>53</v>
      </c>
    </row>
    <row r="726" spans="1:10" x14ac:dyDescent="0.35">
      <c r="A726">
        <v>865873230004</v>
      </c>
      <c r="B726" t="s">
        <v>1017</v>
      </c>
      <c r="C726" t="s">
        <v>192</v>
      </c>
      <c r="D726" t="s">
        <v>1018</v>
      </c>
      <c r="E726" t="s">
        <v>61</v>
      </c>
      <c r="F726" t="s">
        <v>1019</v>
      </c>
      <c r="G726" t="s">
        <v>61</v>
      </c>
      <c r="H726" t="s">
        <v>4637</v>
      </c>
      <c r="J726">
        <v>50</v>
      </c>
    </row>
    <row r="727" spans="1:10" x14ac:dyDescent="0.35">
      <c r="A727">
        <v>8675729</v>
      </c>
      <c r="B727" t="s">
        <v>1020</v>
      </c>
      <c r="C727" t="s">
        <v>94</v>
      </c>
      <c r="D727" t="s">
        <v>1021</v>
      </c>
      <c r="E727" t="s">
        <v>20</v>
      </c>
      <c r="F727" t="s">
        <v>1021</v>
      </c>
      <c r="G727" t="s">
        <v>22</v>
      </c>
      <c r="H727" t="s">
        <v>4638</v>
      </c>
      <c r="J727">
        <v>1</v>
      </c>
    </row>
    <row r="728" spans="1:10" x14ac:dyDescent="0.35">
      <c r="A728">
        <v>87000007888</v>
      </c>
      <c r="B728" t="s">
        <v>339</v>
      </c>
      <c r="C728" t="s">
        <v>36</v>
      </c>
      <c r="D728" t="s">
        <v>327</v>
      </c>
      <c r="E728" t="s">
        <v>22</v>
      </c>
      <c r="F728" t="s">
        <v>328</v>
      </c>
      <c r="G728" t="s">
        <v>16</v>
      </c>
      <c r="H728" t="s">
        <v>4533</v>
      </c>
      <c r="J728">
        <v>4</v>
      </c>
    </row>
    <row r="729" spans="1:10" x14ac:dyDescent="0.35">
      <c r="A729">
        <v>87000007895</v>
      </c>
      <c r="B729" t="s">
        <v>1022</v>
      </c>
      <c r="C729" t="s">
        <v>128</v>
      </c>
      <c r="D729" t="s">
        <v>327</v>
      </c>
      <c r="E729" t="s">
        <v>22</v>
      </c>
      <c r="F729" t="s">
        <v>328</v>
      </c>
      <c r="G729" t="s">
        <v>16</v>
      </c>
      <c r="H729" t="s">
        <v>4533</v>
      </c>
      <c r="J729">
        <v>1</v>
      </c>
    </row>
    <row r="730" spans="1:10" x14ac:dyDescent="0.35">
      <c r="A730">
        <v>870929007486</v>
      </c>
      <c r="B730" t="s">
        <v>1023</v>
      </c>
      <c r="C730" t="s">
        <v>1024</v>
      </c>
      <c r="D730" t="s">
        <v>1025</v>
      </c>
      <c r="E730" t="s">
        <v>15</v>
      </c>
      <c r="F730" t="s">
        <v>1026</v>
      </c>
      <c r="G730" t="s">
        <v>15</v>
      </c>
      <c r="H730" t="s">
        <v>4639</v>
      </c>
      <c r="J730">
        <v>1</v>
      </c>
    </row>
    <row r="731" spans="1:10" x14ac:dyDescent="0.35">
      <c r="A731">
        <v>87116035461</v>
      </c>
      <c r="B731" t="s">
        <v>1027</v>
      </c>
      <c r="C731" t="s">
        <v>36</v>
      </c>
      <c r="D731" t="s">
        <v>1028</v>
      </c>
      <c r="E731" t="s">
        <v>15</v>
      </c>
      <c r="F731" t="s">
        <v>1029</v>
      </c>
      <c r="G731" t="s">
        <v>16</v>
      </c>
      <c r="H731" t="s">
        <v>4640</v>
      </c>
      <c r="J731">
        <v>2</v>
      </c>
    </row>
    <row r="732" spans="1:10" x14ac:dyDescent="0.35">
      <c r="A732">
        <v>88004034672</v>
      </c>
      <c r="B732" t="s">
        <v>1030</v>
      </c>
      <c r="C732" t="s">
        <v>66</v>
      </c>
      <c r="D732" t="s">
        <v>342</v>
      </c>
      <c r="E732" t="s">
        <v>15</v>
      </c>
      <c r="F732" t="s">
        <v>343</v>
      </c>
      <c r="G732" t="s">
        <v>16</v>
      </c>
      <c r="H732" t="s">
        <v>4535</v>
      </c>
      <c r="J732">
        <v>2</v>
      </c>
    </row>
    <row r="733" spans="1:10" x14ac:dyDescent="0.35">
      <c r="A733">
        <v>88004036102</v>
      </c>
      <c r="B733" t="s">
        <v>1031</v>
      </c>
      <c r="C733" t="s">
        <v>66</v>
      </c>
      <c r="D733" t="s">
        <v>1031</v>
      </c>
      <c r="E733" t="s">
        <v>15</v>
      </c>
      <c r="F733" t="s">
        <v>343</v>
      </c>
      <c r="G733" t="s">
        <v>16</v>
      </c>
      <c r="H733" t="s">
        <v>4535</v>
      </c>
      <c r="J733">
        <v>4</v>
      </c>
    </row>
    <row r="734" spans="1:10" x14ac:dyDescent="0.35">
      <c r="A734">
        <v>88004400453</v>
      </c>
      <c r="B734" t="s">
        <v>127</v>
      </c>
      <c r="C734" t="s">
        <v>128</v>
      </c>
      <c r="D734" t="s">
        <v>340</v>
      </c>
      <c r="E734" t="s">
        <v>308</v>
      </c>
      <c r="F734" t="s">
        <v>309</v>
      </c>
      <c r="G734" t="s">
        <v>16</v>
      </c>
      <c r="H734" t="s">
        <v>4529</v>
      </c>
      <c r="J734">
        <v>2</v>
      </c>
    </row>
    <row r="735" spans="1:10" x14ac:dyDescent="0.35">
      <c r="A735">
        <v>88004400460</v>
      </c>
      <c r="B735" t="s">
        <v>127</v>
      </c>
      <c r="C735" t="s">
        <v>326</v>
      </c>
      <c r="D735" t="s">
        <v>340</v>
      </c>
      <c r="E735" t="s">
        <v>308</v>
      </c>
      <c r="F735" t="s">
        <v>309</v>
      </c>
      <c r="G735" t="s">
        <v>16</v>
      </c>
      <c r="H735" t="s">
        <v>4529</v>
      </c>
      <c r="J735">
        <v>1</v>
      </c>
    </row>
    <row r="736" spans="1:10" x14ac:dyDescent="0.35">
      <c r="A736">
        <v>88004400712</v>
      </c>
      <c r="B736" t="s">
        <v>1032</v>
      </c>
      <c r="C736" t="s">
        <v>128</v>
      </c>
      <c r="D736" t="s">
        <v>342</v>
      </c>
      <c r="E736" t="s">
        <v>15</v>
      </c>
      <c r="F736" t="s">
        <v>343</v>
      </c>
      <c r="G736" t="s">
        <v>16</v>
      </c>
      <c r="H736" t="s">
        <v>4535</v>
      </c>
      <c r="J736">
        <v>3</v>
      </c>
    </row>
    <row r="737" spans="1:10" x14ac:dyDescent="0.35">
      <c r="A737">
        <v>881103101616</v>
      </c>
      <c r="B737" t="s">
        <v>1033</v>
      </c>
      <c r="C737" t="s">
        <v>472</v>
      </c>
      <c r="D737" t="s">
        <v>738</v>
      </c>
      <c r="E737" t="s">
        <v>34</v>
      </c>
      <c r="F737" t="s">
        <v>739</v>
      </c>
      <c r="G737" t="s">
        <v>34</v>
      </c>
      <c r="H737" t="s">
        <v>4586</v>
      </c>
      <c r="J737">
        <v>154</v>
      </c>
    </row>
    <row r="738" spans="1:10" x14ac:dyDescent="0.35">
      <c r="A738">
        <v>883043000585</v>
      </c>
      <c r="B738" t="s">
        <v>1034</v>
      </c>
      <c r="C738" t="s">
        <v>83</v>
      </c>
      <c r="D738" t="s">
        <v>528</v>
      </c>
      <c r="E738" t="s">
        <v>16</v>
      </c>
      <c r="F738" t="s">
        <v>529</v>
      </c>
      <c r="G738" t="s">
        <v>16</v>
      </c>
      <c r="H738" t="s">
        <v>4560</v>
      </c>
      <c r="J738">
        <v>1</v>
      </c>
    </row>
    <row r="739" spans="1:10" x14ac:dyDescent="0.35">
      <c r="A739">
        <v>883043001001</v>
      </c>
      <c r="B739" t="s">
        <v>1035</v>
      </c>
      <c r="C739" t="s">
        <v>83</v>
      </c>
      <c r="D739" t="s">
        <v>528</v>
      </c>
      <c r="E739" t="s">
        <v>16</v>
      </c>
      <c r="F739" t="s">
        <v>529</v>
      </c>
      <c r="G739" t="s">
        <v>16</v>
      </c>
      <c r="H739" t="s">
        <v>4560</v>
      </c>
      <c r="J739">
        <v>1</v>
      </c>
    </row>
    <row r="740" spans="1:10" x14ac:dyDescent="0.35">
      <c r="A740">
        <v>884394000330</v>
      </c>
      <c r="B740" t="s">
        <v>1036</v>
      </c>
      <c r="C740" t="s">
        <v>9</v>
      </c>
      <c r="D740" t="s">
        <v>1037</v>
      </c>
      <c r="E740" t="s">
        <v>1038</v>
      </c>
      <c r="F740" t="s">
        <v>1039</v>
      </c>
      <c r="G740" t="s">
        <v>41</v>
      </c>
      <c r="H740" t="s">
        <v>4641</v>
      </c>
      <c r="J740">
        <v>19</v>
      </c>
    </row>
    <row r="741" spans="1:10" x14ac:dyDescent="0.35">
      <c r="A741">
        <v>884770120126</v>
      </c>
      <c r="B741" t="s">
        <v>1040</v>
      </c>
      <c r="C741" t="s">
        <v>565</v>
      </c>
      <c r="D741" t="s">
        <v>1040</v>
      </c>
      <c r="E741" t="s">
        <v>1041</v>
      </c>
      <c r="F741" t="s">
        <v>1042</v>
      </c>
      <c r="G741" t="s">
        <v>41</v>
      </c>
      <c r="H741" t="s">
        <v>4642</v>
      </c>
      <c r="J741">
        <v>50</v>
      </c>
    </row>
    <row r="742" spans="1:10" x14ac:dyDescent="0.35">
      <c r="A742">
        <v>921114661157</v>
      </c>
      <c r="B742" t="s">
        <v>1043</v>
      </c>
      <c r="C742" t="s">
        <v>36</v>
      </c>
      <c r="D742" t="s">
        <v>1044</v>
      </c>
      <c r="E742" t="s">
        <v>15</v>
      </c>
      <c r="F742" t="s">
        <v>56</v>
      </c>
      <c r="G742" t="s">
        <v>22</v>
      </c>
      <c r="H742" t="s">
        <v>4497</v>
      </c>
      <c r="J742">
        <v>1</v>
      </c>
    </row>
    <row r="743" spans="1:10" x14ac:dyDescent="0.35">
      <c r="A743">
        <v>96619200603</v>
      </c>
      <c r="B743" t="s">
        <v>1045</v>
      </c>
      <c r="C743" t="s">
        <v>1046</v>
      </c>
      <c r="D743" t="s">
        <v>351</v>
      </c>
      <c r="E743" t="s">
        <v>15</v>
      </c>
      <c r="F743" t="s">
        <v>352</v>
      </c>
      <c r="G743" t="s">
        <v>16</v>
      </c>
      <c r="H743" t="s">
        <v>4537</v>
      </c>
      <c r="J743">
        <v>4</v>
      </c>
    </row>
    <row r="744" spans="1:10" x14ac:dyDescent="0.35">
      <c r="A744">
        <v>96619297542</v>
      </c>
      <c r="B744" t="s">
        <v>1047</v>
      </c>
      <c r="C744" t="s">
        <v>1048</v>
      </c>
      <c r="D744" t="s">
        <v>351</v>
      </c>
      <c r="E744" t="s">
        <v>15</v>
      </c>
      <c r="F744" t="s">
        <v>352</v>
      </c>
      <c r="G744" t="s">
        <v>22</v>
      </c>
      <c r="H744" t="s">
        <v>4537</v>
      </c>
      <c r="J744">
        <v>1</v>
      </c>
    </row>
    <row r="745" spans="1:10" x14ac:dyDescent="0.35">
      <c r="A745">
        <v>96619321841</v>
      </c>
      <c r="B745" t="s">
        <v>1049</v>
      </c>
      <c r="C745" t="s">
        <v>9</v>
      </c>
      <c r="D745" t="s">
        <v>351</v>
      </c>
      <c r="E745" t="s">
        <v>15</v>
      </c>
      <c r="F745" t="s">
        <v>352</v>
      </c>
      <c r="G745" t="s">
        <v>16</v>
      </c>
      <c r="H745" t="s">
        <v>4537</v>
      </c>
      <c r="J745">
        <v>30</v>
      </c>
    </row>
    <row r="746" spans="1:10" x14ac:dyDescent="0.35">
      <c r="A746">
        <v>96619397013</v>
      </c>
      <c r="B746" t="s">
        <v>1050</v>
      </c>
      <c r="C746" t="s">
        <v>9</v>
      </c>
      <c r="D746" t="s">
        <v>351</v>
      </c>
      <c r="E746" t="s">
        <v>15</v>
      </c>
      <c r="F746" t="s">
        <v>352</v>
      </c>
      <c r="G746" t="s">
        <v>22</v>
      </c>
      <c r="H746" t="s">
        <v>4537</v>
      </c>
      <c r="J746">
        <v>1</v>
      </c>
    </row>
    <row r="747" spans="1:10" x14ac:dyDescent="0.35">
      <c r="A747">
        <v>96619482016</v>
      </c>
      <c r="B747" t="s">
        <v>235</v>
      </c>
      <c r="C747" t="s">
        <v>9</v>
      </c>
      <c r="D747" t="s">
        <v>351</v>
      </c>
      <c r="E747" t="s">
        <v>15</v>
      </c>
      <c r="F747" t="s">
        <v>352</v>
      </c>
      <c r="G747" t="s">
        <v>22</v>
      </c>
      <c r="H747" t="s">
        <v>4537</v>
      </c>
      <c r="J747">
        <v>1</v>
      </c>
    </row>
    <row r="748" spans="1:10" x14ac:dyDescent="0.35">
      <c r="A748">
        <v>10034378</v>
      </c>
      <c r="B748" t="s">
        <v>1051</v>
      </c>
      <c r="C748" t="s">
        <v>419</v>
      </c>
      <c r="D748" t="s">
        <v>432</v>
      </c>
      <c r="E748" t="s">
        <v>22</v>
      </c>
      <c r="F748" t="s">
        <v>64</v>
      </c>
      <c r="G748" t="s">
        <v>22</v>
      </c>
      <c r="H748" t="s">
        <v>4499</v>
      </c>
      <c r="J748">
        <v>2</v>
      </c>
    </row>
    <row r="749" spans="1:10" x14ac:dyDescent="0.35">
      <c r="A749">
        <v>10045114</v>
      </c>
      <c r="B749" t="s">
        <v>1052</v>
      </c>
      <c r="C749" t="s">
        <v>419</v>
      </c>
      <c r="D749" t="s">
        <v>432</v>
      </c>
      <c r="E749" t="s">
        <v>22</v>
      </c>
      <c r="F749" t="s">
        <v>64</v>
      </c>
      <c r="G749" t="s">
        <v>22</v>
      </c>
      <c r="H749" t="s">
        <v>4499</v>
      </c>
      <c r="J749">
        <v>1</v>
      </c>
    </row>
    <row r="750" spans="1:10" x14ac:dyDescent="0.35">
      <c r="A750">
        <v>10060599</v>
      </c>
      <c r="B750" t="s">
        <v>1053</v>
      </c>
      <c r="C750" t="s">
        <v>1054</v>
      </c>
      <c r="D750" t="s">
        <v>432</v>
      </c>
      <c r="E750" t="s">
        <v>22</v>
      </c>
      <c r="F750" t="s">
        <v>64</v>
      </c>
      <c r="G750" t="s">
        <v>22</v>
      </c>
      <c r="H750" t="s">
        <v>4499</v>
      </c>
      <c r="J750">
        <v>1</v>
      </c>
    </row>
    <row r="751" spans="1:10" x14ac:dyDescent="0.35">
      <c r="A751">
        <v>10066140</v>
      </c>
      <c r="B751" t="s">
        <v>1055</v>
      </c>
      <c r="C751" t="s">
        <v>43</v>
      </c>
      <c r="D751" t="s">
        <v>432</v>
      </c>
      <c r="E751" t="s">
        <v>22</v>
      </c>
      <c r="F751" t="s">
        <v>64</v>
      </c>
      <c r="G751" t="s">
        <v>22</v>
      </c>
      <c r="H751" t="s">
        <v>4499</v>
      </c>
      <c r="J751">
        <v>1</v>
      </c>
    </row>
    <row r="752" spans="1:10" x14ac:dyDescent="0.35">
      <c r="A752">
        <v>10260142</v>
      </c>
      <c r="B752" t="s">
        <v>1056</v>
      </c>
      <c r="C752" t="s">
        <v>9</v>
      </c>
      <c r="D752" t="s">
        <v>1057</v>
      </c>
      <c r="E752" t="s">
        <v>318</v>
      </c>
      <c r="F752" t="s">
        <v>319</v>
      </c>
      <c r="G752" t="s">
        <v>22</v>
      </c>
      <c r="H752" t="s">
        <v>4531</v>
      </c>
      <c r="J752">
        <v>2</v>
      </c>
    </row>
    <row r="753" spans="1:10" x14ac:dyDescent="0.35">
      <c r="A753">
        <v>1041837271682</v>
      </c>
      <c r="B753" t="s">
        <v>566</v>
      </c>
      <c r="C753" t="s">
        <v>1058</v>
      </c>
      <c r="D753" t="s">
        <v>1059</v>
      </c>
      <c r="E753" t="s">
        <v>15</v>
      </c>
      <c r="F753" t="s">
        <v>56</v>
      </c>
      <c r="G753" t="s">
        <v>22</v>
      </c>
      <c r="H753" t="s">
        <v>4497</v>
      </c>
      <c r="J753">
        <v>1</v>
      </c>
    </row>
    <row r="754" spans="1:10" x14ac:dyDescent="0.35">
      <c r="A754">
        <v>1072343729824</v>
      </c>
      <c r="B754" t="s">
        <v>481</v>
      </c>
      <c r="C754" t="s">
        <v>272</v>
      </c>
      <c r="D754" t="s">
        <v>474</v>
      </c>
      <c r="E754" t="s">
        <v>130</v>
      </c>
      <c r="F754" t="s">
        <v>475</v>
      </c>
      <c r="G754" t="s">
        <v>22</v>
      </c>
      <c r="H754" t="s">
        <v>4557</v>
      </c>
      <c r="J754">
        <v>1</v>
      </c>
    </row>
    <row r="755" spans="1:10" x14ac:dyDescent="0.35">
      <c r="A755">
        <v>11011101</v>
      </c>
      <c r="B755" t="s">
        <v>1060</v>
      </c>
      <c r="C755" t="s">
        <v>447</v>
      </c>
      <c r="D755" t="s">
        <v>415</v>
      </c>
      <c r="E755" t="s">
        <v>61</v>
      </c>
      <c r="F755" t="s">
        <v>416</v>
      </c>
      <c r="G755" t="s">
        <v>61</v>
      </c>
      <c r="H755" t="s">
        <v>4548</v>
      </c>
      <c r="J755">
        <v>1</v>
      </c>
    </row>
    <row r="756" spans="1:10" x14ac:dyDescent="0.35">
      <c r="A756">
        <v>12204441</v>
      </c>
      <c r="B756" t="s">
        <v>1061</v>
      </c>
      <c r="C756" t="s">
        <v>110</v>
      </c>
      <c r="D756" t="s">
        <v>1062</v>
      </c>
      <c r="E756" t="s">
        <v>130</v>
      </c>
      <c r="F756" t="s">
        <v>424</v>
      </c>
      <c r="G756" t="s">
        <v>387</v>
      </c>
      <c r="H756" t="s">
        <v>4550</v>
      </c>
      <c r="J756">
        <v>2</v>
      </c>
    </row>
    <row r="757" spans="1:10" x14ac:dyDescent="0.35">
      <c r="A757">
        <v>123456789012</v>
      </c>
      <c r="B757" t="s">
        <v>1063</v>
      </c>
      <c r="C757" t="s">
        <v>114</v>
      </c>
      <c r="D757" t="s">
        <v>1064</v>
      </c>
      <c r="E757" t="s">
        <v>130</v>
      </c>
      <c r="F757" t="s">
        <v>220</v>
      </c>
      <c r="G757" t="s">
        <v>117</v>
      </c>
      <c r="H757" t="s">
        <v>4520</v>
      </c>
      <c r="J757">
        <v>53</v>
      </c>
    </row>
    <row r="758" spans="1:10" x14ac:dyDescent="0.35">
      <c r="A758">
        <v>1234567890128</v>
      </c>
      <c r="B758" t="s">
        <v>1065</v>
      </c>
      <c r="C758" t="s">
        <v>9</v>
      </c>
      <c r="D758" t="s">
        <v>1066</v>
      </c>
      <c r="E758" t="s">
        <v>150</v>
      </c>
      <c r="F758" t="s">
        <v>1067</v>
      </c>
      <c r="G758" t="s">
        <v>33</v>
      </c>
      <c r="H758" t="s">
        <v>4643</v>
      </c>
      <c r="J758">
        <v>25</v>
      </c>
    </row>
    <row r="759" spans="1:10" x14ac:dyDescent="0.35">
      <c r="A759">
        <v>1234567890128</v>
      </c>
      <c r="B759" t="s">
        <v>1065</v>
      </c>
      <c r="C759" t="s">
        <v>9</v>
      </c>
      <c r="D759" t="s">
        <v>1066</v>
      </c>
      <c r="E759" t="s">
        <v>150</v>
      </c>
      <c r="F759" t="s">
        <v>1067</v>
      </c>
      <c r="G759" t="s">
        <v>150</v>
      </c>
      <c r="H759" t="s">
        <v>4643</v>
      </c>
      <c r="J759">
        <v>6</v>
      </c>
    </row>
    <row r="760" spans="1:10" x14ac:dyDescent="0.35">
      <c r="A760">
        <v>1243487060320</v>
      </c>
      <c r="B760" t="s">
        <v>544</v>
      </c>
      <c r="C760" t="s">
        <v>1068</v>
      </c>
      <c r="D760" t="s">
        <v>1069</v>
      </c>
      <c r="E760" t="s">
        <v>61</v>
      </c>
      <c r="F760" t="s">
        <v>1070</v>
      </c>
      <c r="G760" t="s">
        <v>61</v>
      </c>
      <c r="H760" t="s">
        <v>4644</v>
      </c>
      <c r="J760">
        <v>8</v>
      </c>
    </row>
    <row r="761" spans="1:10" x14ac:dyDescent="0.35">
      <c r="A761">
        <v>12548903</v>
      </c>
      <c r="B761" t="s">
        <v>1071</v>
      </c>
      <c r="C761" t="s">
        <v>110</v>
      </c>
      <c r="D761" t="s">
        <v>14</v>
      </c>
      <c r="E761" t="s">
        <v>15</v>
      </c>
      <c r="F761" t="s">
        <v>14</v>
      </c>
      <c r="G761" t="s">
        <v>34</v>
      </c>
      <c r="H761" t="s">
        <v>4489</v>
      </c>
      <c r="J761">
        <v>52</v>
      </c>
    </row>
    <row r="762" spans="1:10" x14ac:dyDescent="0.35">
      <c r="A762">
        <v>12548903</v>
      </c>
      <c r="B762" t="s">
        <v>1071</v>
      </c>
      <c r="C762" t="s">
        <v>110</v>
      </c>
      <c r="D762" t="s">
        <v>14</v>
      </c>
      <c r="E762" t="s">
        <v>15</v>
      </c>
      <c r="F762" t="s">
        <v>14</v>
      </c>
      <c r="G762" t="s">
        <v>61</v>
      </c>
      <c r="H762" t="s">
        <v>4489</v>
      </c>
      <c r="J762">
        <v>1</v>
      </c>
    </row>
    <row r="763" spans="1:10" x14ac:dyDescent="0.35">
      <c r="A763">
        <v>13917821</v>
      </c>
      <c r="B763" t="s">
        <v>1072</v>
      </c>
      <c r="C763" t="s">
        <v>617</v>
      </c>
      <c r="D763" t="s">
        <v>1059</v>
      </c>
      <c r="E763" t="s">
        <v>15</v>
      </c>
      <c r="F763" t="s">
        <v>56</v>
      </c>
      <c r="G763" t="s">
        <v>22</v>
      </c>
      <c r="H763" t="s">
        <v>4497</v>
      </c>
      <c r="J763">
        <v>1</v>
      </c>
    </row>
    <row r="764" spans="1:10" x14ac:dyDescent="0.35">
      <c r="A764">
        <v>14021985</v>
      </c>
      <c r="B764" t="s">
        <v>1073</v>
      </c>
      <c r="C764" t="s">
        <v>603</v>
      </c>
      <c r="D764" t="s">
        <v>1074</v>
      </c>
      <c r="E764" t="s">
        <v>33</v>
      </c>
      <c r="F764" t="s">
        <v>1075</v>
      </c>
      <c r="G764" t="s">
        <v>33</v>
      </c>
      <c r="H764" t="s">
        <v>4645</v>
      </c>
      <c r="J764">
        <v>1677</v>
      </c>
    </row>
    <row r="765" spans="1:10" x14ac:dyDescent="0.35">
      <c r="A765">
        <v>14021985</v>
      </c>
      <c r="B765" t="s">
        <v>1073</v>
      </c>
      <c r="C765" t="s">
        <v>603</v>
      </c>
      <c r="D765" t="s">
        <v>1074</v>
      </c>
      <c r="E765" t="s">
        <v>33</v>
      </c>
      <c r="F765" t="s">
        <v>1075</v>
      </c>
      <c r="G765" t="s">
        <v>34</v>
      </c>
      <c r="H765" t="s">
        <v>4645</v>
      </c>
      <c r="J765">
        <v>23</v>
      </c>
    </row>
    <row r="766" spans="1:10" x14ac:dyDescent="0.35">
      <c r="A766">
        <v>1409060098504</v>
      </c>
      <c r="B766" t="s">
        <v>1076</v>
      </c>
      <c r="C766" t="s">
        <v>192</v>
      </c>
      <c r="D766" t="s">
        <v>711</v>
      </c>
      <c r="E766" t="s">
        <v>15</v>
      </c>
      <c r="F766" t="s">
        <v>14</v>
      </c>
      <c r="G766" t="s">
        <v>61</v>
      </c>
      <c r="H766" t="s">
        <v>4489</v>
      </c>
      <c r="J766">
        <v>1</v>
      </c>
    </row>
    <row r="767" spans="1:10" x14ac:dyDescent="0.35">
      <c r="A767">
        <v>1413112418431</v>
      </c>
      <c r="B767" t="s">
        <v>1077</v>
      </c>
      <c r="C767" t="s">
        <v>9</v>
      </c>
      <c r="D767" t="s">
        <v>1078</v>
      </c>
      <c r="E767" t="s">
        <v>15</v>
      </c>
      <c r="F767" t="s">
        <v>1079</v>
      </c>
      <c r="G767" t="s">
        <v>22</v>
      </c>
      <c r="H767" t="s">
        <v>4646</v>
      </c>
      <c r="J767">
        <v>2</v>
      </c>
    </row>
    <row r="768" spans="1:10" x14ac:dyDescent="0.35">
      <c r="A768">
        <v>1413821084941</v>
      </c>
      <c r="B768" t="s">
        <v>1080</v>
      </c>
      <c r="C768" t="s">
        <v>1081</v>
      </c>
      <c r="D768" t="s">
        <v>1082</v>
      </c>
      <c r="E768" t="s">
        <v>15</v>
      </c>
      <c r="F768" t="s">
        <v>14</v>
      </c>
      <c r="G768" t="s">
        <v>598</v>
      </c>
      <c r="H768" t="s">
        <v>4489</v>
      </c>
      <c r="J768">
        <v>1</v>
      </c>
    </row>
    <row r="769" spans="1:10" x14ac:dyDescent="0.35">
      <c r="A769">
        <v>15124005</v>
      </c>
      <c r="B769" t="s">
        <v>384</v>
      </c>
      <c r="C769" t="s">
        <v>1008</v>
      </c>
      <c r="D769" t="s">
        <v>546</v>
      </c>
      <c r="E769" t="s">
        <v>547</v>
      </c>
      <c r="F769" t="s">
        <v>548</v>
      </c>
      <c r="G769" t="s">
        <v>547</v>
      </c>
      <c r="H769" t="s">
        <v>4561</v>
      </c>
      <c r="J769">
        <v>1</v>
      </c>
    </row>
    <row r="770" spans="1:10" x14ac:dyDescent="0.35">
      <c r="A770">
        <v>161705450597</v>
      </c>
      <c r="B770" t="s">
        <v>1083</v>
      </c>
      <c r="C770" t="s">
        <v>1084</v>
      </c>
      <c r="D770" t="s">
        <v>1085</v>
      </c>
      <c r="E770" t="s">
        <v>31</v>
      </c>
      <c r="F770" t="s">
        <v>1086</v>
      </c>
      <c r="G770" t="s">
        <v>31</v>
      </c>
      <c r="H770" t="s">
        <v>4647</v>
      </c>
      <c r="J770">
        <v>102</v>
      </c>
    </row>
    <row r="771" spans="1:10" x14ac:dyDescent="0.35">
      <c r="A771">
        <v>17473033</v>
      </c>
      <c r="B771" t="s">
        <v>1087</v>
      </c>
      <c r="C771" t="s">
        <v>114</v>
      </c>
      <c r="D771" t="s">
        <v>222</v>
      </c>
      <c r="E771" t="s">
        <v>71</v>
      </c>
      <c r="F771" t="s">
        <v>72</v>
      </c>
      <c r="G771" t="s">
        <v>598</v>
      </c>
      <c r="H771" t="s">
        <v>4501</v>
      </c>
      <c r="J771">
        <v>1</v>
      </c>
    </row>
    <row r="772" spans="1:10" x14ac:dyDescent="0.35">
      <c r="A772">
        <v>1776473668403</v>
      </c>
      <c r="B772" t="s">
        <v>1088</v>
      </c>
      <c r="C772" t="s">
        <v>9</v>
      </c>
      <c r="D772" t="s">
        <v>1089</v>
      </c>
      <c r="E772" t="s">
        <v>41</v>
      </c>
      <c r="F772" t="s">
        <v>1090</v>
      </c>
      <c r="G772" t="s">
        <v>41</v>
      </c>
      <c r="H772" t="s">
        <v>4648</v>
      </c>
      <c r="J772">
        <v>1</v>
      </c>
    </row>
    <row r="773" spans="1:10" x14ac:dyDescent="0.35">
      <c r="A773">
        <v>1797226011222</v>
      </c>
      <c r="B773" t="s">
        <v>1091</v>
      </c>
      <c r="C773" t="s">
        <v>1092</v>
      </c>
      <c r="D773" t="s">
        <v>1093</v>
      </c>
      <c r="E773" t="s">
        <v>117</v>
      </c>
      <c r="F773" t="s">
        <v>1094</v>
      </c>
      <c r="G773" t="s">
        <v>117</v>
      </c>
      <c r="H773" t="s">
        <v>4649</v>
      </c>
      <c r="J773">
        <v>5</v>
      </c>
    </row>
    <row r="774" spans="1:10" x14ac:dyDescent="0.35">
      <c r="A774">
        <v>1863654060344</v>
      </c>
      <c r="B774" t="s">
        <v>262</v>
      </c>
      <c r="C774" t="s">
        <v>1095</v>
      </c>
      <c r="D774" t="s">
        <v>1069</v>
      </c>
      <c r="E774" t="s">
        <v>61</v>
      </c>
      <c r="F774" t="s">
        <v>1070</v>
      </c>
      <c r="G774" t="s">
        <v>61</v>
      </c>
      <c r="H774" t="s">
        <v>4644</v>
      </c>
      <c r="J774">
        <v>224</v>
      </c>
    </row>
    <row r="775" spans="1:10" x14ac:dyDescent="0.35">
      <c r="A775">
        <v>194283300138</v>
      </c>
      <c r="B775" t="s">
        <v>235</v>
      </c>
      <c r="C775" t="s">
        <v>9</v>
      </c>
      <c r="D775" t="s">
        <v>411</v>
      </c>
      <c r="E775" t="s">
        <v>16</v>
      </c>
      <c r="F775" t="s">
        <v>412</v>
      </c>
      <c r="G775" t="s">
        <v>16</v>
      </c>
      <c r="H775" t="s">
        <v>4547</v>
      </c>
      <c r="J775">
        <v>12</v>
      </c>
    </row>
    <row r="776" spans="1:10" x14ac:dyDescent="0.35">
      <c r="A776">
        <v>20000967</v>
      </c>
      <c r="B776" t="s">
        <v>1096</v>
      </c>
      <c r="C776" t="s">
        <v>912</v>
      </c>
      <c r="D776" t="s">
        <v>1097</v>
      </c>
      <c r="E776" t="s">
        <v>73</v>
      </c>
      <c r="F776" t="s">
        <v>1098</v>
      </c>
      <c r="G776" t="s">
        <v>34</v>
      </c>
      <c r="H776" t="s">
        <v>4650</v>
      </c>
      <c r="J776">
        <v>1</v>
      </c>
    </row>
    <row r="777" spans="1:10" x14ac:dyDescent="0.35">
      <c r="A777">
        <v>20011246</v>
      </c>
      <c r="B777" t="s">
        <v>1099</v>
      </c>
      <c r="C777" t="s">
        <v>83</v>
      </c>
      <c r="D777" t="s">
        <v>1097</v>
      </c>
      <c r="E777" t="s">
        <v>73</v>
      </c>
      <c r="F777" t="s">
        <v>1098</v>
      </c>
      <c r="G777" t="s">
        <v>73</v>
      </c>
      <c r="H777" t="s">
        <v>4650</v>
      </c>
      <c r="J777">
        <v>3</v>
      </c>
    </row>
    <row r="778" spans="1:10" x14ac:dyDescent="0.35">
      <c r="A778">
        <v>20011697</v>
      </c>
      <c r="B778" t="s">
        <v>1100</v>
      </c>
      <c r="C778" t="s">
        <v>78</v>
      </c>
      <c r="D778" t="s">
        <v>1097</v>
      </c>
      <c r="E778" t="s">
        <v>73</v>
      </c>
      <c r="F778" t="s">
        <v>1098</v>
      </c>
      <c r="G778" t="s">
        <v>34</v>
      </c>
      <c r="H778" t="s">
        <v>4650</v>
      </c>
      <c r="J778">
        <v>3</v>
      </c>
    </row>
    <row r="779" spans="1:10" x14ac:dyDescent="0.35">
      <c r="A779">
        <v>20011697</v>
      </c>
      <c r="B779" t="s">
        <v>1100</v>
      </c>
      <c r="C779" t="s">
        <v>78</v>
      </c>
      <c r="D779" t="s">
        <v>1097</v>
      </c>
      <c r="E779" t="s">
        <v>73</v>
      </c>
      <c r="F779" t="s">
        <v>1098</v>
      </c>
      <c r="G779" t="s">
        <v>73</v>
      </c>
      <c r="H779" t="s">
        <v>4650</v>
      </c>
      <c r="J779">
        <v>1</v>
      </c>
    </row>
    <row r="780" spans="1:10" x14ac:dyDescent="0.35">
      <c r="A780">
        <v>20011758</v>
      </c>
      <c r="B780" t="s">
        <v>1101</v>
      </c>
      <c r="C780" t="s">
        <v>9</v>
      </c>
      <c r="D780" t="s">
        <v>1097</v>
      </c>
      <c r="E780" t="s">
        <v>73</v>
      </c>
      <c r="F780" t="s">
        <v>1098</v>
      </c>
      <c r="G780" t="s">
        <v>73</v>
      </c>
      <c r="H780" t="s">
        <v>4650</v>
      </c>
      <c r="J780">
        <v>1</v>
      </c>
    </row>
    <row r="781" spans="1:10" x14ac:dyDescent="0.35">
      <c r="A781">
        <v>20017309</v>
      </c>
      <c r="B781" t="s">
        <v>1102</v>
      </c>
      <c r="C781" t="s">
        <v>443</v>
      </c>
      <c r="D781" t="s">
        <v>1097</v>
      </c>
      <c r="E781" t="s">
        <v>73</v>
      </c>
      <c r="F781" t="s">
        <v>1098</v>
      </c>
      <c r="G781" t="s">
        <v>73</v>
      </c>
      <c r="H781" t="s">
        <v>4650</v>
      </c>
      <c r="J781">
        <v>1</v>
      </c>
    </row>
    <row r="782" spans="1:10" x14ac:dyDescent="0.35">
      <c r="A782">
        <v>20017750</v>
      </c>
      <c r="B782" t="s">
        <v>1103</v>
      </c>
      <c r="C782" t="s">
        <v>1104</v>
      </c>
      <c r="D782" t="s">
        <v>1105</v>
      </c>
      <c r="E782" t="s">
        <v>308</v>
      </c>
      <c r="F782" t="s">
        <v>309</v>
      </c>
      <c r="G782" t="s">
        <v>22</v>
      </c>
      <c r="H782" t="s">
        <v>4529</v>
      </c>
      <c r="J782">
        <v>2</v>
      </c>
    </row>
    <row r="783" spans="1:10" x14ac:dyDescent="0.35">
      <c r="A783">
        <v>20024321</v>
      </c>
      <c r="B783" t="s">
        <v>1106</v>
      </c>
      <c r="C783" t="s">
        <v>69</v>
      </c>
      <c r="D783" t="s">
        <v>1097</v>
      </c>
      <c r="E783" t="s">
        <v>73</v>
      </c>
      <c r="F783" t="s">
        <v>1098</v>
      </c>
      <c r="G783" t="s">
        <v>34</v>
      </c>
      <c r="H783" t="s">
        <v>4650</v>
      </c>
      <c r="J783">
        <v>1</v>
      </c>
    </row>
    <row r="784" spans="1:10" x14ac:dyDescent="0.35">
      <c r="A784">
        <v>20026660</v>
      </c>
      <c r="B784" t="s">
        <v>1107</v>
      </c>
      <c r="C784" t="s">
        <v>431</v>
      </c>
      <c r="D784" t="s">
        <v>1097</v>
      </c>
      <c r="E784" t="s">
        <v>73</v>
      </c>
      <c r="F784" t="s">
        <v>1098</v>
      </c>
      <c r="G784" t="s">
        <v>73</v>
      </c>
      <c r="H784" t="s">
        <v>4650</v>
      </c>
      <c r="J784">
        <v>1</v>
      </c>
    </row>
    <row r="785" spans="1:10" x14ac:dyDescent="0.35">
      <c r="A785">
        <v>20026875</v>
      </c>
      <c r="B785" t="s">
        <v>1108</v>
      </c>
      <c r="C785" t="s">
        <v>78</v>
      </c>
      <c r="D785" t="s">
        <v>1097</v>
      </c>
      <c r="E785" t="s">
        <v>73</v>
      </c>
      <c r="F785" t="s">
        <v>1098</v>
      </c>
      <c r="G785" t="s">
        <v>34</v>
      </c>
      <c r="H785" t="s">
        <v>4650</v>
      </c>
      <c r="J785">
        <v>1</v>
      </c>
    </row>
    <row r="786" spans="1:10" x14ac:dyDescent="0.35">
      <c r="A786">
        <v>20026875</v>
      </c>
      <c r="B786" t="s">
        <v>1108</v>
      </c>
      <c r="C786" t="s">
        <v>78</v>
      </c>
      <c r="D786" t="s">
        <v>1097</v>
      </c>
      <c r="E786" t="s">
        <v>73</v>
      </c>
      <c r="F786" t="s">
        <v>1098</v>
      </c>
      <c r="G786" t="s">
        <v>73</v>
      </c>
      <c r="H786" t="s">
        <v>4650</v>
      </c>
      <c r="J786">
        <v>7</v>
      </c>
    </row>
    <row r="787" spans="1:10" x14ac:dyDescent="0.35">
      <c r="A787">
        <v>20040444</v>
      </c>
      <c r="B787" t="s">
        <v>1109</v>
      </c>
      <c r="C787" t="s">
        <v>9</v>
      </c>
      <c r="D787" t="s">
        <v>1097</v>
      </c>
      <c r="E787" t="s">
        <v>73</v>
      </c>
      <c r="F787" t="s">
        <v>1098</v>
      </c>
      <c r="G787" t="s">
        <v>73</v>
      </c>
      <c r="H787" t="s">
        <v>4650</v>
      </c>
      <c r="J787">
        <v>1</v>
      </c>
    </row>
    <row r="788" spans="1:10" x14ac:dyDescent="0.35">
      <c r="A788">
        <v>20049706</v>
      </c>
      <c r="B788" t="s">
        <v>1110</v>
      </c>
      <c r="C788" t="s">
        <v>110</v>
      </c>
      <c r="D788" t="s">
        <v>1097</v>
      </c>
      <c r="E788" t="s">
        <v>73</v>
      </c>
      <c r="F788" t="s">
        <v>1098</v>
      </c>
      <c r="G788" t="s">
        <v>34</v>
      </c>
      <c r="H788" t="s">
        <v>4650</v>
      </c>
      <c r="J788">
        <v>2</v>
      </c>
    </row>
    <row r="789" spans="1:10" x14ac:dyDescent="0.35">
      <c r="A789">
        <v>20049706</v>
      </c>
      <c r="B789" t="s">
        <v>1110</v>
      </c>
      <c r="C789" t="s">
        <v>110</v>
      </c>
      <c r="D789" t="s">
        <v>1097</v>
      </c>
      <c r="E789" t="s">
        <v>73</v>
      </c>
      <c r="F789" t="s">
        <v>1098</v>
      </c>
      <c r="G789" t="s">
        <v>73</v>
      </c>
      <c r="H789" t="s">
        <v>4650</v>
      </c>
      <c r="J789">
        <v>1</v>
      </c>
    </row>
    <row r="790" spans="1:10" x14ac:dyDescent="0.35">
      <c r="A790">
        <v>2005673456213</v>
      </c>
      <c r="B790" t="s">
        <v>1111</v>
      </c>
      <c r="C790" t="s">
        <v>253</v>
      </c>
      <c r="D790" t="s">
        <v>1112</v>
      </c>
      <c r="E790" t="s">
        <v>117</v>
      </c>
      <c r="F790" t="s">
        <v>1113</v>
      </c>
      <c r="G790" t="s">
        <v>117</v>
      </c>
      <c r="H790" t="s">
        <v>4651</v>
      </c>
      <c r="J790">
        <v>14</v>
      </c>
    </row>
    <row r="791" spans="1:10" x14ac:dyDescent="0.35">
      <c r="A791">
        <v>2005673456268</v>
      </c>
      <c r="B791" t="s">
        <v>1114</v>
      </c>
      <c r="C791" t="s">
        <v>1115</v>
      </c>
      <c r="D791" t="s">
        <v>1112</v>
      </c>
      <c r="E791" t="s">
        <v>117</v>
      </c>
      <c r="F791" t="s">
        <v>1113</v>
      </c>
      <c r="G791" t="s">
        <v>117</v>
      </c>
      <c r="H791" t="s">
        <v>4651</v>
      </c>
      <c r="J791">
        <v>1</v>
      </c>
    </row>
    <row r="792" spans="1:10" x14ac:dyDescent="0.35">
      <c r="A792">
        <v>20067298</v>
      </c>
      <c r="B792" t="s">
        <v>1116</v>
      </c>
      <c r="C792" t="s">
        <v>78</v>
      </c>
      <c r="D792" t="s">
        <v>1097</v>
      </c>
      <c r="E792" t="s">
        <v>73</v>
      </c>
      <c r="F792" t="s">
        <v>1098</v>
      </c>
      <c r="G792" t="s">
        <v>73</v>
      </c>
      <c r="H792" t="s">
        <v>4650</v>
      </c>
      <c r="J792">
        <v>4</v>
      </c>
    </row>
    <row r="793" spans="1:10" x14ac:dyDescent="0.35">
      <c r="A793">
        <v>20080709</v>
      </c>
      <c r="B793" t="s">
        <v>1117</v>
      </c>
      <c r="C793" t="s">
        <v>1118</v>
      </c>
      <c r="D793" t="s">
        <v>1097</v>
      </c>
      <c r="E793" t="s">
        <v>73</v>
      </c>
      <c r="F793" t="s">
        <v>1098</v>
      </c>
      <c r="G793" t="s">
        <v>73</v>
      </c>
      <c r="H793" t="s">
        <v>4650</v>
      </c>
      <c r="J793">
        <v>1</v>
      </c>
    </row>
    <row r="794" spans="1:10" x14ac:dyDescent="0.35">
      <c r="A794">
        <v>20088866</v>
      </c>
      <c r="B794" t="s">
        <v>1119</v>
      </c>
      <c r="C794" t="s">
        <v>192</v>
      </c>
      <c r="D794" t="s">
        <v>1120</v>
      </c>
      <c r="E794" t="s">
        <v>73</v>
      </c>
      <c r="F794" t="s">
        <v>1098</v>
      </c>
      <c r="G794" t="s">
        <v>34</v>
      </c>
      <c r="H794" t="s">
        <v>4650</v>
      </c>
      <c r="J794">
        <v>1</v>
      </c>
    </row>
    <row r="795" spans="1:10" x14ac:dyDescent="0.35">
      <c r="A795">
        <v>20088866</v>
      </c>
      <c r="B795" t="s">
        <v>1119</v>
      </c>
      <c r="C795" t="s">
        <v>192</v>
      </c>
      <c r="D795" t="s">
        <v>1120</v>
      </c>
      <c r="E795" t="s">
        <v>73</v>
      </c>
      <c r="F795" t="s">
        <v>1098</v>
      </c>
      <c r="G795" t="s">
        <v>73</v>
      </c>
      <c r="H795" t="s">
        <v>4650</v>
      </c>
      <c r="J795">
        <v>7</v>
      </c>
    </row>
    <row r="796" spans="1:10" x14ac:dyDescent="0.35">
      <c r="A796">
        <v>20123253</v>
      </c>
      <c r="B796" t="s">
        <v>1121</v>
      </c>
      <c r="C796" t="s">
        <v>272</v>
      </c>
      <c r="D796" t="s">
        <v>1097</v>
      </c>
      <c r="E796" t="s">
        <v>73</v>
      </c>
      <c r="F796" t="s">
        <v>1098</v>
      </c>
      <c r="G796" t="s">
        <v>73</v>
      </c>
      <c r="H796" t="s">
        <v>4650</v>
      </c>
      <c r="J796">
        <v>1</v>
      </c>
    </row>
    <row r="797" spans="1:10" x14ac:dyDescent="0.35">
      <c r="A797">
        <v>20123994</v>
      </c>
      <c r="B797" t="s">
        <v>1122</v>
      </c>
      <c r="C797" t="s">
        <v>1123</v>
      </c>
      <c r="D797" t="s">
        <v>1097</v>
      </c>
      <c r="E797" t="s">
        <v>73</v>
      </c>
      <c r="F797" t="s">
        <v>1098</v>
      </c>
      <c r="G797" t="s">
        <v>73</v>
      </c>
      <c r="H797" t="s">
        <v>4650</v>
      </c>
      <c r="J797">
        <v>3</v>
      </c>
    </row>
    <row r="798" spans="1:10" x14ac:dyDescent="0.35">
      <c r="A798">
        <v>20143268</v>
      </c>
      <c r="B798" t="s">
        <v>1124</v>
      </c>
      <c r="C798" t="s">
        <v>431</v>
      </c>
      <c r="D798" t="s">
        <v>1097</v>
      </c>
      <c r="E798" t="s">
        <v>73</v>
      </c>
      <c r="F798" t="s">
        <v>1098</v>
      </c>
      <c r="G798" t="s">
        <v>34</v>
      </c>
      <c r="H798" t="s">
        <v>4650</v>
      </c>
      <c r="J798">
        <v>1</v>
      </c>
    </row>
    <row r="799" spans="1:10" x14ac:dyDescent="0.35">
      <c r="A799">
        <v>20148089</v>
      </c>
      <c r="B799" t="s">
        <v>1125</v>
      </c>
      <c r="C799" t="s">
        <v>81</v>
      </c>
      <c r="D799" t="s">
        <v>1097</v>
      </c>
      <c r="E799" t="s">
        <v>73</v>
      </c>
      <c r="F799" t="s">
        <v>1098</v>
      </c>
      <c r="G799" t="s">
        <v>34</v>
      </c>
      <c r="H799" t="s">
        <v>4650</v>
      </c>
      <c r="J799">
        <v>1</v>
      </c>
    </row>
    <row r="800" spans="1:10" x14ac:dyDescent="0.35">
      <c r="A800">
        <v>20148089</v>
      </c>
      <c r="B800" t="s">
        <v>1125</v>
      </c>
      <c r="C800" t="s">
        <v>81</v>
      </c>
      <c r="D800" t="s">
        <v>1097</v>
      </c>
      <c r="E800" t="s">
        <v>73</v>
      </c>
      <c r="F800" t="s">
        <v>1098</v>
      </c>
      <c r="G800" t="s">
        <v>73</v>
      </c>
      <c r="H800" t="s">
        <v>4650</v>
      </c>
      <c r="J800">
        <v>1</v>
      </c>
    </row>
    <row r="801" spans="1:10" x14ac:dyDescent="0.35">
      <c r="A801">
        <v>20149826</v>
      </c>
      <c r="B801" t="s">
        <v>1126</v>
      </c>
      <c r="C801" t="s">
        <v>1127</v>
      </c>
      <c r="D801" t="s">
        <v>1097</v>
      </c>
      <c r="E801" t="s">
        <v>73</v>
      </c>
      <c r="F801" t="s">
        <v>1098</v>
      </c>
      <c r="G801" t="s">
        <v>73</v>
      </c>
      <c r="H801" t="s">
        <v>4650</v>
      </c>
      <c r="J801">
        <v>1</v>
      </c>
    </row>
    <row r="802" spans="1:10" x14ac:dyDescent="0.35">
      <c r="A802">
        <v>20156367</v>
      </c>
      <c r="B802" t="s">
        <v>1128</v>
      </c>
      <c r="C802" t="s">
        <v>9</v>
      </c>
      <c r="D802" t="s">
        <v>1097</v>
      </c>
      <c r="E802" t="s">
        <v>73</v>
      </c>
      <c r="F802" t="s">
        <v>1098</v>
      </c>
      <c r="G802" t="s">
        <v>73</v>
      </c>
      <c r="H802" t="s">
        <v>4650</v>
      </c>
      <c r="J802">
        <v>2</v>
      </c>
    </row>
    <row r="803" spans="1:10" x14ac:dyDescent="0.35">
      <c r="A803">
        <v>20162832</v>
      </c>
      <c r="B803" t="s">
        <v>1129</v>
      </c>
      <c r="C803" t="s">
        <v>192</v>
      </c>
      <c r="D803" t="s">
        <v>1097</v>
      </c>
      <c r="E803" t="s">
        <v>73</v>
      </c>
      <c r="F803" t="s">
        <v>1098</v>
      </c>
      <c r="G803" t="s">
        <v>73</v>
      </c>
      <c r="H803" t="s">
        <v>4650</v>
      </c>
      <c r="J803">
        <v>2</v>
      </c>
    </row>
    <row r="804" spans="1:10" x14ac:dyDescent="0.35">
      <c r="A804">
        <v>20167080</v>
      </c>
      <c r="B804" t="s">
        <v>1130</v>
      </c>
      <c r="C804" t="s">
        <v>1131</v>
      </c>
      <c r="D804" t="s">
        <v>1097</v>
      </c>
      <c r="E804" t="s">
        <v>73</v>
      </c>
      <c r="F804" t="s">
        <v>1098</v>
      </c>
      <c r="G804" t="s">
        <v>73</v>
      </c>
      <c r="H804" t="s">
        <v>4650</v>
      </c>
      <c r="J804">
        <v>2</v>
      </c>
    </row>
    <row r="805" spans="1:10" x14ac:dyDescent="0.35">
      <c r="A805">
        <v>20168957</v>
      </c>
      <c r="B805" t="s">
        <v>1132</v>
      </c>
      <c r="C805" t="s">
        <v>1123</v>
      </c>
      <c r="D805" t="s">
        <v>1097</v>
      </c>
      <c r="E805" t="s">
        <v>73</v>
      </c>
      <c r="F805" t="s">
        <v>1098</v>
      </c>
      <c r="G805" t="s">
        <v>73</v>
      </c>
      <c r="H805" t="s">
        <v>4650</v>
      </c>
      <c r="J805">
        <v>1</v>
      </c>
    </row>
    <row r="806" spans="1:10" x14ac:dyDescent="0.35">
      <c r="A806">
        <v>20171643</v>
      </c>
      <c r="B806" t="s">
        <v>1133</v>
      </c>
      <c r="C806" t="s">
        <v>94</v>
      </c>
      <c r="D806" t="s">
        <v>1097</v>
      </c>
      <c r="E806" t="s">
        <v>73</v>
      </c>
      <c r="F806" t="s">
        <v>1098</v>
      </c>
      <c r="G806" t="s">
        <v>34</v>
      </c>
      <c r="H806" t="s">
        <v>4650</v>
      </c>
      <c r="J806">
        <v>1</v>
      </c>
    </row>
    <row r="807" spans="1:10" x14ac:dyDescent="0.35">
      <c r="A807">
        <v>20173685</v>
      </c>
      <c r="B807" t="s">
        <v>1134</v>
      </c>
      <c r="C807" t="s">
        <v>443</v>
      </c>
      <c r="D807" t="s">
        <v>1097</v>
      </c>
      <c r="E807" t="s">
        <v>73</v>
      </c>
      <c r="F807" t="s">
        <v>1098</v>
      </c>
      <c r="G807" t="s">
        <v>73</v>
      </c>
      <c r="H807" t="s">
        <v>4650</v>
      </c>
      <c r="J807">
        <v>2</v>
      </c>
    </row>
    <row r="808" spans="1:10" x14ac:dyDescent="0.35">
      <c r="A808">
        <v>20197261</v>
      </c>
      <c r="B808" t="s">
        <v>1135</v>
      </c>
      <c r="C808" t="s">
        <v>69</v>
      </c>
      <c r="D808" t="s">
        <v>1097</v>
      </c>
      <c r="E808" t="s">
        <v>73</v>
      </c>
      <c r="F808" t="s">
        <v>1098</v>
      </c>
      <c r="G808" t="s">
        <v>73</v>
      </c>
      <c r="H808" t="s">
        <v>4650</v>
      </c>
      <c r="J808">
        <v>1</v>
      </c>
    </row>
    <row r="809" spans="1:10" x14ac:dyDescent="0.35">
      <c r="A809">
        <v>20201609</v>
      </c>
      <c r="B809" t="s">
        <v>1119</v>
      </c>
      <c r="C809" t="s">
        <v>326</v>
      </c>
      <c r="D809" t="s">
        <v>1097</v>
      </c>
      <c r="E809" t="s">
        <v>73</v>
      </c>
      <c r="F809" t="s">
        <v>1098</v>
      </c>
      <c r="G809" t="s">
        <v>34</v>
      </c>
      <c r="H809" t="s">
        <v>4650</v>
      </c>
      <c r="J809">
        <v>1</v>
      </c>
    </row>
    <row r="810" spans="1:10" x14ac:dyDescent="0.35">
      <c r="A810">
        <v>20201609</v>
      </c>
      <c r="B810" t="s">
        <v>1119</v>
      </c>
      <c r="C810" t="s">
        <v>326</v>
      </c>
      <c r="D810" t="s">
        <v>1097</v>
      </c>
      <c r="E810" t="s">
        <v>73</v>
      </c>
      <c r="F810" t="s">
        <v>1098</v>
      </c>
      <c r="G810" t="s">
        <v>73</v>
      </c>
      <c r="H810" t="s">
        <v>4650</v>
      </c>
      <c r="J810">
        <v>6</v>
      </c>
    </row>
    <row r="811" spans="1:10" x14ac:dyDescent="0.35">
      <c r="A811">
        <v>2020558253855</v>
      </c>
      <c r="B811" t="s">
        <v>201</v>
      </c>
      <c r="C811" t="s">
        <v>603</v>
      </c>
      <c r="D811" t="s">
        <v>1136</v>
      </c>
      <c r="E811" t="s">
        <v>73</v>
      </c>
      <c r="F811" t="s">
        <v>1137</v>
      </c>
      <c r="G811" t="s">
        <v>22</v>
      </c>
      <c r="H811" t="s">
        <v>4652</v>
      </c>
      <c r="J811">
        <v>1</v>
      </c>
    </row>
    <row r="812" spans="1:10" x14ac:dyDescent="0.35">
      <c r="A812">
        <v>2027143041606</v>
      </c>
      <c r="B812" t="s">
        <v>1138</v>
      </c>
      <c r="C812" t="s">
        <v>1139</v>
      </c>
      <c r="D812" t="s">
        <v>1097</v>
      </c>
      <c r="E812" t="s">
        <v>73</v>
      </c>
      <c r="F812" t="s">
        <v>1098</v>
      </c>
      <c r="G812" t="s">
        <v>73</v>
      </c>
      <c r="H812" t="s">
        <v>4650</v>
      </c>
      <c r="J812">
        <v>1</v>
      </c>
    </row>
    <row r="813" spans="1:10" x14ac:dyDescent="0.35">
      <c r="A813">
        <v>2040137139516</v>
      </c>
      <c r="B813" t="s">
        <v>1140</v>
      </c>
      <c r="C813" t="s">
        <v>1141</v>
      </c>
      <c r="D813" t="s">
        <v>1142</v>
      </c>
      <c r="E813" t="s">
        <v>22</v>
      </c>
      <c r="F813" t="s">
        <v>1143</v>
      </c>
      <c r="G813" t="s">
        <v>22</v>
      </c>
      <c r="H813" t="s">
        <v>4653</v>
      </c>
      <c r="J813">
        <v>1</v>
      </c>
    </row>
    <row r="814" spans="1:10" x14ac:dyDescent="0.35">
      <c r="A814">
        <v>20412074</v>
      </c>
      <c r="B814" t="s">
        <v>1144</v>
      </c>
      <c r="C814" t="s">
        <v>94</v>
      </c>
      <c r="D814" t="s">
        <v>1145</v>
      </c>
      <c r="E814" t="s">
        <v>20</v>
      </c>
      <c r="F814" t="s">
        <v>314</v>
      </c>
      <c r="G814" t="s">
        <v>22</v>
      </c>
      <c r="H814" t="s">
        <v>4654</v>
      </c>
      <c r="J814">
        <v>1</v>
      </c>
    </row>
    <row r="815" spans="1:10" x14ac:dyDescent="0.35">
      <c r="A815">
        <v>2042509031176</v>
      </c>
      <c r="B815" t="s">
        <v>1146</v>
      </c>
      <c r="C815" t="s">
        <v>1123</v>
      </c>
      <c r="D815" t="s">
        <v>1147</v>
      </c>
      <c r="E815" t="s">
        <v>20</v>
      </c>
      <c r="F815" t="s">
        <v>1148</v>
      </c>
      <c r="G815" t="s">
        <v>22</v>
      </c>
      <c r="H815" t="s">
        <v>4655</v>
      </c>
      <c r="J815">
        <v>1</v>
      </c>
    </row>
    <row r="816" spans="1:10" x14ac:dyDescent="0.35">
      <c r="A816">
        <v>2057672265358</v>
      </c>
      <c r="B816" t="s">
        <v>384</v>
      </c>
      <c r="C816" t="s">
        <v>9</v>
      </c>
      <c r="D816" t="s">
        <v>1064</v>
      </c>
      <c r="E816" t="s">
        <v>130</v>
      </c>
      <c r="F816" t="s">
        <v>220</v>
      </c>
      <c r="G816" t="s">
        <v>20</v>
      </c>
      <c r="H816" t="s">
        <v>4520</v>
      </c>
      <c r="J816">
        <v>1</v>
      </c>
    </row>
    <row r="817" spans="1:10" x14ac:dyDescent="0.35">
      <c r="A817">
        <v>2089616370071</v>
      </c>
      <c r="B817" t="s">
        <v>790</v>
      </c>
      <c r="C817" t="s">
        <v>75</v>
      </c>
      <c r="D817" t="s">
        <v>1149</v>
      </c>
      <c r="E817" t="s">
        <v>34</v>
      </c>
      <c r="F817" t="s">
        <v>1150</v>
      </c>
      <c r="G817" t="s">
        <v>34</v>
      </c>
      <c r="H817" t="s">
        <v>4656</v>
      </c>
      <c r="I817">
        <v>110</v>
      </c>
      <c r="J817">
        <v>4672</v>
      </c>
    </row>
    <row r="818" spans="1:10" x14ac:dyDescent="0.35">
      <c r="A818">
        <v>2089676370523</v>
      </c>
      <c r="B818" t="s">
        <v>1151</v>
      </c>
      <c r="C818" t="s">
        <v>9</v>
      </c>
      <c r="D818" t="s">
        <v>1152</v>
      </c>
      <c r="E818" t="s">
        <v>34</v>
      </c>
      <c r="F818" t="s">
        <v>1150</v>
      </c>
      <c r="G818" t="s">
        <v>34</v>
      </c>
      <c r="H818" t="s">
        <v>4656</v>
      </c>
      <c r="J818">
        <v>16</v>
      </c>
    </row>
    <row r="819" spans="1:10" x14ac:dyDescent="0.35">
      <c r="A819">
        <v>21026034</v>
      </c>
      <c r="B819" t="s">
        <v>119</v>
      </c>
      <c r="C819" t="s">
        <v>78</v>
      </c>
      <c r="D819" t="s">
        <v>1153</v>
      </c>
      <c r="E819" t="s">
        <v>15</v>
      </c>
      <c r="F819" t="s">
        <v>574</v>
      </c>
      <c r="G819" t="s">
        <v>22</v>
      </c>
      <c r="H819" t="s">
        <v>4562</v>
      </c>
      <c r="J819">
        <v>1</v>
      </c>
    </row>
    <row r="820" spans="1:10" x14ac:dyDescent="0.35">
      <c r="A820">
        <v>2110110781107</v>
      </c>
      <c r="B820" t="s">
        <v>1060</v>
      </c>
      <c r="C820" t="s">
        <v>114</v>
      </c>
      <c r="D820" t="s">
        <v>415</v>
      </c>
      <c r="E820" t="s">
        <v>61</v>
      </c>
      <c r="F820" t="s">
        <v>416</v>
      </c>
      <c r="G820" t="s">
        <v>61</v>
      </c>
      <c r="H820" t="s">
        <v>4548</v>
      </c>
      <c r="J820">
        <v>4</v>
      </c>
    </row>
    <row r="821" spans="1:10" x14ac:dyDescent="0.35">
      <c r="A821">
        <v>2191101450127</v>
      </c>
      <c r="B821" t="s">
        <v>1083</v>
      </c>
      <c r="C821" t="s">
        <v>1154</v>
      </c>
      <c r="D821" t="s">
        <v>1085</v>
      </c>
      <c r="E821" t="s">
        <v>31</v>
      </c>
      <c r="F821" t="s">
        <v>1086</v>
      </c>
      <c r="G821" t="s">
        <v>31</v>
      </c>
      <c r="H821" t="s">
        <v>4647</v>
      </c>
      <c r="J821">
        <v>1</v>
      </c>
    </row>
    <row r="822" spans="1:10" x14ac:dyDescent="0.35">
      <c r="A822">
        <v>22041111</v>
      </c>
      <c r="B822" t="s">
        <v>1155</v>
      </c>
      <c r="C822" t="s">
        <v>110</v>
      </c>
      <c r="D822" t="s">
        <v>1156</v>
      </c>
      <c r="E822" t="s">
        <v>387</v>
      </c>
      <c r="F822" t="s">
        <v>1157</v>
      </c>
      <c r="G822" t="s">
        <v>387</v>
      </c>
      <c r="H822" t="s">
        <v>4657</v>
      </c>
      <c r="J822">
        <v>1</v>
      </c>
    </row>
    <row r="823" spans="1:10" x14ac:dyDescent="0.35">
      <c r="A823">
        <v>2283011221123</v>
      </c>
      <c r="B823" t="s">
        <v>82</v>
      </c>
      <c r="C823" t="s">
        <v>83</v>
      </c>
      <c r="D823" t="s">
        <v>84</v>
      </c>
      <c r="E823" t="s">
        <v>61</v>
      </c>
      <c r="F823" t="s">
        <v>85</v>
      </c>
      <c r="G823" t="s">
        <v>61</v>
      </c>
      <c r="H823" t="s">
        <v>4503</v>
      </c>
      <c r="J823">
        <v>1</v>
      </c>
    </row>
    <row r="824" spans="1:10" x14ac:dyDescent="0.35">
      <c r="A824">
        <v>24001663</v>
      </c>
      <c r="B824" t="s">
        <v>1158</v>
      </c>
      <c r="C824" t="s">
        <v>192</v>
      </c>
      <c r="D824" t="s">
        <v>19</v>
      </c>
      <c r="E824" t="s">
        <v>20</v>
      </c>
      <c r="F824" t="s">
        <v>21</v>
      </c>
      <c r="G824" t="s">
        <v>464</v>
      </c>
      <c r="H824" t="s">
        <v>4490</v>
      </c>
      <c r="J824">
        <v>8</v>
      </c>
    </row>
    <row r="825" spans="1:10" x14ac:dyDescent="0.35">
      <c r="A825">
        <v>2434756897603</v>
      </c>
      <c r="B825" t="s">
        <v>1159</v>
      </c>
      <c r="C825" t="s">
        <v>610</v>
      </c>
      <c r="D825" t="s">
        <v>1160</v>
      </c>
      <c r="E825" t="s">
        <v>117</v>
      </c>
      <c r="F825" t="s">
        <v>1161</v>
      </c>
      <c r="G825" t="s">
        <v>117</v>
      </c>
      <c r="H825" t="s">
        <v>4658</v>
      </c>
      <c r="J825">
        <v>6</v>
      </c>
    </row>
    <row r="826" spans="1:10" x14ac:dyDescent="0.35">
      <c r="A826">
        <v>24643177</v>
      </c>
      <c r="B826" t="s">
        <v>1016</v>
      </c>
      <c r="C826" t="s">
        <v>1162</v>
      </c>
      <c r="D826" t="s">
        <v>14</v>
      </c>
      <c r="E826" t="s">
        <v>15</v>
      </c>
      <c r="F826" t="s">
        <v>14</v>
      </c>
      <c r="G826" t="s">
        <v>598</v>
      </c>
      <c r="H826" t="s">
        <v>4489</v>
      </c>
      <c r="J826">
        <v>1</v>
      </c>
    </row>
    <row r="827" spans="1:10" x14ac:dyDescent="0.35">
      <c r="A827">
        <v>25218787</v>
      </c>
      <c r="B827" t="s">
        <v>422</v>
      </c>
      <c r="C827" t="s">
        <v>83</v>
      </c>
      <c r="D827" t="s">
        <v>84</v>
      </c>
      <c r="E827" t="s">
        <v>61</v>
      </c>
      <c r="F827" t="s">
        <v>85</v>
      </c>
      <c r="G827" t="s">
        <v>61</v>
      </c>
      <c r="H827" t="s">
        <v>4503</v>
      </c>
      <c r="J827">
        <v>1</v>
      </c>
    </row>
    <row r="828" spans="1:10" x14ac:dyDescent="0.35">
      <c r="A828">
        <v>2610858664132</v>
      </c>
      <c r="B828" t="s">
        <v>1163</v>
      </c>
      <c r="C828" t="s">
        <v>192</v>
      </c>
      <c r="D828" t="s">
        <v>624</v>
      </c>
      <c r="E828" t="s">
        <v>31</v>
      </c>
      <c r="F828" t="s">
        <v>625</v>
      </c>
      <c r="G828" t="s">
        <v>31</v>
      </c>
      <c r="H828" t="s">
        <v>4570</v>
      </c>
      <c r="J828">
        <v>7</v>
      </c>
    </row>
    <row r="829" spans="1:10" x14ac:dyDescent="0.35">
      <c r="A829">
        <v>2703920843273</v>
      </c>
      <c r="B829" t="s">
        <v>1164</v>
      </c>
      <c r="C829" t="s">
        <v>9</v>
      </c>
      <c r="D829" t="s">
        <v>1165</v>
      </c>
      <c r="E829" t="s">
        <v>382</v>
      </c>
      <c r="F829" t="s">
        <v>1166</v>
      </c>
      <c r="G829" t="s">
        <v>61</v>
      </c>
      <c r="H829" t="s">
        <v>4659</v>
      </c>
      <c r="J829">
        <v>21</v>
      </c>
    </row>
    <row r="830" spans="1:10" x14ac:dyDescent="0.35">
      <c r="A830">
        <v>27533864</v>
      </c>
      <c r="B830" t="s">
        <v>1167</v>
      </c>
      <c r="C830" t="s">
        <v>81</v>
      </c>
      <c r="D830" t="s">
        <v>1153</v>
      </c>
      <c r="E830" t="s">
        <v>15</v>
      </c>
      <c r="F830" t="s">
        <v>574</v>
      </c>
      <c r="G830" t="s">
        <v>22</v>
      </c>
      <c r="H830" t="s">
        <v>4562</v>
      </c>
      <c r="J830">
        <v>1</v>
      </c>
    </row>
    <row r="831" spans="1:10" x14ac:dyDescent="0.35">
      <c r="A831">
        <v>28482963</v>
      </c>
      <c r="B831" t="s">
        <v>1168</v>
      </c>
      <c r="C831" t="s">
        <v>38</v>
      </c>
      <c r="D831" t="s">
        <v>1169</v>
      </c>
      <c r="E831" t="s">
        <v>61</v>
      </c>
      <c r="F831" t="s">
        <v>1170</v>
      </c>
      <c r="G831" t="s">
        <v>61</v>
      </c>
      <c r="H831" t="s">
        <v>4660</v>
      </c>
      <c r="J831">
        <v>6</v>
      </c>
    </row>
    <row r="832" spans="1:10" x14ac:dyDescent="0.35">
      <c r="A832">
        <v>29060733</v>
      </c>
      <c r="B832" t="s">
        <v>1171</v>
      </c>
      <c r="C832" t="s">
        <v>419</v>
      </c>
      <c r="D832" t="s">
        <v>44</v>
      </c>
      <c r="E832" t="s">
        <v>22</v>
      </c>
      <c r="F832" t="s">
        <v>45</v>
      </c>
      <c r="G832" t="s">
        <v>22</v>
      </c>
      <c r="H832" t="s">
        <v>4495</v>
      </c>
      <c r="J832">
        <v>1</v>
      </c>
    </row>
    <row r="833" spans="1:10" x14ac:dyDescent="0.35">
      <c r="A833">
        <v>29087709</v>
      </c>
      <c r="B833" t="s">
        <v>1172</v>
      </c>
      <c r="C833" t="s">
        <v>9</v>
      </c>
      <c r="D833" t="s">
        <v>44</v>
      </c>
      <c r="E833" t="s">
        <v>22</v>
      </c>
      <c r="F833" t="s">
        <v>45</v>
      </c>
      <c r="G833" t="s">
        <v>22</v>
      </c>
      <c r="H833" t="s">
        <v>4495</v>
      </c>
      <c r="J833">
        <v>1</v>
      </c>
    </row>
    <row r="834" spans="1:10" x14ac:dyDescent="0.35">
      <c r="A834">
        <v>29087709</v>
      </c>
      <c r="B834" t="s">
        <v>1172</v>
      </c>
      <c r="C834" t="s">
        <v>9</v>
      </c>
      <c r="D834" t="s">
        <v>44</v>
      </c>
      <c r="E834" t="s">
        <v>22</v>
      </c>
      <c r="F834" t="s">
        <v>45</v>
      </c>
      <c r="G834" t="s">
        <v>31</v>
      </c>
      <c r="H834" t="s">
        <v>4495</v>
      </c>
      <c r="J834">
        <v>1</v>
      </c>
    </row>
    <row r="835" spans="1:10" x14ac:dyDescent="0.35">
      <c r="A835">
        <v>2910112560317</v>
      </c>
      <c r="B835" t="s">
        <v>262</v>
      </c>
      <c r="C835" t="s">
        <v>1173</v>
      </c>
      <c r="D835" t="s">
        <v>366</v>
      </c>
      <c r="E835" t="s">
        <v>61</v>
      </c>
      <c r="F835" t="s">
        <v>364</v>
      </c>
      <c r="G835" t="s">
        <v>61</v>
      </c>
      <c r="H835" t="s">
        <v>4540</v>
      </c>
      <c r="J835">
        <v>20</v>
      </c>
    </row>
    <row r="836" spans="1:10" x14ac:dyDescent="0.35">
      <c r="A836">
        <v>3023290025338</v>
      </c>
      <c r="B836" t="s">
        <v>1174</v>
      </c>
      <c r="C836" t="s">
        <v>1175</v>
      </c>
      <c r="D836" t="s">
        <v>70</v>
      </c>
      <c r="E836" t="s">
        <v>71</v>
      </c>
      <c r="F836" t="s">
        <v>72</v>
      </c>
      <c r="G836" t="s">
        <v>22</v>
      </c>
      <c r="H836" t="s">
        <v>4501</v>
      </c>
      <c r="J836">
        <v>1</v>
      </c>
    </row>
    <row r="837" spans="1:10" x14ac:dyDescent="0.35">
      <c r="A837">
        <v>3042614542320</v>
      </c>
      <c r="B837" t="s">
        <v>295</v>
      </c>
      <c r="C837" t="s">
        <v>38</v>
      </c>
      <c r="D837" t="s">
        <v>1176</v>
      </c>
      <c r="E837" t="s">
        <v>61</v>
      </c>
      <c r="F837" t="s">
        <v>1070</v>
      </c>
      <c r="G837" t="s">
        <v>150</v>
      </c>
      <c r="H837" t="s">
        <v>4644</v>
      </c>
      <c r="J837">
        <v>1</v>
      </c>
    </row>
    <row r="838" spans="1:10" x14ac:dyDescent="0.35">
      <c r="A838">
        <v>3057640100178</v>
      </c>
      <c r="B838" t="s">
        <v>1151</v>
      </c>
      <c r="C838" t="s">
        <v>192</v>
      </c>
      <c r="D838" t="s">
        <v>1064</v>
      </c>
      <c r="E838" t="s">
        <v>130</v>
      </c>
      <c r="F838" t="s">
        <v>220</v>
      </c>
      <c r="G838" t="s">
        <v>22</v>
      </c>
      <c r="H838" t="s">
        <v>4520</v>
      </c>
      <c r="J838">
        <v>3</v>
      </c>
    </row>
    <row r="839" spans="1:10" x14ac:dyDescent="0.35">
      <c r="A839">
        <v>3057640100178</v>
      </c>
      <c r="B839" t="s">
        <v>1151</v>
      </c>
      <c r="C839" t="s">
        <v>192</v>
      </c>
      <c r="D839" t="s">
        <v>1064</v>
      </c>
      <c r="E839" t="s">
        <v>130</v>
      </c>
      <c r="F839" t="s">
        <v>220</v>
      </c>
      <c r="G839" t="s">
        <v>31</v>
      </c>
      <c r="H839" t="s">
        <v>4520</v>
      </c>
      <c r="J839">
        <v>2</v>
      </c>
    </row>
    <row r="840" spans="1:10" x14ac:dyDescent="0.35">
      <c r="A840">
        <v>3057640100673</v>
      </c>
      <c r="B840" t="s">
        <v>1151</v>
      </c>
      <c r="C840" t="s">
        <v>9</v>
      </c>
      <c r="D840" t="s">
        <v>1064</v>
      </c>
      <c r="E840" t="s">
        <v>130</v>
      </c>
      <c r="F840" t="s">
        <v>220</v>
      </c>
      <c r="G840" t="s">
        <v>22</v>
      </c>
      <c r="H840" t="s">
        <v>4520</v>
      </c>
      <c r="J840">
        <v>8</v>
      </c>
    </row>
    <row r="841" spans="1:10" x14ac:dyDescent="0.35">
      <c r="A841">
        <v>3057640136993</v>
      </c>
      <c r="B841" t="s">
        <v>1151</v>
      </c>
      <c r="C841" t="s">
        <v>81</v>
      </c>
      <c r="D841" t="s">
        <v>1064</v>
      </c>
      <c r="E841" t="s">
        <v>130</v>
      </c>
      <c r="F841" t="s">
        <v>220</v>
      </c>
      <c r="G841" t="s">
        <v>22</v>
      </c>
      <c r="H841" t="s">
        <v>4520</v>
      </c>
      <c r="J841">
        <v>7</v>
      </c>
    </row>
    <row r="842" spans="1:10" x14ac:dyDescent="0.35">
      <c r="A842">
        <v>3057640183843</v>
      </c>
      <c r="B842" t="s">
        <v>384</v>
      </c>
      <c r="C842" t="s">
        <v>801</v>
      </c>
      <c r="D842" t="s">
        <v>1064</v>
      </c>
      <c r="E842" t="s">
        <v>130</v>
      </c>
      <c r="F842" t="s">
        <v>220</v>
      </c>
      <c r="G842" t="s">
        <v>20</v>
      </c>
      <c r="H842" t="s">
        <v>4520</v>
      </c>
      <c r="J842">
        <v>1</v>
      </c>
    </row>
    <row r="843" spans="1:10" x14ac:dyDescent="0.35">
      <c r="A843">
        <v>3057640316098</v>
      </c>
      <c r="B843" t="s">
        <v>1177</v>
      </c>
      <c r="C843" t="s">
        <v>192</v>
      </c>
      <c r="D843" t="s">
        <v>1064</v>
      </c>
      <c r="E843" t="s">
        <v>130</v>
      </c>
      <c r="F843" t="s">
        <v>220</v>
      </c>
      <c r="G843" t="s">
        <v>22</v>
      </c>
      <c r="H843" t="s">
        <v>4520</v>
      </c>
      <c r="J843">
        <v>1</v>
      </c>
    </row>
    <row r="844" spans="1:10" x14ac:dyDescent="0.35">
      <c r="A844">
        <v>3057640373183</v>
      </c>
      <c r="B844" t="s">
        <v>1178</v>
      </c>
      <c r="C844" t="s">
        <v>9</v>
      </c>
      <c r="D844" t="s">
        <v>1064</v>
      </c>
      <c r="E844" t="s">
        <v>130</v>
      </c>
      <c r="F844" t="s">
        <v>220</v>
      </c>
      <c r="G844" t="s">
        <v>22</v>
      </c>
      <c r="H844" t="s">
        <v>4520</v>
      </c>
      <c r="J844">
        <v>1</v>
      </c>
    </row>
    <row r="845" spans="1:10" x14ac:dyDescent="0.35">
      <c r="A845">
        <v>3057640406423</v>
      </c>
      <c r="B845" t="s">
        <v>1179</v>
      </c>
      <c r="C845" t="s">
        <v>326</v>
      </c>
      <c r="D845" t="s">
        <v>1064</v>
      </c>
      <c r="E845" t="s">
        <v>130</v>
      </c>
      <c r="F845" t="s">
        <v>220</v>
      </c>
      <c r="G845" t="s">
        <v>22</v>
      </c>
      <c r="H845" t="s">
        <v>4520</v>
      </c>
      <c r="J845">
        <v>1</v>
      </c>
    </row>
    <row r="846" spans="1:10" x14ac:dyDescent="0.35">
      <c r="A846">
        <v>3057640406843</v>
      </c>
      <c r="B846" t="s">
        <v>1180</v>
      </c>
      <c r="C846" t="s">
        <v>610</v>
      </c>
      <c r="D846" t="s">
        <v>1064</v>
      </c>
      <c r="E846" t="s">
        <v>130</v>
      </c>
      <c r="F846" t="s">
        <v>220</v>
      </c>
      <c r="G846" t="s">
        <v>22</v>
      </c>
      <c r="H846" t="s">
        <v>4520</v>
      </c>
      <c r="J846">
        <v>1</v>
      </c>
    </row>
    <row r="847" spans="1:10" x14ac:dyDescent="0.35">
      <c r="A847">
        <v>3057640492983</v>
      </c>
      <c r="B847" t="s">
        <v>1181</v>
      </c>
      <c r="C847" t="s">
        <v>78</v>
      </c>
      <c r="D847" t="s">
        <v>1064</v>
      </c>
      <c r="E847" t="s">
        <v>130</v>
      </c>
      <c r="F847" t="s">
        <v>220</v>
      </c>
      <c r="G847" t="s">
        <v>22</v>
      </c>
      <c r="H847" t="s">
        <v>4520</v>
      </c>
      <c r="J847">
        <v>2</v>
      </c>
    </row>
    <row r="848" spans="1:10" x14ac:dyDescent="0.35">
      <c r="A848">
        <v>3057640510533</v>
      </c>
      <c r="B848" t="s">
        <v>1182</v>
      </c>
      <c r="C848" t="s">
        <v>326</v>
      </c>
      <c r="D848" t="s">
        <v>1064</v>
      </c>
      <c r="E848" t="s">
        <v>130</v>
      </c>
      <c r="F848" t="s">
        <v>220</v>
      </c>
      <c r="G848" t="s">
        <v>22</v>
      </c>
      <c r="H848" t="s">
        <v>4520</v>
      </c>
      <c r="J848">
        <v>2</v>
      </c>
    </row>
    <row r="849" spans="1:10" x14ac:dyDescent="0.35">
      <c r="A849">
        <v>3057640510878</v>
      </c>
      <c r="B849" t="s">
        <v>1183</v>
      </c>
      <c r="C849" t="s">
        <v>1184</v>
      </c>
      <c r="D849" t="s">
        <v>1064</v>
      </c>
      <c r="E849" t="s">
        <v>130</v>
      </c>
      <c r="F849" t="s">
        <v>220</v>
      </c>
      <c r="G849" t="s">
        <v>22</v>
      </c>
      <c r="H849" t="s">
        <v>4520</v>
      </c>
      <c r="J849">
        <v>1</v>
      </c>
    </row>
    <row r="850" spans="1:10" x14ac:dyDescent="0.35">
      <c r="A850">
        <v>3057640535123</v>
      </c>
      <c r="B850" t="s">
        <v>1185</v>
      </c>
      <c r="C850" t="s">
        <v>326</v>
      </c>
      <c r="D850" t="s">
        <v>1064</v>
      </c>
      <c r="E850" t="s">
        <v>130</v>
      </c>
      <c r="F850" t="s">
        <v>220</v>
      </c>
      <c r="G850" t="s">
        <v>22</v>
      </c>
      <c r="H850" t="s">
        <v>4520</v>
      </c>
      <c r="J850">
        <v>1</v>
      </c>
    </row>
    <row r="851" spans="1:10" x14ac:dyDescent="0.35">
      <c r="A851">
        <v>3057640548598</v>
      </c>
      <c r="B851" t="s">
        <v>1186</v>
      </c>
      <c r="C851" t="s">
        <v>9</v>
      </c>
      <c r="D851" t="s">
        <v>1064</v>
      </c>
      <c r="E851" t="s">
        <v>130</v>
      </c>
      <c r="F851" t="s">
        <v>220</v>
      </c>
      <c r="G851" t="s">
        <v>22</v>
      </c>
      <c r="H851" t="s">
        <v>4520</v>
      </c>
      <c r="J851">
        <v>1</v>
      </c>
    </row>
    <row r="852" spans="1:10" x14ac:dyDescent="0.35">
      <c r="A852">
        <v>3068320014067</v>
      </c>
      <c r="B852" t="s">
        <v>1151</v>
      </c>
      <c r="C852" t="s">
        <v>326</v>
      </c>
      <c r="D852" t="s">
        <v>219</v>
      </c>
      <c r="E852" t="s">
        <v>130</v>
      </c>
      <c r="F852" t="s">
        <v>220</v>
      </c>
      <c r="G852" t="s">
        <v>16</v>
      </c>
      <c r="H852" t="s">
        <v>4520</v>
      </c>
      <c r="J852">
        <v>2</v>
      </c>
    </row>
    <row r="853" spans="1:10" x14ac:dyDescent="0.35">
      <c r="A853">
        <v>3068320014067</v>
      </c>
      <c r="B853" t="s">
        <v>1151</v>
      </c>
      <c r="C853" t="s">
        <v>326</v>
      </c>
      <c r="D853" t="s">
        <v>219</v>
      </c>
      <c r="E853" t="s">
        <v>130</v>
      </c>
      <c r="F853" t="s">
        <v>220</v>
      </c>
      <c r="G853" t="s">
        <v>22</v>
      </c>
      <c r="H853" t="s">
        <v>4520</v>
      </c>
      <c r="J853">
        <v>11</v>
      </c>
    </row>
    <row r="854" spans="1:10" x14ac:dyDescent="0.35">
      <c r="A854">
        <v>3068320055008</v>
      </c>
      <c r="B854" t="s">
        <v>1151</v>
      </c>
      <c r="C854" t="s">
        <v>9</v>
      </c>
      <c r="D854" t="s">
        <v>219</v>
      </c>
      <c r="E854" t="s">
        <v>130</v>
      </c>
      <c r="F854" t="s">
        <v>220</v>
      </c>
      <c r="G854" t="s">
        <v>22</v>
      </c>
      <c r="H854" t="s">
        <v>4520</v>
      </c>
      <c r="J854">
        <v>6</v>
      </c>
    </row>
    <row r="855" spans="1:10" x14ac:dyDescent="0.35">
      <c r="A855">
        <v>3068320084602</v>
      </c>
      <c r="B855" t="s">
        <v>1151</v>
      </c>
      <c r="C855" t="s">
        <v>192</v>
      </c>
      <c r="D855" t="s">
        <v>219</v>
      </c>
      <c r="E855" t="s">
        <v>130</v>
      </c>
      <c r="F855" t="s">
        <v>220</v>
      </c>
      <c r="G855" t="s">
        <v>16</v>
      </c>
      <c r="H855" t="s">
        <v>4520</v>
      </c>
      <c r="J855">
        <v>1</v>
      </c>
    </row>
    <row r="856" spans="1:10" x14ac:dyDescent="0.35">
      <c r="A856">
        <v>3068320084602</v>
      </c>
      <c r="B856" t="s">
        <v>1151</v>
      </c>
      <c r="C856" t="s">
        <v>192</v>
      </c>
      <c r="D856" t="s">
        <v>219</v>
      </c>
      <c r="E856" t="s">
        <v>130</v>
      </c>
      <c r="F856" t="s">
        <v>220</v>
      </c>
      <c r="G856" t="s">
        <v>22</v>
      </c>
      <c r="H856" t="s">
        <v>4520</v>
      </c>
      <c r="J856">
        <v>1</v>
      </c>
    </row>
    <row r="857" spans="1:10" x14ac:dyDescent="0.35">
      <c r="A857">
        <v>3068320124377</v>
      </c>
      <c r="B857" t="s">
        <v>1187</v>
      </c>
      <c r="C857" t="s">
        <v>9</v>
      </c>
      <c r="D857" t="s">
        <v>219</v>
      </c>
      <c r="E857" t="s">
        <v>130</v>
      </c>
      <c r="F857" t="s">
        <v>220</v>
      </c>
      <c r="G857" t="s">
        <v>780</v>
      </c>
      <c r="H857" t="s">
        <v>4520</v>
      </c>
      <c r="J857">
        <v>1</v>
      </c>
    </row>
    <row r="858" spans="1:10" x14ac:dyDescent="0.35">
      <c r="A858">
        <v>3068320124438</v>
      </c>
      <c r="B858" t="s">
        <v>1151</v>
      </c>
      <c r="C858" t="s">
        <v>326</v>
      </c>
      <c r="D858" t="s">
        <v>219</v>
      </c>
      <c r="E858" t="s">
        <v>130</v>
      </c>
      <c r="F858" t="s">
        <v>220</v>
      </c>
      <c r="G858" t="s">
        <v>464</v>
      </c>
      <c r="H858" t="s">
        <v>4520</v>
      </c>
      <c r="J858">
        <v>1</v>
      </c>
    </row>
    <row r="859" spans="1:10" x14ac:dyDescent="0.35">
      <c r="A859">
        <v>3068320130040</v>
      </c>
      <c r="B859" t="s">
        <v>1188</v>
      </c>
      <c r="C859" t="s">
        <v>192</v>
      </c>
      <c r="D859" t="s">
        <v>219</v>
      </c>
      <c r="E859" t="s">
        <v>130</v>
      </c>
      <c r="F859" t="s">
        <v>220</v>
      </c>
      <c r="G859" t="s">
        <v>22</v>
      </c>
      <c r="H859" t="s">
        <v>4520</v>
      </c>
      <c r="J859">
        <v>1</v>
      </c>
    </row>
    <row r="860" spans="1:10" x14ac:dyDescent="0.35">
      <c r="A860">
        <v>3077200003169</v>
      </c>
      <c r="B860" t="s">
        <v>1189</v>
      </c>
      <c r="C860" t="s">
        <v>912</v>
      </c>
      <c r="D860" t="s">
        <v>1190</v>
      </c>
      <c r="E860" t="s">
        <v>15</v>
      </c>
      <c r="F860" t="s">
        <v>1191</v>
      </c>
      <c r="G860" t="s">
        <v>22</v>
      </c>
      <c r="H860" t="s">
        <v>4661</v>
      </c>
      <c r="J860">
        <v>1</v>
      </c>
    </row>
    <row r="861" spans="1:10" x14ac:dyDescent="0.35">
      <c r="A861">
        <v>3086125705027</v>
      </c>
      <c r="B861" t="s">
        <v>1192</v>
      </c>
      <c r="C861" t="s">
        <v>1193</v>
      </c>
      <c r="D861" t="s">
        <v>1194</v>
      </c>
      <c r="E861" t="s">
        <v>130</v>
      </c>
      <c r="F861" t="s">
        <v>1195</v>
      </c>
      <c r="G861" t="s">
        <v>34</v>
      </c>
      <c r="H861" t="s">
        <v>4662</v>
      </c>
      <c r="J861">
        <v>1</v>
      </c>
    </row>
    <row r="862" spans="1:10" x14ac:dyDescent="0.35">
      <c r="A862">
        <v>3123063240514</v>
      </c>
      <c r="B862" t="s">
        <v>1196</v>
      </c>
      <c r="C862" t="s">
        <v>83</v>
      </c>
      <c r="D862" t="s">
        <v>363</v>
      </c>
      <c r="E862" t="s">
        <v>61</v>
      </c>
      <c r="F862" t="s">
        <v>364</v>
      </c>
      <c r="G862" t="s">
        <v>61</v>
      </c>
      <c r="H862" t="s">
        <v>4540</v>
      </c>
      <c r="J862">
        <v>5</v>
      </c>
    </row>
    <row r="863" spans="1:10" x14ac:dyDescent="0.35">
      <c r="A863">
        <v>3155301887038</v>
      </c>
      <c r="B863" t="s">
        <v>1197</v>
      </c>
      <c r="C863" t="s">
        <v>200</v>
      </c>
      <c r="D863" t="s">
        <v>474</v>
      </c>
      <c r="E863" t="s">
        <v>130</v>
      </c>
      <c r="F863" t="s">
        <v>475</v>
      </c>
      <c r="G863" t="s">
        <v>16</v>
      </c>
      <c r="H863" t="s">
        <v>4557</v>
      </c>
      <c r="J863">
        <v>1</v>
      </c>
    </row>
    <row r="864" spans="1:10" x14ac:dyDescent="0.35">
      <c r="A864">
        <v>3155930006015</v>
      </c>
      <c r="B864" t="s">
        <v>1198</v>
      </c>
      <c r="C864" t="s">
        <v>1199</v>
      </c>
      <c r="D864" t="s">
        <v>1200</v>
      </c>
      <c r="E864" t="s">
        <v>1201</v>
      </c>
      <c r="F864" t="s">
        <v>1202</v>
      </c>
      <c r="G864" t="s">
        <v>61</v>
      </c>
      <c r="H864" t="s">
        <v>4663</v>
      </c>
      <c r="J864">
        <v>38</v>
      </c>
    </row>
    <row r="865" spans="1:10" x14ac:dyDescent="0.35">
      <c r="A865">
        <v>3223119220221</v>
      </c>
      <c r="B865" t="s">
        <v>82</v>
      </c>
      <c r="C865" t="s">
        <v>38</v>
      </c>
      <c r="D865" t="s">
        <v>84</v>
      </c>
      <c r="E865" t="s">
        <v>61</v>
      </c>
      <c r="F865" t="s">
        <v>85</v>
      </c>
      <c r="G865" t="s">
        <v>61</v>
      </c>
      <c r="H865" t="s">
        <v>4503</v>
      </c>
      <c r="J865">
        <v>1</v>
      </c>
    </row>
    <row r="866" spans="1:10" x14ac:dyDescent="0.35">
      <c r="A866">
        <v>3223188210420</v>
      </c>
      <c r="B866" t="s">
        <v>1203</v>
      </c>
      <c r="C866" t="s">
        <v>38</v>
      </c>
      <c r="D866" t="s">
        <v>84</v>
      </c>
      <c r="E866" t="s">
        <v>61</v>
      </c>
      <c r="F866" t="s">
        <v>85</v>
      </c>
      <c r="G866" t="s">
        <v>61</v>
      </c>
      <c r="H866" t="s">
        <v>4503</v>
      </c>
      <c r="J866">
        <v>76</v>
      </c>
    </row>
    <row r="867" spans="1:10" x14ac:dyDescent="0.35">
      <c r="A867">
        <v>3243071300519</v>
      </c>
      <c r="B867" t="s">
        <v>1204</v>
      </c>
      <c r="C867" t="s">
        <v>1154</v>
      </c>
      <c r="D867" t="s">
        <v>84</v>
      </c>
      <c r="E867" t="s">
        <v>61</v>
      </c>
      <c r="F867" t="s">
        <v>85</v>
      </c>
      <c r="G867" t="s">
        <v>61</v>
      </c>
      <c r="H867" t="s">
        <v>4503</v>
      </c>
      <c r="J867">
        <v>1</v>
      </c>
    </row>
    <row r="868" spans="1:10" x14ac:dyDescent="0.35">
      <c r="A868">
        <v>3270160822065</v>
      </c>
      <c r="B868" t="s">
        <v>1205</v>
      </c>
      <c r="C868" t="s">
        <v>1206</v>
      </c>
      <c r="D868" t="s">
        <v>1207</v>
      </c>
      <c r="E868" t="s">
        <v>130</v>
      </c>
      <c r="F868" t="s">
        <v>1208</v>
      </c>
      <c r="G868" t="s">
        <v>22</v>
      </c>
      <c r="H868" t="s">
        <v>4664</v>
      </c>
      <c r="J868">
        <v>1</v>
      </c>
    </row>
    <row r="869" spans="1:10" x14ac:dyDescent="0.35">
      <c r="A869">
        <v>3284257680438</v>
      </c>
      <c r="B869" t="s">
        <v>1209</v>
      </c>
      <c r="C869" t="s">
        <v>967</v>
      </c>
      <c r="D869" t="s">
        <v>455</v>
      </c>
      <c r="E869" t="s">
        <v>41</v>
      </c>
      <c r="F869" t="s">
        <v>456</v>
      </c>
      <c r="G869" t="s">
        <v>41</v>
      </c>
      <c r="H869" t="s">
        <v>4553</v>
      </c>
      <c r="J869">
        <v>50</v>
      </c>
    </row>
    <row r="870" spans="1:10" x14ac:dyDescent="0.35">
      <c r="A870">
        <v>3329770014497</v>
      </c>
      <c r="B870" t="s">
        <v>1210</v>
      </c>
      <c r="C870" t="s">
        <v>43</v>
      </c>
      <c r="D870" t="s">
        <v>171</v>
      </c>
      <c r="E870" t="s">
        <v>15</v>
      </c>
      <c r="F870" t="s">
        <v>172</v>
      </c>
      <c r="G870" t="s">
        <v>22</v>
      </c>
      <c r="H870" t="s">
        <v>4517</v>
      </c>
      <c r="J870">
        <v>1</v>
      </c>
    </row>
    <row r="871" spans="1:10" x14ac:dyDescent="0.35">
      <c r="A871">
        <v>3374650244068</v>
      </c>
      <c r="B871" t="s">
        <v>1211</v>
      </c>
      <c r="C871" t="s">
        <v>110</v>
      </c>
      <c r="D871" t="s">
        <v>1212</v>
      </c>
      <c r="E871" t="s">
        <v>130</v>
      </c>
      <c r="F871" t="s">
        <v>1213</v>
      </c>
      <c r="G871" t="s">
        <v>150</v>
      </c>
      <c r="H871" t="s">
        <v>4665</v>
      </c>
      <c r="J871">
        <v>8</v>
      </c>
    </row>
    <row r="872" spans="1:10" x14ac:dyDescent="0.35">
      <c r="A872">
        <v>3414620120289</v>
      </c>
      <c r="B872" t="s">
        <v>1214</v>
      </c>
      <c r="C872" t="s">
        <v>9</v>
      </c>
      <c r="D872" t="s">
        <v>1215</v>
      </c>
      <c r="E872" t="s">
        <v>61</v>
      </c>
      <c r="F872" t="s">
        <v>1216</v>
      </c>
      <c r="G872" t="s">
        <v>61</v>
      </c>
      <c r="H872" t="s">
        <v>4666</v>
      </c>
      <c r="J872">
        <v>5</v>
      </c>
    </row>
    <row r="873" spans="1:10" x14ac:dyDescent="0.35">
      <c r="A873">
        <v>3425900000283</v>
      </c>
      <c r="B873" t="s">
        <v>1217</v>
      </c>
      <c r="C873" t="s">
        <v>81</v>
      </c>
      <c r="D873" t="s">
        <v>1218</v>
      </c>
      <c r="E873" t="s">
        <v>130</v>
      </c>
      <c r="F873" t="s">
        <v>878</v>
      </c>
      <c r="G873" t="s">
        <v>150</v>
      </c>
      <c r="H873" t="s">
        <v>4612</v>
      </c>
      <c r="J873">
        <v>11</v>
      </c>
    </row>
    <row r="874" spans="1:10" x14ac:dyDescent="0.35">
      <c r="A874">
        <v>3425900000504</v>
      </c>
      <c r="B874" t="s">
        <v>1219</v>
      </c>
      <c r="C874" t="s">
        <v>81</v>
      </c>
      <c r="D874" t="s">
        <v>1220</v>
      </c>
      <c r="E874" t="s">
        <v>130</v>
      </c>
      <c r="F874" t="s">
        <v>878</v>
      </c>
      <c r="G874" t="s">
        <v>150</v>
      </c>
      <c r="H874" t="s">
        <v>4612</v>
      </c>
      <c r="J874">
        <v>71</v>
      </c>
    </row>
    <row r="875" spans="1:10" x14ac:dyDescent="0.35">
      <c r="A875">
        <v>3425901025940</v>
      </c>
      <c r="B875" t="s">
        <v>1217</v>
      </c>
      <c r="C875" t="s">
        <v>81</v>
      </c>
      <c r="D875" t="s">
        <v>1218</v>
      </c>
      <c r="E875" t="s">
        <v>130</v>
      </c>
      <c r="F875" t="s">
        <v>878</v>
      </c>
      <c r="G875" t="s">
        <v>150</v>
      </c>
      <c r="H875" t="s">
        <v>4612</v>
      </c>
      <c r="J875">
        <v>36</v>
      </c>
    </row>
    <row r="876" spans="1:10" x14ac:dyDescent="0.35">
      <c r="A876">
        <v>3454302004247</v>
      </c>
      <c r="B876" t="s">
        <v>1221</v>
      </c>
      <c r="C876" t="s">
        <v>43</v>
      </c>
      <c r="D876" t="s">
        <v>1222</v>
      </c>
      <c r="E876" t="s">
        <v>41</v>
      </c>
      <c r="F876" t="s">
        <v>1223</v>
      </c>
      <c r="G876" t="s">
        <v>41</v>
      </c>
      <c r="H876" t="s">
        <v>4667</v>
      </c>
      <c r="J876">
        <v>50</v>
      </c>
    </row>
    <row r="877" spans="1:10" x14ac:dyDescent="0.35">
      <c r="A877">
        <v>3502110008329</v>
      </c>
      <c r="B877" t="s">
        <v>273</v>
      </c>
      <c r="C877" t="s">
        <v>192</v>
      </c>
      <c r="D877" t="s">
        <v>273</v>
      </c>
      <c r="E877" t="s">
        <v>15</v>
      </c>
      <c r="F877" t="s">
        <v>56</v>
      </c>
      <c r="G877" t="s">
        <v>22</v>
      </c>
      <c r="H877" t="s">
        <v>4497</v>
      </c>
      <c r="J877">
        <v>1</v>
      </c>
    </row>
    <row r="878" spans="1:10" x14ac:dyDescent="0.35">
      <c r="A878">
        <v>3555792501909</v>
      </c>
      <c r="B878" t="s">
        <v>1224</v>
      </c>
      <c r="C878" t="s">
        <v>1225</v>
      </c>
      <c r="D878" t="s">
        <v>1226</v>
      </c>
      <c r="E878" t="s">
        <v>15</v>
      </c>
      <c r="F878" t="s">
        <v>1227</v>
      </c>
      <c r="G878" t="s">
        <v>1228</v>
      </c>
      <c r="H878" t="s">
        <v>4668</v>
      </c>
      <c r="J878">
        <v>1</v>
      </c>
    </row>
    <row r="879" spans="1:10" x14ac:dyDescent="0.35">
      <c r="A879">
        <v>3560071015510</v>
      </c>
      <c r="B879" t="s">
        <v>1229</v>
      </c>
      <c r="C879" t="s">
        <v>253</v>
      </c>
      <c r="D879" t="s">
        <v>1230</v>
      </c>
      <c r="E879" t="s">
        <v>130</v>
      </c>
      <c r="F879" t="s">
        <v>1230</v>
      </c>
      <c r="G879" t="s">
        <v>464</v>
      </c>
      <c r="H879" t="s">
        <v>4669</v>
      </c>
      <c r="J879">
        <v>1</v>
      </c>
    </row>
    <row r="880" spans="1:10" x14ac:dyDescent="0.35">
      <c r="A880">
        <v>3560071198190</v>
      </c>
      <c r="B880" t="s">
        <v>1231</v>
      </c>
      <c r="C880" t="s">
        <v>9</v>
      </c>
      <c r="D880" t="s">
        <v>1230</v>
      </c>
      <c r="E880" t="s">
        <v>130</v>
      </c>
      <c r="F880" t="s">
        <v>1230</v>
      </c>
      <c r="G880" t="s">
        <v>464</v>
      </c>
      <c r="H880" t="s">
        <v>4669</v>
      </c>
      <c r="J880">
        <v>1</v>
      </c>
    </row>
    <row r="881" spans="1:10" x14ac:dyDescent="0.35">
      <c r="A881">
        <v>3600550965049</v>
      </c>
      <c r="B881" t="s">
        <v>1232</v>
      </c>
      <c r="C881" t="s">
        <v>806</v>
      </c>
      <c r="D881" t="s">
        <v>1233</v>
      </c>
      <c r="E881" t="s">
        <v>117</v>
      </c>
      <c r="F881" t="s">
        <v>1234</v>
      </c>
      <c r="G881" t="s">
        <v>117</v>
      </c>
      <c r="H881" t="s">
        <v>4670</v>
      </c>
      <c r="J881">
        <v>1</v>
      </c>
    </row>
    <row r="882" spans="1:10" x14ac:dyDescent="0.35">
      <c r="A882">
        <v>3618264722797</v>
      </c>
      <c r="B882" t="s">
        <v>1235</v>
      </c>
      <c r="C882" t="s">
        <v>94</v>
      </c>
      <c r="D882" t="s">
        <v>613</v>
      </c>
      <c r="E882" t="s">
        <v>15</v>
      </c>
      <c r="F882" t="s">
        <v>460</v>
      </c>
      <c r="G882" t="s">
        <v>22</v>
      </c>
      <c r="H882" t="s">
        <v>4554</v>
      </c>
      <c r="J882">
        <v>1</v>
      </c>
    </row>
    <row r="883" spans="1:10" x14ac:dyDescent="0.35">
      <c r="A883">
        <v>3700123300014</v>
      </c>
      <c r="B883" t="s">
        <v>1236</v>
      </c>
      <c r="C883" t="s">
        <v>192</v>
      </c>
      <c r="D883" t="s">
        <v>1236</v>
      </c>
      <c r="E883" t="s">
        <v>71</v>
      </c>
      <c r="F883" t="s">
        <v>72</v>
      </c>
      <c r="G883" t="s">
        <v>464</v>
      </c>
      <c r="H883" t="s">
        <v>4501</v>
      </c>
      <c r="J883">
        <v>3</v>
      </c>
    </row>
    <row r="884" spans="1:10" x14ac:dyDescent="0.35">
      <c r="A884">
        <v>3700123300014</v>
      </c>
      <c r="B884" t="s">
        <v>1236</v>
      </c>
      <c r="C884" t="s">
        <v>192</v>
      </c>
      <c r="D884" t="s">
        <v>1236</v>
      </c>
      <c r="E884" t="s">
        <v>71</v>
      </c>
      <c r="F884" t="s">
        <v>72</v>
      </c>
      <c r="G884" t="s">
        <v>22</v>
      </c>
      <c r="H884" t="s">
        <v>4501</v>
      </c>
      <c r="J884">
        <v>1</v>
      </c>
    </row>
    <row r="885" spans="1:10" x14ac:dyDescent="0.35">
      <c r="A885">
        <v>3700123300380</v>
      </c>
      <c r="B885" t="s">
        <v>1236</v>
      </c>
      <c r="C885" t="s">
        <v>9</v>
      </c>
      <c r="D885" t="s">
        <v>70</v>
      </c>
      <c r="E885" t="s">
        <v>71</v>
      </c>
      <c r="F885" t="s">
        <v>72</v>
      </c>
      <c r="G885" t="s">
        <v>464</v>
      </c>
      <c r="H885" t="s">
        <v>4501</v>
      </c>
      <c r="J885">
        <v>1</v>
      </c>
    </row>
    <row r="886" spans="1:10" x14ac:dyDescent="0.35">
      <c r="A886">
        <v>3770012092412</v>
      </c>
      <c r="B886" t="s">
        <v>1237</v>
      </c>
      <c r="C886" t="s">
        <v>801</v>
      </c>
      <c r="D886" t="s">
        <v>1238</v>
      </c>
      <c r="E886" t="s">
        <v>61</v>
      </c>
      <c r="F886" t="s">
        <v>1239</v>
      </c>
      <c r="G886" t="s">
        <v>387</v>
      </c>
      <c r="H886" t="s">
        <v>4671</v>
      </c>
      <c r="J886">
        <v>1</v>
      </c>
    </row>
    <row r="887" spans="1:10" x14ac:dyDescent="0.35">
      <c r="A887">
        <v>3863043770012</v>
      </c>
      <c r="B887" t="s">
        <v>1240</v>
      </c>
      <c r="C887" t="s">
        <v>110</v>
      </c>
      <c r="D887" t="s">
        <v>420</v>
      </c>
      <c r="E887" t="s">
        <v>61</v>
      </c>
      <c r="F887" t="s">
        <v>421</v>
      </c>
      <c r="G887" t="s">
        <v>61</v>
      </c>
      <c r="H887" t="s">
        <v>4549</v>
      </c>
      <c r="J887">
        <v>2</v>
      </c>
    </row>
    <row r="888" spans="1:10" x14ac:dyDescent="0.35">
      <c r="A888">
        <v>39456878</v>
      </c>
      <c r="B888" t="s">
        <v>283</v>
      </c>
      <c r="C888" t="s">
        <v>151</v>
      </c>
      <c r="D888" t="s">
        <v>283</v>
      </c>
      <c r="E888" t="s">
        <v>15</v>
      </c>
      <c r="F888" t="s">
        <v>56</v>
      </c>
      <c r="G888" t="s">
        <v>16</v>
      </c>
      <c r="H888" t="s">
        <v>4497</v>
      </c>
      <c r="J888">
        <v>2</v>
      </c>
    </row>
    <row r="889" spans="1:10" x14ac:dyDescent="0.35">
      <c r="A889">
        <v>3948719921162</v>
      </c>
      <c r="B889" t="s">
        <v>1241</v>
      </c>
      <c r="C889" t="s">
        <v>1242</v>
      </c>
      <c r="D889" t="s">
        <v>1241</v>
      </c>
      <c r="E889" t="s">
        <v>41</v>
      </c>
      <c r="F889" t="s">
        <v>1243</v>
      </c>
      <c r="G889" t="s">
        <v>41</v>
      </c>
      <c r="H889" t="s">
        <v>4672</v>
      </c>
      <c r="J889">
        <v>50</v>
      </c>
    </row>
    <row r="890" spans="1:10" x14ac:dyDescent="0.35">
      <c r="A890">
        <v>4004166011678</v>
      </c>
      <c r="B890" t="s">
        <v>1244</v>
      </c>
      <c r="C890" t="s">
        <v>81</v>
      </c>
      <c r="D890" t="s">
        <v>1245</v>
      </c>
      <c r="E890" t="s">
        <v>73</v>
      </c>
      <c r="F890" t="s">
        <v>1246</v>
      </c>
      <c r="G890" t="s">
        <v>34</v>
      </c>
      <c r="H890" t="s">
        <v>4673</v>
      </c>
      <c r="J890">
        <v>1</v>
      </c>
    </row>
    <row r="891" spans="1:10" x14ac:dyDescent="0.35">
      <c r="A891">
        <v>4004166025873</v>
      </c>
      <c r="B891" t="s">
        <v>1247</v>
      </c>
      <c r="C891" t="s">
        <v>9</v>
      </c>
      <c r="D891" t="s">
        <v>1245</v>
      </c>
      <c r="E891" t="s">
        <v>73</v>
      </c>
      <c r="F891" t="s">
        <v>1246</v>
      </c>
      <c r="G891" t="s">
        <v>34</v>
      </c>
      <c r="H891" t="s">
        <v>4673</v>
      </c>
      <c r="J891">
        <v>1</v>
      </c>
    </row>
    <row r="892" spans="1:10" x14ac:dyDescent="0.35">
      <c r="A892">
        <v>4005808212521</v>
      </c>
      <c r="B892" t="s">
        <v>1248</v>
      </c>
      <c r="C892" t="s">
        <v>173</v>
      </c>
      <c r="D892" t="s">
        <v>1249</v>
      </c>
      <c r="E892" t="s">
        <v>20</v>
      </c>
      <c r="F892" t="s">
        <v>1250</v>
      </c>
      <c r="G892" t="s">
        <v>117</v>
      </c>
      <c r="H892" t="s">
        <v>4674</v>
      </c>
      <c r="J892">
        <v>1</v>
      </c>
    </row>
    <row r="893" spans="1:10" x14ac:dyDescent="0.35">
      <c r="A893">
        <v>4005808212521</v>
      </c>
      <c r="B893" t="s">
        <v>1248</v>
      </c>
      <c r="C893" t="s">
        <v>173</v>
      </c>
      <c r="D893" t="s">
        <v>1249</v>
      </c>
      <c r="E893" t="s">
        <v>20</v>
      </c>
      <c r="F893" t="s">
        <v>1250</v>
      </c>
      <c r="G893" t="s">
        <v>22</v>
      </c>
      <c r="H893" t="s">
        <v>4674</v>
      </c>
      <c r="J893">
        <v>2</v>
      </c>
    </row>
    <row r="894" spans="1:10" x14ac:dyDescent="0.35">
      <c r="A894">
        <v>4005808212521</v>
      </c>
      <c r="B894" t="s">
        <v>1248</v>
      </c>
      <c r="C894" t="s">
        <v>173</v>
      </c>
      <c r="D894" t="s">
        <v>1249</v>
      </c>
      <c r="E894" t="s">
        <v>20</v>
      </c>
      <c r="F894" t="s">
        <v>1250</v>
      </c>
      <c r="G894" t="s">
        <v>31</v>
      </c>
      <c r="H894" t="s">
        <v>4674</v>
      </c>
      <c r="J894">
        <v>3</v>
      </c>
    </row>
    <row r="895" spans="1:10" x14ac:dyDescent="0.35">
      <c r="A895">
        <v>4005808236879</v>
      </c>
      <c r="B895" t="s">
        <v>1251</v>
      </c>
      <c r="C895" t="s">
        <v>83</v>
      </c>
      <c r="D895" t="s">
        <v>1249</v>
      </c>
      <c r="E895" t="s">
        <v>20</v>
      </c>
      <c r="F895" t="s">
        <v>1250</v>
      </c>
      <c r="G895" t="s">
        <v>34</v>
      </c>
      <c r="H895" t="s">
        <v>4674</v>
      </c>
      <c r="J895">
        <v>2</v>
      </c>
    </row>
    <row r="896" spans="1:10" x14ac:dyDescent="0.35">
      <c r="A896">
        <v>4005808246878</v>
      </c>
      <c r="B896" t="s">
        <v>1252</v>
      </c>
      <c r="C896" t="s">
        <v>272</v>
      </c>
      <c r="D896" t="s">
        <v>1249</v>
      </c>
      <c r="E896" t="s">
        <v>20</v>
      </c>
      <c r="F896" t="s">
        <v>1250</v>
      </c>
      <c r="G896" t="s">
        <v>387</v>
      </c>
      <c r="H896" t="s">
        <v>4674</v>
      </c>
      <c r="J896">
        <v>1</v>
      </c>
    </row>
    <row r="897" spans="1:10" x14ac:dyDescent="0.35">
      <c r="A897">
        <v>4005808247431</v>
      </c>
      <c r="B897" t="s">
        <v>1251</v>
      </c>
      <c r="C897" t="s">
        <v>83</v>
      </c>
      <c r="D897" t="s">
        <v>1249</v>
      </c>
      <c r="E897" t="s">
        <v>20</v>
      </c>
      <c r="F897" t="s">
        <v>1250</v>
      </c>
      <c r="G897" t="s">
        <v>34</v>
      </c>
      <c r="H897" t="s">
        <v>4674</v>
      </c>
      <c r="J897">
        <v>4</v>
      </c>
    </row>
    <row r="898" spans="1:10" x14ac:dyDescent="0.35">
      <c r="A898">
        <v>4005808780570</v>
      </c>
      <c r="B898" t="s">
        <v>1253</v>
      </c>
      <c r="C898" t="s">
        <v>83</v>
      </c>
      <c r="D898" t="s">
        <v>1249</v>
      </c>
      <c r="E898" t="s">
        <v>20</v>
      </c>
      <c r="F898" t="s">
        <v>1250</v>
      </c>
      <c r="G898" t="s">
        <v>34</v>
      </c>
      <c r="H898" t="s">
        <v>4674</v>
      </c>
      <c r="J898">
        <v>1</v>
      </c>
    </row>
    <row r="899" spans="1:10" x14ac:dyDescent="0.35">
      <c r="A899">
        <v>4005900006622</v>
      </c>
      <c r="B899" t="s">
        <v>1254</v>
      </c>
      <c r="C899" t="s">
        <v>83</v>
      </c>
      <c r="D899" t="s">
        <v>1249</v>
      </c>
      <c r="E899" t="s">
        <v>20</v>
      </c>
      <c r="F899" t="s">
        <v>1250</v>
      </c>
      <c r="G899" t="s">
        <v>150</v>
      </c>
      <c r="H899" t="s">
        <v>4674</v>
      </c>
      <c r="J899">
        <v>1</v>
      </c>
    </row>
    <row r="900" spans="1:10" x14ac:dyDescent="0.35">
      <c r="A900">
        <v>4005900105097</v>
      </c>
      <c r="B900" t="s">
        <v>1255</v>
      </c>
      <c r="C900" t="s">
        <v>83</v>
      </c>
      <c r="D900" t="s">
        <v>1249</v>
      </c>
      <c r="E900" t="s">
        <v>20</v>
      </c>
      <c r="F900" t="s">
        <v>1250</v>
      </c>
      <c r="G900" t="s">
        <v>11</v>
      </c>
      <c r="H900" t="s">
        <v>4674</v>
      </c>
      <c r="J900">
        <v>1</v>
      </c>
    </row>
    <row r="901" spans="1:10" x14ac:dyDescent="0.35">
      <c r="A901">
        <v>4005900637444</v>
      </c>
      <c r="B901" t="s">
        <v>1256</v>
      </c>
      <c r="C901" t="s">
        <v>83</v>
      </c>
      <c r="D901" t="s">
        <v>1249</v>
      </c>
      <c r="E901" t="s">
        <v>20</v>
      </c>
      <c r="F901" t="s">
        <v>1250</v>
      </c>
      <c r="G901" t="s">
        <v>11</v>
      </c>
      <c r="H901" t="s">
        <v>4674</v>
      </c>
      <c r="J901">
        <v>1</v>
      </c>
    </row>
    <row r="902" spans="1:10" x14ac:dyDescent="0.35">
      <c r="A902">
        <v>4009900522120</v>
      </c>
      <c r="B902" t="s">
        <v>1257</v>
      </c>
      <c r="C902" t="s">
        <v>1258</v>
      </c>
      <c r="D902" t="s">
        <v>1257</v>
      </c>
      <c r="E902" t="s">
        <v>15</v>
      </c>
      <c r="F902" t="s">
        <v>1227</v>
      </c>
      <c r="G902" t="s">
        <v>22</v>
      </c>
      <c r="H902" t="s">
        <v>4668</v>
      </c>
      <c r="J902">
        <v>1</v>
      </c>
    </row>
    <row r="903" spans="1:10" x14ac:dyDescent="0.35">
      <c r="A903">
        <v>4011100051300</v>
      </c>
      <c r="B903" t="s">
        <v>1259</v>
      </c>
      <c r="C903" t="s">
        <v>1260</v>
      </c>
      <c r="D903" t="s">
        <v>1261</v>
      </c>
      <c r="E903" t="s">
        <v>15</v>
      </c>
      <c r="F903" t="s">
        <v>1227</v>
      </c>
      <c r="G903" t="s">
        <v>22</v>
      </c>
      <c r="H903" t="s">
        <v>4668</v>
      </c>
      <c r="J903">
        <v>1</v>
      </c>
    </row>
    <row r="904" spans="1:10" x14ac:dyDescent="0.35">
      <c r="A904">
        <v>40111216</v>
      </c>
      <c r="B904" t="s">
        <v>1262</v>
      </c>
      <c r="C904" t="s">
        <v>1263</v>
      </c>
      <c r="D904" t="s">
        <v>1262</v>
      </c>
      <c r="E904" t="s">
        <v>15</v>
      </c>
      <c r="F904" t="s">
        <v>1227</v>
      </c>
      <c r="G904" t="s">
        <v>22</v>
      </c>
      <c r="H904" t="s">
        <v>4668</v>
      </c>
      <c r="J904">
        <v>1</v>
      </c>
    </row>
    <row r="905" spans="1:10" x14ac:dyDescent="0.35">
      <c r="A905">
        <v>40112756</v>
      </c>
      <c r="B905" t="s">
        <v>1264</v>
      </c>
      <c r="C905" t="s">
        <v>9</v>
      </c>
      <c r="D905" t="s">
        <v>246</v>
      </c>
      <c r="E905" t="s">
        <v>15</v>
      </c>
      <c r="F905" t="s">
        <v>14</v>
      </c>
      <c r="G905" t="s">
        <v>11</v>
      </c>
      <c r="H905" t="s">
        <v>4489</v>
      </c>
      <c r="J905">
        <v>7</v>
      </c>
    </row>
    <row r="906" spans="1:10" x14ac:dyDescent="0.35">
      <c r="A906">
        <v>4015000962568</v>
      </c>
      <c r="B906" t="s">
        <v>1265</v>
      </c>
      <c r="C906" t="s">
        <v>9</v>
      </c>
      <c r="D906" t="s">
        <v>1266</v>
      </c>
      <c r="E906" t="s">
        <v>20</v>
      </c>
      <c r="F906" t="s">
        <v>1267</v>
      </c>
      <c r="G906" t="s">
        <v>22</v>
      </c>
      <c r="H906" t="s">
        <v>4675</v>
      </c>
      <c r="J906">
        <v>1</v>
      </c>
    </row>
    <row r="907" spans="1:10" x14ac:dyDescent="0.35">
      <c r="A907">
        <v>4015000962568</v>
      </c>
      <c r="B907" t="s">
        <v>1265</v>
      </c>
      <c r="C907" t="s">
        <v>9</v>
      </c>
      <c r="D907" t="s">
        <v>1266</v>
      </c>
      <c r="E907" t="s">
        <v>20</v>
      </c>
      <c r="F907" t="s">
        <v>1267</v>
      </c>
      <c r="G907" t="s">
        <v>150</v>
      </c>
      <c r="H907" t="s">
        <v>4675</v>
      </c>
      <c r="J907">
        <v>3</v>
      </c>
    </row>
    <row r="908" spans="1:10" x14ac:dyDescent="0.35">
      <c r="A908">
        <v>4025500216214</v>
      </c>
      <c r="B908" t="s">
        <v>1268</v>
      </c>
      <c r="C908" t="s">
        <v>603</v>
      </c>
      <c r="D908" t="s">
        <v>1269</v>
      </c>
      <c r="E908" t="s">
        <v>1270</v>
      </c>
      <c r="F908" t="s">
        <v>1271</v>
      </c>
      <c r="G908" t="s">
        <v>22</v>
      </c>
      <c r="H908" t="s">
        <v>4676</v>
      </c>
      <c r="J908">
        <v>1</v>
      </c>
    </row>
    <row r="909" spans="1:10" x14ac:dyDescent="0.35">
      <c r="A909">
        <v>4025500236328</v>
      </c>
      <c r="B909" t="s">
        <v>269</v>
      </c>
      <c r="C909" t="s">
        <v>83</v>
      </c>
      <c r="D909" t="s">
        <v>1269</v>
      </c>
      <c r="E909" t="s">
        <v>1270</v>
      </c>
      <c r="F909" t="s">
        <v>1271</v>
      </c>
      <c r="G909" t="s">
        <v>22</v>
      </c>
      <c r="H909" t="s">
        <v>4676</v>
      </c>
      <c r="J909">
        <v>1</v>
      </c>
    </row>
    <row r="910" spans="1:10" x14ac:dyDescent="0.35">
      <c r="A910">
        <v>4025500287382</v>
      </c>
      <c r="B910" t="s">
        <v>1268</v>
      </c>
      <c r="C910" t="s">
        <v>603</v>
      </c>
      <c r="D910" t="s">
        <v>1269</v>
      </c>
      <c r="E910" t="s">
        <v>1270</v>
      </c>
      <c r="F910" t="s">
        <v>1271</v>
      </c>
      <c r="G910" t="s">
        <v>22</v>
      </c>
      <c r="H910" t="s">
        <v>4676</v>
      </c>
      <c r="J910">
        <v>2</v>
      </c>
    </row>
    <row r="911" spans="1:10" x14ac:dyDescent="0.35">
      <c r="A911">
        <v>4025500287443</v>
      </c>
      <c r="B911" t="s">
        <v>1272</v>
      </c>
      <c r="C911" t="s">
        <v>603</v>
      </c>
      <c r="D911" t="s">
        <v>1269</v>
      </c>
      <c r="E911" t="s">
        <v>1270</v>
      </c>
      <c r="F911" t="s">
        <v>1271</v>
      </c>
      <c r="G911" t="s">
        <v>22</v>
      </c>
      <c r="H911" t="s">
        <v>4676</v>
      </c>
      <c r="J911">
        <v>1</v>
      </c>
    </row>
    <row r="912" spans="1:10" x14ac:dyDescent="0.35">
      <c r="A912">
        <v>4025500287481</v>
      </c>
      <c r="B912" t="s">
        <v>1273</v>
      </c>
      <c r="C912" t="s">
        <v>603</v>
      </c>
      <c r="D912" t="s">
        <v>1269</v>
      </c>
      <c r="E912" t="s">
        <v>1270</v>
      </c>
      <c r="F912" t="s">
        <v>1271</v>
      </c>
      <c r="G912" t="s">
        <v>22</v>
      </c>
      <c r="H912" t="s">
        <v>4676</v>
      </c>
      <c r="J912">
        <v>1</v>
      </c>
    </row>
    <row r="913" spans="1:10" x14ac:dyDescent="0.35">
      <c r="A913">
        <v>4030288214024</v>
      </c>
      <c r="B913" t="s">
        <v>1274</v>
      </c>
      <c r="C913" t="s">
        <v>1275</v>
      </c>
      <c r="D913" t="s">
        <v>1276</v>
      </c>
      <c r="E913" t="s">
        <v>41</v>
      </c>
      <c r="F913" t="s">
        <v>1277</v>
      </c>
      <c r="G913" t="s">
        <v>41</v>
      </c>
      <c r="H913" t="s">
        <v>4677</v>
      </c>
      <c r="J913">
        <v>50</v>
      </c>
    </row>
    <row r="914" spans="1:10" x14ac:dyDescent="0.35">
      <c r="A914">
        <v>4031263253182</v>
      </c>
      <c r="B914" t="s">
        <v>1278</v>
      </c>
      <c r="C914" t="s">
        <v>472</v>
      </c>
      <c r="D914" t="s">
        <v>473</v>
      </c>
      <c r="E914" t="s">
        <v>41</v>
      </c>
      <c r="F914" t="s">
        <v>456</v>
      </c>
      <c r="G914" t="s">
        <v>41</v>
      </c>
      <c r="H914" t="s">
        <v>4553</v>
      </c>
      <c r="J914">
        <v>1</v>
      </c>
    </row>
    <row r="915" spans="1:10" x14ac:dyDescent="0.35">
      <c r="A915">
        <v>4040000010544</v>
      </c>
      <c r="B915" t="s">
        <v>834</v>
      </c>
      <c r="C915" t="s">
        <v>81</v>
      </c>
      <c r="D915" t="s">
        <v>1279</v>
      </c>
      <c r="E915" t="s">
        <v>308</v>
      </c>
      <c r="F915" t="s">
        <v>309</v>
      </c>
      <c r="G915" t="s">
        <v>11</v>
      </c>
      <c r="H915" t="s">
        <v>4529</v>
      </c>
      <c r="J915">
        <v>4</v>
      </c>
    </row>
    <row r="916" spans="1:10" x14ac:dyDescent="0.35">
      <c r="A916">
        <v>4040000010650</v>
      </c>
      <c r="B916" t="s">
        <v>1280</v>
      </c>
      <c r="C916" t="s">
        <v>253</v>
      </c>
      <c r="D916" t="s">
        <v>852</v>
      </c>
      <c r="E916" t="s">
        <v>308</v>
      </c>
      <c r="F916" t="s">
        <v>309</v>
      </c>
      <c r="G916" t="s">
        <v>11</v>
      </c>
      <c r="H916" t="s">
        <v>4529</v>
      </c>
      <c r="J916">
        <v>6</v>
      </c>
    </row>
    <row r="917" spans="1:10" x14ac:dyDescent="0.35">
      <c r="A917">
        <v>4040000010667</v>
      </c>
      <c r="B917" t="s">
        <v>834</v>
      </c>
      <c r="C917" t="s">
        <v>9</v>
      </c>
      <c r="D917" t="s">
        <v>1279</v>
      </c>
      <c r="E917" t="s">
        <v>308</v>
      </c>
      <c r="F917" t="s">
        <v>309</v>
      </c>
      <c r="G917" t="s">
        <v>11</v>
      </c>
      <c r="H917" t="s">
        <v>4529</v>
      </c>
      <c r="J917">
        <v>5</v>
      </c>
    </row>
    <row r="918" spans="1:10" x14ac:dyDescent="0.35">
      <c r="A918">
        <v>4040000010971</v>
      </c>
      <c r="B918" t="s">
        <v>834</v>
      </c>
      <c r="C918" t="s">
        <v>192</v>
      </c>
      <c r="D918" t="s">
        <v>1279</v>
      </c>
      <c r="E918" t="s">
        <v>308</v>
      </c>
      <c r="F918" t="s">
        <v>309</v>
      </c>
      <c r="G918" t="s">
        <v>11</v>
      </c>
      <c r="H918" t="s">
        <v>4529</v>
      </c>
      <c r="J918">
        <v>1</v>
      </c>
    </row>
    <row r="919" spans="1:10" x14ac:dyDescent="0.35">
      <c r="A919">
        <v>4056489221944</v>
      </c>
      <c r="B919" t="s">
        <v>1281</v>
      </c>
      <c r="C919" t="s">
        <v>81</v>
      </c>
      <c r="D919" t="s">
        <v>314</v>
      </c>
      <c r="E919" t="s">
        <v>20</v>
      </c>
      <c r="F919" t="s">
        <v>315</v>
      </c>
      <c r="G919" t="s">
        <v>22</v>
      </c>
      <c r="H919" t="s">
        <v>4530</v>
      </c>
      <c r="J919">
        <v>1</v>
      </c>
    </row>
    <row r="920" spans="1:10" x14ac:dyDescent="0.35">
      <c r="A920">
        <v>4056489320210</v>
      </c>
      <c r="B920" t="s">
        <v>1282</v>
      </c>
      <c r="C920" t="s">
        <v>81</v>
      </c>
      <c r="D920" t="s">
        <v>314</v>
      </c>
      <c r="E920" t="s">
        <v>20</v>
      </c>
      <c r="F920" t="s">
        <v>315</v>
      </c>
      <c r="G920" t="s">
        <v>464</v>
      </c>
      <c r="H920" t="s">
        <v>4530</v>
      </c>
      <c r="J920">
        <v>1</v>
      </c>
    </row>
    <row r="921" spans="1:10" x14ac:dyDescent="0.35">
      <c r="A921">
        <v>4056489466581</v>
      </c>
      <c r="B921" t="s">
        <v>1283</v>
      </c>
      <c r="C921" t="s">
        <v>9</v>
      </c>
      <c r="D921" t="s">
        <v>1284</v>
      </c>
      <c r="E921" t="s">
        <v>308</v>
      </c>
      <c r="F921" t="s">
        <v>309</v>
      </c>
      <c r="G921" t="s">
        <v>22</v>
      </c>
      <c r="H921" t="s">
        <v>4529</v>
      </c>
      <c r="J921">
        <v>1</v>
      </c>
    </row>
    <row r="922" spans="1:10" x14ac:dyDescent="0.35">
      <c r="A922">
        <v>4056489479499</v>
      </c>
      <c r="B922" t="s">
        <v>1285</v>
      </c>
      <c r="C922" t="s">
        <v>81</v>
      </c>
      <c r="D922" t="s">
        <v>1286</v>
      </c>
      <c r="E922" t="s">
        <v>308</v>
      </c>
      <c r="F922" t="s">
        <v>309</v>
      </c>
      <c r="G922" t="s">
        <v>22</v>
      </c>
      <c r="H922" t="s">
        <v>4529</v>
      </c>
      <c r="J922">
        <v>1</v>
      </c>
    </row>
    <row r="923" spans="1:10" x14ac:dyDescent="0.35">
      <c r="A923">
        <v>4056489495833</v>
      </c>
      <c r="B923" t="s">
        <v>1287</v>
      </c>
      <c r="C923" t="s">
        <v>81</v>
      </c>
      <c r="D923" t="s">
        <v>314</v>
      </c>
      <c r="E923" t="s">
        <v>20</v>
      </c>
      <c r="F923" t="s">
        <v>315</v>
      </c>
      <c r="G923" t="s">
        <v>22</v>
      </c>
      <c r="H923" t="s">
        <v>4530</v>
      </c>
      <c r="J923">
        <v>1</v>
      </c>
    </row>
    <row r="924" spans="1:10" x14ac:dyDescent="0.35">
      <c r="A924">
        <v>4056489648062</v>
      </c>
      <c r="B924" t="s">
        <v>1288</v>
      </c>
      <c r="C924" t="s">
        <v>192</v>
      </c>
      <c r="D924" t="s">
        <v>1289</v>
      </c>
      <c r="E924" t="s">
        <v>20</v>
      </c>
      <c r="F924" t="s">
        <v>314</v>
      </c>
      <c r="G924" t="s">
        <v>22</v>
      </c>
      <c r="H924" t="s">
        <v>4654</v>
      </c>
      <c r="J924">
        <v>2</v>
      </c>
    </row>
    <row r="925" spans="1:10" x14ac:dyDescent="0.35">
      <c r="A925">
        <v>4056489648093</v>
      </c>
      <c r="B925" t="s">
        <v>1290</v>
      </c>
      <c r="C925" t="s">
        <v>81</v>
      </c>
      <c r="D925" t="s">
        <v>1289</v>
      </c>
      <c r="E925" t="s">
        <v>20</v>
      </c>
      <c r="F925" t="s">
        <v>314</v>
      </c>
      <c r="G925" t="s">
        <v>22</v>
      </c>
      <c r="H925" t="s">
        <v>4654</v>
      </c>
      <c r="J925">
        <v>1</v>
      </c>
    </row>
    <row r="926" spans="1:10" x14ac:dyDescent="0.35">
      <c r="A926">
        <v>4060800001740</v>
      </c>
      <c r="B926" t="s">
        <v>273</v>
      </c>
      <c r="C926" t="s">
        <v>192</v>
      </c>
      <c r="D926" t="s">
        <v>273</v>
      </c>
      <c r="E926" t="s">
        <v>15</v>
      </c>
      <c r="F926" t="s">
        <v>56</v>
      </c>
      <c r="G926" t="s">
        <v>22</v>
      </c>
      <c r="H926" t="s">
        <v>4497</v>
      </c>
      <c r="J926">
        <v>1</v>
      </c>
    </row>
    <row r="927" spans="1:10" x14ac:dyDescent="0.35">
      <c r="A927">
        <v>4060800102683</v>
      </c>
      <c r="B927" t="s">
        <v>273</v>
      </c>
      <c r="C927" t="s">
        <v>9</v>
      </c>
      <c r="D927" t="s">
        <v>273</v>
      </c>
      <c r="E927" t="s">
        <v>15</v>
      </c>
      <c r="F927" t="s">
        <v>56</v>
      </c>
      <c r="G927" t="s">
        <v>464</v>
      </c>
      <c r="H927" t="s">
        <v>4497</v>
      </c>
      <c r="J927">
        <v>1</v>
      </c>
    </row>
    <row r="928" spans="1:10" x14ac:dyDescent="0.35">
      <c r="A928">
        <v>4060800103314</v>
      </c>
      <c r="B928" t="s">
        <v>1291</v>
      </c>
      <c r="C928" t="s">
        <v>192</v>
      </c>
      <c r="D928" t="s">
        <v>273</v>
      </c>
      <c r="E928" t="s">
        <v>15</v>
      </c>
      <c r="F928" t="s">
        <v>56</v>
      </c>
      <c r="G928" t="s">
        <v>22</v>
      </c>
      <c r="H928" t="s">
        <v>4497</v>
      </c>
      <c r="J928">
        <v>1</v>
      </c>
    </row>
    <row r="929" spans="1:10" x14ac:dyDescent="0.35">
      <c r="A929">
        <v>4060800107008</v>
      </c>
      <c r="B929" t="s">
        <v>1292</v>
      </c>
      <c r="C929" t="s">
        <v>81</v>
      </c>
      <c r="D929" t="s">
        <v>24</v>
      </c>
      <c r="E929" t="s">
        <v>15</v>
      </c>
      <c r="F929" t="s">
        <v>25</v>
      </c>
      <c r="G929" t="s">
        <v>464</v>
      </c>
      <c r="H929" t="s">
        <v>4491</v>
      </c>
      <c r="J929">
        <v>1</v>
      </c>
    </row>
    <row r="930" spans="1:10" x14ac:dyDescent="0.35">
      <c r="A930">
        <v>4060800134943</v>
      </c>
      <c r="B930" t="s">
        <v>1291</v>
      </c>
      <c r="C930" t="s">
        <v>114</v>
      </c>
      <c r="D930" t="s">
        <v>273</v>
      </c>
      <c r="E930" t="s">
        <v>15</v>
      </c>
      <c r="F930" t="s">
        <v>56</v>
      </c>
      <c r="G930" t="s">
        <v>22</v>
      </c>
      <c r="H930" t="s">
        <v>4497</v>
      </c>
      <c r="J930">
        <v>1</v>
      </c>
    </row>
    <row r="931" spans="1:10" x14ac:dyDescent="0.35">
      <c r="A931">
        <v>4060800135346</v>
      </c>
      <c r="B931" t="s">
        <v>1293</v>
      </c>
      <c r="C931" t="s">
        <v>9</v>
      </c>
      <c r="D931" t="s">
        <v>283</v>
      </c>
      <c r="E931" t="s">
        <v>15</v>
      </c>
      <c r="F931" t="s">
        <v>56</v>
      </c>
      <c r="G931" t="s">
        <v>22</v>
      </c>
      <c r="H931" t="s">
        <v>4497</v>
      </c>
      <c r="J931">
        <v>3</v>
      </c>
    </row>
    <row r="932" spans="1:10" x14ac:dyDescent="0.35">
      <c r="A932">
        <v>4060800166531</v>
      </c>
      <c r="B932" t="s">
        <v>1294</v>
      </c>
      <c r="C932" t="s">
        <v>78</v>
      </c>
      <c r="D932" t="s">
        <v>273</v>
      </c>
      <c r="E932" t="s">
        <v>15</v>
      </c>
      <c r="F932" t="s">
        <v>56</v>
      </c>
      <c r="G932" t="s">
        <v>22</v>
      </c>
      <c r="H932" t="s">
        <v>4497</v>
      </c>
      <c r="J932">
        <v>1</v>
      </c>
    </row>
    <row r="933" spans="1:10" x14ac:dyDescent="0.35">
      <c r="A933">
        <v>4060800170248</v>
      </c>
      <c r="B933" t="s">
        <v>1294</v>
      </c>
      <c r="C933" t="s">
        <v>114</v>
      </c>
      <c r="D933" t="s">
        <v>273</v>
      </c>
      <c r="E933" t="s">
        <v>15</v>
      </c>
      <c r="F933" t="s">
        <v>56</v>
      </c>
      <c r="G933" t="s">
        <v>22</v>
      </c>
      <c r="H933" t="s">
        <v>4497</v>
      </c>
      <c r="J933">
        <v>1</v>
      </c>
    </row>
    <row r="934" spans="1:10" x14ac:dyDescent="0.35">
      <c r="A934">
        <v>4060800171122</v>
      </c>
      <c r="B934" t="s">
        <v>1295</v>
      </c>
      <c r="C934" t="s">
        <v>1296</v>
      </c>
      <c r="D934" t="s">
        <v>273</v>
      </c>
      <c r="E934" t="s">
        <v>15</v>
      </c>
      <c r="F934" t="s">
        <v>56</v>
      </c>
      <c r="G934" t="s">
        <v>22</v>
      </c>
      <c r="H934" t="s">
        <v>4497</v>
      </c>
      <c r="J934">
        <v>1</v>
      </c>
    </row>
    <row r="935" spans="1:10" x14ac:dyDescent="0.35">
      <c r="A935">
        <v>4060800172396</v>
      </c>
      <c r="B935" t="s">
        <v>1297</v>
      </c>
      <c r="C935" t="s">
        <v>9</v>
      </c>
      <c r="D935" t="s">
        <v>273</v>
      </c>
      <c r="E935" t="s">
        <v>15</v>
      </c>
      <c r="F935" t="s">
        <v>56</v>
      </c>
      <c r="G935" t="s">
        <v>22</v>
      </c>
      <c r="H935" t="s">
        <v>4497</v>
      </c>
      <c r="J935">
        <v>2</v>
      </c>
    </row>
    <row r="936" spans="1:10" x14ac:dyDescent="0.35">
      <c r="A936">
        <v>4060800302625</v>
      </c>
      <c r="B936" t="s">
        <v>1298</v>
      </c>
      <c r="C936" t="s">
        <v>1299</v>
      </c>
      <c r="D936" t="s">
        <v>273</v>
      </c>
      <c r="E936" t="s">
        <v>15</v>
      </c>
      <c r="F936" t="s">
        <v>56</v>
      </c>
      <c r="G936" t="s">
        <v>22</v>
      </c>
      <c r="H936" t="s">
        <v>4497</v>
      </c>
      <c r="J936">
        <v>1</v>
      </c>
    </row>
    <row r="937" spans="1:10" x14ac:dyDescent="0.35">
      <c r="A937">
        <v>4060800303202</v>
      </c>
      <c r="B937" t="s">
        <v>283</v>
      </c>
      <c r="C937" t="s">
        <v>9</v>
      </c>
      <c r="D937" t="s">
        <v>283</v>
      </c>
      <c r="E937" t="s">
        <v>15</v>
      </c>
      <c r="F937" t="s">
        <v>56</v>
      </c>
      <c r="G937" t="s">
        <v>22</v>
      </c>
      <c r="H937" t="s">
        <v>4497</v>
      </c>
      <c r="J937">
        <v>2</v>
      </c>
    </row>
    <row r="938" spans="1:10" x14ac:dyDescent="0.35">
      <c r="A938">
        <v>4060800303646</v>
      </c>
      <c r="B938" t="s">
        <v>1300</v>
      </c>
      <c r="C938" t="s">
        <v>114</v>
      </c>
      <c r="D938" t="s">
        <v>24</v>
      </c>
      <c r="E938" t="s">
        <v>15</v>
      </c>
      <c r="F938" t="s">
        <v>25</v>
      </c>
      <c r="G938" t="s">
        <v>22</v>
      </c>
      <c r="H938" t="s">
        <v>4491</v>
      </c>
      <c r="J938">
        <v>3</v>
      </c>
    </row>
    <row r="939" spans="1:10" x14ac:dyDescent="0.35">
      <c r="A939">
        <v>4060800303646</v>
      </c>
      <c r="B939" t="s">
        <v>1300</v>
      </c>
      <c r="C939" t="s">
        <v>114</v>
      </c>
      <c r="D939" t="s">
        <v>24</v>
      </c>
      <c r="E939" t="s">
        <v>15</v>
      </c>
      <c r="F939" t="s">
        <v>25</v>
      </c>
      <c r="G939" t="s">
        <v>61</v>
      </c>
      <c r="H939" t="s">
        <v>4491</v>
      </c>
      <c r="J939">
        <v>1</v>
      </c>
    </row>
    <row r="940" spans="1:10" x14ac:dyDescent="0.35">
      <c r="A940">
        <v>4060800304957</v>
      </c>
      <c r="B940" t="s">
        <v>1301</v>
      </c>
      <c r="C940" t="s">
        <v>9</v>
      </c>
      <c r="D940" t="s">
        <v>1302</v>
      </c>
      <c r="E940" t="s">
        <v>22</v>
      </c>
      <c r="F940" t="s">
        <v>361</v>
      </c>
      <c r="G940" t="s">
        <v>22</v>
      </c>
      <c r="H940" t="s">
        <v>4539</v>
      </c>
      <c r="J940">
        <v>1</v>
      </c>
    </row>
    <row r="941" spans="1:10" x14ac:dyDescent="0.35">
      <c r="A941">
        <v>4060800304957</v>
      </c>
      <c r="B941" t="s">
        <v>1301</v>
      </c>
      <c r="C941" t="s">
        <v>9</v>
      </c>
      <c r="D941" t="s">
        <v>1302</v>
      </c>
      <c r="E941" t="s">
        <v>22</v>
      </c>
      <c r="F941" t="s">
        <v>361</v>
      </c>
      <c r="G941" t="s">
        <v>34</v>
      </c>
      <c r="H941" t="s">
        <v>4539</v>
      </c>
      <c r="J941">
        <v>3</v>
      </c>
    </row>
    <row r="942" spans="1:10" x14ac:dyDescent="0.35">
      <c r="A942">
        <v>4060800305053</v>
      </c>
      <c r="B942" t="s">
        <v>1303</v>
      </c>
      <c r="C942" t="s">
        <v>9</v>
      </c>
      <c r="D942" t="s">
        <v>24</v>
      </c>
      <c r="E942" t="s">
        <v>15</v>
      </c>
      <c r="F942" t="s">
        <v>25</v>
      </c>
      <c r="G942" t="s">
        <v>22</v>
      </c>
      <c r="H942" t="s">
        <v>4491</v>
      </c>
      <c r="J942">
        <v>1</v>
      </c>
    </row>
    <row r="943" spans="1:10" x14ac:dyDescent="0.35">
      <c r="A943">
        <v>4060800305091</v>
      </c>
      <c r="B943" t="s">
        <v>1291</v>
      </c>
      <c r="C943" t="s">
        <v>9</v>
      </c>
      <c r="D943" t="s">
        <v>273</v>
      </c>
      <c r="E943" t="s">
        <v>15</v>
      </c>
      <c r="F943" t="s">
        <v>56</v>
      </c>
      <c r="G943" t="s">
        <v>22</v>
      </c>
      <c r="H943" t="s">
        <v>4497</v>
      </c>
      <c r="J943">
        <v>4</v>
      </c>
    </row>
    <row r="944" spans="1:10" x14ac:dyDescent="0.35">
      <c r="A944">
        <v>4060800309327</v>
      </c>
      <c r="B944" t="s">
        <v>1304</v>
      </c>
      <c r="C944" t="s">
        <v>9</v>
      </c>
      <c r="D944" t="s">
        <v>273</v>
      </c>
      <c r="E944" t="s">
        <v>15</v>
      </c>
      <c r="F944" t="s">
        <v>56</v>
      </c>
      <c r="G944" t="s">
        <v>22</v>
      </c>
      <c r="H944" t="s">
        <v>4497</v>
      </c>
      <c r="J944">
        <v>1</v>
      </c>
    </row>
    <row r="945" spans="1:10" x14ac:dyDescent="0.35">
      <c r="A945">
        <v>4060800309761</v>
      </c>
      <c r="B945" t="s">
        <v>1305</v>
      </c>
      <c r="C945" t="s">
        <v>78</v>
      </c>
      <c r="D945" t="s">
        <v>273</v>
      </c>
      <c r="E945" t="s">
        <v>15</v>
      </c>
      <c r="F945" t="s">
        <v>56</v>
      </c>
      <c r="G945" t="s">
        <v>22</v>
      </c>
      <c r="H945" t="s">
        <v>4497</v>
      </c>
      <c r="J945">
        <v>1</v>
      </c>
    </row>
    <row r="946" spans="1:10" x14ac:dyDescent="0.35">
      <c r="A946">
        <v>4060800309952</v>
      </c>
      <c r="B946" t="s">
        <v>1306</v>
      </c>
      <c r="C946" t="s">
        <v>9</v>
      </c>
      <c r="D946" t="s">
        <v>24</v>
      </c>
      <c r="E946" t="s">
        <v>15</v>
      </c>
      <c r="F946" t="s">
        <v>25</v>
      </c>
      <c r="G946" t="s">
        <v>22</v>
      </c>
      <c r="H946" t="s">
        <v>4491</v>
      </c>
      <c r="J946">
        <v>1</v>
      </c>
    </row>
    <row r="947" spans="1:10" x14ac:dyDescent="0.35">
      <c r="A947">
        <v>40608020</v>
      </c>
      <c r="B947" t="s">
        <v>273</v>
      </c>
      <c r="C947" t="s">
        <v>603</v>
      </c>
      <c r="D947" t="s">
        <v>273</v>
      </c>
      <c r="E947" t="s">
        <v>15</v>
      </c>
      <c r="F947" t="s">
        <v>56</v>
      </c>
      <c r="G947" t="s">
        <v>22</v>
      </c>
      <c r="H947" t="s">
        <v>4497</v>
      </c>
      <c r="J947">
        <v>1</v>
      </c>
    </row>
    <row r="948" spans="1:10" x14ac:dyDescent="0.35">
      <c r="A948">
        <v>4061464879638</v>
      </c>
      <c r="B948" t="s">
        <v>1307</v>
      </c>
      <c r="C948" t="s">
        <v>1308</v>
      </c>
      <c r="D948" t="s">
        <v>19</v>
      </c>
      <c r="E948" t="s">
        <v>20</v>
      </c>
      <c r="F948" t="s">
        <v>21</v>
      </c>
      <c r="G948" t="s">
        <v>22</v>
      </c>
      <c r="H948" t="s">
        <v>4490</v>
      </c>
      <c r="J948">
        <v>1</v>
      </c>
    </row>
    <row r="949" spans="1:10" x14ac:dyDescent="0.35">
      <c r="A949">
        <v>4062139015498</v>
      </c>
      <c r="B949" t="s">
        <v>1309</v>
      </c>
      <c r="C949" t="s">
        <v>9</v>
      </c>
      <c r="D949" t="s">
        <v>273</v>
      </c>
      <c r="E949" t="s">
        <v>15</v>
      </c>
      <c r="F949" t="s">
        <v>56</v>
      </c>
      <c r="G949" t="s">
        <v>22</v>
      </c>
      <c r="H949" t="s">
        <v>4497</v>
      </c>
      <c r="J949">
        <v>1</v>
      </c>
    </row>
    <row r="950" spans="1:10" x14ac:dyDescent="0.35">
      <c r="A950">
        <v>4062139018086</v>
      </c>
      <c r="B950" t="s">
        <v>273</v>
      </c>
      <c r="C950" t="s">
        <v>9</v>
      </c>
      <c r="D950" t="s">
        <v>273</v>
      </c>
      <c r="E950" t="s">
        <v>15</v>
      </c>
      <c r="F950" t="s">
        <v>56</v>
      </c>
      <c r="G950" t="s">
        <v>22</v>
      </c>
      <c r="H950" t="s">
        <v>4497</v>
      </c>
      <c r="J950">
        <v>1</v>
      </c>
    </row>
    <row r="951" spans="1:10" x14ac:dyDescent="0.35">
      <c r="A951">
        <v>40822099</v>
      </c>
      <c r="B951" t="s">
        <v>1310</v>
      </c>
      <c r="C951" t="s">
        <v>472</v>
      </c>
      <c r="D951" t="s">
        <v>705</v>
      </c>
      <c r="E951" t="s">
        <v>15</v>
      </c>
      <c r="F951" t="s">
        <v>14</v>
      </c>
      <c r="G951" t="s">
        <v>11</v>
      </c>
      <c r="H951" t="s">
        <v>4489</v>
      </c>
      <c r="J951">
        <v>38</v>
      </c>
    </row>
    <row r="952" spans="1:10" x14ac:dyDescent="0.35">
      <c r="A952">
        <v>40822099</v>
      </c>
      <c r="B952" t="s">
        <v>1310</v>
      </c>
      <c r="C952" t="s">
        <v>472</v>
      </c>
      <c r="D952" t="s">
        <v>705</v>
      </c>
      <c r="E952" t="s">
        <v>15</v>
      </c>
      <c r="F952" t="s">
        <v>14</v>
      </c>
      <c r="G952" t="s">
        <v>31</v>
      </c>
      <c r="H952" t="s">
        <v>4489</v>
      </c>
      <c r="J952">
        <v>45</v>
      </c>
    </row>
    <row r="953" spans="1:10" x14ac:dyDescent="0.35">
      <c r="A953">
        <v>40822426</v>
      </c>
      <c r="B953" t="s">
        <v>1311</v>
      </c>
      <c r="C953" t="s">
        <v>9</v>
      </c>
      <c r="D953" t="s">
        <v>1312</v>
      </c>
      <c r="E953" t="s">
        <v>15</v>
      </c>
      <c r="F953" t="s">
        <v>14</v>
      </c>
      <c r="G953" t="s">
        <v>34</v>
      </c>
      <c r="H953" t="s">
        <v>4489</v>
      </c>
      <c r="J953">
        <v>3743</v>
      </c>
    </row>
    <row r="954" spans="1:10" x14ac:dyDescent="0.35">
      <c r="A954">
        <v>40822426</v>
      </c>
      <c r="B954" t="s">
        <v>1311</v>
      </c>
      <c r="C954" t="s">
        <v>9</v>
      </c>
      <c r="D954" t="s">
        <v>1312</v>
      </c>
      <c r="E954" t="s">
        <v>15</v>
      </c>
      <c r="F954" t="s">
        <v>14</v>
      </c>
      <c r="G954" t="s">
        <v>61</v>
      </c>
      <c r="H954" t="s">
        <v>4489</v>
      </c>
      <c r="J954">
        <v>2</v>
      </c>
    </row>
    <row r="955" spans="1:10" x14ac:dyDescent="0.35">
      <c r="A955">
        <v>40822938</v>
      </c>
      <c r="B955" t="s">
        <v>1313</v>
      </c>
      <c r="C955" t="s">
        <v>9</v>
      </c>
      <c r="D955" t="s">
        <v>246</v>
      </c>
      <c r="E955" t="s">
        <v>15</v>
      </c>
      <c r="F955" t="s">
        <v>14</v>
      </c>
      <c r="G955" t="s">
        <v>387</v>
      </c>
      <c r="H955" t="s">
        <v>4489</v>
      </c>
      <c r="I955">
        <v>22</v>
      </c>
      <c r="J955">
        <v>1</v>
      </c>
    </row>
    <row r="956" spans="1:10" x14ac:dyDescent="0.35">
      <c r="A956">
        <v>40822938</v>
      </c>
      <c r="B956" t="s">
        <v>1313</v>
      </c>
      <c r="C956" t="s">
        <v>9</v>
      </c>
      <c r="D956" t="s">
        <v>246</v>
      </c>
      <c r="E956" t="s">
        <v>15</v>
      </c>
      <c r="F956" t="s">
        <v>14</v>
      </c>
      <c r="G956" t="s">
        <v>22</v>
      </c>
      <c r="H956" t="s">
        <v>4489</v>
      </c>
      <c r="I956">
        <v>22</v>
      </c>
      <c r="J956">
        <v>11</v>
      </c>
    </row>
    <row r="957" spans="1:10" x14ac:dyDescent="0.35">
      <c r="A957">
        <v>40822938</v>
      </c>
      <c r="B957" t="s">
        <v>1313</v>
      </c>
      <c r="C957" t="s">
        <v>9</v>
      </c>
      <c r="D957" t="s">
        <v>246</v>
      </c>
      <c r="E957" t="s">
        <v>15</v>
      </c>
      <c r="F957" t="s">
        <v>14</v>
      </c>
      <c r="G957" t="s">
        <v>11</v>
      </c>
      <c r="H957" t="s">
        <v>4489</v>
      </c>
      <c r="I957">
        <v>22</v>
      </c>
      <c r="J957">
        <v>52</v>
      </c>
    </row>
    <row r="958" spans="1:10" x14ac:dyDescent="0.35">
      <c r="A958">
        <v>40822938</v>
      </c>
      <c r="B958" t="s">
        <v>1313</v>
      </c>
      <c r="C958" t="s">
        <v>9</v>
      </c>
      <c r="D958" t="s">
        <v>246</v>
      </c>
      <c r="E958" t="s">
        <v>15</v>
      </c>
      <c r="F958" t="s">
        <v>14</v>
      </c>
      <c r="G958" t="s">
        <v>33</v>
      </c>
      <c r="H958" t="s">
        <v>4489</v>
      </c>
      <c r="I958">
        <v>22</v>
      </c>
      <c r="J958">
        <v>151</v>
      </c>
    </row>
    <row r="959" spans="1:10" x14ac:dyDescent="0.35">
      <c r="A959">
        <v>40822938</v>
      </c>
      <c r="B959" t="s">
        <v>1313</v>
      </c>
      <c r="C959" t="s">
        <v>9</v>
      </c>
      <c r="D959" t="s">
        <v>246</v>
      </c>
      <c r="E959" t="s">
        <v>15</v>
      </c>
      <c r="F959" t="s">
        <v>14</v>
      </c>
      <c r="G959" t="s">
        <v>598</v>
      </c>
      <c r="H959" t="s">
        <v>4489</v>
      </c>
      <c r="I959">
        <v>22</v>
      </c>
      <c r="J959">
        <v>17</v>
      </c>
    </row>
    <row r="960" spans="1:10" x14ac:dyDescent="0.35">
      <c r="A960">
        <v>40822938</v>
      </c>
      <c r="B960" t="s">
        <v>1313</v>
      </c>
      <c r="C960" t="s">
        <v>9</v>
      </c>
      <c r="D960" t="s">
        <v>246</v>
      </c>
      <c r="E960" t="s">
        <v>15</v>
      </c>
      <c r="F960" t="s">
        <v>14</v>
      </c>
      <c r="G960" t="s">
        <v>150</v>
      </c>
      <c r="H960" t="s">
        <v>4489</v>
      </c>
      <c r="I960">
        <v>22</v>
      </c>
      <c r="J960">
        <v>43</v>
      </c>
    </row>
    <row r="961" spans="1:10" x14ac:dyDescent="0.35">
      <c r="A961">
        <v>40822938</v>
      </c>
      <c r="B961" t="s">
        <v>1313</v>
      </c>
      <c r="C961" t="s">
        <v>9</v>
      </c>
      <c r="D961" t="s">
        <v>246</v>
      </c>
      <c r="E961" t="s">
        <v>15</v>
      </c>
      <c r="F961" t="s">
        <v>14</v>
      </c>
      <c r="G961" t="s">
        <v>61</v>
      </c>
      <c r="H961" t="s">
        <v>4489</v>
      </c>
      <c r="I961">
        <v>22</v>
      </c>
      <c r="J961">
        <v>357</v>
      </c>
    </row>
    <row r="962" spans="1:10" x14ac:dyDescent="0.35">
      <c r="A962">
        <v>40822938</v>
      </c>
      <c r="B962" t="s">
        <v>1313</v>
      </c>
      <c r="C962" t="s">
        <v>9</v>
      </c>
      <c r="D962" t="s">
        <v>246</v>
      </c>
      <c r="E962" t="s">
        <v>15</v>
      </c>
      <c r="F962" t="s">
        <v>14</v>
      </c>
      <c r="G962" t="s">
        <v>31</v>
      </c>
      <c r="H962" t="s">
        <v>4489</v>
      </c>
      <c r="I962">
        <v>22</v>
      </c>
      <c r="J962">
        <v>83</v>
      </c>
    </row>
    <row r="963" spans="1:10" x14ac:dyDescent="0.35">
      <c r="A963">
        <v>40822938</v>
      </c>
      <c r="B963" t="s">
        <v>1313</v>
      </c>
      <c r="C963" t="s">
        <v>9</v>
      </c>
      <c r="D963" t="s">
        <v>246</v>
      </c>
      <c r="E963" t="s">
        <v>15</v>
      </c>
      <c r="F963" t="s">
        <v>14</v>
      </c>
      <c r="G963" t="s">
        <v>578</v>
      </c>
      <c r="H963" t="s">
        <v>4489</v>
      </c>
      <c r="I963">
        <v>22</v>
      </c>
      <c r="J963">
        <v>42</v>
      </c>
    </row>
    <row r="964" spans="1:10" x14ac:dyDescent="0.35">
      <c r="A964">
        <v>4084500293519</v>
      </c>
      <c r="B964" t="s">
        <v>1314</v>
      </c>
      <c r="C964" t="s">
        <v>1315</v>
      </c>
      <c r="D964" t="s">
        <v>1316</v>
      </c>
      <c r="E964" t="s">
        <v>15</v>
      </c>
      <c r="F964" t="s">
        <v>1079</v>
      </c>
      <c r="G964" t="s">
        <v>464</v>
      </c>
      <c r="H964" t="s">
        <v>4646</v>
      </c>
      <c r="J964">
        <v>1</v>
      </c>
    </row>
    <row r="965" spans="1:10" x14ac:dyDescent="0.35">
      <c r="A965">
        <v>4084500870628</v>
      </c>
      <c r="B965" t="s">
        <v>1317</v>
      </c>
      <c r="C965" t="s">
        <v>1318</v>
      </c>
      <c r="D965" t="s">
        <v>1319</v>
      </c>
      <c r="E965" t="s">
        <v>15</v>
      </c>
      <c r="F965" t="s">
        <v>1079</v>
      </c>
      <c r="G965" t="s">
        <v>22</v>
      </c>
      <c r="H965" t="s">
        <v>4646</v>
      </c>
      <c r="J965">
        <v>1</v>
      </c>
    </row>
    <row r="966" spans="1:10" x14ac:dyDescent="0.35">
      <c r="A966">
        <v>40882932</v>
      </c>
      <c r="B966" t="s">
        <v>1320</v>
      </c>
      <c r="C966" t="s">
        <v>9</v>
      </c>
      <c r="D966" t="s">
        <v>246</v>
      </c>
      <c r="E966" t="s">
        <v>15</v>
      </c>
      <c r="F966" t="s">
        <v>14</v>
      </c>
      <c r="G966" t="s">
        <v>31</v>
      </c>
      <c r="H966" t="s">
        <v>4489</v>
      </c>
      <c r="J966">
        <v>1</v>
      </c>
    </row>
    <row r="967" spans="1:10" x14ac:dyDescent="0.35">
      <c r="A967">
        <v>4088600185132</v>
      </c>
      <c r="B967" t="s">
        <v>1321</v>
      </c>
      <c r="C967" t="s">
        <v>1123</v>
      </c>
      <c r="D967" t="s">
        <v>19</v>
      </c>
      <c r="E967" t="s">
        <v>20</v>
      </c>
      <c r="F967" t="s">
        <v>21</v>
      </c>
      <c r="G967" t="s">
        <v>22</v>
      </c>
      <c r="H967" t="s">
        <v>4490</v>
      </c>
      <c r="J967">
        <v>1</v>
      </c>
    </row>
    <row r="968" spans="1:10" x14ac:dyDescent="0.35">
      <c r="A968">
        <v>4088600186979</v>
      </c>
      <c r="B968" t="s">
        <v>1322</v>
      </c>
      <c r="C968" t="s">
        <v>43</v>
      </c>
      <c r="D968" t="s">
        <v>19</v>
      </c>
      <c r="E968" t="s">
        <v>20</v>
      </c>
      <c r="F968" t="s">
        <v>21</v>
      </c>
      <c r="G968" t="s">
        <v>22</v>
      </c>
      <c r="H968" t="s">
        <v>4490</v>
      </c>
      <c r="J968">
        <v>1</v>
      </c>
    </row>
    <row r="969" spans="1:10" x14ac:dyDescent="0.35">
      <c r="A969">
        <v>4088600188751</v>
      </c>
      <c r="B969" t="s">
        <v>1323</v>
      </c>
      <c r="C969" t="s">
        <v>336</v>
      </c>
      <c r="D969" t="s">
        <v>19</v>
      </c>
      <c r="E969" t="s">
        <v>20</v>
      </c>
      <c r="F969" t="s">
        <v>21</v>
      </c>
      <c r="G969" t="s">
        <v>22</v>
      </c>
      <c r="H969" t="s">
        <v>4490</v>
      </c>
      <c r="J969">
        <v>1</v>
      </c>
    </row>
    <row r="970" spans="1:10" x14ac:dyDescent="0.35">
      <c r="A970">
        <v>4088600264349</v>
      </c>
      <c r="B970" t="s">
        <v>1324</v>
      </c>
      <c r="C970" t="s">
        <v>110</v>
      </c>
      <c r="D970" t="s">
        <v>19</v>
      </c>
      <c r="E970" t="s">
        <v>20</v>
      </c>
      <c r="F970" t="s">
        <v>21</v>
      </c>
      <c r="G970" t="s">
        <v>22</v>
      </c>
      <c r="H970" t="s">
        <v>4490</v>
      </c>
      <c r="J970">
        <v>1</v>
      </c>
    </row>
    <row r="971" spans="1:10" x14ac:dyDescent="0.35">
      <c r="A971">
        <v>4088600266008</v>
      </c>
      <c r="B971" t="s">
        <v>1325</v>
      </c>
      <c r="C971" t="s">
        <v>43</v>
      </c>
      <c r="D971" t="s">
        <v>1326</v>
      </c>
      <c r="E971" t="s">
        <v>20</v>
      </c>
      <c r="F971" t="s">
        <v>21</v>
      </c>
      <c r="G971" t="s">
        <v>22</v>
      </c>
      <c r="H971" t="s">
        <v>4490</v>
      </c>
      <c r="J971">
        <v>1</v>
      </c>
    </row>
    <row r="972" spans="1:10" x14ac:dyDescent="0.35">
      <c r="A972">
        <v>4088600268781</v>
      </c>
      <c r="B972" t="s">
        <v>1327</v>
      </c>
      <c r="C972" t="s">
        <v>69</v>
      </c>
      <c r="D972" t="s">
        <v>19</v>
      </c>
      <c r="E972" t="s">
        <v>20</v>
      </c>
      <c r="F972" t="s">
        <v>21</v>
      </c>
      <c r="G972" t="s">
        <v>22</v>
      </c>
      <c r="H972" t="s">
        <v>4490</v>
      </c>
      <c r="J972">
        <v>1</v>
      </c>
    </row>
    <row r="973" spans="1:10" x14ac:dyDescent="0.35">
      <c r="A973">
        <v>4088600274065</v>
      </c>
      <c r="B973" t="s">
        <v>1328</v>
      </c>
      <c r="C973" t="s">
        <v>1296</v>
      </c>
      <c r="D973" t="s">
        <v>19</v>
      </c>
      <c r="E973" t="s">
        <v>20</v>
      </c>
      <c r="F973" t="s">
        <v>21</v>
      </c>
      <c r="G973" t="s">
        <v>22</v>
      </c>
      <c r="H973" t="s">
        <v>4490</v>
      </c>
      <c r="J973">
        <v>1</v>
      </c>
    </row>
    <row r="974" spans="1:10" x14ac:dyDescent="0.35">
      <c r="A974">
        <v>4088600355696</v>
      </c>
      <c r="B974" t="s">
        <v>1329</v>
      </c>
      <c r="C974" t="s">
        <v>1330</v>
      </c>
      <c r="D974" t="s">
        <v>19</v>
      </c>
      <c r="E974" t="s">
        <v>20</v>
      </c>
      <c r="F974" t="s">
        <v>21</v>
      </c>
      <c r="G974" t="s">
        <v>22</v>
      </c>
      <c r="H974" t="s">
        <v>4490</v>
      </c>
      <c r="J974">
        <v>1</v>
      </c>
    </row>
    <row r="975" spans="1:10" x14ac:dyDescent="0.35">
      <c r="A975">
        <v>4088600563077</v>
      </c>
      <c r="B975" t="s">
        <v>1331</v>
      </c>
      <c r="C975" t="s">
        <v>9</v>
      </c>
      <c r="D975" t="s">
        <v>1332</v>
      </c>
      <c r="E975" t="s">
        <v>20</v>
      </c>
      <c r="F975" t="s">
        <v>21</v>
      </c>
      <c r="G975" t="s">
        <v>22</v>
      </c>
      <c r="H975" t="s">
        <v>4490</v>
      </c>
      <c r="J975">
        <v>2</v>
      </c>
    </row>
    <row r="976" spans="1:10" x14ac:dyDescent="0.35">
      <c r="A976">
        <v>42105220</v>
      </c>
      <c r="B976" t="s">
        <v>1333</v>
      </c>
      <c r="C976" t="s">
        <v>239</v>
      </c>
      <c r="D976" t="s">
        <v>14</v>
      </c>
      <c r="E976" t="s">
        <v>15</v>
      </c>
      <c r="F976" t="s">
        <v>14</v>
      </c>
      <c r="G976" t="s">
        <v>41</v>
      </c>
      <c r="H976" t="s">
        <v>4489</v>
      </c>
      <c r="J976">
        <v>2</v>
      </c>
    </row>
    <row r="977" spans="1:10" x14ac:dyDescent="0.35">
      <c r="A977">
        <v>42116011</v>
      </c>
      <c r="B977" t="s">
        <v>1334</v>
      </c>
      <c r="C977" t="s">
        <v>38</v>
      </c>
      <c r="D977" t="s">
        <v>246</v>
      </c>
      <c r="E977" t="s">
        <v>15</v>
      </c>
      <c r="F977" t="s">
        <v>14</v>
      </c>
      <c r="G977" t="s">
        <v>41</v>
      </c>
      <c r="H977" t="s">
        <v>4489</v>
      </c>
      <c r="J977">
        <v>393</v>
      </c>
    </row>
    <row r="978" spans="1:10" x14ac:dyDescent="0.35">
      <c r="A978">
        <v>42116479</v>
      </c>
      <c r="B978" t="s">
        <v>1264</v>
      </c>
      <c r="C978" t="s">
        <v>472</v>
      </c>
      <c r="D978" t="s">
        <v>246</v>
      </c>
      <c r="E978" t="s">
        <v>15</v>
      </c>
      <c r="F978" t="s">
        <v>14</v>
      </c>
      <c r="G978" t="s">
        <v>11</v>
      </c>
      <c r="H978" t="s">
        <v>4489</v>
      </c>
      <c r="J978">
        <v>43</v>
      </c>
    </row>
    <row r="979" spans="1:10" x14ac:dyDescent="0.35">
      <c r="A979">
        <v>42117131</v>
      </c>
      <c r="B979" t="s">
        <v>14</v>
      </c>
      <c r="C979" t="s">
        <v>472</v>
      </c>
      <c r="D979" t="s">
        <v>14</v>
      </c>
      <c r="E979" t="s">
        <v>15</v>
      </c>
      <c r="F979" t="s">
        <v>14</v>
      </c>
      <c r="G979" t="s">
        <v>117</v>
      </c>
      <c r="H979" t="s">
        <v>4489</v>
      </c>
      <c r="J979">
        <v>12</v>
      </c>
    </row>
    <row r="980" spans="1:10" x14ac:dyDescent="0.35">
      <c r="A980">
        <v>42117131</v>
      </c>
      <c r="B980" t="s">
        <v>14</v>
      </c>
      <c r="C980" t="s">
        <v>472</v>
      </c>
      <c r="D980" t="s">
        <v>14</v>
      </c>
      <c r="E980" t="s">
        <v>15</v>
      </c>
      <c r="F980" t="s">
        <v>14</v>
      </c>
      <c r="G980" t="s">
        <v>11</v>
      </c>
      <c r="H980" t="s">
        <v>4489</v>
      </c>
      <c r="J980">
        <v>74</v>
      </c>
    </row>
    <row r="981" spans="1:10" x14ac:dyDescent="0.35">
      <c r="A981">
        <v>42117131</v>
      </c>
      <c r="B981" t="s">
        <v>14</v>
      </c>
      <c r="C981" t="s">
        <v>472</v>
      </c>
      <c r="D981" t="s">
        <v>14</v>
      </c>
      <c r="E981" t="s">
        <v>15</v>
      </c>
      <c r="F981" t="s">
        <v>14</v>
      </c>
      <c r="G981" t="s">
        <v>34</v>
      </c>
      <c r="H981" t="s">
        <v>4489</v>
      </c>
      <c r="J981">
        <v>189</v>
      </c>
    </row>
    <row r="982" spans="1:10" x14ac:dyDescent="0.35">
      <c r="A982">
        <v>42117131</v>
      </c>
      <c r="B982" t="s">
        <v>14</v>
      </c>
      <c r="C982" t="s">
        <v>472</v>
      </c>
      <c r="D982" t="s">
        <v>14</v>
      </c>
      <c r="E982" t="s">
        <v>15</v>
      </c>
      <c r="F982" t="s">
        <v>14</v>
      </c>
      <c r="G982" t="s">
        <v>31</v>
      </c>
      <c r="H982" t="s">
        <v>4489</v>
      </c>
      <c r="J982">
        <v>182</v>
      </c>
    </row>
    <row r="983" spans="1:10" x14ac:dyDescent="0.35">
      <c r="A983">
        <v>42117131</v>
      </c>
      <c r="B983" t="s">
        <v>14</v>
      </c>
      <c r="C983" t="s">
        <v>472</v>
      </c>
      <c r="D983" t="s">
        <v>14</v>
      </c>
      <c r="E983" t="s">
        <v>15</v>
      </c>
      <c r="F983" t="s">
        <v>14</v>
      </c>
      <c r="G983" t="s">
        <v>578</v>
      </c>
      <c r="H983" t="s">
        <v>4489</v>
      </c>
      <c r="J983">
        <v>17</v>
      </c>
    </row>
    <row r="984" spans="1:10" x14ac:dyDescent="0.35">
      <c r="A984">
        <v>4212197412856</v>
      </c>
      <c r="B984" t="s">
        <v>1335</v>
      </c>
      <c r="C984" t="s">
        <v>91</v>
      </c>
      <c r="D984" t="s">
        <v>1335</v>
      </c>
      <c r="E984" t="s">
        <v>15</v>
      </c>
      <c r="F984" t="s">
        <v>1336</v>
      </c>
      <c r="G984" t="s">
        <v>22</v>
      </c>
      <c r="H984" t="s">
        <v>4678</v>
      </c>
      <c r="J984">
        <v>1</v>
      </c>
    </row>
    <row r="985" spans="1:10" x14ac:dyDescent="0.35">
      <c r="A985">
        <v>42150237</v>
      </c>
      <c r="B985" t="s">
        <v>384</v>
      </c>
      <c r="C985" t="s">
        <v>9</v>
      </c>
      <c r="D985" t="s">
        <v>1064</v>
      </c>
      <c r="E985" t="s">
        <v>130</v>
      </c>
      <c r="F985" t="s">
        <v>220</v>
      </c>
      <c r="G985" t="s">
        <v>20</v>
      </c>
      <c r="H985" t="s">
        <v>4520</v>
      </c>
      <c r="J985">
        <v>5</v>
      </c>
    </row>
    <row r="986" spans="1:10" x14ac:dyDescent="0.35">
      <c r="A986">
        <v>42357513</v>
      </c>
      <c r="B986" t="s">
        <v>1337</v>
      </c>
      <c r="C986" t="s">
        <v>38</v>
      </c>
      <c r="D986" t="s">
        <v>539</v>
      </c>
      <c r="E986" t="s">
        <v>15</v>
      </c>
      <c r="F986" t="s">
        <v>14</v>
      </c>
      <c r="G986" t="s">
        <v>117</v>
      </c>
      <c r="H986" t="s">
        <v>4489</v>
      </c>
      <c r="J986">
        <v>1</v>
      </c>
    </row>
    <row r="987" spans="1:10" x14ac:dyDescent="0.35">
      <c r="A987">
        <v>42357766</v>
      </c>
      <c r="B987" t="s">
        <v>1338</v>
      </c>
      <c r="C987" t="s">
        <v>38</v>
      </c>
      <c r="D987" t="s">
        <v>246</v>
      </c>
      <c r="E987" t="s">
        <v>15</v>
      </c>
      <c r="F987" t="s">
        <v>14</v>
      </c>
      <c r="G987" t="s">
        <v>387</v>
      </c>
      <c r="H987" t="s">
        <v>4489</v>
      </c>
      <c r="J987">
        <v>2</v>
      </c>
    </row>
    <row r="988" spans="1:10" x14ac:dyDescent="0.35">
      <c r="A988">
        <v>42357766</v>
      </c>
      <c r="B988" t="s">
        <v>1338</v>
      </c>
      <c r="C988" t="s">
        <v>38</v>
      </c>
      <c r="D988" t="s">
        <v>246</v>
      </c>
      <c r="E988" t="s">
        <v>15</v>
      </c>
      <c r="F988" t="s">
        <v>14</v>
      </c>
      <c r="G988" t="s">
        <v>33</v>
      </c>
      <c r="H988" t="s">
        <v>4489</v>
      </c>
      <c r="J988">
        <v>23</v>
      </c>
    </row>
    <row r="989" spans="1:10" x14ac:dyDescent="0.35">
      <c r="A989">
        <v>42358244</v>
      </c>
      <c r="B989" t="s">
        <v>1339</v>
      </c>
      <c r="C989" t="s">
        <v>38</v>
      </c>
      <c r="D989" t="s">
        <v>246</v>
      </c>
      <c r="E989" t="s">
        <v>15</v>
      </c>
      <c r="F989" t="s">
        <v>14</v>
      </c>
      <c r="G989" t="s">
        <v>61</v>
      </c>
      <c r="H989" t="s">
        <v>4489</v>
      </c>
      <c r="J989">
        <v>21</v>
      </c>
    </row>
    <row r="990" spans="1:10" x14ac:dyDescent="0.35">
      <c r="A990">
        <v>42380573</v>
      </c>
      <c r="B990" t="s">
        <v>1340</v>
      </c>
      <c r="C990" t="s">
        <v>1341</v>
      </c>
      <c r="D990" t="s">
        <v>539</v>
      </c>
      <c r="E990" t="s">
        <v>15</v>
      </c>
      <c r="F990" t="s">
        <v>14</v>
      </c>
      <c r="G990" t="s">
        <v>34</v>
      </c>
      <c r="H990" t="s">
        <v>4489</v>
      </c>
      <c r="I990">
        <v>20.5</v>
      </c>
      <c r="J990">
        <v>23</v>
      </c>
    </row>
    <row r="991" spans="1:10" x14ac:dyDescent="0.35">
      <c r="A991">
        <v>42380573</v>
      </c>
      <c r="B991" t="s">
        <v>1340</v>
      </c>
      <c r="C991" t="s">
        <v>1341</v>
      </c>
      <c r="D991" t="s">
        <v>539</v>
      </c>
      <c r="E991" t="s">
        <v>15</v>
      </c>
      <c r="F991" t="s">
        <v>14</v>
      </c>
      <c r="G991" t="s">
        <v>31</v>
      </c>
      <c r="H991" t="s">
        <v>4489</v>
      </c>
      <c r="I991">
        <v>20.5</v>
      </c>
      <c r="J991">
        <v>19</v>
      </c>
    </row>
    <row r="992" spans="1:10" x14ac:dyDescent="0.35">
      <c r="A992">
        <v>42380580</v>
      </c>
      <c r="B992" t="s">
        <v>1342</v>
      </c>
      <c r="C992" t="s">
        <v>472</v>
      </c>
      <c r="D992" t="s">
        <v>539</v>
      </c>
      <c r="E992" t="s">
        <v>15</v>
      </c>
      <c r="F992" t="s">
        <v>14</v>
      </c>
      <c r="G992" t="s">
        <v>11</v>
      </c>
      <c r="H992" t="s">
        <v>4489</v>
      </c>
      <c r="J992">
        <v>1</v>
      </c>
    </row>
    <row r="993" spans="1:10" x14ac:dyDescent="0.35">
      <c r="A993">
        <v>42380665</v>
      </c>
      <c r="B993" t="s">
        <v>1343</v>
      </c>
      <c r="C993" t="s">
        <v>1341</v>
      </c>
      <c r="D993" t="s">
        <v>246</v>
      </c>
      <c r="E993" t="s">
        <v>15</v>
      </c>
      <c r="F993" t="s">
        <v>14</v>
      </c>
      <c r="G993" t="s">
        <v>34</v>
      </c>
      <c r="H993" t="s">
        <v>4489</v>
      </c>
      <c r="I993">
        <v>20.5</v>
      </c>
      <c r="J993">
        <v>173</v>
      </c>
    </row>
    <row r="994" spans="1:10" x14ac:dyDescent="0.35">
      <c r="A994">
        <v>42380672</v>
      </c>
      <c r="B994" t="s">
        <v>1344</v>
      </c>
      <c r="C994" t="s">
        <v>1341</v>
      </c>
      <c r="D994" t="s">
        <v>246</v>
      </c>
      <c r="E994" t="s">
        <v>15</v>
      </c>
      <c r="F994" t="s">
        <v>14</v>
      </c>
      <c r="G994" t="s">
        <v>34</v>
      </c>
      <c r="H994" t="s">
        <v>4489</v>
      </c>
      <c r="J994">
        <v>77</v>
      </c>
    </row>
    <row r="995" spans="1:10" x14ac:dyDescent="0.35">
      <c r="A995">
        <v>42380696</v>
      </c>
      <c r="B995" t="s">
        <v>1313</v>
      </c>
      <c r="C995" t="s">
        <v>1341</v>
      </c>
      <c r="D995" t="s">
        <v>246</v>
      </c>
      <c r="E995" t="s">
        <v>15</v>
      </c>
      <c r="F995" t="s">
        <v>14</v>
      </c>
      <c r="G995" t="s">
        <v>22</v>
      </c>
      <c r="H995" t="s">
        <v>4489</v>
      </c>
      <c r="I995">
        <v>20.5</v>
      </c>
      <c r="J995">
        <v>1</v>
      </c>
    </row>
    <row r="996" spans="1:10" x14ac:dyDescent="0.35">
      <c r="A996">
        <v>42380696</v>
      </c>
      <c r="B996" t="s">
        <v>1313</v>
      </c>
      <c r="C996" t="s">
        <v>1341</v>
      </c>
      <c r="D996" t="s">
        <v>246</v>
      </c>
      <c r="E996" t="s">
        <v>15</v>
      </c>
      <c r="F996" t="s">
        <v>14</v>
      </c>
      <c r="G996" t="s">
        <v>11</v>
      </c>
      <c r="H996" t="s">
        <v>4489</v>
      </c>
      <c r="I996">
        <v>20.5</v>
      </c>
      <c r="J996">
        <v>1</v>
      </c>
    </row>
    <row r="997" spans="1:10" x14ac:dyDescent="0.35">
      <c r="A997">
        <v>42380696</v>
      </c>
      <c r="B997" t="s">
        <v>1313</v>
      </c>
      <c r="C997" t="s">
        <v>1341</v>
      </c>
      <c r="D997" t="s">
        <v>246</v>
      </c>
      <c r="E997" t="s">
        <v>15</v>
      </c>
      <c r="F997" t="s">
        <v>14</v>
      </c>
      <c r="G997" t="s">
        <v>34</v>
      </c>
      <c r="H997" t="s">
        <v>4489</v>
      </c>
      <c r="I997">
        <v>20.5</v>
      </c>
      <c r="J997">
        <v>1052</v>
      </c>
    </row>
    <row r="998" spans="1:10" x14ac:dyDescent="0.35">
      <c r="A998">
        <v>42380696</v>
      </c>
      <c r="B998" t="s">
        <v>1313</v>
      </c>
      <c r="C998" t="s">
        <v>1341</v>
      </c>
      <c r="D998" t="s">
        <v>246</v>
      </c>
      <c r="E998" t="s">
        <v>15</v>
      </c>
      <c r="F998" t="s">
        <v>14</v>
      </c>
      <c r="G998" t="s">
        <v>61</v>
      </c>
      <c r="H998" t="s">
        <v>4489</v>
      </c>
      <c r="I998">
        <v>20.5</v>
      </c>
      <c r="J998">
        <v>7</v>
      </c>
    </row>
    <row r="999" spans="1:10" x14ac:dyDescent="0.35">
      <c r="A999">
        <v>42380771</v>
      </c>
      <c r="B999" t="s">
        <v>1345</v>
      </c>
      <c r="C999" t="s">
        <v>1346</v>
      </c>
      <c r="D999" t="s">
        <v>705</v>
      </c>
      <c r="E999" t="s">
        <v>15</v>
      </c>
      <c r="F999" t="s">
        <v>14</v>
      </c>
      <c r="G999" t="s">
        <v>34</v>
      </c>
      <c r="H999" t="s">
        <v>4489</v>
      </c>
      <c r="I999">
        <v>20.5</v>
      </c>
      <c r="J999">
        <v>738</v>
      </c>
    </row>
    <row r="1000" spans="1:10" x14ac:dyDescent="0.35">
      <c r="A1000">
        <v>42381105</v>
      </c>
      <c r="B1000" t="s">
        <v>709</v>
      </c>
      <c r="C1000" t="s">
        <v>1341</v>
      </c>
      <c r="D1000" t="s">
        <v>14</v>
      </c>
      <c r="E1000" t="s">
        <v>15</v>
      </c>
      <c r="F1000" t="s">
        <v>14</v>
      </c>
      <c r="G1000" t="s">
        <v>34</v>
      </c>
      <c r="H1000" t="s">
        <v>4489</v>
      </c>
      <c r="I1000">
        <v>20.5</v>
      </c>
      <c r="J1000">
        <v>7649</v>
      </c>
    </row>
    <row r="1001" spans="1:10" x14ac:dyDescent="0.35">
      <c r="A1001">
        <v>42381198</v>
      </c>
      <c r="B1001" t="s">
        <v>1347</v>
      </c>
      <c r="C1001" t="s">
        <v>472</v>
      </c>
      <c r="D1001" t="s">
        <v>1348</v>
      </c>
      <c r="E1001" t="s">
        <v>15</v>
      </c>
      <c r="F1001" t="s">
        <v>14</v>
      </c>
      <c r="G1001" t="s">
        <v>31</v>
      </c>
      <c r="H1001" t="s">
        <v>4489</v>
      </c>
      <c r="J1001">
        <v>7</v>
      </c>
    </row>
    <row r="1002" spans="1:10" x14ac:dyDescent="0.35">
      <c r="A1002">
        <v>4251097412825</v>
      </c>
      <c r="B1002" t="s">
        <v>1335</v>
      </c>
      <c r="C1002" t="s">
        <v>91</v>
      </c>
      <c r="D1002" t="s">
        <v>1335</v>
      </c>
      <c r="E1002" t="s">
        <v>15</v>
      </c>
      <c r="F1002" t="s">
        <v>1336</v>
      </c>
      <c r="G1002" t="s">
        <v>22</v>
      </c>
      <c r="H1002" t="s">
        <v>4678</v>
      </c>
      <c r="J1002">
        <v>2</v>
      </c>
    </row>
    <row r="1003" spans="1:10" x14ac:dyDescent="0.35">
      <c r="A1003">
        <v>4260159441352</v>
      </c>
      <c r="B1003" t="s">
        <v>1349</v>
      </c>
      <c r="C1003">
        <v>0.6</v>
      </c>
      <c r="D1003" t="s">
        <v>124</v>
      </c>
      <c r="E1003" t="s">
        <v>921</v>
      </c>
      <c r="F1003" t="s">
        <v>922</v>
      </c>
      <c r="G1003" t="s">
        <v>921</v>
      </c>
      <c r="H1003" t="s">
        <v>4618</v>
      </c>
      <c r="J1003">
        <v>1</v>
      </c>
    </row>
    <row r="1004" spans="1:10" x14ac:dyDescent="0.35">
      <c r="A1004">
        <v>4260183331117</v>
      </c>
      <c r="B1004" t="s">
        <v>1351</v>
      </c>
      <c r="C1004" t="s">
        <v>472</v>
      </c>
      <c r="D1004" t="s">
        <v>1352</v>
      </c>
      <c r="E1004" t="s">
        <v>41</v>
      </c>
      <c r="F1004" t="s">
        <v>126</v>
      </c>
      <c r="G1004" t="s">
        <v>41</v>
      </c>
      <c r="H1004" t="s">
        <v>4511</v>
      </c>
      <c r="J1004">
        <v>42</v>
      </c>
    </row>
    <row r="1005" spans="1:10" x14ac:dyDescent="0.35">
      <c r="A1005">
        <v>4260183331124</v>
      </c>
      <c r="B1005" t="s">
        <v>1353</v>
      </c>
      <c r="C1005" t="s">
        <v>472</v>
      </c>
      <c r="D1005" t="s">
        <v>1352</v>
      </c>
      <c r="E1005" t="s">
        <v>41</v>
      </c>
      <c r="F1005" t="s">
        <v>126</v>
      </c>
      <c r="G1005" t="s">
        <v>41</v>
      </c>
      <c r="H1005" t="s">
        <v>4511</v>
      </c>
      <c r="J1005">
        <v>53</v>
      </c>
    </row>
    <row r="1006" spans="1:10" x14ac:dyDescent="0.35">
      <c r="A1006">
        <v>4260183331285</v>
      </c>
      <c r="B1006" t="s">
        <v>1354</v>
      </c>
      <c r="C1006" t="s">
        <v>472</v>
      </c>
      <c r="D1006" t="s">
        <v>1352</v>
      </c>
      <c r="E1006" t="s">
        <v>41</v>
      </c>
      <c r="F1006" t="s">
        <v>126</v>
      </c>
      <c r="G1006" t="s">
        <v>41</v>
      </c>
      <c r="H1006" t="s">
        <v>4511</v>
      </c>
      <c r="J1006">
        <v>559</v>
      </c>
    </row>
    <row r="1007" spans="1:10" x14ac:dyDescent="0.35">
      <c r="A1007">
        <v>4309720211113</v>
      </c>
      <c r="B1007" t="s">
        <v>1355</v>
      </c>
      <c r="C1007" t="s">
        <v>9</v>
      </c>
      <c r="D1007" t="s">
        <v>1356</v>
      </c>
      <c r="E1007" t="s">
        <v>308</v>
      </c>
      <c r="F1007" t="s">
        <v>309</v>
      </c>
      <c r="G1007" t="s">
        <v>34</v>
      </c>
      <c r="H1007" t="s">
        <v>4529</v>
      </c>
      <c r="J1007">
        <v>6</v>
      </c>
    </row>
    <row r="1008" spans="1:10" x14ac:dyDescent="0.35">
      <c r="A1008">
        <v>4321365465423</v>
      </c>
      <c r="B1008" t="s">
        <v>1357</v>
      </c>
      <c r="C1008" t="s">
        <v>38</v>
      </c>
      <c r="D1008" t="s">
        <v>1358</v>
      </c>
      <c r="E1008" t="s">
        <v>117</v>
      </c>
      <c r="F1008" t="s">
        <v>1359</v>
      </c>
      <c r="G1008" t="s">
        <v>117</v>
      </c>
      <c r="H1008" t="s">
        <v>4679</v>
      </c>
      <c r="J1008">
        <v>36</v>
      </c>
    </row>
    <row r="1009" spans="1:10" x14ac:dyDescent="0.35">
      <c r="A1009">
        <v>43891290</v>
      </c>
      <c r="B1009" t="s">
        <v>1360</v>
      </c>
      <c r="C1009" t="s">
        <v>1361</v>
      </c>
      <c r="D1009" t="s">
        <v>1362</v>
      </c>
      <c r="E1009" t="s">
        <v>130</v>
      </c>
      <c r="F1009" t="s">
        <v>220</v>
      </c>
      <c r="G1009" t="s">
        <v>41</v>
      </c>
      <c r="H1009" t="s">
        <v>4520</v>
      </c>
      <c r="J1009">
        <v>1</v>
      </c>
    </row>
    <row r="1010" spans="1:10" x14ac:dyDescent="0.35">
      <c r="A1010">
        <v>4416241863063</v>
      </c>
      <c r="B1010" t="s">
        <v>1363</v>
      </c>
      <c r="C1010" t="s">
        <v>472</v>
      </c>
      <c r="D1010" t="s">
        <v>1364</v>
      </c>
      <c r="E1010" t="s">
        <v>598</v>
      </c>
      <c r="F1010" t="s">
        <v>1365</v>
      </c>
      <c r="G1010" t="s">
        <v>598</v>
      </c>
      <c r="H1010" t="s">
        <v>4680</v>
      </c>
      <c r="J1010">
        <v>1</v>
      </c>
    </row>
    <row r="1011" spans="1:10" x14ac:dyDescent="0.35">
      <c r="A1011">
        <v>4442020112145</v>
      </c>
      <c r="B1011" t="s">
        <v>1366</v>
      </c>
      <c r="C1011" t="s">
        <v>9</v>
      </c>
      <c r="D1011" t="s">
        <v>452</v>
      </c>
      <c r="E1011" t="s">
        <v>15</v>
      </c>
      <c r="F1011" t="s">
        <v>14</v>
      </c>
      <c r="G1011" t="s">
        <v>61</v>
      </c>
      <c r="H1011" t="s">
        <v>4489</v>
      </c>
      <c r="J1011">
        <v>16</v>
      </c>
    </row>
    <row r="1012" spans="1:10" x14ac:dyDescent="0.35">
      <c r="A1012">
        <v>4471571908006</v>
      </c>
      <c r="B1012" t="s">
        <v>1367</v>
      </c>
      <c r="C1012" t="s">
        <v>94</v>
      </c>
      <c r="D1012" t="s">
        <v>337</v>
      </c>
      <c r="E1012" t="s">
        <v>22</v>
      </c>
      <c r="F1012" t="s">
        <v>338</v>
      </c>
      <c r="G1012" t="s">
        <v>22</v>
      </c>
      <c r="H1012" t="s">
        <v>4534</v>
      </c>
      <c r="J1012">
        <v>1</v>
      </c>
    </row>
    <row r="1013" spans="1:10" x14ac:dyDescent="0.35">
      <c r="A1013">
        <v>4777724000017</v>
      </c>
      <c r="B1013" t="s">
        <v>1368</v>
      </c>
      <c r="C1013" t="s">
        <v>110</v>
      </c>
      <c r="D1013" t="s">
        <v>1156</v>
      </c>
      <c r="E1013" t="s">
        <v>387</v>
      </c>
      <c r="F1013" t="s">
        <v>1157</v>
      </c>
      <c r="G1013" t="s">
        <v>387</v>
      </c>
      <c r="H1013" t="s">
        <v>4657</v>
      </c>
      <c r="J1013">
        <v>6</v>
      </c>
    </row>
    <row r="1014" spans="1:10" x14ac:dyDescent="0.35">
      <c r="A1014">
        <v>4779040220520</v>
      </c>
      <c r="B1014" t="s">
        <v>1369</v>
      </c>
      <c r="C1014" t="s">
        <v>192</v>
      </c>
      <c r="D1014" t="s">
        <v>1370</v>
      </c>
      <c r="E1014" t="s">
        <v>1371</v>
      </c>
      <c r="F1014" t="s">
        <v>1372</v>
      </c>
      <c r="G1014" t="s">
        <v>34</v>
      </c>
      <c r="H1014" t="s">
        <v>4681</v>
      </c>
      <c r="J1014">
        <v>15</v>
      </c>
    </row>
    <row r="1015" spans="1:10" x14ac:dyDescent="0.35">
      <c r="A1015">
        <v>4779040221060</v>
      </c>
      <c r="B1015" t="s">
        <v>1373</v>
      </c>
      <c r="C1015" t="s">
        <v>1374</v>
      </c>
      <c r="D1015" t="s">
        <v>1370</v>
      </c>
      <c r="E1015" t="s">
        <v>1371</v>
      </c>
      <c r="F1015" t="s">
        <v>1372</v>
      </c>
      <c r="G1015" t="s">
        <v>34</v>
      </c>
      <c r="H1015" t="s">
        <v>4681</v>
      </c>
      <c r="J1015">
        <v>10</v>
      </c>
    </row>
    <row r="1016" spans="1:10" x14ac:dyDescent="0.35">
      <c r="A1016">
        <v>4779040221060</v>
      </c>
      <c r="B1016" t="s">
        <v>1373</v>
      </c>
      <c r="C1016" t="s">
        <v>1374</v>
      </c>
      <c r="D1016" t="s">
        <v>1370</v>
      </c>
      <c r="E1016" t="s">
        <v>1371</v>
      </c>
      <c r="F1016" t="s">
        <v>1372</v>
      </c>
      <c r="G1016" t="s">
        <v>578</v>
      </c>
      <c r="H1016" t="s">
        <v>4681</v>
      </c>
      <c r="J1016">
        <v>1</v>
      </c>
    </row>
    <row r="1017" spans="1:10" x14ac:dyDescent="0.35">
      <c r="A1017">
        <v>4779040221091</v>
      </c>
      <c r="B1017" t="s">
        <v>1373</v>
      </c>
      <c r="C1017" t="s">
        <v>253</v>
      </c>
      <c r="D1017" t="s">
        <v>1370</v>
      </c>
      <c r="E1017" t="s">
        <v>1371</v>
      </c>
      <c r="F1017" t="s">
        <v>1372</v>
      </c>
      <c r="G1017" t="s">
        <v>578</v>
      </c>
      <c r="H1017" t="s">
        <v>4681</v>
      </c>
      <c r="J1017">
        <v>2</v>
      </c>
    </row>
    <row r="1018" spans="1:10" x14ac:dyDescent="0.35">
      <c r="A1018">
        <v>4779040221978</v>
      </c>
      <c r="B1018" t="s">
        <v>1375</v>
      </c>
      <c r="C1018" t="s">
        <v>9</v>
      </c>
      <c r="D1018" t="s">
        <v>1370</v>
      </c>
      <c r="E1018" t="s">
        <v>1371</v>
      </c>
      <c r="F1018" t="s">
        <v>1372</v>
      </c>
      <c r="G1018" t="s">
        <v>34</v>
      </c>
      <c r="H1018" t="s">
        <v>4681</v>
      </c>
      <c r="J1018">
        <v>2</v>
      </c>
    </row>
    <row r="1019" spans="1:10" x14ac:dyDescent="0.35">
      <c r="A1019">
        <v>4820196910015</v>
      </c>
      <c r="B1019" t="s">
        <v>1376</v>
      </c>
      <c r="C1019" t="s">
        <v>81</v>
      </c>
      <c r="D1019" t="s">
        <v>1377</v>
      </c>
      <c r="E1019" t="s">
        <v>1378</v>
      </c>
      <c r="F1019" t="s">
        <v>1379</v>
      </c>
      <c r="G1019" t="s">
        <v>34</v>
      </c>
      <c r="H1019" t="s">
        <v>4682</v>
      </c>
      <c r="J1019">
        <v>3</v>
      </c>
    </row>
    <row r="1020" spans="1:10" x14ac:dyDescent="0.35">
      <c r="A1020">
        <v>4820196910015</v>
      </c>
      <c r="B1020" t="s">
        <v>1376</v>
      </c>
      <c r="C1020" t="s">
        <v>81</v>
      </c>
      <c r="D1020" t="s">
        <v>1377</v>
      </c>
      <c r="E1020" t="s">
        <v>1378</v>
      </c>
      <c r="F1020" t="s">
        <v>1379</v>
      </c>
      <c r="G1020" t="s">
        <v>150</v>
      </c>
      <c r="H1020" t="s">
        <v>4682</v>
      </c>
      <c r="J1020">
        <v>37</v>
      </c>
    </row>
    <row r="1021" spans="1:10" x14ac:dyDescent="0.35">
      <c r="A1021">
        <v>4897057900065</v>
      </c>
      <c r="B1021" t="s">
        <v>920</v>
      </c>
      <c r="C1021" t="s">
        <v>114</v>
      </c>
      <c r="D1021" t="s">
        <v>1380</v>
      </c>
      <c r="E1021" t="s">
        <v>22</v>
      </c>
      <c r="F1021" t="s">
        <v>1381</v>
      </c>
      <c r="G1021" t="s">
        <v>921</v>
      </c>
      <c r="H1021" t="s">
        <v>4683</v>
      </c>
      <c r="J1021">
        <v>6</v>
      </c>
    </row>
    <row r="1022" spans="1:10" x14ac:dyDescent="0.35">
      <c r="A1022">
        <v>4897057900102</v>
      </c>
      <c r="B1022" t="s">
        <v>853</v>
      </c>
      <c r="C1022" t="s">
        <v>472</v>
      </c>
      <c r="D1022" t="s">
        <v>1382</v>
      </c>
      <c r="E1022" t="s">
        <v>308</v>
      </c>
      <c r="F1022" t="s">
        <v>309</v>
      </c>
      <c r="G1022" t="s">
        <v>921</v>
      </c>
      <c r="H1022" t="s">
        <v>4529</v>
      </c>
      <c r="J1022">
        <v>3</v>
      </c>
    </row>
    <row r="1023" spans="1:10" x14ac:dyDescent="0.35">
      <c r="A1023">
        <v>5000101168079</v>
      </c>
      <c r="B1023" t="s">
        <v>1383</v>
      </c>
      <c r="C1023" t="s">
        <v>81</v>
      </c>
      <c r="D1023" t="s">
        <v>1384</v>
      </c>
      <c r="E1023" t="s">
        <v>22</v>
      </c>
      <c r="F1023" t="s">
        <v>1385</v>
      </c>
      <c r="G1023" t="s">
        <v>22</v>
      </c>
      <c r="H1023" t="s">
        <v>4684</v>
      </c>
      <c r="J1023">
        <v>1</v>
      </c>
    </row>
    <row r="1024" spans="1:10" x14ac:dyDescent="0.35">
      <c r="A1024">
        <v>5000101213991</v>
      </c>
      <c r="B1024" t="s">
        <v>1386</v>
      </c>
      <c r="C1024" t="s">
        <v>9</v>
      </c>
      <c r="D1024" t="s">
        <v>1387</v>
      </c>
      <c r="E1024" t="s">
        <v>22</v>
      </c>
      <c r="F1024" t="s">
        <v>1388</v>
      </c>
      <c r="G1024" t="s">
        <v>34</v>
      </c>
      <c r="H1024" t="s">
        <v>4685</v>
      </c>
      <c r="J1024">
        <v>1</v>
      </c>
    </row>
    <row r="1025" spans="1:10" x14ac:dyDescent="0.35">
      <c r="A1025">
        <v>5000101514562</v>
      </c>
      <c r="B1025" t="s">
        <v>1389</v>
      </c>
      <c r="C1025" t="s">
        <v>9</v>
      </c>
      <c r="D1025" t="s">
        <v>1390</v>
      </c>
      <c r="E1025" t="s">
        <v>22</v>
      </c>
      <c r="F1025" t="s">
        <v>1388</v>
      </c>
      <c r="G1025" t="s">
        <v>22</v>
      </c>
      <c r="H1025" t="s">
        <v>4685</v>
      </c>
      <c r="J1025">
        <v>1</v>
      </c>
    </row>
    <row r="1026" spans="1:10" x14ac:dyDescent="0.35">
      <c r="A1026">
        <v>5000101799556</v>
      </c>
      <c r="B1026" t="s">
        <v>1391</v>
      </c>
      <c r="C1026" t="s">
        <v>272</v>
      </c>
      <c r="D1026" t="s">
        <v>1384</v>
      </c>
      <c r="E1026" t="s">
        <v>22</v>
      </c>
      <c r="F1026" t="s">
        <v>1385</v>
      </c>
      <c r="G1026" t="s">
        <v>22</v>
      </c>
      <c r="H1026" t="s">
        <v>4684</v>
      </c>
      <c r="J1026">
        <v>1</v>
      </c>
    </row>
    <row r="1027" spans="1:10" x14ac:dyDescent="0.35">
      <c r="A1027">
        <v>5000101991134</v>
      </c>
      <c r="B1027" t="s">
        <v>1392</v>
      </c>
      <c r="C1027" t="s">
        <v>38</v>
      </c>
      <c r="D1027" t="s">
        <v>1390</v>
      </c>
      <c r="E1027" t="s">
        <v>22</v>
      </c>
      <c r="F1027" t="s">
        <v>1388</v>
      </c>
      <c r="G1027" t="s">
        <v>11</v>
      </c>
      <c r="H1027" t="s">
        <v>4685</v>
      </c>
      <c r="J1027">
        <v>17</v>
      </c>
    </row>
    <row r="1028" spans="1:10" x14ac:dyDescent="0.35">
      <c r="A1028">
        <v>5000111046244</v>
      </c>
      <c r="B1028" t="s">
        <v>1393</v>
      </c>
      <c r="C1028" t="s">
        <v>1394</v>
      </c>
      <c r="D1028" t="s">
        <v>1393</v>
      </c>
      <c r="E1028" t="s">
        <v>15</v>
      </c>
      <c r="F1028" t="s">
        <v>1395</v>
      </c>
      <c r="G1028" t="s">
        <v>22</v>
      </c>
      <c r="H1028" t="s">
        <v>4686</v>
      </c>
      <c r="J1028">
        <v>3</v>
      </c>
    </row>
    <row r="1029" spans="1:10" x14ac:dyDescent="0.35">
      <c r="A1029">
        <v>5000111047517</v>
      </c>
      <c r="B1029" t="s">
        <v>1396</v>
      </c>
      <c r="C1029" t="s">
        <v>434</v>
      </c>
      <c r="D1029" t="s">
        <v>1393</v>
      </c>
      <c r="E1029" t="s">
        <v>15</v>
      </c>
      <c r="F1029" t="s">
        <v>1395</v>
      </c>
      <c r="G1029" t="s">
        <v>33</v>
      </c>
      <c r="H1029" t="s">
        <v>4686</v>
      </c>
      <c r="J1029">
        <v>50</v>
      </c>
    </row>
    <row r="1030" spans="1:10" x14ac:dyDescent="0.35">
      <c r="A1030">
        <v>5000111047517</v>
      </c>
      <c r="B1030" t="s">
        <v>1396</v>
      </c>
      <c r="C1030" t="s">
        <v>434</v>
      </c>
      <c r="D1030" t="s">
        <v>1393</v>
      </c>
      <c r="E1030" t="s">
        <v>15</v>
      </c>
      <c r="F1030" t="s">
        <v>1395</v>
      </c>
      <c r="G1030" t="s">
        <v>150</v>
      </c>
      <c r="H1030" t="s">
        <v>4686</v>
      </c>
      <c r="J1030">
        <v>2</v>
      </c>
    </row>
    <row r="1031" spans="1:10" x14ac:dyDescent="0.35">
      <c r="A1031">
        <v>5000112552218</v>
      </c>
      <c r="B1031" t="s">
        <v>709</v>
      </c>
      <c r="C1031" t="s">
        <v>1397</v>
      </c>
      <c r="D1031" t="s">
        <v>14</v>
      </c>
      <c r="E1031" t="s">
        <v>15</v>
      </c>
      <c r="F1031" t="s">
        <v>14</v>
      </c>
      <c r="G1031" t="s">
        <v>20</v>
      </c>
      <c r="H1031" t="s">
        <v>4489</v>
      </c>
      <c r="J1031">
        <v>1</v>
      </c>
    </row>
    <row r="1032" spans="1:10" x14ac:dyDescent="0.35">
      <c r="A1032">
        <v>5000112599725</v>
      </c>
      <c r="B1032" t="s">
        <v>1398</v>
      </c>
      <c r="C1032" t="s">
        <v>9</v>
      </c>
      <c r="D1032" t="s">
        <v>1399</v>
      </c>
      <c r="E1032" t="s">
        <v>15</v>
      </c>
      <c r="F1032" t="s">
        <v>14</v>
      </c>
      <c r="G1032" t="s">
        <v>22</v>
      </c>
      <c r="H1032" t="s">
        <v>4489</v>
      </c>
      <c r="J1032">
        <v>3</v>
      </c>
    </row>
    <row r="1033" spans="1:10" x14ac:dyDescent="0.35">
      <c r="A1033">
        <v>5000112599732</v>
      </c>
      <c r="B1033" t="s">
        <v>1400</v>
      </c>
      <c r="C1033" t="s">
        <v>9</v>
      </c>
      <c r="D1033" t="s">
        <v>1399</v>
      </c>
      <c r="E1033" t="s">
        <v>15</v>
      </c>
      <c r="F1033" t="s">
        <v>14</v>
      </c>
      <c r="G1033" t="s">
        <v>22</v>
      </c>
      <c r="H1033" t="s">
        <v>4489</v>
      </c>
      <c r="J1033">
        <v>2</v>
      </c>
    </row>
    <row r="1034" spans="1:10" x14ac:dyDescent="0.35">
      <c r="A1034">
        <v>5000112629101</v>
      </c>
      <c r="B1034" t="s">
        <v>1401</v>
      </c>
      <c r="C1034" t="s">
        <v>9</v>
      </c>
      <c r="D1034" t="s">
        <v>707</v>
      </c>
      <c r="E1034" t="s">
        <v>15</v>
      </c>
      <c r="F1034" t="s">
        <v>14</v>
      </c>
      <c r="G1034" t="s">
        <v>22</v>
      </c>
      <c r="H1034" t="s">
        <v>4489</v>
      </c>
      <c r="J1034">
        <v>1</v>
      </c>
    </row>
    <row r="1035" spans="1:10" x14ac:dyDescent="0.35">
      <c r="A1035">
        <v>5000112644890</v>
      </c>
      <c r="B1035" t="s">
        <v>1016</v>
      </c>
      <c r="C1035" t="s">
        <v>9</v>
      </c>
      <c r="D1035" t="s">
        <v>14</v>
      </c>
      <c r="E1035" t="s">
        <v>15</v>
      </c>
      <c r="F1035" t="s">
        <v>14</v>
      </c>
      <c r="G1035" t="s">
        <v>22</v>
      </c>
      <c r="H1035" t="s">
        <v>4489</v>
      </c>
      <c r="J1035">
        <v>2</v>
      </c>
    </row>
    <row r="1036" spans="1:10" x14ac:dyDescent="0.35">
      <c r="A1036">
        <v>5000112649864</v>
      </c>
      <c r="B1036" t="s">
        <v>709</v>
      </c>
      <c r="C1036" t="s">
        <v>9</v>
      </c>
      <c r="D1036" t="s">
        <v>14</v>
      </c>
      <c r="E1036" t="s">
        <v>15</v>
      </c>
      <c r="F1036" t="s">
        <v>14</v>
      </c>
      <c r="G1036" t="s">
        <v>22</v>
      </c>
      <c r="H1036" t="s">
        <v>4489</v>
      </c>
      <c r="J1036">
        <v>1</v>
      </c>
    </row>
    <row r="1037" spans="1:10" x14ac:dyDescent="0.35">
      <c r="A1037">
        <v>5000112649864</v>
      </c>
      <c r="B1037" t="s">
        <v>709</v>
      </c>
      <c r="C1037" t="s">
        <v>9</v>
      </c>
      <c r="D1037" t="s">
        <v>14</v>
      </c>
      <c r="E1037" t="s">
        <v>15</v>
      </c>
      <c r="F1037" t="s">
        <v>14</v>
      </c>
      <c r="G1037" t="s">
        <v>150</v>
      </c>
      <c r="H1037" t="s">
        <v>4489</v>
      </c>
      <c r="J1037">
        <v>1</v>
      </c>
    </row>
    <row r="1038" spans="1:10" x14ac:dyDescent="0.35">
      <c r="A1038">
        <v>5000112649871</v>
      </c>
      <c r="B1038" t="s">
        <v>250</v>
      </c>
      <c r="C1038" t="s">
        <v>9</v>
      </c>
      <c r="D1038" t="s">
        <v>14</v>
      </c>
      <c r="E1038" t="s">
        <v>15</v>
      </c>
      <c r="F1038" t="s">
        <v>14</v>
      </c>
      <c r="G1038" t="s">
        <v>22</v>
      </c>
      <c r="H1038" t="s">
        <v>4489</v>
      </c>
      <c r="J1038">
        <v>1</v>
      </c>
    </row>
    <row r="1039" spans="1:10" x14ac:dyDescent="0.35">
      <c r="A1039">
        <v>5000112649895</v>
      </c>
      <c r="B1039" t="s">
        <v>1402</v>
      </c>
      <c r="C1039" t="s">
        <v>9</v>
      </c>
      <c r="D1039" t="s">
        <v>246</v>
      </c>
      <c r="E1039" t="s">
        <v>15</v>
      </c>
      <c r="F1039" t="s">
        <v>14</v>
      </c>
      <c r="G1039" t="s">
        <v>22</v>
      </c>
      <c r="H1039" t="s">
        <v>4489</v>
      </c>
      <c r="J1039">
        <v>1</v>
      </c>
    </row>
    <row r="1040" spans="1:10" x14ac:dyDescent="0.35">
      <c r="A1040">
        <v>5000112649918</v>
      </c>
      <c r="B1040" t="s">
        <v>1403</v>
      </c>
      <c r="C1040" t="s">
        <v>9</v>
      </c>
      <c r="D1040" t="s">
        <v>246</v>
      </c>
      <c r="E1040" t="s">
        <v>15</v>
      </c>
      <c r="F1040" t="s">
        <v>14</v>
      </c>
      <c r="G1040" t="s">
        <v>22</v>
      </c>
      <c r="H1040" t="s">
        <v>4489</v>
      </c>
      <c r="J1040">
        <v>1</v>
      </c>
    </row>
    <row r="1041" spans="1:10" x14ac:dyDescent="0.35">
      <c r="A1041">
        <v>5000112649932</v>
      </c>
      <c r="B1041" t="s">
        <v>167</v>
      </c>
      <c r="C1041" t="s">
        <v>9</v>
      </c>
      <c r="D1041" t="s">
        <v>246</v>
      </c>
      <c r="E1041" t="s">
        <v>15</v>
      </c>
      <c r="F1041" t="s">
        <v>14</v>
      </c>
      <c r="G1041" t="s">
        <v>22</v>
      </c>
      <c r="H1041" t="s">
        <v>4489</v>
      </c>
      <c r="J1041">
        <v>10</v>
      </c>
    </row>
    <row r="1042" spans="1:10" x14ac:dyDescent="0.35">
      <c r="A1042">
        <v>5000112649932</v>
      </c>
      <c r="B1042" t="s">
        <v>167</v>
      </c>
      <c r="C1042" t="s">
        <v>9</v>
      </c>
      <c r="D1042" t="s">
        <v>246</v>
      </c>
      <c r="E1042" t="s">
        <v>15</v>
      </c>
      <c r="F1042" t="s">
        <v>14</v>
      </c>
      <c r="G1042" t="s">
        <v>31</v>
      </c>
      <c r="H1042" t="s">
        <v>4489</v>
      </c>
      <c r="J1042">
        <v>1</v>
      </c>
    </row>
    <row r="1043" spans="1:10" x14ac:dyDescent="0.35">
      <c r="A1043">
        <v>5000112649956</v>
      </c>
      <c r="B1043" t="s">
        <v>1404</v>
      </c>
      <c r="C1043" t="s">
        <v>9</v>
      </c>
      <c r="D1043" t="s">
        <v>140</v>
      </c>
      <c r="E1043" t="s">
        <v>15</v>
      </c>
      <c r="F1043" t="s">
        <v>25</v>
      </c>
      <c r="G1043" t="s">
        <v>22</v>
      </c>
      <c r="H1043" t="s">
        <v>4491</v>
      </c>
      <c r="J1043">
        <v>1</v>
      </c>
    </row>
    <row r="1044" spans="1:10" x14ac:dyDescent="0.35">
      <c r="A1044">
        <v>5000112662092</v>
      </c>
      <c r="B1044" t="s">
        <v>14</v>
      </c>
      <c r="C1044" t="s">
        <v>1405</v>
      </c>
      <c r="D1044" t="s">
        <v>14</v>
      </c>
      <c r="E1044" t="s">
        <v>15</v>
      </c>
      <c r="F1044" t="s">
        <v>14</v>
      </c>
      <c r="G1044" t="s">
        <v>22</v>
      </c>
      <c r="H1044" t="s">
        <v>4489</v>
      </c>
      <c r="J1044">
        <v>1</v>
      </c>
    </row>
    <row r="1045" spans="1:10" x14ac:dyDescent="0.35">
      <c r="A1045">
        <v>5000112663938</v>
      </c>
      <c r="B1045" t="s">
        <v>1406</v>
      </c>
      <c r="C1045" t="s">
        <v>603</v>
      </c>
      <c r="D1045" t="s">
        <v>14</v>
      </c>
      <c r="E1045" t="s">
        <v>15</v>
      </c>
      <c r="F1045" t="s">
        <v>14</v>
      </c>
      <c r="G1045" t="s">
        <v>22</v>
      </c>
      <c r="H1045" t="s">
        <v>4489</v>
      </c>
      <c r="J1045">
        <v>1</v>
      </c>
    </row>
    <row r="1046" spans="1:10" x14ac:dyDescent="0.35">
      <c r="A1046">
        <v>5000112663952</v>
      </c>
      <c r="B1046" t="s">
        <v>1407</v>
      </c>
      <c r="C1046" t="s">
        <v>9</v>
      </c>
      <c r="D1046" t="s">
        <v>14</v>
      </c>
      <c r="E1046" t="s">
        <v>15</v>
      </c>
      <c r="F1046" t="s">
        <v>14</v>
      </c>
      <c r="G1046" t="s">
        <v>22</v>
      </c>
      <c r="H1046" t="s">
        <v>4489</v>
      </c>
      <c r="J1046">
        <v>1</v>
      </c>
    </row>
    <row r="1047" spans="1:10" x14ac:dyDescent="0.35">
      <c r="A1047">
        <v>5000112664270</v>
      </c>
      <c r="B1047" t="s">
        <v>1408</v>
      </c>
      <c r="C1047" t="s">
        <v>9</v>
      </c>
      <c r="D1047" t="s">
        <v>140</v>
      </c>
      <c r="E1047" t="s">
        <v>15</v>
      </c>
      <c r="F1047" t="s">
        <v>25</v>
      </c>
      <c r="G1047" t="s">
        <v>22</v>
      </c>
      <c r="H1047" t="s">
        <v>4491</v>
      </c>
      <c r="J1047">
        <v>1</v>
      </c>
    </row>
    <row r="1048" spans="1:10" x14ac:dyDescent="0.35">
      <c r="A1048">
        <v>5000118047794</v>
      </c>
      <c r="B1048" t="s">
        <v>1409</v>
      </c>
      <c r="C1048" t="s">
        <v>9</v>
      </c>
      <c r="D1048" t="s">
        <v>1302</v>
      </c>
      <c r="E1048" t="s">
        <v>22</v>
      </c>
      <c r="F1048" t="s">
        <v>361</v>
      </c>
      <c r="G1048" t="s">
        <v>22</v>
      </c>
      <c r="H1048" t="s">
        <v>4539</v>
      </c>
      <c r="J1048">
        <v>1</v>
      </c>
    </row>
    <row r="1049" spans="1:10" x14ac:dyDescent="0.35">
      <c r="A1049">
        <v>5000118047817</v>
      </c>
      <c r="B1049" t="s">
        <v>1410</v>
      </c>
      <c r="C1049" t="s">
        <v>9</v>
      </c>
      <c r="D1049" t="s">
        <v>1302</v>
      </c>
      <c r="E1049" t="s">
        <v>22</v>
      </c>
      <c r="F1049" t="s">
        <v>361</v>
      </c>
      <c r="G1049" t="s">
        <v>22</v>
      </c>
      <c r="H1049" t="s">
        <v>4539</v>
      </c>
      <c r="J1049">
        <v>5</v>
      </c>
    </row>
    <row r="1050" spans="1:10" x14ac:dyDescent="0.35">
      <c r="A1050">
        <v>5000118047817</v>
      </c>
      <c r="B1050" t="s">
        <v>1410</v>
      </c>
      <c r="C1050" t="s">
        <v>9</v>
      </c>
      <c r="D1050" t="s">
        <v>1302</v>
      </c>
      <c r="E1050" t="s">
        <v>22</v>
      </c>
      <c r="F1050" t="s">
        <v>361</v>
      </c>
      <c r="G1050" t="s">
        <v>34</v>
      </c>
      <c r="H1050" t="s">
        <v>4539</v>
      </c>
      <c r="J1050">
        <v>1</v>
      </c>
    </row>
    <row r="1051" spans="1:10" x14ac:dyDescent="0.35">
      <c r="A1051">
        <v>5000118061905</v>
      </c>
      <c r="B1051" t="s">
        <v>1411</v>
      </c>
      <c r="C1051" t="s">
        <v>9</v>
      </c>
      <c r="D1051" t="s">
        <v>1302</v>
      </c>
      <c r="E1051" t="s">
        <v>22</v>
      </c>
      <c r="F1051" t="s">
        <v>361</v>
      </c>
      <c r="G1051" t="s">
        <v>22</v>
      </c>
      <c r="H1051" t="s">
        <v>4539</v>
      </c>
      <c r="J1051">
        <v>1</v>
      </c>
    </row>
    <row r="1052" spans="1:10" x14ac:dyDescent="0.35">
      <c r="A1052">
        <v>5000119131829</v>
      </c>
      <c r="B1052" t="s">
        <v>1412</v>
      </c>
      <c r="C1052" t="s">
        <v>1296</v>
      </c>
      <c r="D1052" t="s">
        <v>432</v>
      </c>
      <c r="E1052" t="s">
        <v>22</v>
      </c>
      <c r="F1052" t="s">
        <v>64</v>
      </c>
      <c r="G1052" t="s">
        <v>22</v>
      </c>
      <c r="H1052" t="s">
        <v>4499</v>
      </c>
      <c r="J1052">
        <v>1</v>
      </c>
    </row>
    <row r="1053" spans="1:10" x14ac:dyDescent="0.35">
      <c r="A1053">
        <v>5000128008792</v>
      </c>
      <c r="B1053" t="s">
        <v>1413</v>
      </c>
      <c r="C1053" t="s">
        <v>78</v>
      </c>
      <c r="D1053" t="s">
        <v>426</v>
      </c>
      <c r="E1053" t="s">
        <v>22</v>
      </c>
      <c r="F1053" t="s">
        <v>427</v>
      </c>
      <c r="G1053" t="s">
        <v>22</v>
      </c>
      <c r="H1053" t="s">
        <v>4551</v>
      </c>
      <c r="J1053">
        <v>1</v>
      </c>
    </row>
    <row r="1054" spans="1:10" x14ac:dyDescent="0.35">
      <c r="A1054">
        <v>5000128280679</v>
      </c>
      <c r="B1054" t="s">
        <v>784</v>
      </c>
      <c r="C1054" t="s">
        <v>1414</v>
      </c>
      <c r="D1054" t="s">
        <v>426</v>
      </c>
      <c r="E1054" t="s">
        <v>22</v>
      </c>
      <c r="F1054" t="s">
        <v>427</v>
      </c>
      <c r="G1054" t="s">
        <v>22</v>
      </c>
      <c r="H1054" t="s">
        <v>4551</v>
      </c>
      <c r="J1054">
        <v>1</v>
      </c>
    </row>
    <row r="1055" spans="1:10" x14ac:dyDescent="0.35">
      <c r="A1055">
        <v>5000128372350</v>
      </c>
      <c r="B1055" t="s">
        <v>1415</v>
      </c>
      <c r="C1055" t="s">
        <v>268</v>
      </c>
      <c r="D1055" t="s">
        <v>426</v>
      </c>
      <c r="E1055" t="s">
        <v>22</v>
      </c>
      <c r="F1055" t="s">
        <v>427</v>
      </c>
      <c r="G1055" t="s">
        <v>22</v>
      </c>
      <c r="H1055" t="s">
        <v>4551</v>
      </c>
      <c r="J1055">
        <v>1</v>
      </c>
    </row>
    <row r="1056" spans="1:10" x14ac:dyDescent="0.35">
      <c r="A1056">
        <v>5000128447607</v>
      </c>
      <c r="B1056" t="s">
        <v>1416</v>
      </c>
      <c r="C1056" t="s">
        <v>919</v>
      </c>
      <c r="D1056" t="s">
        <v>426</v>
      </c>
      <c r="E1056" t="s">
        <v>22</v>
      </c>
      <c r="F1056" t="s">
        <v>427</v>
      </c>
      <c r="G1056" t="s">
        <v>22</v>
      </c>
      <c r="H1056" t="s">
        <v>4551</v>
      </c>
      <c r="J1056">
        <v>1</v>
      </c>
    </row>
    <row r="1057" spans="1:10" x14ac:dyDescent="0.35">
      <c r="A1057">
        <v>5000128503679</v>
      </c>
      <c r="B1057" t="s">
        <v>1417</v>
      </c>
      <c r="C1057" t="s">
        <v>78</v>
      </c>
      <c r="D1057" t="s">
        <v>426</v>
      </c>
      <c r="E1057" t="s">
        <v>22</v>
      </c>
      <c r="F1057" t="s">
        <v>427</v>
      </c>
      <c r="G1057" t="s">
        <v>22</v>
      </c>
      <c r="H1057" t="s">
        <v>4551</v>
      </c>
      <c r="J1057">
        <v>2</v>
      </c>
    </row>
    <row r="1058" spans="1:10" x14ac:dyDescent="0.35">
      <c r="A1058">
        <v>5000128519212</v>
      </c>
      <c r="B1058" t="s">
        <v>668</v>
      </c>
      <c r="C1058" t="s">
        <v>78</v>
      </c>
      <c r="D1058" t="s">
        <v>426</v>
      </c>
      <c r="E1058" t="s">
        <v>22</v>
      </c>
      <c r="F1058" t="s">
        <v>427</v>
      </c>
      <c r="G1058" t="s">
        <v>22</v>
      </c>
      <c r="H1058" t="s">
        <v>4551</v>
      </c>
      <c r="J1058">
        <v>1</v>
      </c>
    </row>
    <row r="1059" spans="1:10" x14ac:dyDescent="0.35">
      <c r="A1059">
        <v>5000128580915</v>
      </c>
      <c r="B1059" t="s">
        <v>1418</v>
      </c>
      <c r="C1059" t="s">
        <v>78</v>
      </c>
      <c r="D1059" t="s">
        <v>426</v>
      </c>
      <c r="E1059" t="s">
        <v>22</v>
      </c>
      <c r="F1059" t="s">
        <v>427</v>
      </c>
      <c r="G1059" t="s">
        <v>22</v>
      </c>
      <c r="H1059" t="s">
        <v>4551</v>
      </c>
      <c r="J1059">
        <v>2</v>
      </c>
    </row>
    <row r="1060" spans="1:10" x14ac:dyDescent="0.35">
      <c r="A1060">
        <v>5000128580984</v>
      </c>
      <c r="B1060" t="s">
        <v>119</v>
      </c>
      <c r="C1060" t="s">
        <v>75</v>
      </c>
      <c r="D1060" t="s">
        <v>426</v>
      </c>
      <c r="E1060" t="s">
        <v>22</v>
      </c>
      <c r="F1060" t="s">
        <v>427</v>
      </c>
      <c r="G1060" t="s">
        <v>22</v>
      </c>
      <c r="H1060" t="s">
        <v>4551</v>
      </c>
      <c r="J1060">
        <v>1</v>
      </c>
    </row>
    <row r="1061" spans="1:10" x14ac:dyDescent="0.35">
      <c r="A1061">
        <v>5000128581042</v>
      </c>
      <c r="B1061" t="s">
        <v>1419</v>
      </c>
      <c r="C1061" t="s">
        <v>253</v>
      </c>
      <c r="D1061" t="s">
        <v>426</v>
      </c>
      <c r="E1061" t="s">
        <v>22</v>
      </c>
      <c r="F1061" t="s">
        <v>427</v>
      </c>
      <c r="G1061" t="s">
        <v>22</v>
      </c>
      <c r="H1061" t="s">
        <v>4551</v>
      </c>
      <c r="J1061">
        <v>5</v>
      </c>
    </row>
    <row r="1062" spans="1:10" x14ac:dyDescent="0.35">
      <c r="A1062">
        <v>5000128606981</v>
      </c>
      <c r="B1062" t="s">
        <v>1420</v>
      </c>
      <c r="C1062" t="s">
        <v>78</v>
      </c>
      <c r="D1062" t="s">
        <v>426</v>
      </c>
      <c r="E1062" t="s">
        <v>22</v>
      </c>
      <c r="F1062" t="s">
        <v>427</v>
      </c>
      <c r="G1062" t="s">
        <v>22</v>
      </c>
      <c r="H1062" t="s">
        <v>4551</v>
      </c>
      <c r="J1062">
        <v>1</v>
      </c>
    </row>
    <row r="1063" spans="1:10" x14ac:dyDescent="0.35">
      <c r="A1063">
        <v>5000128626170</v>
      </c>
      <c r="B1063" t="s">
        <v>1421</v>
      </c>
      <c r="C1063" t="s">
        <v>1422</v>
      </c>
      <c r="D1063" t="s">
        <v>426</v>
      </c>
      <c r="E1063" t="s">
        <v>22</v>
      </c>
      <c r="F1063" t="s">
        <v>427</v>
      </c>
      <c r="G1063" t="s">
        <v>22</v>
      </c>
      <c r="H1063" t="s">
        <v>4551</v>
      </c>
      <c r="J1063">
        <v>1</v>
      </c>
    </row>
    <row r="1064" spans="1:10" x14ac:dyDescent="0.35">
      <c r="A1064">
        <v>5000128652797</v>
      </c>
      <c r="B1064" t="s">
        <v>1423</v>
      </c>
      <c r="C1064" t="s">
        <v>9</v>
      </c>
      <c r="D1064" t="s">
        <v>426</v>
      </c>
      <c r="E1064" t="s">
        <v>22</v>
      </c>
      <c r="F1064" t="s">
        <v>427</v>
      </c>
      <c r="G1064" t="s">
        <v>22</v>
      </c>
      <c r="H1064" t="s">
        <v>4551</v>
      </c>
      <c r="J1064">
        <v>2</v>
      </c>
    </row>
    <row r="1065" spans="1:10" x14ac:dyDescent="0.35">
      <c r="A1065">
        <v>5000128670210</v>
      </c>
      <c r="B1065" t="s">
        <v>1424</v>
      </c>
      <c r="C1065" t="s">
        <v>78</v>
      </c>
      <c r="D1065" t="s">
        <v>426</v>
      </c>
      <c r="E1065" t="s">
        <v>22</v>
      </c>
      <c r="F1065" t="s">
        <v>427</v>
      </c>
      <c r="G1065" t="s">
        <v>22</v>
      </c>
      <c r="H1065" t="s">
        <v>4551</v>
      </c>
      <c r="J1065">
        <v>1</v>
      </c>
    </row>
    <row r="1066" spans="1:10" x14ac:dyDescent="0.35">
      <c r="A1066">
        <v>5000128740241</v>
      </c>
      <c r="B1066" t="s">
        <v>1425</v>
      </c>
      <c r="C1066" t="s">
        <v>326</v>
      </c>
      <c r="D1066" t="s">
        <v>426</v>
      </c>
      <c r="E1066" t="s">
        <v>22</v>
      </c>
      <c r="F1066" t="s">
        <v>427</v>
      </c>
      <c r="G1066" t="s">
        <v>22</v>
      </c>
      <c r="H1066" t="s">
        <v>4551</v>
      </c>
      <c r="J1066">
        <v>1</v>
      </c>
    </row>
    <row r="1067" spans="1:10" x14ac:dyDescent="0.35">
      <c r="A1067">
        <v>5000128766562</v>
      </c>
      <c r="B1067" t="s">
        <v>1415</v>
      </c>
      <c r="C1067" t="s">
        <v>1426</v>
      </c>
      <c r="D1067" t="s">
        <v>426</v>
      </c>
      <c r="E1067" t="s">
        <v>22</v>
      </c>
      <c r="F1067" t="s">
        <v>427</v>
      </c>
      <c r="G1067" t="s">
        <v>22</v>
      </c>
      <c r="H1067" t="s">
        <v>4551</v>
      </c>
      <c r="J1067">
        <v>4</v>
      </c>
    </row>
    <row r="1068" spans="1:10" x14ac:dyDescent="0.35">
      <c r="A1068">
        <v>5000128767927</v>
      </c>
      <c r="B1068" t="s">
        <v>1427</v>
      </c>
      <c r="C1068" t="s">
        <v>1426</v>
      </c>
      <c r="D1068" t="s">
        <v>426</v>
      </c>
      <c r="E1068" t="s">
        <v>22</v>
      </c>
      <c r="F1068" t="s">
        <v>427</v>
      </c>
      <c r="G1068" t="s">
        <v>22</v>
      </c>
      <c r="H1068" t="s">
        <v>4551</v>
      </c>
      <c r="J1068">
        <v>1</v>
      </c>
    </row>
    <row r="1069" spans="1:10" x14ac:dyDescent="0.35">
      <c r="A1069">
        <v>5000128767941</v>
      </c>
      <c r="B1069" t="s">
        <v>1428</v>
      </c>
      <c r="C1069" t="s">
        <v>1426</v>
      </c>
      <c r="D1069" t="s">
        <v>426</v>
      </c>
      <c r="E1069" t="s">
        <v>22</v>
      </c>
      <c r="F1069" t="s">
        <v>427</v>
      </c>
      <c r="G1069" t="s">
        <v>22</v>
      </c>
      <c r="H1069" t="s">
        <v>4551</v>
      </c>
      <c r="J1069">
        <v>2</v>
      </c>
    </row>
    <row r="1070" spans="1:10" x14ac:dyDescent="0.35">
      <c r="A1070">
        <v>5000147030125</v>
      </c>
      <c r="B1070" t="s">
        <v>1429</v>
      </c>
      <c r="C1070" t="s">
        <v>81</v>
      </c>
      <c r="D1070" t="s">
        <v>1430</v>
      </c>
      <c r="E1070" t="s">
        <v>22</v>
      </c>
      <c r="F1070" t="s">
        <v>121</v>
      </c>
      <c r="G1070" t="s">
        <v>22</v>
      </c>
      <c r="H1070" t="s">
        <v>4510</v>
      </c>
      <c r="J1070">
        <v>4</v>
      </c>
    </row>
    <row r="1071" spans="1:10" x14ac:dyDescent="0.35">
      <c r="A1071">
        <v>5000147030149</v>
      </c>
      <c r="B1071" t="s">
        <v>1431</v>
      </c>
      <c r="C1071" t="s">
        <v>110</v>
      </c>
      <c r="D1071" t="s">
        <v>1430</v>
      </c>
      <c r="E1071" t="s">
        <v>22</v>
      </c>
      <c r="F1071" t="s">
        <v>121</v>
      </c>
      <c r="G1071" t="s">
        <v>22</v>
      </c>
      <c r="H1071" t="s">
        <v>4510</v>
      </c>
      <c r="J1071">
        <v>1</v>
      </c>
    </row>
    <row r="1072" spans="1:10" x14ac:dyDescent="0.35">
      <c r="A1072">
        <v>5000159376655</v>
      </c>
      <c r="B1072" t="s">
        <v>1432</v>
      </c>
      <c r="C1072" t="s">
        <v>1433</v>
      </c>
      <c r="D1072" t="s">
        <v>1257</v>
      </c>
      <c r="E1072" t="s">
        <v>15</v>
      </c>
      <c r="F1072" t="s">
        <v>1227</v>
      </c>
      <c r="G1072" t="s">
        <v>34</v>
      </c>
      <c r="H1072" t="s">
        <v>4668</v>
      </c>
      <c r="J1072">
        <v>1</v>
      </c>
    </row>
    <row r="1073" spans="1:10" x14ac:dyDescent="0.35">
      <c r="A1073">
        <v>5000159393928</v>
      </c>
      <c r="B1073" t="s">
        <v>1434</v>
      </c>
      <c r="C1073" t="s">
        <v>1435</v>
      </c>
      <c r="D1073" t="s">
        <v>1436</v>
      </c>
      <c r="E1073" t="s">
        <v>15</v>
      </c>
      <c r="F1073" t="s">
        <v>1227</v>
      </c>
      <c r="G1073" t="s">
        <v>22</v>
      </c>
      <c r="H1073" t="s">
        <v>4668</v>
      </c>
      <c r="J1073">
        <v>1</v>
      </c>
    </row>
    <row r="1074" spans="1:10" x14ac:dyDescent="0.35">
      <c r="A1074">
        <v>5000159462143</v>
      </c>
      <c r="B1074" t="s">
        <v>1437</v>
      </c>
      <c r="C1074" t="s">
        <v>1175</v>
      </c>
      <c r="D1074" t="s">
        <v>1438</v>
      </c>
      <c r="E1074" t="s">
        <v>15</v>
      </c>
      <c r="F1074" t="s">
        <v>1227</v>
      </c>
      <c r="G1074" t="s">
        <v>22</v>
      </c>
      <c r="H1074" t="s">
        <v>4668</v>
      </c>
      <c r="J1074">
        <v>1</v>
      </c>
    </row>
    <row r="1075" spans="1:10" x14ac:dyDescent="0.35">
      <c r="A1075">
        <v>5000159538749</v>
      </c>
      <c r="B1075" t="s">
        <v>1439</v>
      </c>
      <c r="C1075" t="s">
        <v>94</v>
      </c>
      <c r="D1075" t="s">
        <v>1440</v>
      </c>
      <c r="E1075" t="s">
        <v>15</v>
      </c>
      <c r="F1075" t="s">
        <v>1227</v>
      </c>
      <c r="G1075" t="s">
        <v>22</v>
      </c>
      <c r="H1075" t="s">
        <v>4668</v>
      </c>
      <c r="J1075">
        <v>1</v>
      </c>
    </row>
    <row r="1076" spans="1:10" x14ac:dyDescent="0.35">
      <c r="A1076">
        <v>5000160226284</v>
      </c>
      <c r="B1076" t="s">
        <v>1441</v>
      </c>
      <c r="C1076" t="s">
        <v>81</v>
      </c>
      <c r="D1076" t="s">
        <v>337</v>
      </c>
      <c r="E1076" t="s">
        <v>22</v>
      </c>
      <c r="F1076" t="s">
        <v>338</v>
      </c>
      <c r="G1076" t="s">
        <v>22</v>
      </c>
      <c r="H1076" t="s">
        <v>4534</v>
      </c>
      <c r="J1076">
        <v>1</v>
      </c>
    </row>
    <row r="1077" spans="1:10" x14ac:dyDescent="0.35">
      <c r="A1077">
        <v>5000167022667</v>
      </c>
      <c r="B1077" t="s">
        <v>1442</v>
      </c>
      <c r="C1077" t="s">
        <v>9</v>
      </c>
      <c r="D1077" t="s">
        <v>1443</v>
      </c>
      <c r="E1077" t="s">
        <v>308</v>
      </c>
      <c r="F1077" t="s">
        <v>309</v>
      </c>
      <c r="G1077" t="s">
        <v>22</v>
      </c>
      <c r="H1077" t="s">
        <v>4529</v>
      </c>
      <c r="J1077">
        <v>1</v>
      </c>
    </row>
    <row r="1078" spans="1:10" x14ac:dyDescent="0.35">
      <c r="A1078">
        <v>5000168036755</v>
      </c>
      <c r="B1078" t="s">
        <v>1444</v>
      </c>
      <c r="C1078" t="s">
        <v>559</v>
      </c>
      <c r="D1078" t="s">
        <v>1445</v>
      </c>
      <c r="E1078" t="s">
        <v>22</v>
      </c>
      <c r="F1078" t="s">
        <v>1446</v>
      </c>
      <c r="G1078" t="s">
        <v>22</v>
      </c>
      <c r="H1078" t="s">
        <v>4687</v>
      </c>
      <c r="J1078">
        <v>1</v>
      </c>
    </row>
    <row r="1079" spans="1:10" x14ac:dyDescent="0.35">
      <c r="A1079">
        <v>5000169009352</v>
      </c>
      <c r="B1079" t="s">
        <v>119</v>
      </c>
      <c r="C1079" t="s">
        <v>78</v>
      </c>
      <c r="D1079" t="s">
        <v>337</v>
      </c>
      <c r="E1079" t="s">
        <v>22</v>
      </c>
      <c r="F1079" t="s">
        <v>338</v>
      </c>
      <c r="G1079" t="s">
        <v>22</v>
      </c>
      <c r="H1079" t="s">
        <v>4534</v>
      </c>
      <c r="J1079">
        <v>1</v>
      </c>
    </row>
    <row r="1080" spans="1:10" x14ac:dyDescent="0.35">
      <c r="A1080">
        <v>5000169009383</v>
      </c>
      <c r="B1080" t="s">
        <v>119</v>
      </c>
      <c r="C1080" t="s">
        <v>9</v>
      </c>
      <c r="D1080" t="s">
        <v>337</v>
      </c>
      <c r="E1080" t="s">
        <v>22</v>
      </c>
      <c r="F1080" t="s">
        <v>338</v>
      </c>
      <c r="G1080" t="s">
        <v>22</v>
      </c>
      <c r="H1080" t="s">
        <v>4534</v>
      </c>
      <c r="J1080">
        <v>1</v>
      </c>
    </row>
    <row r="1081" spans="1:10" x14ac:dyDescent="0.35">
      <c r="A1081">
        <v>5000169009383</v>
      </c>
      <c r="B1081" t="s">
        <v>119</v>
      </c>
      <c r="C1081" t="s">
        <v>9</v>
      </c>
      <c r="D1081" t="s">
        <v>337</v>
      </c>
      <c r="E1081" t="s">
        <v>22</v>
      </c>
      <c r="F1081" t="s">
        <v>338</v>
      </c>
      <c r="G1081" t="s">
        <v>150</v>
      </c>
      <c r="H1081" t="s">
        <v>4534</v>
      </c>
      <c r="J1081">
        <v>1</v>
      </c>
    </row>
    <row r="1082" spans="1:10" x14ac:dyDescent="0.35">
      <c r="A1082">
        <v>5000169356067</v>
      </c>
      <c r="B1082" t="s">
        <v>1447</v>
      </c>
      <c r="C1082" t="s">
        <v>110</v>
      </c>
      <c r="D1082" t="s">
        <v>337</v>
      </c>
      <c r="E1082" t="s">
        <v>22</v>
      </c>
      <c r="F1082" t="s">
        <v>338</v>
      </c>
      <c r="G1082" t="s">
        <v>22</v>
      </c>
      <c r="H1082" t="s">
        <v>4534</v>
      </c>
      <c r="J1082">
        <v>1</v>
      </c>
    </row>
    <row r="1083" spans="1:10" x14ac:dyDescent="0.35">
      <c r="A1083">
        <v>5000177458685</v>
      </c>
      <c r="B1083" t="s">
        <v>1448</v>
      </c>
      <c r="C1083" t="s">
        <v>9</v>
      </c>
      <c r="D1083" t="s">
        <v>1449</v>
      </c>
      <c r="E1083" t="s">
        <v>1201</v>
      </c>
      <c r="F1083" t="s">
        <v>1450</v>
      </c>
      <c r="G1083" t="s">
        <v>22</v>
      </c>
      <c r="H1083" t="s">
        <v>4688</v>
      </c>
      <c r="J1083">
        <v>1</v>
      </c>
    </row>
    <row r="1084" spans="1:10" x14ac:dyDescent="0.35">
      <c r="A1084">
        <v>5000177466116</v>
      </c>
      <c r="B1084" t="s">
        <v>1451</v>
      </c>
      <c r="C1084" t="s">
        <v>9</v>
      </c>
      <c r="D1084" t="s">
        <v>1452</v>
      </c>
      <c r="E1084" t="s">
        <v>22</v>
      </c>
      <c r="F1084" t="s">
        <v>1453</v>
      </c>
      <c r="G1084" t="s">
        <v>22</v>
      </c>
      <c r="H1084" t="s">
        <v>4689</v>
      </c>
      <c r="J1084">
        <v>3</v>
      </c>
    </row>
    <row r="1085" spans="1:10" x14ac:dyDescent="0.35">
      <c r="A1085">
        <v>5000177466550</v>
      </c>
      <c r="B1085" t="s">
        <v>1454</v>
      </c>
      <c r="C1085" t="s">
        <v>9</v>
      </c>
      <c r="D1085" t="s">
        <v>1452</v>
      </c>
      <c r="E1085" t="s">
        <v>22</v>
      </c>
      <c r="F1085" t="s">
        <v>1453</v>
      </c>
      <c r="G1085" t="s">
        <v>22</v>
      </c>
      <c r="H1085" t="s">
        <v>4689</v>
      </c>
      <c r="J1085">
        <v>2</v>
      </c>
    </row>
    <row r="1086" spans="1:10" x14ac:dyDescent="0.35">
      <c r="A1086">
        <v>5000186481001</v>
      </c>
      <c r="B1086" t="s">
        <v>1455</v>
      </c>
      <c r="C1086" t="s">
        <v>610</v>
      </c>
      <c r="D1086" t="s">
        <v>1456</v>
      </c>
      <c r="E1086" t="s">
        <v>22</v>
      </c>
      <c r="F1086" t="s">
        <v>361</v>
      </c>
      <c r="G1086" t="s">
        <v>22</v>
      </c>
      <c r="H1086" t="s">
        <v>4539</v>
      </c>
      <c r="J1086">
        <v>1</v>
      </c>
    </row>
    <row r="1087" spans="1:10" x14ac:dyDescent="0.35">
      <c r="A1087">
        <v>5000193034559</v>
      </c>
      <c r="B1087" t="s">
        <v>1011</v>
      </c>
      <c r="C1087" t="s">
        <v>9</v>
      </c>
      <c r="D1087" t="s">
        <v>140</v>
      </c>
      <c r="E1087" t="s">
        <v>15</v>
      </c>
      <c r="F1087" t="s">
        <v>25</v>
      </c>
      <c r="G1087" t="s">
        <v>16</v>
      </c>
      <c r="H1087" t="s">
        <v>4491</v>
      </c>
      <c r="J1087">
        <v>1</v>
      </c>
    </row>
    <row r="1088" spans="1:10" x14ac:dyDescent="0.35">
      <c r="A1088">
        <v>5000193034559</v>
      </c>
      <c r="B1088" t="s">
        <v>1011</v>
      </c>
      <c r="C1088" t="s">
        <v>9</v>
      </c>
      <c r="D1088" t="s">
        <v>140</v>
      </c>
      <c r="E1088" t="s">
        <v>15</v>
      </c>
      <c r="F1088" t="s">
        <v>25</v>
      </c>
      <c r="G1088" t="s">
        <v>22</v>
      </c>
      <c r="H1088" t="s">
        <v>4491</v>
      </c>
      <c r="J1088">
        <v>11</v>
      </c>
    </row>
    <row r="1089" spans="1:10" x14ac:dyDescent="0.35">
      <c r="A1089">
        <v>5000193730574</v>
      </c>
      <c r="B1089" t="s">
        <v>1457</v>
      </c>
      <c r="C1089" t="s">
        <v>78</v>
      </c>
      <c r="D1089" t="s">
        <v>52</v>
      </c>
      <c r="E1089" t="s">
        <v>15</v>
      </c>
      <c r="F1089" t="s">
        <v>14</v>
      </c>
      <c r="G1089" t="s">
        <v>22</v>
      </c>
      <c r="H1089" t="s">
        <v>4489</v>
      </c>
      <c r="J1089">
        <v>1</v>
      </c>
    </row>
    <row r="1090" spans="1:10" x14ac:dyDescent="0.35">
      <c r="A1090">
        <v>5000201001115</v>
      </c>
      <c r="B1090" t="s">
        <v>1458</v>
      </c>
      <c r="C1090" t="s">
        <v>659</v>
      </c>
      <c r="D1090" t="s">
        <v>613</v>
      </c>
      <c r="E1090" t="s">
        <v>15</v>
      </c>
      <c r="F1090" t="s">
        <v>460</v>
      </c>
      <c r="G1090" t="s">
        <v>41</v>
      </c>
      <c r="H1090" t="s">
        <v>4554</v>
      </c>
      <c r="J1090">
        <v>10</v>
      </c>
    </row>
    <row r="1091" spans="1:10" x14ac:dyDescent="0.35">
      <c r="A1091">
        <v>5000213019160</v>
      </c>
      <c r="B1091" t="s">
        <v>1459</v>
      </c>
      <c r="C1091" t="s">
        <v>603</v>
      </c>
      <c r="D1091" t="s">
        <v>1460</v>
      </c>
      <c r="E1091" t="s">
        <v>22</v>
      </c>
      <c r="F1091" t="s">
        <v>328</v>
      </c>
      <c r="G1091" t="s">
        <v>41</v>
      </c>
      <c r="H1091" t="s">
        <v>4533</v>
      </c>
      <c r="J1091">
        <v>1679</v>
      </c>
    </row>
    <row r="1092" spans="1:10" x14ac:dyDescent="0.35">
      <c r="A1092">
        <v>5000213019191</v>
      </c>
      <c r="B1092" t="s">
        <v>1461</v>
      </c>
      <c r="C1092" t="s">
        <v>603</v>
      </c>
      <c r="D1092" t="s">
        <v>1462</v>
      </c>
      <c r="E1092" t="s">
        <v>22</v>
      </c>
      <c r="F1092" t="s">
        <v>328</v>
      </c>
      <c r="G1092" t="s">
        <v>41</v>
      </c>
      <c r="H1092" t="s">
        <v>4533</v>
      </c>
      <c r="J1092">
        <v>16</v>
      </c>
    </row>
    <row r="1093" spans="1:10" x14ac:dyDescent="0.35">
      <c r="A1093">
        <v>5000232828736</v>
      </c>
      <c r="B1093" t="s">
        <v>1463</v>
      </c>
      <c r="C1093" t="s">
        <v>81</v>
      </c>
      <c r="D1093" t="s">
        <v>1464</v>
      </c>
      <c r="E1093" t="s">
        <v>1201</v>
      </c>
      <c r="F1093" t="s">
        <v>1465</v>
      </c>
      <c r="G1093" t="s">
        <v>22</v>
      </c>
      <c r="H1093" t="s">
        <v>4690</v>
      </c>
      <c r="J1093">
        <v>1</v>
      </c>
    </row>
    <row r="1094" spans="1:10" x14ac:dyDescent="0.35">
      <c r="A1094">
        <v>5000232828743</v>
      </c>
      <c r="B1094" t="s">
        <v>1463</v>
      </c>
      <c r="C1094" t="s">
        <v>78</v>
      </c>
      <c r="D1094" t="s">
        <v>1464</v>
      </c>
      <c r="E1094" t="s">
        <v>1201</v>
      </c>
      <c r="F1094" t="s">
        <v>1465</v>
      </c>
      <c r="G1094" t="s">
        <v>22</v>
      </c>
      <c r="H1094" t="s">
        <v>4690</v>
      </c>
      <c r="J1094">
        <v>1</v>
      </c>
    </row>
    <row r="1095" spans="1:10" x14ac:dyDescent="0.35">
      <c r="A1095">
        <v>5000233139237</v>
      </c>
      <c r="B1095" t="s">
        <v>1466</v>
      </c>
      <c r="C1095" t="s">
        <v>1141</v>
      </c>
      <c r="D1095" t="s">
        <v>1467</v>
      </c>
      <c r="E1095" t="s">
        <v>22</v>
      </c>
      <c r="F1095" t="s">
        <v>1143</v>
      </c>
      <c r="G1095" t="s">
        <v>22</v>
      </c>
      <c r="H1095" t="s">
        <v>4653</v>
      </c>
      <c r="J1095">
        <v>1</v>
      </c>
    </row>
    <row r="1096" spans="1:10" x14ac:dyDescent="0.35">
      <c r="A1096">
        <v>5000237138601</v>
      </c>
      <c r="B1096" t="s">
        <v>1468</v>
      </c>
      <c r="C1096" t="s">
        <v>1258</v>
      </c>
      <c r="D1096" t="s">
        <v>1469</v>
      </c>
      <c r="E1096" t="s">
        <v>20</v>
      </c>
      <c r="F1096" t="s">
        <v>1470</v>
      </c>
      <c r="G1096" t="s">
        <v>22</v>
      </c>
      <c r="H1096" t="s">
        <v>4691</v>
      </c>
      <c r="J1096">
        <v>1</v>
      </c>
    </row>
    <row r="1097" spans="1:10" x14ac:dyDescent="0.35">
      <c r="A1097">
        <v>5000237138700</v>
      </c>
      <c r="B1097" t="s">
        <v>1466</v>
      </c>
      <c r="C1097" t="s">
        <v>1258</v>
      </c>
      <c r="D1097" t="s">
        <v>1469</v>
      </c>
      <c r="E1097" t="s">
        <v>20</v>
      </c>
      <c r="F1097" t="s">
        <v>1470</v>
      </c>
      <c r="G1097" t="s">
        <v>22</v>
      </c>
      <c r="H1097" t="s">
        <v>4691</v>
      </c>
      <c r="J1097">
        <v>1</v>
      </c>
    </row>
    <row r="1098" spans="1:10" x14ac:dyDescent="0.35">
      <c r="A1098">
        <v>5000237202531</v>
      </c>
      <c r="B1098" t="s">
        <v>1471</v>
      </c>
      <c r="C1098" t="s">
        <v>617</v>
      </c>
      <c r="D1098" t="s">
        <v>1472</v>
      </c>
      <c r="E1098" t="s">
        <v>20</v>
      </c>
      <c r="F1098" t="s">
        <v>1470</v>
      </c>
      <c r="G1098" t="s">
        <v>22</v>
      </c>
      <c r="H1098" t="s">
        <v>4691</v>
      </c>
      <c r="J1098">
        <v>2</v>
      </c>
    </row>
    <row r="1099" spans="1:10" x14ac:dyDescent="0.35">
      <c r="A1099">
        <v>5000246728589</v>
      </c>
      <c r="B1099" t="s">
        <v>1473</v>
      </c>
      <c r="C1099" t="s">
        <v>81</v>
      </c>
      <c r="D1099" t="s">
        <v>1474</v>
      </c>
      <c r="E1099" t="s">
        <v>308</v>
      </c>
      <c r="F1099" t="s">
        <v>309</v>
      </c>
      <c r="G1099" t="s">
        <v>22</v>
      </c>
      <c r="H1099" t="s">
        <v>4529</v>
      </c>
      <c r="J1099">
        <v>1</v>
      </c>
    </row>
    <row r="1100" spans="1:10" x14ac:dyDescent="0.35">
      <c r="A1100">
        <v>5000295141599</v>
      </c>
      <c r="B1100" t="s">
        <v>1475</v>
      </c>
      <c r="C1100" t="s">
        <v>1476</v>
      </c>
      <c r="D1100" t="s">
        <v>1477</v>
      </c>
      <c r="E1100" t="s">
        <v>16</v>
      </c>
      <c r="F1100" t="s">
        <v>225</v>
      </c>
      <c r="G1100" t="s">
        <v>22</v>
      </c>
      <c r="H1100" t="s">
        <v>4521</v>
      </c>
      <c r="J1100">
        <v>1</v>
      </c>
    </row>
    <row r="1101" spans="1:10" x14ac:dyDescent="0.35">
      <c r="A1101">
        <v>5000295148154</v>
      </c>
      <c r="B1101" t="s">
        <v>1475</v>
      </c>
      <c r="C1101" t="s">
        <v>1478</v>
      </c>
      <c r="D1101" t="s">
        <v>1477</v>
      </c>
      <c r="E1101" t="s">
        <v>16</v>
      </c>
      <c r="F1101" t="s">
        <v>225</v>
      </c>
      <c r="G1101" t="s">
        <v>22</v>
      </c>
      <c r="H1101" t="s">
        <v>4521</v>
      </c>
      <c r="J1101">
        <v>1</v>
      </c>
    </row>
    <row r="1102" spans="1:10" x14ac:dyDescent="0.35">
      <c r="A1102">
        <v>5000314120543</v>
      </c>
      <c r="B1102" t="s">
        <v>1479</v>
      </c>
      <c r="C1102" t="s">
        <v>419</v>
      </c>
      <c r="D1102" t="s">
        <v>1480</v>
      </c>
      <c r="E1102" t="s">
        <v>122</v>
      </c>
      <c r="F1102" t="s">
        <v>1481</v>
      </c>
      <c r="G1102" t="s">
        <v>22</v>
      </c>
      <c r="H1102" t="s">
        <v>4692</v>
      </c>
      <c r="J1102">
        <v>1</v>
      </c>
    </row>
    <row r="1103" spans="1:10" x14ac:dyDescent="0.35">
      <c r="A1103">
        <v>5000328013602</v>
      </c>
      <c r="B1103" t="s">
        <v>1482</v>
      </c>
      <c r="C1103" t="s">
        <v>1175</v>
      </c>
      <c r="D1103" t="s">
        <v>1059</v>
      </c>
      <c r="E1103" t="s">
        <v>15</v>
      </c>
      <c r="F1103" t="s">
        <v>56</v>
      </c>
      <c r="G1103" t="s">
        <v>22</v>
      </c>
      <c r="H1103" t="s">
        <v>4497</v>
      </c>
      <c r="J1103">
        <v>1</v>
      </c>
    </row>
    <row r="1104" spans="1:10" x14ac:dyDescent="0.35">
      <c r="A1104">
        <v>5000328015897</v>
      </c>
      <c r="B1104" t="s">
        <v>1483</v>
      </c>
      <c r="C1104" t="s">
        <v>1484</v>
      </c>
      <c r="D1104" t="s">
        <v>1059</v>
      </c>
      <c r="E1104" t="s">
        <v>15</v>
      </c>
      <c r="F1104" t="s">
        <v>56</v>
      </c>
      <c r="G1104" t="s">
        <v>22</v>
      </c>
      <c r="H1104" t="s">
        <v>4497</v>
      </c>
      <c r="J1104">
        <v>1</v>
      </c>
    </row>
    <row r="1105" spans="1:10" x14ac:dyDescent="0.35">
      <c r="A1105">
        <v>5000328016832</v>
      </c>
      <c r="B1105" t="s">
        <v>1485</v>
      </c>
      <c r="C1105" t="s">
        <v>1141</v>
      </c>
      <c r="D1105" t="s">
        <v>1059</v>
      </c>
      <c r="E1105" t="s">
        <v>15</v>
      </c>
      <c r="F1105" t="s">
        <v>56</v>
      </c>
      <c r="G1105" t="s">
        <v>22</v>
      </c>
      <c r="H1105" t="s">
        <v>4497</v>
      </c>
      <c r="J1105">
        <v>1</v>
      </c>
    </row>
    <row r="1106" spans="1:10" x14ac:dyDescent="0.35">
      <c r="A1106">
        <v>5000328019253</v>
      </c>
      <c r="B1106" t="s">
        <v>1486</v>
      </c>
      <c r="C1106" t="s">
        <v>967</v>
      </c>
      <c r="D1106" t="s">
        <v>92</v>
      </c>
      <c r="E1106" t="s">
        <v>15</v>
      </c>
      <c r="F1106" t="s">
        <v>56</v>
      </c>
      <c r="G1106" t="s">
        <v>22</v>
      </c>
      <c r="H1106" t="s">
        <v>4497</v>
      </c>
      <c r="J1106">
        <v>1</v>
      </c>
    </row>
    <row r="1107" spans="1:10" x14ac:dyDescent="0.35">
      <c r="A1107">
        <v>5000328270715</v>
      </c>
      <c r="B1107" t="s">
        <v>1487</v>
      </c>
      <c r="C1107" t="s">
        <v>1258</v>
      </c>
      <c r="D1107" t="s">
        <v>1059</v>
      </c>
      <c r="E1107" t="s">
        <v>15</v>
      </c>
      <c r="F1107" t="s">
        <v>56</v>
      </c>
      <c r="G1107" t="s">
        <v>22</v>
      </c>
      <c r="H1107" t="s">
        <v>4497</v>
      </c>
      <c r="J1107">
        <v>1</v>
      </c>
    </row>
    <row r="1108" spans="1:10" x14ac:dyDescent="0.35">
      <c r="A1108">
        <v>5000328271507</v>
      </c>
      <c r="B1108" t="s">
        <v>1488</v>
      </c>
      <c r="C1108" t="s">
        <v>1058</v>
      </c>
      <c r="D1108" t="s">
        <v>566</v>
      </c>
      <c r="E1108" t="s">
        <v>15</v>
      </c>
      <c r="F1108" t="s">
        <v>56</v>
      </c>
      <c r="G1108" t="s">
        <v>22</v>
      </c>
      <c r="H1108" t="s">
        <v>4497</v>
      </c>
      <c r="J1108">
        <v>1</v>
      </c>
    </row>
    <row r="1109" spans="1:10" x14ac:dyDescent="0.35">
      <c r="A1109">
        <v>5000328271767</v>
      </c>
      <c r="B1109" t="s">
        <v>566</v>
      </c>
      <c r="C1109" t="s">
        <v>1058</v>
      </c>
      <c r="D1109" t="s">
        <v>566</v>
      </c>
      <c r="E1109" t="s">
        <v>15</v>
      </c>
      <c r="F1109" t="s">
        <v>56</v>
      </c>
      <c r="G1109" t="s">
        <v>22</v>
      </c>
      <c r="H1109" t="s">
        <v>4497</v>
      </c>
      <c r="J1109">
        <v>1</v>
      </c>
    </row>
    <row r="1110" spans="1:10" x14ac:dyDescent="0.35">
      <c r="A1110">
        <v>5000328376240</v>
      </c>
      <c r="B1110" t="s">
        <v>1489</v>
      </c>
      <c r="C1110" t="s">
        <v>1175</v>
      </c>
      <c r="D1110" t="s">
        <v>1059</v>
      </c>
      <c r="E1110" t="s">
        <v>15</v>
      </c>
      <c r="F1110" t="s">
        <v>56</v>
      </c>
      <c r="G1110" t="s">
        <v>22</v>
      </c>
      <c r="H1110" t="s">
        <v>4497</v>
      </c>
      <c r="J1110">
        <v>1</v>
      </c>
    </row>
    <row r="1111" spans="1:10" x14ac:dyDescent="0.35">
      <c r="A1111">
        <v>5000328529660</v>
      </c>
      <c r="B1111" t="s">
        <v>1490</v>
      </c>
      <c r="C1111" t="s">
        <v>1491</v>
      </c>
      <c r="D1111" t="s">
        <v>1492</v>
      </c>
      <c r="E1111" t="s">
        <v>15</v>
      </c>
      <c r="F1111" t="s">
        <v>56</v>
      </c>
      <c r="G1111" t="s">
        <v>22</v>
      </c>
      <c r="H1111" t="s">
        <v>4497</v>
      </c>
      <c r="J1111">
        <v>1</v>
      </c>
    </row>
    <row r="1112" spans="1:10" x14ac:dyDescent="0.35">
      <c r="A1112">
        <v>5000328530215</v>
      </c>
      <c r="B1112" t="s">
        <v>1493</v>
      </c>
      <c r="C1112" t="s">
        <v>454</v>
      </c>
      <c r="D1112" t="s">
        <v>1059</v>
      </c>
      <c r="E1112" t="s">
        <v>15</v>
      </c>
      <c r="F1112" t="s">
        <v>56</v>
      </c>
      <c r="G1112" t="s">
        <v>22</v>
      </c>
      <c r="H1112" t="s">
        <v>4497</v>
      </c>
      <c r="J1112">
        <v>1</v>
      </c>
    </row>
    <row r="1113" spans="1:10" x14ac:dyDescent="0.35">
      <c r="A1113">
        <v>5000328531007</v>
      </c>
      <c r="B1113" t="s">
        <v>1494</v>
      </c>
      <c r="C1113" t="s">
        <v>454</v>
      </c>
      <c r="D1113" t="s">
        <v>1495</v>
      </c>
      <c r="E1113" t="s">
        <v>15</v>
      </c>
      <c r="F1113" t="s">
        <v>56</v>
      </c>
      <c r="G1113" t="s">
        <v>22</v>
      </c>
      <c r="H1113" t="s">
        <v>4497</v>
      </c>
      <c r="J1113">
        <v>1</v>
      </c>
    </row>
    <row r="1114" spans="1:10" x14ac:dyDescent="0.35">
      <c r="A1114">
        <v>5000328681443</v>
      </c>
      <c r="B1114" t="s">
        <v>1496</v>
      </c>
      <c r="C1114" t="s">
        <v>1175</v>
      </c>
      <c r="D1114" t="s">
        <v>566</v>
      </c>
      <c r="E1114" t="s">
        <v>15</v>
      </c>
      <c r="F1114" t="s">
        <v>56</v>
      </c>
      <c r="G1114" t="s">
        <v>22</v>
      </c>
      <c r="H1114" t="s">
        <v>4497</v>
      </c>
      <c r="J1114">
        <v>1</v>
      </c>
    </row>
    <row r="1115" spans="1:10" x14ac:dyDescent="0.35">
      <c r="A1115">
        <v>5000328741581</v>
      </c>
      <c r="B1115" t="s">
        <v>1497</v>
      </c>
      <c r="C1115" t="s">
        <v>443</v>
      </c>
      <c r="D1115" t="s">
        <v>566</v>
      </c>
      <c r="E1115" t="s">
        <v>15</v>
      </c>
      <c r="F1115" t="s">
        <v>56</v>
      </c>
      <c r="G1115" t="s">
        <v>22</v>
      </c>
      <c r="H1115" t="s">
        <v>4497</v>
      </c>
      <c r="J1115">
        <v>1</v>
      </c>
    </row>
    <row r="1116" spans="1:10" x14ac:dyDescent="0.35">
      <c r="A1116">
        <v>5000382018476</v>
      </c>
      <c r="B1116" t="s">
        <v>1498</v>
      </c>
      <c r="C1116" t="s">
        <v>603</v>
      </c>
      <c r="D1116" t="s">
        <v>1499</v>
      </c>
      <c r="E1116" t="s">
        <v>22</v>
      </c>
      <c r="F1116" t="s">
        <v>1500</v>
      </c>
      <c r="G1116" t="s">
        <v>22</v>
      </c>
      <c r="H1116" t="s">
        <v>4693</v>
      </c>
      <c r="J1116">
        <v>4</v>
      </c>
    </row>
    <row r="1117" spans="1:10" x14ac:dyDescent="0.35">
      <c r="A1117">
        <v>5000382039846</v>
      </c>
      <c r="B1117" t="s">
        <v>1501</v>
      </c>
      <c r="C1117" t="s">
        <v>9</v>
      </c>
      <c r="D1117" t="s">
        <v>1502</v>
      </c>
      <c r="E1117" t="s">
        <v>22</v>
      </c>
      <c r="F1117" t="s">
        <v>1500</v>
      </c>
      <c r="G1117" t="s">
        <v>22</v>
      </c>
      <c r="H1117" t="s">
        <v>4693</v>
      </c>
      <c r="J1117">
        <v>2</v>
      </c>
    </row>
    <row r="1118" spans="1:10" x14ac:dyDescent="0.35">
      <c r="A1118">
        <v>5000382039846</v>
      </c>
      <c r="B1118" t="s">
        <v>1501</v>
      </c>
      <c r="C1118" t="s">
        <v>9</v>
      </c>
      <c r="D1118" t="s">
        <v>1502</v>
      </c>
      <c r="E1118" t="s">
        <v>22</v>
      </c>
      <c r="F1118" t="s">
        <v>1500</v>
      </c>
      <c r="G1118" t="s">
        <v>34</v>
      </c>
      <c r="H1118" t="s">
        <v>4693</v>
      </c>
      <c r="J1118">
        <v>1</v>
      </c>
    </row>
    <row r="1119" spans="1:10" x14ac:dyDescent="0.35">
      <c r="A1119">
        <v>5000382044925</v>
      </c>
      <c r="B1119" t="s">
        <v>1011</v>
      </c>
      <c r="C1119" t="s">
        <v>9</v>
      </c>
      <c r="D1119" t="s">
        <v>1503</v>
      </c>
      <c r="E1119" t="s">
        <v>22</v>
      </c>
      <c r="F1119" t="s">
        <v>1500</v>
      </c>
      <c r="G1119" t="s">
        <v>22</v>
      </c>
      <c r="H1119" t="s">
        <v>4693</v>
      </c>
      <c r="J1119">
        <v>8</v>
      </c>
    </row>
    <row r="1120" spans="1:10" x14ac:dyDescent="0.35">
      <c r="A1120">
        <v>5000382044949</v>
      </c>
      <c r="B1120" t="s">
        <v>1504</v>
      </c>
      <c r="C1120" t="s">
        <v>9</v>
      </c>
      <c r="D1120" t="s">
        <v>1503</v>
      </c>
      <c r="E1120" t="s">
        <v>22</v>
      </c>
      <c r="F1120" t="s">
        <v>1500</v>
      </c>
      <c r="G1120" t="s">
        <v>22</v>
      </c>
      <c r="H1120" t="s">
        <v>4693</v>
      </c>
      <c r="J1120">
        <v>1</v>
      </c>
    </row>
    <row r="1121" spans="1:10" x14ac:dyDescent="0.35">
      <c r="A1121">
        <v>5000382101185</v>
      </c>
      <c r="B1121" t="s">
        <v>201</v>
      </c>
      <c r="C1121" t="s">
        <v>78</v>
      </c>
      <c r="D1121" t="s">
        <v>1502</v>
      </c>
      <c r="E1121" t="s">
        <v>22</v>
      </c>
      <c r="F1121" t="s">
        <v>1500</v>
      </c>
      <c r="G1121" t="s">
        <v>22</v>
      </c>
      <c r="H1121" t="s">
        <v>4693</v>
      </c>
      <c r="J1121">
        <v>1</v>
      </c>
    </row>
    <row r="1122" spans="1:10" x14ac:dyDescent="0.35">
      <c r="A1122">
        <v>5000382101307</v>
      </c>
      <c r="B1122" t="s">
        <v>1505</v>
      </c>
      <c r="C1122" t="s">
        <v>78</v>
      </c>
      <c r="D1122" t="s">
        <v>1502</v>
      </c>
      <c r="E1122" t="s">
        <v>22</v>
      </c>
      <c r="F1122" t="s">
        <v>1500</v>
      </c>
      <c r="G1122" t="s">
        <v>22</v>
      </c>
      <c r="H1122" t="s">
        <v>4693</v>
      </c>
      <c r="J1122">
        <v>7</v>
      </c>
    </row>
    <row r="1123" spans="1:10" x14ac:dyDescent="0.35">
      <c r="A1123">
        <v>5000382101321</v>
      </c>
      <c r="B1123" t="s">
        <v>1506</v>
      </c>
      <c r="C1123" t="s">
        <v>78</v>
      </c>
      <c r="D1123" t="s">
        <v>1502</v>
      </c>
      <c r="E1123" t="s">
        <v>22</v>
      </c>
      <c r="F1123" t="s">
        <v>1500</v>
      </c>
      <c r="G1123" t="s">
        <v>22</v>
      </c>
      <c r="H1123" t="s">
        <v>4693</v>
      </c>
      <c r="J1123">
        <v>2</v>
      </c>
    </row>
    <row r="1124" spans="1:10" x14ac:dyDescent="0.35">
      <c r="A1124">
        <v>5000382102458</v>
      </c>
      <c r="B1124" t="s">
        <v>1507</v>
      </c>
      <c r="C1124" t="s">
        <v>9</v>
      </c>
      <c r="D1124" t="s">
        <v>1502</v>
      </c>
      <c r="E1124" t="s">
        <v>22</v>
      </c>
      <c r="F1124" t="s">
        <v>1500</v>
      </c>
      <c r="G1124" t="s">
        <v>22</v>
      </c>
      <c r="H1124" t="s">
        <v>4693</v>
      </c>
      <c r="J1124">
        <v>1</v>
      </c>
    </row>
    <row r="1125" spans="1:10" x14ac:dyDescent="0.35">
      <c r="A1125">
        <v>5000382103943</v>
      </c>
      <c r="B1125" t="s">
        <v>1508</v>
      </c>
      <c r="C1125" t="s">
        <v>81</v>
      </c>
      <c r="D1125" t="s">
        <v>1503</v>
      </c>
      <c r="E1125" t="s">
        <v>22</v>
      </c>
      <c r="F1125" t="s">
        <v>1500</v>
      </c>
      <c r="G1125" t="s">
        <v>22</v>
      </c>
      <c r="H1125" t="s">
        <v>4693</v>
      </c>
      <c r="J1125">
        <v>1</v>
      </c>
    </row>
    <row r="1126" spans="1:10" x14ac:dyDescent="0.35">
      <c r="A1126">
        <v>5000382104407</v>
      </c>
      <c r="B1126" t="s">
        <v>1509</v>
      </c>
      <c r="C1126" t="s">
        <v>192</v>
      </c>
      <c r="D1126" t="s">
        <v>1510</v>
      </c>
      <c r="E1126" t="s">
        <v>22</v>
      </c>
      <c r="F1126" t="s">
        <v>1500</v>
      </c>
      <c r="G1126" t="s">
        <v>22</v>
      </c>
      <c r="H1126" t="s">
        <v>4693</v>
      </c>
      <c r="J1126">
        <v>2</v>
      </c>
    </row>
    <row r="1127" spans="1:10" x14ac:dyDescent="0.35">
      <c r="A1127">
        <v>5000382107293</v>
      </c>
      <c r="B1127" t="s">
        <v>1505</v>
      </c>
      <c r="C1127" t="s">
        <v>9</v>
      </c>
      <c r="D1127" t="s">
        <v>1502</v>
      </c>
      <c r="E1127" t="s">
        <v>22</v>
      </c>
      <c r="F1127" t="s">
        <v>1500</v>
      </c>
      <c r="G1127" t="s">
        <v>22</v>
      </c>
      <c r="H1127" t="s">
        <v>4693</v>
      </c>
      <c r="J1127">
        <v>1</v>
      </c>
    </row>
    <row r="1128" spans="1:10" x14ac:dyDescent="0.35">
      <c r="A1128">
        <v>5000382109914</v>
      </c>
      <c r="B1128" t="s">
        <v>1511</v>
      </c>
      <c r="C1128" t="s">
        <v>78</v>
      </c>
      <c r="D1128" t="s">
        <v>1503</v>
      </c>
      <c r="E1128" t="s">
        <v>22</v>
      </c>
      <c r="F1128" t="s">
        <v>1500</v>
      </c>
      <c r="G1128" t="s">
        <v>22</v>
      </c>
      <c r="H1128" t="s">
        <v>4693</v>
      </c>
      <c r="J1128">
        <v>1</v>
      </c>
    </row>
    <row r="1129" spans="1:10" x14ac:dyDescent="0.35">
      <c r="A1129">
        <v>5000382110781</v>
      </c>
      <c r="B1129" t="s">
        <v>1512</v>
      </c>
      <c r="C1129" t="s">
        <v>9</v>
      </c>
      <c r="D1129" t="s">
        <v>1502</v>
      </c>
      <c r="E1129" t="s">
        <v>22</v>
      </c>
      <c r="F1129" t="s">
        <v>1500</v>
      </c>
      <c r="G1129" t="s">
        <v>22</v>
      </c>
      <c r="H1129" t="s">
        <v>4693</v>
      </c>
      <c r="J1129">
        <v>1</v>
      </c>
    </row>
    <row r="1130" spans="1:10" x14ac:dyDescent="0.35">
      <c r="A1130">
        <v>5000382111832</v>
      </c>
      <c r="B1130" t="s">
        <v>1508</v>
      </c>
      <c r="C1130" t="s">
        <v>272</v>
      </c>
      <c r="D1130" t="s">
        <v>1503</v>
      </c>
      <c r="E1130" t="s">
        <v>22</v>
      </c>
      <c r="F1130" t="s">
        <v>1500</v>
      </c>
      <c r="G1130" t="s">
        <v>22</v>
      </c>
      <c r="H1130" t="s">
        <v>4693</v>
      </c>
      <c r="J1130">
        <v>2</v>
      </c>
    </row>
    <row r="1131" spans="1:10" x14ac:dyDescent="0.35">
      <c r="A1131">
        <v>5000382112686</v>
      </c>
      <c r="B1131" t="s">
        <v>1508</v>
      </c>
      <c r="C1131" t="s">
        <v>9</v>
      </c>
      <c r="D1131" t="s">
        <v>1503</v>
      </c>
      <c r="E1131" t="s">
        <v>22</v>
      </c>
      <c r="F1131" t="s">
        <v>1500</v>
      </c>
      <c r="G1131" t="s">
        <v>22</v>
      </c>
      <c r="H1131" t="s">
        <v>4693</v>
      </c>
      <c r="J1131">
        <v>2</v>
      </c>
    </row>
    <row r="1132" spans="1:10" x14ac:dyDescent="0.35">
      <c r="A1132">
        <v>5000382112686</v>
      </c>
      <c r="B1132" t="s">
        <v>1508</v>
      </c>
      <c r="C1132" t="s">
        <v>9</v>
      </c>
      <c r="D1132" t="s">
        <v>1503</v>
      </c>
      <c r="E1132" t="s">
        <v>22</v>
      </c>
      <c r="F1132" t="s">
        <v>1500</v>
      </c>
      <c r="G1132" t="s">
        <v>31</v>
      </c>
      <c r="H1132" t="s">
        <v>4693</v>
      </c>
      <c r="J1132">
        <v>3</v>
      </c>
    </row>
    <row r="1133" spans="1:10" x14ac:dyDescent="0.35">
      <c r="A1133">
        <v>5000382113171</v>
      </c>
      <c r="B1133" t="s">
        <v>1513</v>
      </c>
      <c r="C1133" t="s">
        <v>78</v>
      </c>
      <c r="D1133" t="s">
        <v>1502</v>
      </c>
      <c r="E1133" t="s">
        <v>22</v>
      </c>
      <c r="F1133" t="s">
        <v>1500</v>
      </c>
      <c r="G1133" t="s">
        <v>22</v>
      </c>
      <c r="H1133" t="s">
        <v>4693</v>
      </c>
      <c r="J1133">
        <v>1</v>
      </c>
    </row>
    <row r="1134" spans="1:10" x14ac:dyDescent="0.35">
      <c r="A1134">
        <v>5000382113171</v>
      </c>
      <c r="B1134" t="s">
        <v>1513</v>
      </c>
      <c r="C1134" t="s">
        <v>78</v>
      </c>
      <c r="D1134" t="s">
        <v>1502</v>
      </c>
      <c r="E1134" t="s">
        <v>22</v>
      </c>
      <c r="F1134" t="s">
        <v>1500</v>
      </c>
      <c r="G1134" t="s">
        <v>31</v>
      </c>
      <c r="H1134" t="s">
        <v>4693</v>
      </c>
      <c r="J1134">
        <v>1</v>
      </c>
    </row>
    <row r="1135" spans="1:10" x14ac:dyDescent="0.35">
      <c r="A1135">
        <v>5000382113935</v>
      </c>
      <c r="B1135" t="s">
        <v>1514</v>
      </c>
      <c r="C1135" t="s">
        <v>9</v>
      </c>
      <c r="D1135" t="s">
        <v>1502</v>
      </c>
      <c r="E1135" t="s">
        <v>22</v>
      </c>
      <c r="F1135" t="s">
        <v>1500</v>
      </c>
      <c r="G1135" t="s">
        <v>22</v>
      </c>
      <c r="H1135" t="s">
        <v>4693</v>
      </c>
      <c r="J1135">
        <v>1</v>
      </c>
    </row>
    <row r="1136" spans="1:10" x14ac:dyDescent="0.35">
      <c r="A1136">
        <v>5000382114369</v>
      </c>
      <c r="B1136" t="s">
        <v>1505</v>
      </c>
      <c r="C1136" t="s">
        <v>9</v>
      </c>
      <c r="D1136" t="s">
        <v>1502</v>
      </c>
      <c r="E1136" t="s">
        <v>22</v>
      </c>
      <c r="F1136" t="s">
        <v>1500</v>
      </c>
      <c r="G1136" t="s">
        <v>22</v>
      </c>
      <c r="H1136" t="s">
        <v>4693</v>
      </c>
      <c r="J1136">
        <v>1</v>
      </c>
    </row>
    <row r="1137" spans="1:10" x14ac:dyDescent="0.35">
      <c r="A1137">
        <v>5000382115298</v>
      </c>
      <c r="B1137" t="s">
        <v>1510</v>
      </c>
      <c r="C1137" t="s">
        <v>603</v>
      </c>
      <c r="D1137" t="s">
        <v>1510</v>
      </c>
      <c r="E1137" t="s">
        <v>22</v>
      </c>
      <c r="F1137" t="s">
        <v>1500</v>
      </c>
      <c r="G1137" t="s">
        <v>22</v>
      </c>
      <c r="H1137" t="s">
        <v>4693</v>
      </c>
      <c r="J1137">
        <v>1</v>
      </c>
    </row>
    <row r="1138" spans="1:10" x14ac:dyDescent="0.35">
      <c r="A1138">
        <v>5000391200008</v>
      </c>
      <c r="B1138" t="s">
        <v>1515</v>
      </c>
      <c r="C1138" t="s">
        <v>603</v>
      </c>
      <c r="D1138" t="s">
        <v>70</v>
      </c>
      <c r="E1138" t="s">
        <v>71</v>
      </c>
      <c r="F1138" t="s">
        <v>72</v>
      </c>
      <c r="G1138" t="s">
        <v>34</v>
      </c>
      <c r="H1138" t="s">
        <v>4501</v>
      </c>
      <c r="J1138">
        <v>16</v>
      </c>
    </row>
    <row r="1139" spans="1:10" x14ac:dyDescent="0.35">
      <c r="A1139">
        <v>5000431028357</v>
      </c>
      <c r="B1139" t="s">
        <v>1516</v>
      </c>
      <c r="C1139" t="s">
        <v>419</v>
      </c>
      <c r="D1139" t="s">
        <v>1517</v>
      </c>
      <c r="E1139" t="s">
        <v>22</v>
      </c>
      <c r="F1139" t="s">
        <v>1518</v>
      </c>
      <c r="G1139" t="s">
        <v>22</v>
      </c>
      <c r="H1139" t="s">
        <v>4694</v>
      </c>
      <c r="J1139">
        <v>1</v>
      </c>
    </row>
    <row r="1140" spans="1:10" x14ac:dyDescent="0.35">
      <c r="A1140">
        <v>5000436589341</v>
      </c>
      <c r="B1140" t="s">
        <v>1519</v>
      </c>
      <c r="C1140" t="s">
        <v>370</v>
      </c>
      <c r="D1140" t="s">
        <v>432</v>
      </c>
      <c r="E1140" t="s">
        <v>22</v>
      </c>
      <c r="F1140" t="s">
        <v>64</v>
      </c>
      <c r="G1140" t="s">
        <v>22</v>
      </c>
      <c r="H1140" t="s">
        <v>4499</v>
      </c>
      <c r="J1140">
        <v>1</v>
      </c>
    </row>
    <row r="1141" spans="1:10" x14ac:dyDescent="0.35">
      <c r="A1141">
        <v>5000436589457</v>
      </c>
      <c r="B1141" t="s">
        <v>1520</v>
      </c>
      <c r="C1141" t="s">
        <v>370</v>
      </c>
      <c r="D1141" t="s">
        <v>432</v>
      </c>
      <c r="E1141" t="s">
        <v>22</v>
      </c>
      <c r="F1141" t="s">
        <v>64</v>
      </c>
      <c r="G1141" t="s">
        <v>22</v>
      </c>
      <c r="H1141" t="s">
        <v>4499</v>
      </c>
      <c r="J1141">
        <v>1</v>
      </c>
    </row>
    <row r="1142" spans="1:10" x14ac:dyDescent="0.35">
      <c r="A1142">
        <v>5000462001015</v>
      </c>
      <c r="B1142" t="s">
        <v>1521</v>
      </c>
      <c r="C1142" t="s">
        <v>78</v>
      </c>
      <c r="D1142" t="s">
        <v>432</v>
      </c>
      <c r="E1142" t="s">
        <v>22</v>
      </c>
      <c r="F1142" t="s">
        <v>64</v>
      </c>
      <c r="G1142" t="s">
        <v>22</v>
      </c>
      <c r="H1142" t="s">
        <v>4499</v>
      </c>
      <c r="J1142">
        <v>2</v>
      </c>
    </row>
    <row r="1143" spans="1:10" x14ac:dyDescent="0.35">
      <c r="A1143">
        <v>50096190</v>
      </c>
      <c r="B1143" t="s">
        <v>1522</v>
      </c>
      <c r="C1143" t="s">
        <v>66</v>
      </c>
      <c r="D1143" t="s">
        <v>1523</v>
      </c>
      <c r="E1143" t="s">
        <v>22</v>
      </c>
      <c r="F1143" t="s">
        <v>361</v>
      </c>
      <c r="G1143" t="s">
        <v>22</v>
      </c>
      <c r="H1143" t="s">
        <v>4539</v>
      </c>
      <c r="J1143">
        <v>1</v>
      </c>
    </row>
    <row r="1144" spans="1:10" x14ac:dyDescent="0.35">
      <c r="A1144">
        <v>5010044008615</v>
      </c>
      <c r="B1144" t="s">
        <v>1524</v>
      </c>
      <c r="C1144" t="s">
        <v>445</v>
      </c>
      <c r="D1144" t="s">
        <v>1525</v>
      </c>
      <c r="E1144" t="s">
        <v>22</v>
      </c>
      <c r="F1144" t="s">
        <v>1526</v>
      </c>
      <c r="G1144" t="s">
        <v>22</v>
      </c>
      <c r="H1144" t="s">
        <v>4695</v>
      </c>
      <c r="J1144">
        <v>2</v>
      </c>
    </row>
    <row r="1145" spans="1:10" x14ac:dyDescent="0.35">
      <c r="A1145">
        <v>5010102118829</v>
      </c>
      <c r="B1145" t="s">
        <v>1337</v>
      </c>
      <c r="C1145" t="s">
        <v>9</v>
      </c>
      <c r="D1145" t="s">
        <v>1527</v>
      </c>
      <c r="E1145" t="s">
        <v>22</v>
      </c>
      <c r="F1145" t="s">
        <v>121</v>
      </c>
      <c r="G1145" t="s">
        <v>22</v>
      </c>
      <c r="H1145" t="s">
        <v>4510</v>
      </c>
      <c r="J1145">
        <v>2</v>
      </c>
    </row>
    <row r="1146" spans="1:10" x14ac:dyDescent="0.35">
      <c r="A1146">
        <v>5010102243415</v>
      </c>
      <c r="B1146" t="s">
        <v>1528</v>
      </c>
      <c r="C1146" t="s">
        <v>9</v>
      </c>
      <c r="D1146" t="s">
        <v>1529</v>
      </c>
      <c r="E1146" t="s">
        <v>22</v>
      </c>
      <c r="F1146" t="s">
        <v>121</v>
      </c>
      <c r="G1146" t="s">
        <v>22</v>
      </c>
      <c r="H1146" t="s">
        <v>4510</v>
      </c>
      <c r="J1146">
        <v>1</v>
      </c>
    </row>
    <row r="1147" spans="1:10" x14ac:dyDescent="0.35">
      <c r="A1147">
        <v>5010102243705</v>
      </c>
      <c r="B1147" t="s">
        <v>1530</v>
      </c>
      <c r="C1147" t="s">
        <v>9</v>
      </c>
      <c r="D1147" t="s">
        <v>1430</v>
      </c>
      <c r="E1147" t="s">
        <v>22</v>
      </c>
      <c r="F1147" t="s">
        <v>121</v>
      </c>
      <c r="G1147" t="s">
        <v>22</v>
      </c>
      <c r="H1147" t="s">
        <v>4510</v>
      </c>
      <c r="J1147">
        <v>3</v>
      </c>
    </row>
    <row r="1148" spans="1:10" x14ac:dyDescent="0.35">
      <c r="A1148">
        <v>5010102243910</v>
      </c>
      <c r="B1148" t="s">
        <v>1531</v>
      </c>
      <c r="C1148" t="s">
        <v>1532</v>
      </c>
      <c r="D1148" t="s">
        <v>1533</v>
      </c>
      <c r="E1148" t="s">
        <v>22</v>
      </c>
      <c r="F1148" t="s">
        <v>121</v>
      </c>
      <c r="G1148" t="s">
        <v>22</v>
      </c>
      <c r="H1148" t="s">
        <v>4510</v>
      </c>
      <c r="J1148">
        <v>1</v>
      </c>
    </row>
    <row r="1149" spans="1:10" x14ac:dyDescent="0.35">
      <c r="A1149">
        <v>5010162000164</v>
      </c>
      <c r="B1149" t="s">
        <v>1534</v>
      </c>
      <c r="C1149" t="s">
        <v>603</v>
      </c>
      <c r="D1149" t="s">
        <v>1460</v>
      </c>
      <c r="E1149" t="s">
        <v>22</v>
      </c>
      <c r="F1149" t="s">
        <v>328</v>
      </c>
      <c r="G1149" t="s">
        <v>387</v>
      </c>
      <c r="H1149" t="s">
        <v>4533</v>
      </c>
      <c r="J1149">
        <v>12</v>
      </c>
    </row>
    <row r="1150" spans="1:10" x14ac:dyDescent="0.35">
      <c r="A1150">
        <v>5010162000164</v>
      </c>
      <c r="B1150" t="s">
        <v>1534</v>
      </c>
      <c r="C1150" t="s">
        <v>603</v>
      </c>
      <c r="D1150" t="s">
        <v>1460</v>
      </c>
      <c r="E1150" t="s">
        <v>22</v>
      </c>
      <c r="F1150" t="s">
        <v>328</v>
      </c>
      <c r="G1150" t="s">
        <v>598</v>
      </c>
      <c r="H1150" t="s">
        <v>4533</v>
      </c>
      <c r="J1150">
        <v>1</v>
      </c>
    </row>
    <row r="1151" spans="1:10" x14ac:dyDescent="0.35">
      <c r="A1151">
        <v>5010251431039</v>
      </c>
      <c r="B1151" t="s">
        <v>1535</v>
      </c>
      <c r="C1151" t="s">
        <v>43</v>
      </c>
      <c r="D1151" t="s">
        <v>1536</v>
      </c>
      <c r="E1151" t="s">
        <v>22</v>
      </c>
      <c r="F1151" t="s">
        <v>1536</v>
      </c>
      <c r="G1151" t="s">
        <v>22</v>
      </c>
      <c r="H1151" t="s">
        <v>4696</v>
      </c>
      <c r="J1151">
        <v>1</v>
      </c>
    </row>
    <row r="1152" spans="1:10" x14ac:dyDescent="0.35">
      <c r="A1152">
        <v>5010251484776</v>
      </c>
      <c r="B1152" t="s">
        <v>1537</v>
      </c>
      <c r="C1152" t="s">
        <v>81</v>
      </c>
      <c r="D1152" t="s">
        <v>1536</v>
      </c>
      <c r="E1152" t="s">
        <v>22</v>
      </c>
      <c r="F1152" t="s">
        <v>1536</v>
      </c>
      <c r="G1152" t="s">
        <v>22</v>
      </c>
      <c r="H1152" t="s">
        <v>4696</v>
      </c>
      <c r="J1152">
        <v>1</v>
      </c>
    </row>
    <row r="1153" spans="1:10" x14ac:dyDescent="0.35">
      <c r="A1153">
        <v>5010251830054</v>
      </c>
      <c r="B1153" t="s">
        <v>1538</v>
      </c>
      <c r="C1153" t="s">
        <v>419</v>
      </c>
      <c r="D1153" t="s">
        <v>1536</v>
      </c>
      <c r="E1153" t="s">
        <v>22</v>
      </c>
      <c r="F1153" t="s">
        <v>1536</v>
      </c>
      <c r="G1153" t="s">
        <v>22</v>
      </c>
      <c r="H1153" t="s">
        <v>4696</v>
      </c>
      <c r="J1153">
        <v>1</v>
      </c>
    </row>
    <row r="1154" spans="1:10" x14ac:dyDescent="0.35">
      <c r="A1154">
        <v>5010327325132</v>
      </c>
      <c r="B1154" t="s">
        <v>1539</v>
      </c>
      <c r="C1154" t="s">
        <v>326</v>
      </c>
      <c r="D1154" t="s">
        <v>1540</v>
      </c>
      <c r="E1154" t="s">
        <v>22</v>
      </c>
      <c r="F1154" t="s">
        <v>1541</v>
      </c>
      <c r="G1154" t="s">
        <v>34</v>
      </c>
      <c r="H1154" t="s">
        <v>4697</v>
      </c>
      <c r="J1154">
        <v>52</v>
      </c>
    </row>
    <row r="1155" spans="1:10" x14ac:dyDescent="0.35">
      <c r="A1155">
        <v>5010327325132</v>
      </c>
      <c r="B1155" t="s">
        <v>1539</v>
      </c>
      <c r="C1155" t="s">
        <v>326</v>
      </c>
      <c r="D1155" t="s">
        <v>1540</v>
      </c>
      <c r="E1155" t="s">
        <v>22</v>
      </c>
      <c r="F1155" t="s">
        <v>1541</v>
      </c>
      <c r="G1155" t="s">
        <v>150</v>
      </c>
      <c r="H1155" t="s">
        <v>4697</v>
      </c>
      <c r="J1155">
        <v>41</v>
      </c>
    </row>
    <row r="1156" spans="1:10" x14ac:dyDescent="0.35">
      <c r="A1156">
        <v>5010358253961</v>
      </c>
      <c r="B1156" t="s">
        <v>1542</v>
      </c>
      <c r="C1156" t="s">
        <v>9</v>
      </c>
      <c r="D1156" t="s">
        <v>1136</v>
      </c>
      <c r="E1156" t="s">
        <v>73</v>
      </c>
      <c r="F1156" t="s">
        <v>1137</v>
      </c>
      <c r="G1156" t="s">
        <v>22</v>
      </c>
      <c r="H1156" t="s">
        <v>4652</v>
      </c>
      <c r="J1156">
        <v>1</v>
      </c>
    </row>
    <row r="1157" spans="1:10" x14ac:dyDescent="0.35">
      <c r="A1157">
        <v>5010394998185</v>
      </c>
      <c r="B1157" t="s">
        <v>1543</v>
      </c>
      <c r="C1157" t="s">
        <v>1141</v>
      </c>
      <c r="D1157" t="s">
        <v>1544</v>
      </c>
      <c r="E1157" t="s">
        <v>15</v>
      </c>
      <c r="F1157" t="s">
        <v>1227</v>
      </c>
      <c r="G1157" t="s">
        <v>22</v>
      </c>
      <c r="H1157" t="s">
        <v>4668</v>
      </c>
      <c r="J1157">
        <v>1</v>
      </c>
    </row>
    <row r="1158" spans="1:10" x14ac:dyDescent="0.35">
      <c r="A1158">
        <v>5010438001130</v>
      </c>
      <c r="B1158" t="s">
        <v>1011</v>
      </c>
      <c r="C1158" t="s">
        <v>9</v>
      </c>
      <c r="D1158" t="s">
        <v>607</v>
      </c>
      <c r="E1158" t="s">
        <v>22</v>
      </c>
      <c r="F1158" t="s">
        <v>608</v>
      </c>
      <c r="G1158" t="s">
        <v>22</v>
      </c>
      <c r="H1158" t="s">
        <v>4568</v>
      </c>
      <c r="J1158">
        <v>2</v>
      </c>
    </row>
    <row r="1159" spans="1:10" x14ac:dyDescent="0.35">
      <c r="A1159">
        <v>5010438005008</v>
      </c>
      <c r="B1159" t="s">
        <v>607</v>
      </c>
      <c r="C1159" t="s">
        <v>9</v>
      </c>
      <c r="D1159" t="s">
        <v>607</v>
      </c>
      <c r="E1159" t="s">
        <v>22</v>
      </c>
      <c r="F1159" t="s">
        <v>608</v>
      </c>
      <c r="G1159" t="s">
        <v>22</v>
      </c>
      <c r="H1159" t="s">
        <v>4568</v>
      </c>
      <c r="J1159">
        <v>1</v>
      </c>
    </row>
    <row r="1160" spans="1:10" x14ac:dyDescent="0.35">
      <c r="A1160">
        <v>5010438013683</v>
      </c>
      <c r="B1160" t="s">
        <v>1545</v>
      </c>
      <c r="C1160" t="s">
        <v>81</v>
      </c>
      <c r="D1160" t="s">
        <v>607</v>
      </c>
      <c r="E1160" t="s">
        <v>22</v>
      </c>
      <c r="F1160" t="s">
        <v>608</v>
      </c>
      <c r="G1160" t="s">
        <v>22</v>
      </c>
      <c r="H1160" t="s">
        <v>4568</v>
      </c>
      <c r="J1160">
        <v>1</v>
      </c>
    </row>
    <row r="1161" spans="1:10" x14ac:dyDescent="0.35">
      <c r="A1161">
        <v>5010438015809</v>
      </c>
      <c r="B1161" t="s">
        <v>1546</v>
      </c>
      <c r="C1161" t="s">
        <v>110</v>
      </c>
      <c r="D1161" t="s">
        <v>607</v>
      </c>
      <c r="E1161" t="s">
        <v>22</v>
      </c>
      <c r="F1161" t="s">
        <v>608</v>
      </c>
      <c r="G1161" t="s">
        <v>387</v>
      </c>
      <c r="H1161" t="s">
        <v>4568</v>
      </c>
      <c r="J1161">
        <v>26</v>
      </c>
    </row>
    <row r="1162" spans="1:10" x14ac:dyDescent="0.35">
      <c r="A1162">
        <v>5010438017490</v>
      </c>
      <c r="B1162" t="s">
        <v>1547</v>
      </c>
      <c r="C1162" t="s">
        <v>9</v>
      </c>
      <c r="D1162" t="s">
        <v>607</v>
      </c>
      <c r="E1162" t="s">
        <v>22</v>
      </c>
      <c r="F1162" t="s">
        <v>608</v>
      </c>
      <c r="G1162" t="s">
        <v>22</v>
      </c>
      <c r="H1162" t="s">
        <v>4568</v>
      </c>
      <c r="J1162">
        <v>1</v>
      </c>
    </row>
    <row r="1163" spans="1:10" x14ac:dyDescent="0.35">
      <c r="A1163">
        <v>5010438020582</v>
      </c>
      <c r="B1163" t="s">
        <v>607</v>
      </c>
      <c r="C1163" t="s">
        <v>9</v>
      </c>
      <c r="D1163" t="s">
        <v>607</v>
      </c>
      <c r="E1163" t="s">
        <v>22</v>
      </c>
      <c r="F1163" t="s">
        <v>608</v>
      </c>
      <c r="G1163" t="s">
        <v>22</v>
      </c>
      <c r="H1163" t="s">
        <v>4568</v>
      </c>
      <c r="J1163">
        <v>1</v>
      </c>
    </row>
    <row r="1164" spans="1:10" x14ac:dyDescent="0.35">
      <c r="A1164">
        <v>5010438020599</v>
      </c>
      <c r="B1164" t="s">
        <v>607</v>
      </c>
      <c r="C1164" t="s">
        <v>9</v>
      </c>
      <c r="D1164" t="s">
        <v>607</v>
      </c>
      <c r="E1164" t="s">
        <v>22</v>
      </c>
      <c r="F1164" t="s">
        <v>608</v>
      </c>
      <c r="G1164" t="s">
        <v>22</v>
      </c>
      <c r="H1164" t="s">
        <v>4568</v>
      </c>
      <c r="J1164">
        <v>2</v>
      </c>
    </row>
    <row r="1165" spans="1:10" x14ac:dyDescent="0.35">
      <c r="A1165">
        <v>5010459000365</v>
      </c>
      <c r="B1165" t="s">
        <v>1548</v>
      </c>
      <c r="C1165" t="s">
        <v>1549</v>
      </c>
      <c r="D1165" t="s">
        <v>1550</v>
      </c>
      <c r="E1165" t="s">
        <v>22</v>
      </c>
      <c r="F1165" t="s">
        <v>1551</v>
      </c>
      <c r="G1165" t="s">
        <v>22</v>
      </c>
      <c r="H1165" t="s">
        <v>4698</v>
      </c>
      <c r="J1165">
        <v>1</v>
      </c>
    </row>
    <row r="1166" spans="1:10" x14ac:dyDescent="0.35">
      <c r="A1166">
        <v>5010459000457</v>
      </c>
      <c r="B1166" t="s">
        <v>752</v>
      </c>
      <c r="C1166" t="s">
        <v>326</v>
      </c>
      <c r="D1166" t="s">
        <v>1550</v>
      </c>
      <c r="E1166" t="s">
        <v>22</v>
      </c>
      <c r="F1166" t="s">
        <v>1551</v>
      </c>
      <c r="G1166" t="s">
        <v>22</v>
      </c>
      <c r="H1166" t="s">
        <v>4698</v>
      </c>
      <c r="J1166">
        <v>2</v>
      </c>
    </row>
    <row r="1167" spans="1:10" x14ac:dyDescent="0.35">
      <c r="A1167">
        <v>5010459000457</v>
      </c>
      <c r="B1167" t="s">
        <v>752</v>
      </c>
      <c r="C1167" t="s">
        <v>326</v>
      </c>
      <c r="D1167" t="s">
        <v>1550</v>
      </c>
      <c r="E1167" t="s">
        <v>22</v>
      </c>
      <c r="F1167" t="s">
        <v>1551</v>
      </c>
      <c r="G1167" t="s">
        <v>150</v>
      </c>
      <c r="H1167" t="s">
        <v>4698</v>
      </c>
      <c r="J1167">
        <v>1</v>
      </c>
    </row>
    <row r="1168" spans="1:10" x14ac:dyDescent="0.35">
      <c r="A1168">
        <v>5010459003496</v>
      </c>
      <c r="B1168" t="s">
        <v>752</v>
      </c>
      <c r="C1168" t="s">
        <v>603</v>
      </c>
      <c r="D1168" t="s">
        <v>1550</v>
      </c>
      <c r="E1168" t="s">
        <v>22</v>
      </c>
      <c r="F1168" t="s">
        <v>1551</v>
      </c>
      <c r="G1168" t="s">
        <v>22</v>
      </c>
      <c r="H1168" t="s">
        <v>4698</v>
      </c>
      <c r="J1168">
        <v>4</v>
      </c>
    </row>
    <row r="1169" spans="1:10" x14ac:dyDescent="0.35">
      <c r="A1169">
        <v>5010459005025</v>
      </c>
      <c r="B1169" t="s">
        <v>752</v>
      </c>
      <c r="C1169" t="s">
        <v>192</v>
      </c>
      <c r="D1169" t="s">
        <v>1550</v>
      </c>
      <c r="E1169" t="s">
        <v>22</v>
      </c>
      <c r="F1169" t="s">
        <v>1551</v>
      </c>
      <c r="G1169" t="s">
        <v>22</v>
      </c>
      <c r="H1169" t="s">
        <v>4698</v>
      </c>
      <c r="J1169">
        <v>6</v>
      </c>
    </row>
    <row r="1170" spans="1:10" x14ac:dyDescent="0.35">
      <c r="A1170">
        <v>5010459005179</v>
      </c>
      <c r="B1170" t="s">
        <v>1050</v>
      </c>
      <c r="C1170" t="s">
        <v>9</v>
      </c>
      <c r="D1170" t="s">
        <v>1550</v>
      </c>
      <c r="E1170" t="s">
        <v>22</v>
      </c>
      <c r="F1170" t="s">
        <v>1551</v>
      </c>
      <c r="G1170" t="s">
        <v>22</v>
      </c>
      <c r="H1170" t="s">
        <v>4698</v>
      </c>
      <c r="J1170">
        <v>3</v>
      </c>
    </row>
    <row r="1171" spans="1:10" x14ac:dyDescent="0.35">
      <c r="A1171">
        <v>5010459005216</v>
      </c>
      <c r="B1171" t="s">
        <v>752</v>
      </c>
      <c r="C1171" t="s">
        <v>9</v>
      </c>
      <c r="D1171" t="s">
        <v>1550</v>
      </c>
      <c r="E1171" t="s">
        <v>22</v>
      </c>
      <c r="F1171" t="s">
        <v>1551</v>
      </c>
      <c r="G1171" t="s">
        <v>22</v>
      </c>
      <c r="H1171" t="s">
        <v>4698</v>
      </c>
      <c r="J1171">
        <v>19</v>
      </c>
    </row>
    <row r="1172" spans="1:10" x14ac:dyDescent="0.35">
      <c r="A1172">
        <v>5010459007289</v>
      </c>
      <c r="B1172" t="s">
        <v>1552</v>
      </c>
      <c r="C1172" t="s">
        <v>610</v>
      </c>
      <c r="D1172" t="s">
        <v>1550</v>
      </c>
      <c r="E1172" t="s">
        <v>22</v>
      </c>
      <c r="F1172" t="s">
        <v>1551</v>
      </c>
      <c r="G1172" t="s">
        <v>22</v>
      </c>
      <c r="H1172" t="s">
        <v>4698</v>
      </c>
      <c r="J1172">
        <v>4</v>
      </c>
    </row>
    <row r="1173" spans="1:10" x14ac:dyDescent="0.35">
      <c r="A1173">
        <v>5010459015178</v>
      </c>
      <c r="B1173" t="s">
        <v>1050</v>
      </c>
      <c r="C1173" t="s">
        <v>192</v>
      </c>
      <c r="D1173" t="s">
        <v>1550</v>
      </c>
      <c r="E1173" t="s">
        <v>22</v>
      </c>
      <c r="F1173" t="s">
        <v>1551</v>
      </c>
      <c r="G1173" t="s">
        <v>22</v>
      </c>
      <c r="H1173" t="s">
        <v>4698</v>
      </c>
      <c r="J1173">
        <v>3</v>
      </c>
    </row>
    <row r="1174" spans="1:10" x14ac:dyDescent="0.35">
      <c r="A1174">
        <v>5010508015203</v>
      </c>
      <c r="B1174" t="s">
        <v>250</v>
      </c>
      <c r="C1174" t="s">
        <v>603</v>
      </c>
      <c r="D1174" t="s">
        <v>14</v>
      </c>
      <c r="E1174" t="s">
        <v>15</v>
      </c>
      <c r="F1174" t="s">
        <v>14</v>
      </c>
      <c r="G1174" t="s">
        <v>61</v>
      </c>
      <c r="H1174" t="s">
        <v>4489</v>
      </c>
      <c r="J1174">
        <v>1</v>
      </c>
    </row>
    <row r="1175" spans="1:10" x14ac:dyDescent="0.35">
      <c r="A1175">
        <v>50107452</v>
      </c>
      <c r="B1175" t="s">
        <v>1553</v>
      </c>
      <c r="C1175" t="s">
        <v>9</v>
      </c>
      <c r="D1175" t="s">
        <v>1503</v>
      </c>
      <c r="E1175" t="s">
        <v>22</v>
      </c>
      <c r="F1175" t="s">
        <v>1500</v>
      </c>
      <c r="G1175" t="s">
        <v>22</v>
      </c>
      <c r="H1175" t="s">
        <v>4693</v>
      </c>
      <c r="J1175">
        <v>3</v>
      </c>
    </row>
    <row r="1176" spans="1:10" x14ac:dyDescent="0.35">
      <c r="A1176">
        <v>5011020104529</v>
      </c>
      <c r="B1176" t="s">
        <v>1554</v>
      </c>
      <c r="C1176" t="s">
        <v>239</v>
      </c>
      <c r="D1176" t="s">
        <v>14</v>
      </c>
      <c r="E1176" t="s">
        <v>15</v>
      </c>
      <c r="F1176" t="s">
        <v>14</v>
      </c>
      <c r="G1176" t="s">
        <v>22</v>
      </c>
      <c r="H1176" t="s">
        <v>4489</v>
      </c>
      <c r="J1176">
        <v>1</v>
      </c>
    </row>
    <row r="1177" spans="1:10" x14ac:dyDescent="0.35">
      <c r="A1177">
        <v>5011020104727</v>
      </c>
      <c r="B1177" t="s">
        <v>485</v>
      </c>
      <c r="C1177" t="s">
        <v>9</v>
      </c>
      <c r="D1177" t="s">
        <v>1555</v>
      </c>
      <c r="E1177" t="s">
        <v>15</v>
      </c>
      <c r="F1177" t="s">
        <v>14</v>
      </c>
      <c r="G1177" t="s">
        <v>122</v>
      </c>
      <c r="H1177" t="s">
        <v>4489</v>
      </c>
      <c r="J1177">
        <v>1</v>
      </c>
    </row>
    <row r="1178" spans="1:10" x14ac:dyDescent="0.35">
      <c r="A1178">
        <v>50112173</v>
      </c>
      <c r="B1178" t="s">
        <v>1556</v>
      </c>
      <c r="C1178" t="s">
        <v>9</v>
      </c>
      <c r="D1178" t="s">
        <v>14</v>
      </c>
      <c r="E1178" t="s">
        <v>15</v>
      </c>
      <c r="F1178" t="s">
        <v>14</v>
      </c>
      <c r="G1178" t="s">
        <v>117</v>
      </c>
      <c r="H1178" t="s">
        <v>4489</v>
      </c>
      <c r="J1178">
        <v>11</v>
      </c>
    </row>
    <row r="1179" spans="1:10" x14ac:dyDescent="0.35">
      <c r="A1179">
        <v>50112173</v>
      </c>
      <c r="B1179" t="s">
        <v>1556</v>
      </c>
      <c r="C1179" t="s">
        <v>9</v>
      </c>
      <c r="D1179" t="s">
        <v>14</v>
      </c>
      <c r="E1179" t="s">
        <v>15</v>
      </c>
      <c r="F1179" t="s">
        <v>14</v>
      </c>
      <c r="G1179" t="s">
        <v>73</v>
      </c>
      <c r="H1179" t="s">
        <v>4489</v>
      </c>
      <c r="J1179">
        <v>3</v>
      </c>
    </row>
    <row r="1180" spans="1:10" x14ac:dyDescent="0.35">
      <c r="A1180">
        <v>50112203</v>
      </c>
      <c r="B1180" t="s">
        <v>1557</v>
      </c>
      <c r="C1180" t="s">
        <v>9</v>
      </c>
      <c r="D1180" t="s">
        <v>246</v>
      </c>
      <c r="E1180" t="s">
        <v>15</v>
      </c>
      <c r="F1180" t="s">
        <v>14</v>
      </c>
      <c r="G1180" t="s">
        <v>150</v>
      </c>
      <c r="H1180" t="s">
        <v>4489</v>
      </c>
      <c r="J1180">
        <v>108</v>
      </c>
    </row>
    <row r="1181" spans="1:10" x14ac:dyDescent="0.35">
      <c r="A1181">
        <v>50112203</v>
      </c>
      <c r="B1181" t="s">
        <v>1557</v>
      </c>
      <c r="C1181" t="s">
        <v>9</v>
      </c>
      <c r="D1181" t="s">
        <v>246</v>
      </c>
      <c r="E1181" t="s">
        <v>15</v>
      </c>
      <c r="F1181" t="s">
        <v>14</v>
      </c>
      <c r="G1181" t="s">
        <v>61</v>
      </c>
      <c r="H1181" t="s">
        <v>4489</v>
      </c>
      <c r="J1181">
        <v>91</v>
      </c>
    </row>
    <row r="1182" spans="1:10" x14ac:dyDescent="0.35">
      <c r="A1182">
        <v>50112265</v>
      </c>
      <c r="B1182" t="s">
        <v>1558</v>
      </c>
      <c r="C1182" t="s">
        <v>9</v>
      </c>
      <c r="D1182" t="s">
        <v>52</v>
      </c>
      <c r="E1182" t="s">
        <v>15</v>
      </c>
      <c r="F1182" t="s">
        <v>14</v>
      </c>
      <c r="G1182" t="s">
        <v>11</v>
      </c>
      <c r="H1182" t="s">
        <v>4489</v>
      </c>
      <c r="J1182">
        <v>10</v>
      </c>
    </row>
    <row r="1183" spans="1:10" x14ac:dyDescent="0.35">
      <c r="A1183">
        <v>5011273030651</v>
      </c>
      <c r="B1183" t="s">
        <v>1559</v>
      </c>
      <c r="C1183" t="s">
        <v>1560</v>
      </c>
      <c r="D1183" t="s">
        <v>1561</v>
      </c>
      <c r="E1183" t="s">
        <v>22</v>
      </c>
      <c r="F1183" t="s">
        <v>1562</v>
      </c>
      <c r="G1183" t="s">
        <v>22</v>
      </c>
      <c r="H1183" t="s">
        <v>4699</v>
      </c>
      <c r="J1183">
        <v>1</v>
      </c>
    </row>
    <row r="1184" spans="1:10" x14ac:dyDescent="0.35">
      <c r="A1184">
        <v>5011273040339</v>
      </c>
      <c r="B1184" t="s">
        <v>1563</v>
      </c>
      <c r="C1184" t="s">
        <v>102</v>
      </c>
      <c r="D1184" t="s">
        <v>1561</v>
      </c>
      <c r="E1184" t="s">
        <v>22</v>
      </c>
      <c r="F1184" t="s">
        <v>1562</v>
      </c>
      <c r="G1184" t="s">
        <v>22</v>
      </c>
      <c r="H1184" t="s">
        <v>4699</v>
      </c>
      <c r="J1184">
        <v>1</v>
      </c>
    </row>
    <row r="1185" spans="1:10" x14ac:dyDescent="0.35">
      <c r="A1185">
        <v>5011273119035</v>
      </c>
      <c r="B1185" t="s">
        <v>1564</v>
      </c>
      <c r="C1185" t="s">
        <v>1565</v>
      </c>
      <c r="D1185" t="s">
        <v>1561</v>
      </c>
      <c r="E1185" t="s">
        <v>22</v>
      </c>
      <c r="F1185" t="s">
        <v>1562</v>
      </c>
      <c r="G1185" t="s">
        <v>22</v>
      </c>
      <c r="H1185" t="s">
        <v>4699</v>
      </c>
      <c r="J1185">
        <v>1</v>
      </c>
    </row>
    <row r="1186" spans="1:10" x14ac:dyDescent="0.35">
      <c r="A1186">
        <v>50112753</v>
      </c>
      <c r="B1186" t="s">
        <v>1011</v>
      </c>
      <c r="C1186" t="s">
        <v>9</v>
      </c>
      <c r="D1186" t="s">
        <v>246</v>
      </c>
      <c r="E1186" t="s">
        <v>15</v>
      </c>
      <c r="F1186" t="s">
        <v>14</v>
      </c>
      <c r="G1186" t="s">
        <v>150</v>
      </c>
      <c r="H1186" t="s">
        <v>4489</v>
      </c>
      <c r="J1186">
        <v>9</v>
      </c>
    </row>
    <row r="1187" spans="1:10" x14ac:dyDescent="0.35">
      <c r="A1187">
        <v>5011417552957</v>
      </c>
      <c r="B1187" t="s">
        <v>1566</v>
      </c>
      <c r="C1187" t="s">
        <v>806</v>
      </c>
      <c r="D1187" t="s">
        <v>1567</v>
      </c>
      <c r="E1187" t="s">
        <v>22</v>
      </c>
      <c r="F1187" t="s">
        <v>1568</v>
      </c>
      <c r="G1187" t="s">
        <v>73</v>
      </c>
      <c r="H1187" t="s">
        <v>4700</v>
      </c>
      <c r="J1187">
        <v>2</v>
      </c>
    </row>
    <row r="1188" spans="1:10" x14ac:dyDescent="0.35">
      <c r="A1188">
        <v>5011417559161</v>
      </c>
      <c r="B1188" t="s">
        <v>1569</v>
      </c>
      <c r="C1188" t="s">
        <v>272</v>
      </c>
      <c r="D1188" t="s">
        <v>1570</v>
      </c>
      <c r="E1188" t="s">
        <v>22</v>
      </c>
      <c r="F1188" t="s">
        <v>1568</v>
      </c>
      <c r="G1188" t="s">
        <v>34</v>
      </c>
      <c r="H1188" t="s">
        <v>4700</v>
      </c>
      <c r="J1188">
        <v>1</v>
      </c>
    </row>
    <row r="1189" spans="1:10" x14ac:dyDescent="0.35">
      <c r="A1189">
        <v>5011898005119</v>
      </c>
      <c r="B1189" t="s">
        <v>1571</v>
      </c>
      <c r="C1189" t="s">
        <v>9</v>
      </c>
      <c r="D1189" t="s">
        <v>1510</v>
      </c>
      <c r="E1189" t="s">
        <v>22</v>
      </c>
      <c r="F1189" t="s">
        <v>1500</v>
      </c>
      <c r="G1189" t="s">
        <v>22</v>
      </c>
      <c r="H1189" t="s">
        <v>4693</v>
      </c>
      <c r="J1189">
        <v>3</v>
      </c>
    </row>
    <row r="1190" spans="1:10" x14ac:dyDescent="0.35">
      <c r="A1190">
        <v>5011927064483</v>
      </c>
      <c r="B1190" t="s">
        <v>1572</v>
      </c>
      <c r="C1190" t="s">
        <v>1573</v>
      </c>
      <c r="D1190" t="s">
        <v>1574</v>
      </c>
      <c r="E1190" t="s">
        <v>11</v>
      </c>
      <c r="F1190" t="s">
        <v>1575</v>
      </c>
      <c r="G1190" t="s">
        <v>11</v>
      </c>
      <c r="H1190" t="s">
        <v>4701</v>
      </c>
      <c r="J1190">
        <v>1</v>
      </c>
    </row>
    <row r="1191" spans="1:10" x14ac:dyDescent="0.35">
      <c r="A1191">
        <v>5011962090348</v>
      </c>
      <c r="B1191" t="s">
        <v>1576</v>
      </c>
      <c r="C1191" t="s">
        <v>241</v>
      </c>
      <c r="D1191" t="s">
        <v>1577</v>
      </c>
      <c r="E1191" t="s">
        <v>308</v>
      </c>
      <c r="F1191" t="s">
        <v>309</v>
      </c>
      <c r="G1191" t="s">
        <v>22</v>
      </c>
      <c r="H1191" t="s">
        <v>4529</v>
      </c>
      <c r="J1191">
        <v>2</v>
      </c>
    </row>
    <row r="1192" spans="1:10" x14ac:dyDescent="0.35">
      <c r="A1192">
        <v>5011987034310</v>
      </c>
      <c r="B1192" t="s">
        <v>1578</v>
      </c>
      <c r="C1192" t="s">
        <v>1579</v>
      </c>
      <c r="D1192" t="s">
        <v>1574</v>
      </c>
      <c r="E1192" t="s">
        <v>11</v>
      </c>
      <c r="F1192" t="s">
        <v>1575</v>
      </c>
      <c r="G1192" t="s">
        <v>11</v>
      </c>
      <c r="H1192" t="s">
        <v>4701</v>
      </c>
      <c r="J1192">
        <v>2</v>
      </c>
    </row>
    <row r="1193" spans="1:10" x14ac:dyDescent="0.35">
      <c r="A1193">
        <v>5011987064423</v>
      </c>
      <c r="B1193" t="s">
        <v>1572</v>
      </c>
      <c r="C1193" t="s">
        <v>1580</v>
      </c>
      <c r="D1193" t="s">
        <v>1574</v>
      </c>
      <c r="E1193" t="s">
        <v>11</v>
      </c>
      <c r="F1193" t="s">
        <v>1575</v>
      </c>
      <c r="G1193" t="s">
        <v>11</v>
      </c>
      <c r="H1193" t="s">
        <v>4701</v>
      </c>
      <c r="J1193">
        <v>1</v>
      </c>
    </row>
    <row r="1194" spans="1:10" x14ac:dyDescent="0.35">
      <c r="A1194">
        <v>5011987064423</v>
      </c>
      <c r="B1194" t="s">
        <v>1572</v>
      </c>
      <c r="C1194" t="s">
        <v>1580</v>
      </c>
      <c r="D1194" t="s">
        <v>1574</v>
      </c>
      <c r="E1194" t="s">
        <v>11</v>
      </c>
      <c r="F1194" t="s">
        <v>1575</v>
      </c>
      <c r="G1194" t="s">
        <v>150</v>
      </c>
      <c r="H1194" t="s">
        <v>4701</v>
      </c>
      <c r="J1194">
        <v>2</v>
      </c>
    </row>
    <row r="1195" spans="1:10" x14ac:dyDescent="0.35">
      <c r="A1195">
        <v>5012035952273</v>
      </c>
      <c r="B1195" t="s">
        <v>1581</v>
      </c>
      <c r="C1195" t="s">
        <v>1582</v>
      </c>
      <c r="D1195" t="s">
        <v>1583</v>
      </c>
      <c r="E1195" t="s">
        <v>20</v>
      </c>
      <c r="F1195" t="s">
        <v>1021</v>
      </c>
      <c r="G1195" t="s">
        <v>22</v>
      </c>
      <c r="H1195" t="s">
        <v>4638</v>
      </c>
      <c r="J1195">
        <v>1</v>
      </c>
    </row>
    <row r="1196" spans="1:10" x14ac:dyDescent="0.35">
      <c r="A1196">
        <v>5012035963460</v>
      </c>
      <c r="B1196" t="s">
        <v>1584</v>
      </c>
      <c r="C1196" t="s">
        <v>1585</v>
      </c>
      <c r="D1196" t="s">
        <v>1021</v>
      </c>
      <c r="E1196" t="s">
        <v>20</v>
      </c>
      <c r="F1196" t="s">
        <v>1021</v>
      </c>
      <c r="G1196" t="s">
        <v>22</v>
      </c>
      <c r="H1196" t="s">
        <v>4638</v>
      </c>
      <c r="J1196">
        <v>1</v>
      </c>
    </row>
    <row r="1197" spans="1:10" x14ac:dyDescent="0.35">
      <c r="A1197">
        <v>5012035972066</v>
      </c>
      <c r="B1197" t="s">
        <v>1586</v>
      </c>
      <c r="C1197" t="s">
        <v>1582</v>
      </c>
      <c r="D1197" t="s">
        <v>1021</v>
      </c>
      <c r="E1197" t="s">
        <v>20</v>
      </c>
      <c r="F1197" t="s">
        <v>1021</v>
      </c>
      <c r="G1197" t="s">
        <v>22</v>
      </c>
      <c r="H1197" t="s">
        <v>4638</v>
      </c>
      <c r="J1197">
        <v>1</v>
      </c>
    </row>
    <row r="1198" spans="1:10" x14ac:dyDescent="0.35">
      <c r="A1198">
        <v>5012035986667</v>
      </c>
      <c r="B1198" t="s">
        <v>1587</v>
      </c>
      <c r="C1198" t="s">
        <v>1588</v>
      </c>
      <c r="D1198" t="s">
        <v>1021</v>
      </c>
      <c r="E1198" t="s">
        <v>20</v>
      </c>
      <c r="F1198" t="s">
        <v>1021</v>
      </c>
      <c r="G1198" t="s">
        <v>22</v>
      </c>
      <c r="H1198" t="s">
        <v>4638</v>
      </c>
      <c r="J1198">
        <v>1</v>
      </c>
    </row>
    <row r="1199" spans="1:10" x14ac:dyDescent="0.35">
      <c r="A1199">
        <v>5012058003006</v>
      </c>
      <c r="B1199" t="s">
        <v>752</v>
      </c>
      <c r="C1199" t="s">
        <v>9</v>
      </c>
      <c r="D1199" t="s">
        <v>1589</v>
      </c>
      <c r="E1199" t="s">
        <v>22</v>
      </c>
      <c r="F1199" t="s">
        <v>1500</v>
      </c>
      <c r="G1199" t="s">
        <v>22</v>
      </c>
      <c r="H1199" t="s">
        <v>4693</v>
      </c>
      <c r="J1199">
        <v>1</v>
      </c>
    </row>
    <row r="1200" spans="1:10" x14ac:dyDescent="0.35">
      <c r="A1200">
        <v>5012058009329</v>
      </c>
      <c r="B1200" t="s">
        <v>1050</v>
      </c>
      <c r="C1200" t="s">
        <v>9</v>
      </c>
      <c r="D1200" t="s">
        <v>1589</v>
      </c>
      <c r="E1200" t="s">
        <v>22</v>
      </c>
      <c r="F1200" t="s">
        <v>1500</v>
      </c>
      <c r="G1200" t="s">
        <v>22</v>
      </c>
      <c r="H1200" t="s">
        <v>4693</v>
      </c>
      <c r="J1200">
        <v>1</v>
      </c>
    </row>
    <row r="1201" spans="1:10" x14ac:dyDescent="0.35">
      <c r="A1201">
        <v>5012583203728</v>
      </c>
      <c r="B1201" t="s">
        <v>1590</v>
      </c>
      <c r="C1201" t="s">
        <v>272</v>
      </c>
      <c r="D1201" t="s">
        <v>1591</v>
      </c>
      <c r="E1201" t="s">
        <v>308</v>
      </c>
      <c r="F1201" t="s">
        <v>309</v>
      </c>
      <c r="G1201" t="s">
        <v>22</v>
      </c>
      <c r="H1201" t="s">
        <v>4529</v>
      </c>
      <c r="J1201">
        <v>1</v>
      </c>
    </row>
    <row r="1202" spans="1:10" x14ac:dyDescent="0.35">
      <c r="A1202">
        <v>5013635101818</v>
      </c>
      <c r="B1202" t="s">
        <v>1592</v>
      </c>
      <c r="C1202" t="s">
        <v>9</v>
      </c>
      <c r="D1202" t="s">
        <v>1593</v>
      </c>
      <c r="E1202" t="s">
        <v>22</v>
      </c>
      <c r="F1202" t="s">
        <v>1594</v>
      </c>
      <c r="G1202" t="s">
        <v>22</v>
      </c>
      <c r="H1202" t="s">
        <v>4702</v>
      </c>
      <c r="J1202">
        <v>1</v>
      </c>
    </row>
    <row r="1203" spans="1:10" x14ac:dyDescent="0.35">
      <c r="A1203">
        <v>5013635390137</v>
      </c>
      <c r="B1203" t="s">
        <v>1595</v>
      </c>
      <c r="C1203" t="s">
        <v>43</v>
      </c>
      <c r="D1203" t="s">
        <v>1593</v>
      </c>
      <c r="E1203" t="s">
        <v>22</v>
      </c>
      <c r="F1203" t="s">
        <v>1594</v>
      </c>
      <c r="G1203" t="s">
        <v>22</v>
      </c>
      <c r="H1203" t="s">
        <v>4702</v>
      </c>
      <c r="J1203">
        <v>1</v>
      </c>
    </row>
    <row r="1204" spans="1:10" x14ac:dyDescent="0.35">
      <c r="A1204">
        <v>5015552000151</v>
      </c>
      <c r="B1204" t="s">
        <v>1596</v>
      </c>
      <c r="C1204" t="s">
        <v>253</v>
      </c>
      <c r="D1204" t="s">
        <v>650</v>
      </c>
      <c r="E1204" t="s">
        <v>71</v>
      </c>
      <c r="F1204" t="s">
        <v>72</v>
      </c>
      <c r="G1204" t="s">
        <v>22</v>
      </c>
      <c r="H1204" t="s">
        <v>4501</v>
      </c>
      <c r="J1204">
        <v>1</v>
      </c>
    </row>
    <row r="1205" spans="1:10" x14ac:dyDescent="0.35">
      <c r="A1205">
        <v>5015552000168</v>
      </c>
      <c r="B1205" t="s">
        <v>1151</v>
      </c>
      <c r="C1205" t="s">
        <v>9</v>
      </c>
      <c r="D1205" t="s">
        <v>650</v>
      </c>
      <c r="E1205" t="s">
        <v>71</v>
      </c>
      <c r="F1205" t="s">
        <v>72</v>
      </c>
      <c r="G1205" t="s">
        <v>22</v>
      </c>
      <c r="H1205" t="s">
        <v>4501</v>
      </c>
      <c r="J1205">
        <v>3</v>
      </c>
    </row>
    <row r="1206" spans="1:10" x14ac:dyDescent="0.35">
      <c r="A1206">
        <v>5015552555132</v>
      </c>
      <c r="B1206" t="s">
        <v>1597</v>
      </c>
      <c r="C1206" t="s">
        <v>1598</v>
      </c>
      <c r="D1206" t="s">
        <v>650</v>
      </c>
      <c r="E1206" t="s">
        <v>71</v>
      </c>
      <c r="F1206" t="s">
        <v>72</v>
      </c>
      <c r="G1206" t="s">
        <v>22</v>
      </c>
      <c r="H1206" t="s">
        <v>4501</v>
      </c>
      <c r="J1206">
        <v>1</v>
      </c>
    </row>
    <row r="1207" spans="1:10" x14ac:dyDescent="0.35">
      <c r="A1207">
        <v>5015552601112</v>
      </c>
      <c r="B1207" t="s">
        <v>1599</v>
      </c>
      <c r="C1207" t="s">
        <v>326</v>
      </c>
      <c r="D1207" t="s">
        <v>70</v>
      </c>
      <c r="E1207" t="s">
        <v>71</v>
      </c>
      <c r="F1207" t="s">
        <v>72</v>
      </c>
      <c r="G1207" t="s">
        <v>22</v>
      </c>
      <c r="H1207" t="s">
        <v>4501</v>
      </c>
      <c r="J1207">
        <v>1</v>
      </c>
    </row>
    <row r="1208" spans="1:10" x14ac:dyDescent="0.35">
      <c r="A1208">
        <v>50157709</v>
      </c>
      <c r="B1208" t="s">
        <v>1421</v>
      </c>
      <c r="C1208" t="s">
        <v>9</v>
      </c>
      <c r="D1208" t="s">
        <v>1600</v>
      </c>
      <c r="E1208" t="s">
        <v>15</v>
      </c>
      <c r="F1208" t="s">
        <v>1395</v>
      </c>
      <c r="G1208" t="s">
        <v>22</v>
      </c>
      <c r="H1208" t="s">
        <v>4686</v>
      </c>
      <c r="J1208">
        <v>2</v>
      </c>
    </row>
    <row r="1209" spans="1:10" x14ac:dyDescent="0.35">
      <c r="A1209">
        <v>5017371155913</v>
      </c>
      <c r="B1209" t="s">
        <v>1601</v>
      </c>
      <c r="C1209" t="s">
        <v>9</v>
      </c>
      <c r="D1209" t="s">
        <v>1602</v>
      </c>
      <c r="E1209" t="s">
        <v>22</v>
      </c>
      <c r="F1209" t="s">
        <v>1603</v>
      </c>
      <c r="G1209" t="s">
        <v>22</v>
      </c>
      <c r="H1209" t="s">
        <v>4703</v>
      </c>
      <c r="J1209">
        <v>1</v>
      </c>
    </row>
    <row r="1210" spans="1:10" x14ac:dyDescent="0.35">
      <c r="A1210">
        <v>5017600020418</v>
      </c>
      <c r="B1210" t="s">
        <v>1604</v>
      </c>
      <c r="C1210" t="s">
        <v>268</v>
      </c>
      <c r="D1210" t="s">
        <v>1605</v>
      </c>
      <c r="E1210" t="s">
        <v>1270</v>
      </c>
      <c r="F1210" t="s">
        <v>1271</v>
      </c>
      <c r="G1210" t="s">
        <v>22</v>
      </c>
      <c r="H1210" t="s">
        <v>4676</v>
      </c>
      <c r="J1210">
        <v>1</v>
      </c>
    </row>
    <row r="1211" spans="1:10" x14ac:dyDescent="0.35">
      <c r="A1211">
        <v>5018907194802</v>
      </c>
      <c r="B1211" t="s">
        <v>485</v>
      </c>
      <c r="C1211" t="s">
        <v>81</v>
      </c>
      <c r="D1211" t="s">
        <v>1606</v>
      </c>
      <c r="E1211" t="s">
        <v>15</v>
      </c>
      <c r="F1211" t="s">
        <v>14</v>
      </c>
      <c r="G1211" t="s">
        <v>11</v>
      </c>
      <c r="H1211" t="s">
        <v>4489</v>
      </c>
      <c r="J1211">
        <v>2</v>
      </c>
    </row>
    <row r="1212" spans="1:10" x14ac:dyDescent="0.35">
      <c r="A1212">
        <v>5018907197803</v>
      </c>
      <c r="B1212" t="s">
        <v>485</v>
      </c>
      <c r="C1212" t="s">
        <v>9</v>
      </c>
      <c r="D1212" t="s">
        <v>1606</v>
      </c>
      <c r="E1212" t="s">
        <v>15</v>
      </c>
      <c r="F1212" t="s">
        <v>14</v>
      </c>
      <c r="G1212" t="s">
        <v>11</v>
      </c>
      <c r="H1212" t="s">
        <v>4489</v>
      </c>
      <c r="J1212">
        <v>9</v>
      </c>
    </row>
    <row r="1213" spans="1:10" x14ac:dyDescent="0.35">
      <c r="A1213">
        <v>5019402500723</v>
      </c>
      <c r="B1213" t="s">
        <v>1607</v>
      </c>
      <c r="C1213" t="s">
        <v>9</v>
      </c>
      <c r="D1213" t="s">
        <v>1608</v>
      </c>
      <c r="E1213" t="s">
        <v>22</v>
      </c>
      <c r="F1213" t="s">
        <v>1609</v>
      </c>
      <c r="G1213" t="s">
        <v>22</v>
      </c>
      <c r="H1213" t="s">
        <v>4704</v>
      </c>
      <c r="J1213">
        <v>2</v>
      </c>
    </row>
    <row r="1214" spans="1:10" x14ac:dyDescent="0.35">
      <c r="A1214">
        <v>5019402500730</v>
      </c>
      <c r="B1214" t="s">
        <v>1610</v>
      </c>
      <c r="C1214" t="s">
        <v>9</v>
      </c>
      <c r="D1214" t="s">
        <v>1608</v>
      </c>
      <c r="E1214" t="s">
        <v>22</v>
      </c>
      <c r="F1214" t="s">
        <v>1609</v>
      </c>
      <c r="G1214" t="s">
        <v>22</v>
      </c>
      <c r="H1214" t="s">
        <v>4704</v>
      </c>
      <c r="J1214">
        <v>3</v>
      </c>
    </row>
    <row r="1215" spans="1:10" x14ac:dyDescent="0.35">
      <c r="A1215">
        <v>5019402500730</v>
      </c>
      <c r="B1215" t="s">
        <v>1610</v>
      </c>
      <c r="C1215" t="s">
        <v>9</v>
      </c>
      <c r="D1215" t="s">
        <v>1608</v>
      </c>
      <c r="E1215" t="s">
        <v>22</v>
      </c>
      <c r="F1215" t="s">
        <v>1609</v>
      </c>
      <c r="G1215" t="s">
        <v>11</v>
      </c>
      <c r="H1215" t="s">
        <v>4704</v>
      </c>
      <c r="J1215">
        <v>3</v>
      </c>
    </row>
    <row r="1216" spans="1:10" x14ac:dyDescent="0.35">
      <c r="A1216">
        <v>5019402500754</v>
      </c>
      <c r="B1216" t="s">
        <v>1611</v>
      </c>
      <c r="C1216" t="s">
        <v>9</v>
      </c>
      <c r="D1216" t="s">
        <v>1608</v>
      </c>
      <c r="E1216" t="s">
        <v>22</v>
      </c>
      <c r="F1216" t="s">
        <v>1609</v>
      </c>
      <c r="G1216" t="s">
        <v>22</v>
      </c>
      <c r="H1216" t="s">
        <v>4704</v>
      </c>
      <c r="J1216">
        <v>1</v>
      </c>
    </row>
    <row r="1217" spans="1:10" x14ac:dyDescent="0.35">
      <c r="A1217">
        <v>5020379077989</v>
      </c>
      <c r="B1217" t="s">
        <v>1612</v>
      </c>
      <c r="C1217" t="s">
        <v>9</v>
      </c>
      <c r="D1217" t="s">
        <v>1449</v>
      </c>
      <c r="E1217" t="s">
        <v>1201</v>
      </c>
      <c r="F1217" t="s">
        <v>1450</v>
      </c>
      <c r="G1217" t="s">
        <v>22</v>
      </c>
      <c r="H1217" t="s">
        <v>4688</v>
      </c>
      <c r="J1217">
        <v>1</v>
      </c>
    </row>
    <row r="1218" spans="1:10" x14ac:dyDescent="0.35">
      <c r="A1218">
        <v>5020379078009</v>
      </c>
      <c r="B1218" t="s">
        <v>1400</v>
      </c>
      <c r="C1218" t="s">
        <v>9</v>
      </c>
      <c r="D1218" t="s">
        <v>1449</v>
      </c>
      <c r="E1218" t="s">
        <v>1201</v>
      </c>
      <c r="F1218" t="s">
        <v>1450</v>
      </c>
      <c r="G1218" t="s">
        <v>22</v>
      </c>
      <c r="H1218" t="s">
        <v>4688</v>
      </c>
      <c r="J1218">
        <v>1</v>
      </c>
    </row>
    <row r="1219" spans="1:10" x14ac:dyDescent="0.35">
      <c r="A1219">
        <v>5020379106658</v>
      </c>
      <c r="B1219" t="s">
        <v>1613</v>
      </c>
      <c r="C1219" t="s">
        <v>9</v>
      </c>
      <c r="D1219" t="s">
        <v>1449</v>
      </c>
      <c r="E1219" t="s">
        <v>1201</v>
      </c>
      <c r="F1219" t="s">
        <v>1450</v>
      </c>
      <c r="G1219" t="s">
        <v>22</v>
      </c>
      <c r="H1219" t="s">
        <v>4688</v>
      </c>
      <c r="J1219">
        <v>4</v>
      </c>
    </row>
    <row r="1220" spans="1:10" x14ac:dyDescent="0.35">
      <c r="A1220">
        <v>5020379106672</v>
      </c>
      <c r="B1220" t="s">
        <v>1614</v>
      </c>
      <c r="C1220" t="s">
        <v>9</v>
      </c>
      <c r="D1220" t="s">
        <v>1449</v>
      </c>
      <c r="E1220" t="s">
        <v>1201</v>
      </c>
      <c r="F1220" t="s">
        <v>1450</v>
      </c>
      <c r="G1220" t="s">
        <v>22</v>
      </c>
      <c r="H1220" t="s">
        <v>4688</v>
      </c>
      <c r="J1220">
        <v>1</v>
      </c>
    </row>
    <row r="1221" spans="1:10" x14ac:dyDescent="0.35">
      <c r="A1221">
        <v>5020379106696</v>
      </c>
      <c r="B1221" t="s">
        <v>1615</v>
      </c>
      <c r="C1221" t="s">
        <v>9</v>
      </c>
      <c r="D1221" t="s">
        <v>1449</v>
      </c>
      <c r="E1221" t="s">
        <v>1201</v>
      </c>
      <c r="F1221" t="s">
        <v>1450</v>
      </c>
      <c r="G1221" t="s">
        <v>22</v>
      </c>
      <c r="H1221" t="s">
        <v>4688</v>
      </c>
      <c r="J1221">
        <v>1</v>
      </c>
    </row>
    <row r="1222" spans="1:10" x14ac:dyDescent="0.35">
      <c r="A1222">
        <v>5020379106719</v>
      </c>
      <c r="B1222" t="s">
        <v>1616</v>
      </c>
      <c r="C1222" t="s">
        <v>9</v>
      </c>
      <c r="D1222" t="s">
        <v>1449</v>
      </c>
      <c r="E1222" t="s">
        <v>1201</v>
      </c>
      <c r="F1222" t="s">
        <v>1450</v>
      </c>
      <c r="G1222" t="s">
        <v>22</v>
      </c>
      <c r="H1222" t="s">
        <v>4688</v>
      </c>
      <c r="J1222">
        <v>3</v>
      </c>
    </row>
    <row r="1223" spans="1:10" x14ac:dyDescent="0.35">
      <c r="A1223">
        <v>5020379133401</v>
      </c>
      <c r="B1223" t="s">
        <v>1617</v>
      </c>
      <c r="C1223" t="s">
        <v>81</v>
      </c>
      <c r="D1223" t="s">
        <v>1449</v>
      </c>
      <c r="E1223" t="s">
        <v>1201</v>
      </c>
      <c r="F1223" t="s">
        <v>1450</v>
      </c>
      <c r="G1223" t="s">
        <v>22</v>
      </c>
      <c r="H1223" t="s">
        <v>4688</v>
      </c>
      <c r="J1223">
        <v>1</v>
      </c>
    </row>
    <row r="1224" spans="1:10" x14ac:dyDescent="0.35">
      <c r="A1224">
        <v>5020379136983</v>
      </c>
      <c r="B1224" t="s">
        <v>1618</v>
      </c>
      <c r="C1224" t="s">
        <v>849</v>
      </c>
      <c r="D1224" t="s">
        <v>1449</v>
      </c>
      <c r="E1224" t="s">
        <v>1201</v>
      </c>
      <c r="F1224" t="s">
        <v>1450</v>
      </c>
      <c r="G1224" t="s">
        <v>22</v>
      </c>
      <c r="H1224" t="s">
        <v>4688</v>
      </c>
      <c r="J1224">
        <v>1</v>
      </c>
    </row>
    <row r="1225" spans="1:10" x14ac:dyDescent="0.35">
      <c r="A1225">
        <v>5020379168267</v>
      </c>
      <c r="B1225" t="s">
        <v>1619</v>
      </c>
      <c r="C1225" t="s">
        <v>9</v>
      </c>
      <c r="D1225" t="s">
        <v>1449</v>
      </c>
      <c r="E1225" t="s">
        <v>1201</v>
      </c>
      <c r="F1225" t="s">
        <v>1450</v>
      </c>
      <c r="G1225" t="s">
        <v>22</v>
      </c>
      <c r="H1225" t="s">
        <v>4688</v>
      </c>
      <c r="J1225">
        <v>1</v>
      </c>
    </row>
    <row r="1226" spans="1:10" x14ac:dyDescent="0.35">
      <c r="A1226">
        <v>5020379171137</v>
      </c>
      <c r="B1226" t="s">
        <v>1620</v>
      </c>
      <c r="C1226" t="s">
        <v>9</v>
      </c>
      <c r="D1226" t="s">
        <v>1449</v>
      </c>
      <c r="E1226" t="s">
        <v>1201</v>
      </c>
      <c r="F1226" t="s">
        <v>1450</v>
      </c>
      <c r="G1226" t="s">
        <v>22</v>
      </c>
      <c r="H1226" t="s">
        <v>4688</v>
      </c>
      <c r="J1226">
        <v>1</v>
      </c>
    </row>
    <row r="1227" spans="1:10" x14ac:dyDescent="0.35">
      <c r="A1227">
        <v>5020379175388</v>
      </c>
      <c r="B1227" t="s">
        <v>1621</v>
      </c>
      <c r="C1227" t="s">
        <v>94</v>
      </c>
      <c r="D1227" t="s">
        <v>1449</v>
      </c>
      <c r="E1227" t="s">
        <v>1201</v>
      </c>
      <c r="F1227" t="s">
        <v>1450</v>
      </c>
      <c r="G1227" t="s">
        <v>22</v>
      </c>
      <c r="H1227" t="s">
        <v>4688</v>
      </c>
      <c r="J1227">
        <v>1</v>
      </c>
    </row>
    <row r="1228" spans="1:10" x14ac:dyDescent="0.35">
      <c r="A1228">
        <v>5020379175449</v>
      </c>
      <c r="B1228" t="s">
        <v>1622</v>
      </c>
      <c r="C1228" t="s">
        <v>94</v>
      </c>
      <c r="D1228" t="s">
        <v>1449</v>
      </c>
      <c r="E1228" t="s">
        <v>1201</v>
      </c>
      <c r="F1228" t="s">
        <v>1450</v>
      </c>
      <c r="G1228" t="s">
        <v>22</v>
      </c>
      <c r="H1228" t="s">
        <v>4688</v>
      </c>
      <c r="J1228">
        <v>1</v>
      </c>
    </row>
    <row r="1229" spans="1:10" x14ac:dyDescent="0.35">
      <c r="A1229">
        <v>5020379178662</v>
      </c>
      <c r="B1229" t="s">
        <v>1615</v>
      </c>
      <c r="C1229" t="s">
        <v>9</v>
      </c>
      <c r="D1229" t="s">
        <v>1449</v>
      </c>
      <c r="E1229" t="s">
        <v>1201</v>
      </c>
      <c r="F1229" t="s">
        <v>1450</v>
      </c>
      <c r="G1229" t="s">
        <v>22</v>
      </c>
      <c r="H1229" t="s">
        <v>4688</v>
      </c>
      <c r="J1229">
        <v>1</v>
      </c>
    </row>
    <row r="1230" spans="1:10" x14ac:dyDescent="0.35">
      <c r="A1230">
        <v>5022313000039</v>
      </c>
      <c r="B1230" t="s">
        <v>1623</v>
      </c>
      <c r="C1230" t="s">
        <v>38</v>
      </c>
      <c r="D1230" t="s">
        <v>989</v>
      </c>
      <c r="E1230" t="s">
        <v>22</v>
      </c>
      <c r="F1230" t="s">
        <v>990</v>
      </c>
      <c r="G1230" t="s">
        <v>22</v>
      </c>
      <c r="H1230" t="s">
        <v>4634</v>
      </c>
      <c r="J1230">
        <v>1</v>
      </c>
    </row>
    <row r="1231" spans="1:10" x14ac:dyDescent="0.35">
      <c r="A1231">
        <v>5022313331607</v>
      </c>
      <c r="B1231" t="s">
        <v>481</v>
      </c>
      <c r="C1231" t="s">
        <v>38</v>
      </c>
      <c r="D1231" t="s">
        <v>474</v>
      </c>
      <c r="E1231" t="s">
        <v>130</v>
      </c>
      <c r="F1231" t="s">
        <v>475</v>
      </c>
      <c r="G1231" t="s">
        <v>22</v>
      </c>
      <c r="H1231" t="s">
        <v>4557</v>
      </c>
      <c r="J1231">
        <v>2</v>
      </c>
    </row>
    <row r="1232" spans="1:10" x14ac:dyDescent="0.35">
      <c r="A1232">
        <v>5022313751047</v>
      </c>
      <c r="B1232" t="s">
        <v>481</v>
      </c>
      <c r="C1232" t="s">
        <v>272</v>
      </c>
      <c r="D1232" t="s">
        <v>474</v>
      </c>
      <c r="E1232" t="s">
        <v>130</v>
      </c>
      <c r="F1232" t="s">
        <v>475</v>
      </c>
      <c r="G1232" t="s">
        <v>22</v>
      </c>
      <c r="H1232" t="s">
        <v>4557</v>
      </c>
      <c r="J1232">
        <v>1</v>
      </c>
    </row>
    <row r="1233" spans="1:10" x14ac:dyDescent="0.35">
      <c r="A1233">
        <v>5023377005503</v>
      </c>
      <c r="B1233" t="s">
        <v>1624</v>
      </c>
      <c r="C1233" t="s">
        <v>36</v>
      </c>
      <c r="D1233" t="s">
        <v>1625</v>
      </c>
      <c r="E1233" t="s">
        <v>22</v>
      </c>
      <c r="F1233" t="s">
        <v>1626</v>
      </c>
      <c r="G1233" t="s">
        <v>22</v>
      </c>
      <c r="H1233" t="s">
        <v>4705</v>
      </c>
      <c r="J1233">
        <v>1</v>
      </c>
    </row>
    <row r="1234" spans="1:10" x14ac:dyDescent="0.35">
      <c r="A1234">
        <v>5023603333349</v>
      </c>
      <c r="B1234" t="s">
        <v>1627</v>
      </c>
      <c r="C1234" t="s">
        <v>603</v>
      </c>
      <c r="D1234" t="s">
        <v>1628</v>
      </c>
      <c r="E1234" t="s">
        <v>22</v>
      </c>
      <c r="F1234" t="s">
        <v>1629</v>
      </c>
      <c r="G1234" t="s">
        <v>22</v>
      </c>
      <c r="H1234" t="s">
        <v>4706</v>
      </c>
      <c r="J1234">
        <v>1</v>
      </c>
    </row>
    <row r="1235" spans="1:10" x14ac:dyDescent="0.35">
      <c r="A1235">
        <v>5024071230215</v>
      </c>
      <c r="B1235" t="s">
        <v>1630</v>
      </c>
      <c r="C1235" t="s">
        <v>1631</v>
      </c>
      <c r="D1235" t="s">
        <v>1632</v>
      </c>
      <c r="E1235" t="s">
        <v>22</v>
      </c>
      <c r="F1235" t="s">
        <v>1633</v>
      </c>
      <c r="G1235" t="s">
        <v>41</v>
      </c>
      <c r="H1235" t="s">
        <v>4707</v>
      </c>
      <c r="J1235">
        <v>30</v>
      </c>
    </row>
    <row r="1236" spans="1:10" x14ac:dyDescent="0.35">
      <c r="A1236">
        <v>5024616003014</v>
      </c>
      <c r="B1236" t="s">
        <v>119</v>
      </c>
      <c r="C1236" t="s">
        <v>603</v>
      </c>
      <c r="D1236" t="s">
        <v>1634</v>
      </c>
      <c r="E1236" t="s">
        <v>22</v>
      </c>
      <c r="F1236" t="s">
        <v>1635</v>
      </c>
      <c r="G1236" t="s">
        <v>22</v>
      </c>
      <c r="H1236" t="s">
        <v>4708</v>
      </c>
      <c r="J1236">
        <v>3</v>
      </c>
    </row>
    <row r="1237" spans="1:10" x14ac:dyDescent="0.35">
      <c r="A1237">
        <v>5024616003014</v>
      </c>
      <c r="B1237" t="s">
        <v>119</v>
      </c>
      <c r="C1237" t="s">
        <v>603</v>
      </c>
      <c r="D1237" t="s">
        <v>1634</v>
      </c>
      <c r="E1237" t="s">
        <v>22</v>
      </c>
      <c r="F1237" t="s">
        <v>1635</v>
      </c>
      <c r="G1237" t="s">
        <v>31</v>
      </c>
      <c r="H1237" t="s">
        <v>4708</v>
      </c>
      <c r="J1237">
        <v>27</v>
      </c>
    </row>
    <row r="1238" spans="1:10" x14ac:dyDescent="0.35">
      <c r="A1238">
        <v>5024616003021</v>
      </c>
      <c r="B1238" t="s">
        <v>119</v>
      </c>
      <c r="C1238" t="s">
        <v>9</v>
      </c>
      <c r="D1238" t="s">
        <v>1634</v>
      </c>
      <c r="E1238" t="s">
        <v>22</v>
      </c>
      <c r="F1238" t="s">
        <v>1635</v>
      </c>
      <c r="G1238" t="s">
        <v>22</v>
      </c>
      <c r="H1238" t="s">
        <v>4708</v>
      </c>
      <c r="J1238">
        <v>3</v>
      </c>
    </row>
    <row r="1239" spans="1:10" x14ac:dyDescent="0.35">
      <c r="A1239">
        <v>5024879005060</v>
      </c>
      <c r="B1239" t="s">
        <v>1636</v>
      </c>
      <c r="C1239" t="s">
        <v>1637</v>
      </c>
      <c r="D1239" t="s">
        <v>1638</v>
      </c>
      <c r="E1239" t="s">
        <v>22</v>
      </c>
      <c r="F1239" t="s">
        <v>1639</v>
      </c>
      <c r="G1239" t="s">
        <v>22</v>
      </c>
      <c r="H1239" t="s">
        <v>4709</v>
      </c>
      <c r="J1239">
        <v>2</v>
      </c>
    </row>
    <row r="1240" spans="1:10" x14ac:dyDescent="0.35">
      <c r="A1240">
        <v>5025866000181</v>
      </c>
      <c r="B1240" t="s">
        <v>1640</v>
      </c>
      <c r="C1240" t="s">
        <v>1641</v>
      </c>
      <c r="D1240" t="s">
        <v>1640</v>
      </c>
      <c r="E1240" t="s">
        <v>598</v>
      </c>
      <c r="F1240" t="s">
        <v>1642</v>
      </c>
      <c r="G1240" t="s">
        <v>598</v>
      </c>
      <c r="H1240" t="s">
        <v>4710</v>
      </c>
      <c r="J1240">
        <v>3</v>
      </c>
    </row>
    <row r="1241" spans="1:10" x14ac:dyDescent="0.35">
      <c r="A1241">
        <v>5025866001096</v>
      </c>
      <c r="B1241" t="s">
        <v>1643</v>
      </c>
      <c r="C1241" t="s">
        <v>603</v>
      </c>
      <c r="D1241" t="s">
        <v>1640</v>
      </c>
      <c r="E1241" t="s">
        <v>598</v>
      </c>
      <c r="F1241" t="s">
        <v>1642</v>
      </c>
      <c r="G1241" t="s">
        <v>598</v>
      </c>
      <c r="H1241" t="s">
        <v>4710</v>
      </c>
      <c r="J1241">
        <v>3</v>
      </c>
    </row>
    <row r="1242" spans="1:10" x14ac:dyDescent="0.35">
      <c r="A1242">
        <v>5025970004761</v>
      </c>
      <c r="B1242" t="s">
        <v>1644</v>
      </c>
      <c r="C1242" t="s">
        <v>9</v>
      </c>
      <c r="D1242" t="s">
        <v>1249</v>
      </c>
      <c r="E1242" t="s">
        <v>20</v>
      </c>
      <c r="F1242" t="s">
        <v>1250</v>
      </c>
      <c r="G1242" t="s">
        <v>22</v>
      </c>
      <c r="H1242" t="s">
        <v>4674</v>
      </c>
      <c r="J1242">
        <v>1</v>
      </c>
    </row>
    <row r="1243" spans="1:10" x14ac:dyDescent="0.35">
      <c r="A1243">
        <v>5026109000364</v>
      </c>
      <c r="B1243" t="s">
        <v>752</v>
      </c>
      <c r="C1243" t="s">
        <v>9</v>
      </c>
      <c r="D1243" t="s">
        <v>1645</v>
      </c>
      <c r="E1243" t="s">
        <v>22</v>
      </c>
      <c r="F1243" t="s">
        <v>1646</v>
      </c>
      <c r="G1243" t="s">
        <v>22</v>
      </c>
      <c r="H1243" t="s">
        <v>4711</v>
      </c>
      <c r="J1243">
        <v>1</v>
      </c>
    </row>
    <row r="1244" spans="1:10" x14ac:dyDescent="0.35">
      <c r="A1244">
        <v>5026109000364</v>
      </c>
      <c r="B1244" t="s">
        <v>752</v>
      </c>
      <c r="C1244" t="s">
        <v>9</v>
      </c>
      <c r="D1244" t="s">
        <v>1645</v>
      </c>
      <c r="E1244" t="s">
        <v>22</v>
      </c>
      <c r="F1244" t="s">
        <v>1646</v>
      </c>
      <c r="G1244" t="s">
        <v>150</v>
      </c>
      <c r="H1244" t="s">
        <v>4711</v>
      </c>
      <c r="J1244">
        <v>1</v>
      </c>
    </row>
    <row r="1245" spans="1:10" x14ac:dyDescent="0.35">
      <c r="A1245">
        <v>5026109000531</v>
      </c>
      <c r="B1245" t="s">
        <v>1647</v>
      </c>
      <c r="C1245" t="s">
        <v>9</v>
      </c>
      <c r="D1245" t="s">
        <v>1645</v>
      </c>
      <c r="E1245" t="s">
        <v>22</v>
      </c>
      <c r="F1245" t="s">
        <v>1646</v>
      </c>
      <c r="G1245" t="s">
        <v>22</v>
      </c>
      <c r="H1245" t="s">
        <v>4711</v>
      </c>
      <c r="J1245">
        <v>1</v>
      </c>
    </row>
    <row r="1246" spans="1:10" x14ac:dyDescent="0.35">
      <c r="A1246">
        <v>5026109000531</v>
      </c>
      <c r="B1246" t="s">
        <v>1647</v>
      </c>
      <c r="C1246" t="s">
        <v>9</v>
      </c>
      <c r="D1246" t="s">
        <v>1645</v>
      </c>
      <c r="E1246" t="s">
        <v>22</v>
      </c>
      <c r="F1246" t="s">
        <v>1646</v>
      </c>
      <c r="G1246" t="s">
        <v>61</v>
      </c>
      <c r="H1246" t="s">
        <v>4711</v>
      </c>
      <c r="J1246">
        <v>18</v>
      </c>
    </row>
    <row r="1247" spans="1:10" x14ac:dyDescent="0.35">
      <c r="A1247">
        <v>5026109002498</v>
      </c>
      <c r="B1247" t="s">
        <v>1648</v>
      </c>
      <c r="C1247" t="s">
        <v>9</v>
      </c>
      <c r="D1247" t="s">
        <v>1645</v>
      </c>
      <c r="E1247" t="s">
        <v>22</v>
      </c>
      <c r="F1247" t="s">
        <v>1646</v>
      </c>
      <c r="G1247" t="s">
        <v>22</v>
      </c>
      <c r="H1247" t="s">
        <v>4711</v>
      </c>
      <c r="J1247">
        <v>1</v>
      </c>
    </row>
    <row r="1248" spans="1:10" x14ac:dyDescent="0.35">
      <c r="A1248">
        <v>5026109003303</v>
      </c>
      <c r="B1248" t="s">
        <v>1649</v>
      </c>
      <c r="C1248" t="s">
        <v>603</v>
      </c>
      <c r="D1248" t="s">
        <v>1645</v>
      </c>
      <c r="E1248" t="s">
        <v>22</v>
      </c>
      <c r="F1248" t="s">
        <v>1646</v>
      </c>
      <c r="G1248" t="s">
        <v>22</v>
      </c>
      <c r="H1248" t="s">
        <v>4711</v>
      </c>
      <c r="J1248">
        <v>1</v>
      </c>
    </row>
    <row r="1249" spans="1:10" x14ac:dyDescent="0.35">
      <c r="A1249">
        <v>5026109003600</v>
      </c>
      <c r="B1249" t="s">
        <v>1650</v>
      </c>
      <c r="C1249" t="s">
        <v>603</v>
      </c>
      <c r="D1249" t="s">
        <v>1645</v>
      </c>
      <c r="E1249" t="s">
        <v>22</v>
      </c>
      <c r="F1249" t="s">
        <v>1646</v>
      </c>
      <c r="G1249" t="s">
        <v>22</v>
      </c>
      <c r="H1249" t="s">
        <v>4711</v>
      </c>
      <c r="J1249">
        <v>2</v>
      </c>
    </row>
    <row r="1250" spans="1:10" x14ac:dyDescent="0.35">
      <c r="A1250">
        <v>5026109009336</v>
      </c>
      <c r="B1250" t="s">
        <v>1651</v>
      </c>
      <c r="C1250" t="s">
        <v>603</v>
      </c>
      <c r="D1250" t="s">
        <v>1645</v>
      </c>
      <c r="E1250" t="s">
        <v>22</v>
      </c>
      <c r="F1250" t="s">
        <v>1646</v>
      </c>
      <c r="G1250" t="s">
        <v>22</v>
      </c>
      <c r="H1250" t="s">
        <v>4711</v>
      </c>
      <c r="J1250">
        <v>1</v>
      </c>
    </row>
    <row r="1251" spans="1:10" x14ac:dyDescent="0.35">
      <c r="A1251">
        <v>5026109009336</v>
      </c>
      <c r="B1251" t="s">
        <v>1651</v>
      </c>
      <c r="C1251" t="s">
        <v>603</v>
      </c>
      <c r="D1251" t="s">
        <v>1645</v>
      </c>
      <c r="E1251" t="s">
        <v>22</v>
      </c>
      <c r="F1251" t="s">
        <v>1646</v>
      </c>
      <c r="G1251" t="s">
        <v>31</v>
      </c>
      <c r="H1251" t="s">
        <v>4711</v>
      </c>
      <c r="J1251">
        <v>2</v>
      </c>
    </row>
    <row r="1252" spans="1:10" x14ac:dyDescent="0.35">
      <c r="A1252">
        <v>50271351</v>
      </c>
      <c r="B1252" t="s">
        <v>1652</v>
      </c>
      <c r="C1252" t="s">
        <v>9</v>
      </c>
      <c r="D1252" t="s">
        <v>1502</v>
      </c>
      <c r="E1252" t="s">
        <v>22</v>
      </c>
      <c r="F1252" t="s">
        <v>1500</v>
      </c>
      <c r="G1252" t="s">
        <v>22</v>
      </c>
      <c r="H1252" t="s">
        <v>4693</v>
      </c>
      <c r="J1252">
        <v>1</v>
      </c>
    </row>
    <row r="1253" spans="1:10" x14ac:dyDescent="0.35">
      <c r="A1253">
        <v>50271511</v>
      </c>
      <c r="B1253" t="s">
        <v>1508</v>
      </c>
      <c r="C1253" t="s">
        <v>9</v>
      </c>
      <c r="D1253" t="s">
        <v>1503</v>
      </c>
      <c r="E1253" t="s">
        <v>22</v>
      </c>
      <c r="F1253" t="s">
        <v>1500</v>
      </c>
      <c r="G1253" t="s">
        <v>22</v>
      </c>
      <c r="H1253" t="s">
        <v>4693</v>
      </c>
      <c r="J1253">
        <v>2</v>
      </c>
    </row>
    <row r="1254" spans="1:10" x14ac:dyDescent="0.35">
      <c r="A1254">
        <v>5028197192723</v>
      </c>
      <c r="B1254" t="s">
        <v>1653</v>
      </c>
      <c r="C1254" t="s">
        <v>36</v>
      </c>
      <c r="D1254" t="s">
        <v>1654</v>
      </c>
      <c r="E1254" t="s">
        <v>22</v>
      </c>
      <c r="F1254" t="s">
        <v>1655</v>
      </c>
      <c r="G1254" t="s">
        <v>73</v>
      </c>
      <c r="H1254" t="s">
        <v>4712</v>
      </c>
      <c r="J1254">
        <v>2</v>
      </c>
    </row>
    <row r="1255" spans="1:10" x14ac:dyDescent="0.35">
      <c r="A1255">
        <v>5028197973636</v>
      </c>
      <c r="B1255" t="s">
        <v>1656</v>
      </c>
      <c r="C1255" t="s">
        <v>1657</v>
      </c>
      <c r="D1255" t="s">
        <v>1654</v>
      </c>
      <c r="E1255" t="s">
        <v>22</v>
      </c>
      <c r="F1255" t="s">
        <v>1655</v>
      </c>
      <c r="G1255" t="s">
        <v>73</v>
      </c>
      <c r="H1255" t="s">
        <v>4712</v>
      </c>
      <c r="J1255">
        <v>1</v>
      </c>
    </row>
    <row r="1256" spans="1:10" x14ac:dyDescent="0.35">
      <c r="A1256">
        <v>5031021399281</v>
      </c>
      <c r="B1256" t="s">
        <v>1658</v>
      </c>
      <c r="C1256" t="s">
        <v>9</v>
      </c>
      <c r="D1256" t="s">
        <v>432</v>
      </c>
      <c r="E1256" t="s">
        <v>22</v>
      </c>
      <c r="F1256" t="s">
        <v>64</v>
      </c>
      <c r="G1256" t="s">
        <v>22</v>
      </c>
      <c r="H1256" t="s">
        <v>4499</v>
      </c>
      <c r="J1256">
        <v>1</v>
      </c>
    </row>
    <row r="1257" spans="1:10" x14ac:dyDescent="0.35">
      <c r="A1257">
        <v>5033022002269</v>
      </c>
      <c r="B1257" t="s">
        <v>752</v>
      </c>
      <c r="C1257" t="s">
        <v>253</v>
      </c>
      <c r="D1257" t="s">
        <v>841</v>
      </c>
      <c r="E1257" t="s">
        <v>22</v>
      </c>
      <c r="F1257" t="s">
        <v>842</v>
      </c>
      <c r="G1257" t="s">
        <v>22</v>
      </c>
      <c r="H1257" t="s">
        <v>4604</v>
      </c>
      <c r="J1257">
        <v>8</v>
      </c>
    </row>
    <row r="1258" spans="1:10" x14ac:dyDescent="0.35">
      <c r="A1258">
        <v>5033022002269</v>
      </c>
      <c r="B1258" t="s">
        <v>752</v>
      </c>
      <c r="C1258" t="s">
        <v>253</v>
      </c>
      <c r="D1258" t="s">
        <v>841</v>
      </c>
      <c r="E1258" t="s">
        <v>22</v>
      </c>
      <c r="F1258" t="s">
        <v>842</v>
      </c>
      <c r="G1258" t="s">
        <v>34</v>
      </c>
      <c r="H1258" t="s">
        <v>4604</v>
      </c>
      <c r="J1258">
        <v>2</v>
      </c>
    </row>
    <row r="1259" spans="1:10" x14ac:dyDescent="0.35">
      <c r="A1259">
        <v>5033022002269</v>
      </c>
      <c r="B1259" t="s">
        <v>752</v>
      </c>
      <c r="C1259" t="s">
        <v>253</v>
      </c>
      <c r="D1259" t="s">
        <v>841</v>
      </c>
      <c r="E1259" t="s">
        <v>22</v>
      </c>
      <c r="F1259" t="s">
        <v>842</v>
      </c>
      <c r="G1259" t="s">
        <v>31</v>
      </c>
      <c r="H1259" t="s">
        <v>4604</v>
      </c>
      <c r="J1259">
        <v>10</v>
      </c>
    </row>
    <row r="1260" spans="1:10" x14ac:dyDescent="0.35">
      <c r="A1260">
        <v>5033022002337</v>
      </c>
      <c r="B1260" t="s">
        <v>1050</v>
      </c>
      <c r="C1260" t="s">
        <v>9</v>
      </c>
      <c r="D1260" t="s">
        <v>841</v>
      </c>
      <c r="E1260" t="s">
        <v>22</v>
      </c>
      <c r="F1260" t="s">
        <v>842</v>
      </c>
      <c r="G1260" t="s">
        <v>22</v>
      </c>
      <c r="H1260" t="s">
        <v>4604</v>
      </c>
      <c r="J1260">
        <v>1</v>
      </c>
    </row>
    <row r="1261" spans="1:10" x14ac:dyDescent="0.35">
      <c r="A1261">
        <v>5034660522782</v>
      </c>
      <c r="B1261" t="s">
        <v>679</v>
      </c>
      <c r="C1261" t="s">
        <v>1659</v>
      </c>
      <c r="D1261" t="s">
        <v>613</v>
      </c>
      <c r="E1261" t="s">
        <v>15</v>
      </c>
      <c r="F1261" t="s">
        <v>460</v>
      </c>
      <c r="G1261" t="s">
        <v>22</v>
      </c>
      <c r="H1261" t="s">
        <v>4554</v>
      </c>
      <c r="J1261">
        <v>1</v>
      </c>
    </row>
    <row r="1262" spans="1:10" x14ac:dyDescent="0.35">
      <c r="A1262">
        <v>5034938200015</v>
      </c>
      <c r="B1262" t="s">
        <v>1660</v>
      </c>
      <c r="C1262" t="s">
        <v>9</v>
      </c>
      <c r="D1262" t="s">
        <v>1661</v>
      </c>
      <c r="E1262" t="s">
        <v>308</v>
      </c>
      <c r="F1262" t="s">
        <v>309</v>
      </c>
      <c r="G1262" t="s">
        <v>22</v>
      </c>
      <c r="H1262" t="s">
        <v>4529</v>
      </c>
      <c r="J1262">
        <v>1</v>
      </c>
    </row>
    <row r="1263" spans="1:10" x14ac:dyDescent="0.35">
      <c r="A1263">
        <v>5034938500016</v>
      </c>
      <c r="B1263" t="s">
        <v>1662</v>
      </c>
      <c r="C1263" t="s">
        <v>9</v>
      </c>
      <c r="D1263" t="s">
        <v>1661</v>
      </c>
      <c r="E1263" t="s">
        <v>308</v>
      </c>
      <c r="F1263" t="s">
        <v>309</v>
      </c>
      <c r="G1263" t="s">
        <v>22</v>
      </c>
      <c r="H1263" t="s">
        <v>4529</v>
      </c>
      <c r="J1263">
        <v>1</v>
      </c>
    </row>
    <row r="1264" spans="1:10" x14ac:dyDescent="0.35">
      <c r="A1264">
        <v>5034938500016</v>
      </c>
      <c r="B1264" t="s">
        <v>1662</v>
      </c>
      <c r="C1264" t="s">
        <v>9</v>
      </c>
      <c r="D1264" t="s">
        <v>1661</v>
      </c>
      <c r="E1264" t="s">
        <v>308</v>
      </c>
      <c r="F1264" t="s">
        <v>309</v>
      </c>
      <c r="G1264" t="s">
        <v>34</v>
      </c>
      <c r="H1264" t="s">
        <v>4529</v>
      </c>
      <c r="J1264">
        <v>1</v>
      </c>
    </row>
    <row r="1265" spans="1:10" x14ac:dyDescent="0.35">
      <c r="A1265">
        <v>5035230100010</v>
      </c>
      <c r="B1265" t="s">
        <v>1663</v>
      </c>
      <c r="C1265" t="s">
        <v>268</v>
      </c>
      <c r="D1265" t="s">
        <v>1664</v>
      </c>
      <c r="E1265" t="s">
        <v>22</v>
      </c>
      <c r="F1265" t="s">
        <v>1665</v>
      </c>
      <c r="G1265" t="s">
        <v>22</v>
      </c>
      <c r="H1265" t="s">
        <v>4713</v>
      </c>
      <c r="J1265">
        <v>1</v>
      </c>
    </row>
    <row r="1266" spans="1:10" x14ac:dyDescent="0.35">
      <c r="A1266">
        <v>5036589200970</v>
      </c>
      <c r="B1266" t="s">
        <v>1666</v>
      </c>
      <c r="C1266" t="s">
        <v>1394</v>
      </c>
      <c r="D1266" t="s">
        <v>1474</v>
      </c>
      <c r="E1266" t="s">
        <v>308</v>
      </c>
      <c r="F1266" t="s">
        <v>309</v>
      </c>
      <c r="G1266" t="s">
        <v>22</v>
      </c>
      <c r="H1266" t="s">
        <v>4529</v>
      </c>
      <c r="J1266">
        <v>1</v>
      </c>
    </row>
    <row r="1267" spans="1:10" x14ac:dyDescent="0.35">
      <c r="A1267">
        <v>5036589253471</v>
      </c>
      <c r="B1267" t="s">
        <v>1667</v>
      </c>
      <c r="C1267" t="s">
        <v>1394</v>
      </c>
      <c r="D1267" t="s">
        <v>1474</v>
      </c>
      <c r="E1267" t="s">
        <v>308</v>
      </c>
      <c r="F1267" t="s">
        <v>309</v>
      </c>
      <c r="G1267" t="s">
        <v>22</v>
      </c>
      <c r="H1267" t="s">
        <v>4529</v>
      </c>
      <c r="J1267">
        <v>1</v>
      </c>
    </row>
    <row r="1268" spans="1:10" x14ac:dyDescent="0.35">
      <c r="A1268">
        <v>5038862133555</v>
      </c>
      <c r="B1268" t="s">
        <v>1668</v>
      </c>
      <c r="C1268" t="s">
        <v>326</v>
      </c>
      <c r="D1268" t="s">
        <v>1669</v>
      </c>
      <c r="E1268" t="s">
        <v>15</v>
      </c>
      <c r="F1268" t="s">
        <v>14</v>
      </c>
      <c r="G1268" t="s">
        <v>22</v>
      </c>
      <c r="H1268" t="s">
        <v>4489</v>
      </c>
      <c r="J1268">
        <v>1</v>
      </c>
    </row>
    <row r="1269" spans="1:10" x14ac:dyDescent="0.35">
      <c r="A1269">
        <v>5038862238397</v>
      </c>
      <c r="B1269" t="s">
        <v>1670</v>
      </c>
      <c r="C1269" t="s">
        <v>326</v>
      </c>
      <c r="D1269" t="s">
        <v>1669</v>
      </c>
      <c r="E1269" t="s">
        <v>15</v>
      </c>
      <c r="F1269" t="s">
        <v>14</v>
      </c>
      <c r="G1269" t="s">
        <v>22</v>
      </c>
      <c r="H1269" t="s">
        <v>4489</v>
      </c>
      <c r="J1269">
        <v>1</v>
      </c>
    </row>
    <row r="1270" spans="1:10" x14ac:dyDescent="0.35">
      <c r="A1270">
        <v>5038862304504</v>
      </c>
      <c r="B1270" t="s">
        <v>1671</v>
      </c>
      <c r="C1270" t="s">
        <v>326</v>
      </c>
      <c r="D1270" t="s">
        <v>1669</v>
      </c>
      <c r="E1270" t="s">
        <v>15</v>
      </c>
      <c r="F1270" t="s">
        <v>14</v>
      </c>
      <c r="G1270" t="s">
        <v>22</v>
      </c>
      <c r="H1270" t="s">
        <v>4489</v>
      </c>
      <c r="J1270">
        <v>4</v>
      </c>
    </row>
    <row r="1271" spans="1:10" x14ac:dyDescent="0.35">
      <c r="A1271">
        <v>5038896001011</v>
      </c>
      <c r="B1271" t="s">
        <v>1672</v>
      </c>
      <c r="C1271" t="s">
        <v>9</v>
      </c>
      <c r="D1271" t="s">
        <v>1672</v>
      </c>
      <c r="E1271" t="s">
        <v>22</v>
      </c>
      <c r="F1271" t="s">
        <v>1672</v>
      </c>
      <c r="G1271" t="s">
        <v>41</v>
      </c>
      <c r="H1271" t="s">
        <v>4714</v>
      </c>
      <c r="J1271">
        <v>17</v>
      </c>
    </row>
    <row r="1272" spans="1:10" x14ac:dyDescent="0.35">
      <c r="A1272">
        <v>50411887</v>
      </c>
      <c r="B1272" t="s">
        <v>1673</v>
      </c>
      <c r="C1272" t="s">
        <v>9</v>
      </c>
      <c r="D1272" t="s">
        <v>1529</v>
      </c>
      <c r="E1272" t="s">
        <v>22</v>
      </c>
      <c r="F1272" t="s">
        <v>121</v>
      </c>
      <c r="G1272" t="s">
        <v>22</v>
      </c>
      <c r="H1272" t="s">
        <v>4510</v>
      </c>
      <c r="J1272">
        <v>2</v>
      </c>
    </row>
    <row r="1273" spans="1:10" x14ac:dyDescent="0.35">
      <c r="A1273">
        <v>50412709</v>
      </c>
      <c r="B1273" t="s">
        <v>1674</v>
      </c>
      <c r="C1273" t="s">
        <v>1532</v>
      </c>
      <c r="D1273" t="s">
        <v>1430</v>
      </c>
      <c r="E1273" t="s">
        <v>22</v>
      </c>
      <c r="F1273" t="s">
        <v>121</v>
      </c>
      <c r="G1273" t="s">
        <v>22</v>
      </c>
      <c r="H1273" t="s">
        <v>4510</v>
      </c>
      <c r="J1273">
        <v>1</v>
      </c>
    </row>
    <row r="1274" spans="1:10" x14ac:dyDescent="0.35">
      <c r="A1274">
        <v>50412716</v>
      </c>
      <c r="B1274" t="s">
        <v>1675</v>
      </c>
      <c r="C1274" t="s">
        <v>1532</v>
      </c>
      <c r="D1274" t="s">
        <v>1430</v>
      </c>
      <c r="E1274" t="s">
        <v>22</v>
      </c>
      <c r="F1274" t="s">
        <v>121</v>
      </c>
      <c r="G1274" t="s">
        <v>22</v>
      </c>
      <c r="H1274" t="s">
        <v>4510</v>
      </c>
      <c r="J1274">
        <v>3</v>
      </c>
    </row>
    <row r="1275" spans="1:10" x14ac:dyDescent="0.35">
      <c r="A1275">
        <v>50457250</v>
      </c>
      <c r="B1275" t="s">
        <v>1421</v>
      </c>
      <c r="C1275" t="s">
        <v>1676</v>
      </c>
      <c r="D1275" t="s">
        <v>1600</v>
      </c>
      <c r="E1275" t="s">
        <v>15</v>
      </c>
      <c r="F1275" t="s">
        <v>1395</v>
      </c>
      <c r="G1275" t="s">
        <v>22</v>
      </c>
      <c r="H1275" t="s">
        <v>4686</v>
      </c>
      <c r="J1275">
        <v>1</v>
      </c>
    </row>
    <row r="1276" spans="1:10" x14ac:dyDescent="0.35">
      <c r="A1276">
        <v>5050179317305</v>
      </c>
      <c r="B1276" t="s">
        <v>62</v>
      </c>
      <c r="C1276" t="s">
        <v>43</v>
      </c>
      <c r="D1276" t="s">
        <v>63</v>
      </c>
      <c r="E1276" t="s">
        <v>22</v>
      </c>
      <c r="F1276" t="s">
        <v>64</v>
      </c>
      <c r="G1276" t="s">
        <v>22</v>
      </c>
      <c r="H1276" t="s">
        <v>4499</v>
      </c>
      <c r="J1276">
        <v>1</v>
      </c>
    </row>
    <row r="1277" spans="1:10" x14ac:dyDescent="0.35">
      <c r="A1277">
        <v>5050179761979</v>
      </c>
      <c r="B1277" t="s">
        <v>1677</v>
      </c>
      <c r="C1277" t="s">
        <v>1426</v>
      </c>
      <c r="D1277" t="s">
        <v>432</v>
      </c>
      <c r="E1277" t="s">
        <v>22</v>
      </c>
      <c r="F1277" t="s">
        <v>64</v>
      </c>
      <c r="G1277" t="s">
        <v>22</v>
      </c>
      <c r="H1277" t="s">
        <v>4499</v>
      </c>
      <c r="J1277">
        <v>1</v>
      </c>
    </row>
    <row r="1278" spans="1:10" x14ac:dyDescent="0.35">
      <c r="A1278">
        <v>5050179761979</v>
      </c>
      <c r="B1278" t="s">
        <v>1677</v>
      </c>
      <c r="C1278" t="s">
        <v>1426</v>
      </c>
      <c r="D1278" t="s">
        <v>432</v>
      </c>
      <c r="E1278" t="s">
        <v>22</v>
      </c>
      <c r="F1278" t="s">
        <v>64</v>
      </c>
      <c r="G1278" t="s">
        <v>150</v>
      </c>
      <c r="H1278" t="s">
        <v>4499</v>
      </c>
      <c r="J1278">
        <v>2</v>
      </c>
    </row>
    <row r="1279" spans="1:10" x14ac:dyDescent="0.35">
      <c r="A1279">
        <v>5050179762051</v>
      </c>
      <c r="B1279" t="s">
        <v>1678</v>
      </c>
      <c r="C1279" t="s">
        <v>1426</v>
      </c>
      <c r="D1279" t="s">
        <v>432</v>
      </c>
      <c r="E1279" t="s">
        <v>22</v>
      </c>
      <c r="F1279" t="s">
        <v>64</v>
      </c>
      <c r="G1279" t="s">
        <v>22</v>
      </c>
      <c r="H1279" t="s">
        <v>4499</v>
      </c>
      <c r="J1279">
        <v>1</v>
      </c>
    </row>
    <row r="1280" spans="1:10" x14ac:dyDescent="0.35">
      <c r="A1280">
        <v>5050665038882</v>
      </c>
      <c r="B1280" t="s">
        <v>1679</v>
      </c>
      <c r="C1280" t="s">
        <v>1680</v>
      </c>
      <c r="D1280" t="s">
        <v>989</v>
      </c>
      <c r="E1280" t="s">
        <v>22</v>
      </c>
      <c r="F1280" t="s">
        <v>990</v>
      </c>
      <c r="G1280" t="s">
        <v>22</v>
      </c>
      <c r="H1280" t="s">
        <v>4634</v>
      </c>
      <c r="J1280">
        <v>1</v>
      </c>
    </row>
    <row r="1281" spans="1:10" x14ac:dyDescent="0.35">
      <c r="A1281">
        <v>5050665039704</v>
      </c>
      <c r="B1281" t="s">
        <v>1681</v>
      </c>
      <c r="C1281" t="s">
        <v>1682</v>
      </c>
      <c r="D1281" t="s">
        <v>989</v>
      </c>
      <c r="E1281" t="s">
        <v>22</v>
      </c>
      <c r="F1281" t="s">
        <v>990</v>
      </c>
      <c r="G1281" t="s">
        <v>22</v>
      </c>
      <c r="H1281" t="s">
        <v>4634</v>
      </c>
      <c r="J1281">
        <v>1</v>
      </c>
    </row>
    <row r="1282" spans="1:10" x14ac:dyDescent="0.35">
      <c r="A1282">
        <v>5051140152895</v>
      </c>
      <c r="B1282" t="s">
        <v>1683</v>
      </c>
      <c r="C1282" t="s">
        <v>1115</v>
      </c>
      <c r="D1282" t="s">
        <v>432</v>
      </c>
      <c r="E1282" t="s">
        <v>22</v>
      </c>
      <c r="F1282" t="s">
        <v>64</v>
      </c>
      <c r="G1282" t="s">
        <v>22</v>
      </c>
      <c r="H1282" t="s">
        <v>4499</v>
      </c>
      <c r="J1282">
        <v>1</v>
      </c>
    </row>
    <row r="1283" spans="1:10" x14ac:dyDescent="0.35">
      <c r="A1283">
        <v>5051277007211</v>
      </c>
      <c r="B1283" t="s">
        <v>1684</v>
      </c>
      <c r="C1283" t="s">
        <v>43</v>
      </c>
      <c r="D1283" t="s">
        <v>63</v>
      </c>
      <c r="E1283" t="s">
        <v>22</v>
      </c>
      <c r="F1283" t="s">
        <v>64</v>
      </c>
      <c r="G1283" t="s">
        <v>22</v>
      </c>
      <c r="H1283" t="s">
        <v>4499</v>
      </c>
      <c r="J1283">
        <v>2</v>
      </c>
    </row>
    <row r="1284" spans="1:10" x14ac:dyDescent="0.35">
      <c r="A1284">
        <v>5054073041434</v>
      </c>
      <c r="B1284" t="s">
        <v>1685</v>
      </c>
      <c r="C1284" t="s">
        <v>18</v>
      </c>
      <c r="D1284" t="s">
        <v>1686</v>
      </c>
      <c r="E1284" t="s">
        <v>308</v>
      </c>
      <c r="F1284" t="s">
        <v>309</v>
      </c>
      <c r="G1284" t="s">
        <v>22</v>
      </c>
      <c r="H1284" t="s">
        <v>4529</v>
      </c>
      <c r="J1284">
        <v>1</v>
      </c>
    </row>
    <row r="1285" spans="1:10" x14ac:dyDescent="0.35">
      <c r="A1285">
        <v>5054073047559</v>
      </c>
      <c r="B1285" t="s">
        <v>119</v>
      </c>
      <c r="C1285" t="s">
        <v>253</v>
      </c>
      <c r="D1285" t="s">
        <v>1686</v>
      </c>
      <c r="E1285" t="s">
        <v>308</v>
      </c>
      <c r="F1285" t="s">
        <v>309</v>
      </c>
      <c r="G1285" t="s">
        <v>22</v>
      </c>
      <c r="H1285" t="s">
        <v>4529</v>
      </c>
      <c r="J1285">
        <v>1</v>
      </c>
    </row>
    <row r="1286" spans="1:10" x14ac:dyDescent="0.35">
      <c r="A1286">
        <v>5054073047559</v>
      </c>
      <c r="B1286" t="s">
        <v>119</v>
      </c>
      <c r="C1286" t="s">
        <v>253</v>
      </c>
      <c r="D1286" t="s">
        <v>1686</v>
      </c>
      <c r="E1286" t="s">
        <v>308</v>
      </c>
      <c r="F1286" t="s">
        <v>309</v>
      </c>
      <c r="G1286" t="s">
        <v>34</v>
      </c>
      <c r="H1286" t="s">
        <v>4529</v>
      </c>
      <c r="J1286">
        <v>1</v>
      </c>
    </row>
    <row r="1287" spans="1:10" x14ac:dyDescent="0.35">
      <c r="A1287">
        <v>5054267000162</v>
      </c>
      <c r="B1287" t="s">
        <v>167</v>
      </c>
      <c r="C1287" t="s">
        <v>849</v>
      </c>
      <c r="D1287" t="s">
        <v>1057</v>
      </c>
      <c r="E1287" t="s">
        <v>318</v>
      </c>
      <c r="F1287" t="s">
        <v>319</v>
      </c>
      <c r="G1287" t="s">
        <v>22</v>
      </c>
      <c r="H1287" t="s">
        <v>4531</v>
      </c>
      <c r="J1287">
        <v>3</v>
      </c>
    </row>
    <row r="1288" spans="1:10" x14ac:dyDescent="0.35">
      <c r="A1288">
        <v>5054267000216</v>
      </c>
      <c r="B1288" t="s">
        <v>1687</v>
      </c>
      <c r="C1288" t="s">
        <v>9</v>
      </c>
      <c r="D1288" t="s">
        <v>1057</v>
      </c>
      <c r="E1288" t="s">
        <v>318</v>
      </c>
      <c r="F1288" t="s">
        <v>319</v>
      </c>
      <c r="G1288" t="s">
        <v>22</v>
      </c>
      <c r="H1288" t="s">
        <v>4531</v>
      </c>
      <c r="J1288">
        <v>6</v>
      </c>
    </row>
    <row r="1289" spans="1:10" x14ac:dyDescent="0.35">
      <c r="A1289">
        <v>5054267000438</v>
      </c>
      <c r="B1289" t="s">
        <v>1688</v>
      </c>
      <c r="C1289" t="s">
        <v>849</v>
      </c>
      <c r="D1289" t="s">
        <v>1688</v>
      </c>
      <c r="E1289" t="s">
        <v>318</v>
      </c>
      <c r="F1289" t="s">
        <v>319</v>
      </c>
      <c r="G1289" t="s">
        <v>22</v>
      </c>
      <c r="H1289" t="s">
        <v>4531</v>
      </c>
      <c r="J1289">
        <v>1</v>
      </c>
    </row>
    <row r="1290" spans="1:10" x14ac:dyDescent="0.35">
      <c r="A1290">
        <v>5054267000612</v>
      </c>
      <c r="B1290" t="s">
        <v>1689</v>
      </c>
      <c r="C1290" t="s">
        <v>9</v>
      </c>
      <c r="D1290" t="s">
        <v>1057</v>
      </c>
      <c r="E1290" t="s">
        <v>318</v>
      </c>
      <c r="F1290" t="s">
        <v>319</v>
      </c>
      <c r="G1290" t="s">
        <v>22</v>
      </c>
      <c r="H1290" t="s">
        <v>4531</v>
      </c>
      <c r="J1290">
        <v>5</v>
      </c>
    </row>
    <row r="1291" spans="1:10" x14ac:dyDescent="0.35">
      <c r="A1291">
        <v>5054267000681</v>
      </c>
      <c r="B1291" t="s">
        <v>1690</v>
      </c>
      <c r="C1291" t="s">
        <v>9</v>
      </c>
      <c r="D1291" t="s">
        <v>1057</v>
      </c>
      <c r="E1291" t="s">
        <v>318</v>
      </c>
      <c r="F1291" t="s">
        <v>319</v>
      </c>
      <c r="G1291" t="s">
        <v>22</v>
      </c>
      <c r="H1291" t="s">
        <v>4531</v>
      </c>
      <c r="J1291">
        <v>43</v>
      </c>
    </row>
    <row r="1292" spans="1:10" x14ac:dyDescent="0.35">
      <c r="A1292">
        <v>5054267000704</v>
      </c>
      <c r="B1292" t="s">
        <v>1691</v>
      </c>
      <c r="C1292" t="s">
        <v>9</v>
      </c>
      <c r="D1292" t="s">
        <v>1057</v>
      </c>
      <c r="E1292" t="s">
        <v>318</v>
      </c>
      <c r="F1292" t="s">
        <v>319</v>
      </c>
      <c r="G1292" t="s">
        <v>22</v>
      </c>
      <c r="H1292" t="s">
        <v>4531</v>
      </c>
      <c r="J1292">
        <v>13</v>
      </c>
    </row>
    <row r="1293" spans="1:10" x14ac:dyDescent="0.35">
      <c r="A1293">
        <v>5054267001138</v>
      </c>
      <c r="B1293" t="s">
        <v>1692</v>
      </c>
      <c r="C1293" t="s">
        <v>9</v>
      </c>
      <c r="D1293" t="s">
        <v>1057</v>
      </c>
      <c r="E1293" t="s">
        <v>318</v>
      </c>
      <c r="F1293" t="s">
        <v>319</v>
      </c>
      <c r="G1293" t="s">
        <v>22</v>
      </c>
      <c r="H1293" t="s">
        <v>4531</v>
      </c>
      <c r="J1293">
        <v>1</v>
      </c>
    </row>
    <row r="1294" spans="1:10" x14ac:dyDescent="0.35">
      <c r="A1294">
        <v>5054267002715</v>
      </c>
      <c r="B1294" t="s">
        <v>1693</v>
      </c>
      <c r="C1294" t="s">
        <v>326</v>
      </c>
      <c r="D1294" t="s">
        <v>1057</v>
      </c>
      <c r="E1294" t="s">
        <v>318</v>
      </c>
      <c r="F1294" t="s">
        <v>319</v>
      </c>
      <c r="G1294" t="s">
        <v>22</v>
      </c>
      <c r="H1294" t="s">
        <v>4531</v>
      </c>
      <c r="J1294">
        <v>2</v>
      </c>
    </row>
    <row r="1295" spans="1:10" x14ac:dyDescent="0.35">
      <c r="A1295">
        <v>5054267007871</v>
      </c>
      <c r="B1295" t="s">
        <v>148</v>
      </c>
      <c r="C1295" t="s">
        <v>9</v>
      </c>
      <c r="D1295" t="s">
        <v>1057</v>
      </c>
      <c r="E1295" t="s">
        <v>318</v>
      </c>
      <c r="F1295" t="s">
        <v>319</v>
      </c>
      <c r="G1295" t="s">
        <v>22</v>
      </c>
      <c r="H1295" t="s">
        <v>4531</v>
      </c>
      <c r="J1295">
        <v>2</v>
      </c>
    </row>
    <row r="1296" spans="1:10" x14ac:dyDescent="0.35">
      <c r="A1296">
        <v>5054267007895</v>
      </c>
      <c r="B1296" t="s">
        <v>1694</v>
      </c>
      <c r="C1296" t="s">
        <v>9</v>
      </c>
      <c r="D1296" t="s">
        <v>1688</v>
      </c>
      <c r="E1296" t="s">
        <v>318</v>
      </c>
      <c r="F1296" t="s">
        <v>319</v>
      </c>
      <c r="G1296" t="s">
        <v>22</v>
      </c>
      <c r="H1296" t="s">
        <v>4531</v>
      </c>
      <c r="J1296">
        <v>1</v>
      </c>
    </row>
    <row r="1297" spans="1:10" x14ac:dyDescent="0.35">
      <c r="A1297">
        <v>5054267008106</v>
      </c>
      <c r="B1297" t="s">
        <v>1695</v>
      </c>
      <c r="C1297" t="s">
        <v>849</v>
      </c>
      <c r="D1297" t="s">
        <v>1057</v>
      </c>
      <c r="E1297" t="s">
        <v>318</v>
      </c>
      <c r="F1297" t="s">
        <v>319</v>
      </c>
      <c r="G1297" t="s">
        <v>22</v>
      </c>
      <c r="H1297" t="s">
        <v>4531</v>
      </c>
      <c r="J1297">
        <v>1</v>
      </c>
    </row>
    <row r="1298" spans="1:10" x14ac:dyDescent="0.35">
      <c r="A1298">
        <v>5054267009349</v>
      </c>
      <c r="B1298" t="s">
        <v>1691</v>
      </c>
      <c r="C1298" t="s">
        <v>9</v>
      </c>
      <c r="D1298" t="s">
        <v>1057</v>
      </c>
      <c r="E1298" t="s">
        <v>318</v>
      </c>
      <c r="F1298" t="s">
        <v>319</v>
      </c>
      <c r="G1298" t="s">
        <v>22</v>
      </c>
      <c r="H1298" t="s">
        <v>4531</v>
      </c>
      <c r="J1298">
        <v>8</v>
      </c>
    </row>
    <row r="1299" spans="1:10" x14ac:dyDescent="0.35">
      <c r="A1299">
        <v>5054267009356</v>
      </c>
      <c r="B1299" t="s">
        <v>1696</v>
      </c>
      <c r="C1299" t="s">
        <v>9</v>
      </c>
      <c r="D1299" t="s">
        <v>1057</v>
      </c>
      <c r="E1299" t="s">
        <v>318</v>
      </c>
      <c r="F1299" t="s">
        <v>319</v>
      </c>
      <c r="G1299" t="s">
        <v>22</v>
      </c>
      <c r="H1299" t="s">
        <v>4531</v>
      </c>
      <c r="J1299">
        <v>19</v>
      </c>
    </row>
    <row r="1300" spans="1:10" x14ac:dyDescent="0.35">
      <c r="A1300">
        <v>5054267009417</v>
      </c>
      <c r="B1300" t="s">
        <v>1697</v>
      </c>
      <c r="C1300" t="s">
        <v>849</v>
      </c>
      <c r="D1300" t="s">
        <v>1057</v>
      </c>
      <c r="E1300" t="s">
        <v>318</v>
      </c>
      <c r="F1300" t="s">
        <v>319</v>
      </c>
      <c r="G1300" t="s">
        <v>22</v>
      </c>
      <c r="H1300" t="s">
        <v>4531</v>
      </c>
      <c r="J1300">
        <v>8</v>
      </c>
    </row>
    <row r="1301" spans="1:10" x14ac:dyDescent="0.35">
      <c r="A1301">
        <v>5054267009493</v>
      </c>
      <c r="B1301" t="s">
        <v>1698</v>
      </c>
      <c r="C1301" t="s">
        <v>849</v>
      </c>
      <c r="D1301" t="s">
        <v>1057</v>
      </c>
      <c r="E1301" t="s">
        <v>318</v>
      </c>
      <c r="F1301" t="s">
        <v>319</v>
      </c>
      <c r="G1301" t="s">
        <v>22</v>
      </c>
      <c r="H1301" t="s">
        <v>4531</v>
      </c>
      <c r="J1301">
        <v>2</v>
      </c>
    </row>
    <row r="1302" spans="1:10" x14ac:dyDescent="0.35">
      <c r="A1302">
        <v>5054267009615</v>
      </c>
      <c r="B1302" t="s">
        <v>994</v>
      </c>
      <c r="C1302" t="s">
        <v>993</v>
      </c>
      <c r="D1302" t="s">
        <v>994</v>
      </c>
      <c r="E1302" t="s">
        <v>318</v>
      </c>
      <c r="F1302" t="s">
        <v>319</v>
      </c>
      <c r="G1302" t="s">
        <v>22</v>
      </c>
      <c r="H1302" t="s">
        <v>4531</v>
      </c>
      <c r="J1302">
        <v>1</v>
      </c>
    </row>
    <row r="1303" spans="1:10" x14ac:dyDescent="0.35">
      <c r="A1303">
        <v>5054267010765</v>
      </c>
      <c r="B1303" t="s">
        <v>1699</v>
      </c>
      <c r="C1303" t="s">
        <v>1700</v>
      </c>
      <c r="D1303" t="s">
        <v>1057</v>
      </c>
      <c r="E1303" t="s">
        <v>318</v>
      </c>
      <c r="F1303" t="s">
        <v>319</v>
      </c>
      <c r="G1303" t="s">
        <v>22</v>
      </c>
      <c r="H1303" t="s">
        <v>4531</v>
      </c>
      <c r="J1303">
        <v>2</v>
      </c>
    </row>
    <row r="1304" spans="1:10" x14ac:dyDescent="0.35">
      <c r="A1304">
        <v>5054267010819</v>
      </c>
      <c r="B1304" t="s">
        <v>1701</v>
      </c>
      <c r="C1304" t="s">
        <v>1700</v>
      </c>
      <c r="D1304" t="s">
        <v>1057</v>
      </c>
      <c r="E1304" t="s">
        <v>318</v>
      </c>
      <c r="F1304" t="s">
        <v>319</v>
      </c>
      <c r="G1304" t="s">
        <v>22</v>
      </c>
      <c r="H1304" t="s">
        <v>4531</v>
      </c>
      <c r="J1304">
        <v>7</v>
      </c>
    </row>
    <row r="1305" spans="1:10" x14ac:dyDescent="0.35">
      <c r="A1305">
        <v>5054267010840</v>
      </c>
      <c r="B1305" t="s">
        <v>1702</v>
      </c>
      <c r="C1305" t="s">
        <v>1700</v>
      </c>
      <c r="D1305" t="s">
        <v>1057</v>
      </c>
      <c r="E1305" t="s">
        <v>318</v>
      </c>
      <c r="F1305" t="s">
        <v>319</v>
      </c>
      <c r="G1305" t="s">
        <v>22</v>
      </c>
      <c r="H1305" t="s">
        <v>4531</v>
      </c>
      <c r="J1305">
        <v>1</v>
      </c>
    </row>
    <row r="1306" spans="1:10" x14ac:dyDescent="0.35">
      <c r="A1306">
        <v>5054267010895</v>
      </c>
      <c r="B1306" t="s">
        <v>295</v>
      </c>
      <c r="C1306" t="s">
        <v>1703</v>
      </c>
      <c r="D1306" t="s">
        <v>1057</v>
      </c>
      <c r="E1306" t="s">
        <v>318</v>
      </c>
      <c r="F1306" t="s">
        <v>319</v>
      </c>
      <c r="G1306" t="s">
        <v>22</v>
      </c>
      <c r="H1306" t="s">
        <v>4531</v>
      </c>
      <c r="J1306">
        <v>1</v>
      </c>
    </row>
    <row r="1307" spans="1:10" x14ac:dyDescent="0.35">
      <c r="A1307">
        <v>5054267011960</v>
      </c>
      <c r="B1307" t="s">
        <v>1056</v>
      </c>
      <c r="C1307" t="s">
        <v>9</v>
      </c>
      <c r="D1307" t="s">
        <v>1057</v>
      </c>
      <c r="E1307" t="s">
        <v>318</v>
      </c>
      <c r="F1307" t="s">
        <v>319</v>
      </c>
      <c r="G1307" t="s">
        <v>22</v>
      </c>
      <c r="H1307" t="s">
        <v>4531</v>
      </c>
      <c r="J1307">
        <v>2</v>
      </c>
    </row>
    <row r="1308" spans="1:10" x14ac:dyDescent="0.35">
      <c r="A1308">
        <v>5054267012172</v>
      </c>
      <c r="B1308" t="s">
        <v>1704</v>
      </c>
      <c r="C1308" t="s">
        <v>849</v>
      </c>
      <c r="D1308" t="s">
        <v>1057</v>
      </c>
      <c r="E1308" t="s">
        <v>318</v>
      </c>
      <c r="F1308" t="s">
        <v>319</v>
      </c>
      <c r="G1308" t="s">
        <v>22</v>
      </c>
      <c r="H1308" t="s">
        <v>4531</v>
      </c>
      <c r="J1308">
        <v>2</v>
      </c>
    </row>
    <row r="1309" spans="1:10" x14ac:dyDescent="0.35">
      <c r="A1309">
        <v>5054267012172</v>
      </c>
      <c r="B1309" t="s">
        <v>1704</v>
      </c>
      <c r="C1309" t="s">
        <v>849</v>
      </c>
      <c r="D1309" t="s">
        <v>1057</v>
      </c>
      <c r="E1309" t="s">
        <v>318</v>
      </c>
      <c r="F1309" t="s">
        <v>319</v>
      </c>
      <c r="G1309" t="s">
        <v>41</v>
      </c>
      <c r="H1309" t="s">
        <v>4531</v>
      </c>
      <c r="J1309">
        <v>4</v>
      </c>
    </row>
    <row r="1310" spans="1:10" x14ac:dyDescent="0.35">
      <c r="A1310">
        <v>5054267012752</v>
      </c>
      <c r="B1310" t="s">
        <v>1705</v>
      </c>
      <c r="C1310" t="s">
        <v>849</v>
      </c>
      <c r="D1310" t="s">
        <v>1057</v>
      </c>
      <c r="E1310" t="s">
        <v>318</v>
      </c>
      <c r="F1310" t="s">
        <v>319</v>
      </c>
      <c r="G1310" t="s">
        <v>117</v>
      </c>
      <c r="H1310" t="s">
        <v>4531</v>
      </c>
      <c r="J1310">
        <v>1</v>
      </c>
    </row>
    <row r="1311" spans="1:10" x14ac:dyDescent="0.35">
      <c r="A1311">
        <v>5054267012752</v>
      </c>
      <c r="B1311" t="s">
        <v>1705</v>
      </c>
      <c r="C1311" t="s">
        <v>849</v>
      </c>
      <c r="D1311" t="s">
        <v>1057</v>
      </c>
      <c r="E1311" t="s">
        <v>318</v>
      </c>
      <c r="F1311" t="s">
        <v>319</v>
      </c>
      <c r="G1311" t="s">
        <v>41</v>
      </c>
      <c r="H1311" t="s">
        <v>4531</v>
      </c>
      <c r="J1311">
        <v>29</v>
      </c>
    </row>
    <row r="1312" spans="1:10" x14ac:dyDescent="0.35">
      <c r="A1312">
        <v>5054267014268</v>
      </c>
      <c r="B1312" t="s">
        <v>1706</v>
      </c>
      <c r="C1312" t="s">
        <v>603</v>
      </c>
      <c r="D1312" t="s">
        <v>1057</v>
      </c>
      <c r="E1312" t="s">
        <v>318</v>
      </c>
      <c r="F1312" t="s">
        <v>319</v>
      </c>
      <c r="G1312" t="s">
        <v>22</v>
      </c>
      <c r="H1312" t="s">
        <v>4531</v>
      </c>
      <c r="J1312">
        <v>1</v>
      </c>
    </row>
    <row r="1313" spans="1:10" x14ac:dyDescent="0.35">
      <c r="A1313">
        <v>5054267014374</v>
      </c>
      <c r="B1313" t="s">
        <v>1707</v>
      </c>
      <c r="C1313" t="s">
        <v>9</v>
      </c>
      <c r="D1313" t="s">
        <v>1057</v>
      </c>
      <c r="E1313" t="s">
        <v>318</v>
      </c>
      <c r="F1313" t="s">
        <v>319</v>
      </c>
      <c r="G1313" t="s">
        <v>22</v>
      </c>
      <c r="H1313" t="s">
        <v>4531</v>
      </c>
      <c r="J1313">
        <v>1</v>
      </c>
    </row>
    <row r="1314" spans="1:10" x14ac:dyDescent="0.35">
      <c r="A1314">
        <v>5054402078193</v>
      </c>
      <c r="B1314" t="s">
        <v>1708</v>
      </c>
      <c r="C1314" t="s">
        <v>239</v>
      </c>
      <c r="D1314" t="s">
        <v>432</v>
      </c>
      <c r="E1314" t="s">
        <v>22</v>
      </c>
      <c r="F1314" t="s">
        <v>64</v>
      </c>
      <c r="G1314" t="s">
        <v>22</v>
      </c>
      <c r="H1314" t="s">
        <v>4499</v>
      </c>
      <c r="J1314">
        <v>1</v>
      </c>
    </row>
    <row r="1315" spans="1:10" x14ac:dyDescent="0.35">
      <c r="A1315">
        <v>5054781491200</v>
      </c>
      <c r="B1315" t="s">
        <v>1709</v>
      </c>
      <c r="C1315" t="s">
        <v>1710</v>
      </c>
      <c r="D1315" t="s">
        <v>1153</v>
      </c>
      <c r="E1315" t="s">
        <v>15</v>
      </c>
      <c r="F1315" t="s">
        <v>574</v>
      </c>
      <c r="G1315" t="s">
        <v>22</v>
      </c>
      <c r="H1315" t="s">
        <v>4562</v>
      </c>
      <c r="J1315">
        <v>1</v>
      </c>
    </row>
    <row r="1316" spans="1:10" x14ac:dyDescent="0.35">
      <c r="A1316">
        <v>5054781718635</v>
      </c>
      <c r="B1316" t="s">
        <v>1711</v>
      </c>
      <c r="C1316" t="s">
        <v>419</v>
      </c>
      <c r="D1316" t="s">
        <v>1153</v>
      </c>
      <c r="E1316" t="s">
        <v>15</v>
      </c>
      <c r="F1316" t="s">
        <v>574</v>
      </c>
      <c r="G1316" t="s">
        <v>22</v>
      </c>
      <c r="H1316" t="s">
        <v>4562</v>
      </c>
      <c r="J1316">
        <v>1</v>
      </c>
    </row>
    <row r="1317" spans="1:10" x14ac:dyDescent="0.35">
      <c r="A1317">
        <v>5056079900678</v>
      </c>
      <c r="B1317" t="s">
        <v>1712</v>
      </c>
      <c r="C1317" t="s">
        <v>9</v>
      </c>
      <c r="D1317" t="s">
        <v>679</v>
      </c>
      <c r="E1317" t="s">
        <v>22</v>
      </c>
      <c r="F1317" t="s">
        <v>680</v>
      </c>
      <c r="G1317" t="s">
        <v>22</v>
      </c>
      <c r="H1317" t="s">
        <v>4579</v>
      </c>
      <c r="J1317">
        <v>3</v>
      </c>
    </row>
    <row r="1318" spans="1:10" x14ac:dyDescent="0.35">
      <c r="A1318">
        <v>5056079900746</v>
      </c>
      <c r="B1318" t="s">
        <v>1713</v>
      </c>
      <c r="C1318" t="s">
        <v>9</v>
      </c>
      <c r="D1318" t="s">
        <v>679</v>
      </c>
      <c r="E1318" t="s">
        <v>22</v>
      </c>
      <c r="F1318" t="s">
        <v>680</v>
      </c>
      <c r="G1318" t="s">
        <v>22</v>
      </c>
      <c r="H1318" t="s">
        <v>4579</v>
      </c>
      <c r="J1318">
        <v>2</v>
      </c>
    </row>
    <row r="1319" spans="1:10" x14ac:dyDescent="0.35">
      <c r="A1319">
        <v>5056079900753</v>
      </c>
      <c r="B1319" t="s">
        <v>1714</v>
      </c>
      <c r="C1319" t="s">
        <v>9</v>
      </c>
      <c r="D1319" t="s">
        <v>679</v>
      </c>
      <c r="E1319" t="s">
        <v>22</v>
      </c>
      <c r="F1319" t="s">
        <v>680</v>
      </c>
      <c r="G1319" t="s">
        <v>22</v>
      </c>
      <c r="H1319" t="s">
        <v>4579</v>
      </c>
      <c r="J1319">
        <v>2</v>
      </c>
    </row>
    <row r="1320" spans="1:10" x14ac:dyDescent="0.35">
      <c r="A1320">
        <v>5056079900760</v>
      </c>
      <c r="B1320" t="s">
        <v>1715</v>
      </c>
      <c r="C1320" t="s">
        <v>9</v>
      </c>
      <c r="D1320" t="s">
        <v>679</v>
      </c>
      <c r="E1320" t="s">
        <v>22</v>
      </c>
      <c r="F1320" t="s">
        <v>680</v>
      </c>
      <c r="G1320" t="s">
        <v>22</v>
      </c>
      <c r="H1320" t="s">
        <v>4579</v>
      </c>
      <c r="J1320">
        <v>1</v>
      </c>
    </row>
    <row r="1321" spans="1:10" x14ac:dyDescent="0.35">
      <c r="A1321">
        <v>5056079901293</v>
      </c>
      <c r="B1321" t="s">
        <v>1619</v>
      </c>
      <c r="C1321" t="s">
        <v>9</v>
      </c>
      <c r="D1321" t="s">
        <v>1716</v>
      </c>
      <c r="E1321" t="s">
        <v>22</v>
      </c>
      <c r="F1321" t="s">
        <v>680</v>
      </c>
      <c r="G1321" t="s">
        <v>22</v>
      </c>
      <c r="H1321" t="s">
        <v>4579</v>
      </c>
      <c r="J1321">
        <v>1</v>
      </c>
    </row>
    <row r="1322" spans="1:10" x14ac:dyDescent="0.35">
      <c r="A1322">
        <v>5056079901309</v>
      </c>
      <c r="B1322" t="s">
        <v>1717</v>
      </c>
      <c r="C1322" t="s">
        <v>9</v>
      </c>
      <c r="D1322" t="s">
        <v>679</v>
      </c>
      <c r="E1322" t="s">
        <v>22</v>
      </c>
      <c r="F1322" t="s">
        <v>680</v>
      </c>
      <c r="G1322" t="s">
        <v>22</v>
      </c>
      <c r="H1322" t="s">
        <v>4579</v>
      </c>
      <c r="J1322">
        <v>1</v>
      </c>
    </row>
    <row r="1323" spans="1:10" x14ac:dyDescent="0.35">
      <c r="A1323">
        <v>5056079901316</v>
      </c>
      <c r="B1323" t="s">
        <v>1718</v>
      </c>
      <c r="C1323" t="s">
        <v>9</v>
      </c>
      <c r="D1323" t="s">
        <v>679</v>
      </c>
      <c r="E1323" t="s">
        <v>22</v>
      </c>
      <c r="F1323" t="s">
        <v>680</v>
      </c>
      <c r="G1323" t="s">
        <v>22</v>
      </c>
      <c r="H1323" t="s">
        <v>4579</v>
      </c>
      <c r="J1323">
        <v>1</v>
      </c>
    </row>
    <row r="1324" spans="1:10" x14ac:dyDescent="0.35">
      <c r="A1324">
        <v>5056079901644</v>
      </c>
      <c r="B1324" t="s">
        <v>1615</v>
      </c>
      <c r="C1324" t="s">
        <v>9</v>
      </c>
      <c r="D1324" t="s">
        <v>679</v>
      </c>
      <c r="E1324" t="s">
        <v>22</v>
      </c>
      <c r="F1324" t="s">
        <v>680</v>
      </c>
      <c r="G1324" t="s">
        <v>22</v>
      </c>
      <c r="H1324" t="s">
        <v>4579</v>
      </c>
      <c r="J1324">
        <v>1</v>
      </c>
    </row>
    <row r="1325" spans="1:10" x14ac:dyDescent="0.35">
      <c r="A1325">
        <v>5056204200031</v>
      </c>
      <c r="B1325" t="s">
        <v>119</v>
      </c>
      <c r="C1325" t="s">
        <v>9</v>
      </c>
      <c r="D1325" t="s">
        <v>1719</v>
      </c>
      <c r="E1325" t="s">
        <v>130</v>
      </c>
      <c r="F1325" t="s">
        <v>1720</v>
      </c>
      <c r="G1325" t="s">
        <v>22</v>
      </c>
      <c r="H1325" t="s">
        <v>4715</v>
      </c>
      <c r="J1325">
        <v>2</v>
      </c>
    </row>
    <row r="1326" spans="1:10" x14ac:dyDescent="0.35">
      <c r="A1326">
        <v>5056357910306</v>
      </c>
      <c r="B1326" t="s">
        <v>1721</v>
      </c>
      <c r="C1326" t="s">
        <v>472</v>
      </c>
      <c r="D1326" t="s">
        <v>1722</v>
      </c>
      <c r="E1326" t="s">
        <v>15</v>
      </c>
      <c r="F1326" t="s">
        <v>1227</v>
      </c>
      <c r="G1326" t="s">
        <v>22</v>
      </c>
      <c r="H1326" t="s">
        <v>4668</v>
      </c>
      <c r="J1326">
        <v>1</v>
      </c>
    </row>
    <row r="1327" spans="1:10" x14ac:dyDescent="0.35">
      <c r="A1327">
        <v>5057172120215</v>
      </c>
      <c r="B1327" t="s">
        <v>1723</v>
      </c>
      <c r="C1327" t="s">
        <v>9</v>
      </c>
      <c r="D1327" t="s">
        <v>1153</v>
      </c>
      <c r="E1327" t="s">
        <v>15</v>
      </c>
      <c r="F1327" t="s">
        <v>574</v>
      </c>
      <c r="G1327" t="s">
        <v>22</v>
      </c>
      <c r="H1327" t="s">
        <v>4562</v>
      </c>
      <c r="J1327">
        <v>1</v>
      </c>
    </row>
    <row r="1328" spans="1:10" x14ac:dyDescent="0.35">
      <c r="A1328">
        <v>5057753285500</v>
      </c>
      <c r="B1328" t="s">
        <v>1724</v>
      </c>
      <c r="C1328" t="s">
        <v>9</v>
      </c>
      <c r="D1328" t="s">
        <v>432</v>
      </c>
      <c r="E1328" t="s">
        <v>22</v>
      </c>
      <c r="F1328" t="s">
        <v>64</v>
      </c>
      <c r="G1328" t="s">
        <v>22</v>
      </c>
      <c r="H1328" t="s">
        <v>4499</v>
      </c>
      <c r="J1328">
        <v>1</v>
      </c>
    </row>
    <row r="1329" spans="1:10" x14ac:dyDescent="0.35">
      <c r="A1329">
        <v>5057753285807</v>
      </c>
      <c r="B1329" t="s">
        <v>1725</v>
      </c>
      <c r="C1329" t="s">
        <v>9</v>
      </c>
      <c r="D1329" t="s">
        <v>432</v>
      </c>
      <c r="E1329" t="s">
        <v>22</v>
      </c>
      <c r="F1329" t="s">
        <v>64</v>
      </c>
      <c r="G1329" t="s">
        <v>22</v>
      </c>
      <c r="H1329" t="s">
        <v>4499</v>
      </c>
      <c r="J1329">
        <v>1</v>
      </c>
    </row>
    <row r="1330" spans="1:10" x14ac:dyDescent="0.35">
      <c r="A1330">
        <v>5057753654504</v>
      </c>
      <c r="B1330" t="s">
        <v>1726</v>
      </c>
      <c r="C1330" t="s">
        <v>912</v>
      </c>
      <c r="D1330" t="s">
        <v>432</v>
      </c>
      <c r="E1330" t="s">
        <v>22</v>
      </c>
      <c r="F1330" t="s">
        <v>64</v>
      </c>
      <c r="G1330" t="s">
        <v>22</v>
      </c>
      <c r="H1330" t="s">
        <v>4499</v>
      </c>
      <c r="J1330">
        <v>1</v>
      </c>
    </row>
    <row r="1331" spans="1:10" x14ac:dyDescent="0.35">
      <c r="A1331">
        <v>5057753891985</v>
      </c>
      <c r="B1331" t="s">
        <v>1727</v>
      </c>
      <c r="C1331" t="s">
        <v>272</v>
      </c>
      <c r="D1331" t="s">
        <v>432</v>
      </c>
      <c r="E1331" t="s">
        <v>22</v>
      </c>
      <c r="F1331" t="s">
        <v>64</v>
      </c>
      <c r="G1331" t="s">
        <v>22</v>
      </c>
      <c r="H1331" t="s">
        <v>4499</v>
      </c>
      <c r="J1331">
        <v>1</v>
      </c>
    </row>
    <row r="1332" spans="1:10" x14ac:dyDescent="0.35">
      <c r="A1332">
        <v>5057753909536</v>
      </c>
      <c r="B1332" t="s">
        <v>1728</v>
      </c>
      <c r="C1332" t="s">
        <v>431</v>
      </c>
      <c r="D1332" t="s">
        <v>432</v>
      </c>
      <c r="E1332" t="s">
        <v>22</v>
      </c>
      <c r="F1332" t="s">
        <v>64</v>
      </c>
      <c r="G1332" t="s">
        <v>22</v>
      </c>
      <c r="H1332" t="s">
        <v>4499</v>
      </c>
      <c r="J1332">
        <v>1</v>
      </c>
    </row>
    <row r="1333" spans="1:10" x14ac:dyDescent="0.35">
      <c r="A1333">
        <v>5057753938680</v>
      </c>
      <c r="B1333" t="s">
        <v>1205</v>
      </c>
      <c r="C1333" t="s">
        <v>1729</v>
      </c>
      <c r="D1333" t="s">
        <v>432</v>
      </c>
      <c r="E1333" t="s">
        <v>22</v>
      </c>
      <c r="F1333" t="s">
        <v>64</v>
      </c>
      <c r="G1333" t="s">
        <v>22</v>
      </c>
      <c r="H1333" t="s">
        <v>4499</v>
      </c>
      <c r="J1333">
        <v>1</v>
      </c>
    </row>
    <row r="1334" spans="1:10" x14ac:dyDescent="0.35">
      <c r="A1334">
        <v>5059883177496</v>
      </c>
      <c r="B1334" t="s">
        <v>1730</v>
      </c>
      <c r="C1334" t="s">
        <v>562</v>
      </c>
      <c r="D1334" t="s">
        <v>1731</v>
      </c>
      <c r="E1334" t="s">
        <v>22</v>
      </c>
      <c r="F1334" t="s">
        <v>1732</v>
      </c>
      <c r="G1334" t="s">
        <v>22</v>
      </c>
      <c r="H1334" t="s">
        <v>4716</v>
      </c>
      <c r="J1334">
        <v>1</v>
      </c>
    </row>
    <row r="1335" spans="1:10" x14ac:dyDescent="0.35">
      <c r="A1335">
        <v>5060042350032</v>
      </c>
      <c r="B1335" t="s">
        <v>235</v>
      </c>
      <c r="C1335" t="s">
        <v>9</v>
      </c>
      <c r="D1335" t="s">
        <v>1733</v>
      </c>
      <c r="E1335" t="s">
        <v>130</v>
      </c>
      <c r="F1335" t="s">
        <v>220</v>
      </c>
      <c r="G1335" t="s">
        <v>22</v>
      </c>
      <c r="H1335" t="s">
        <v>4520</v>
      </c>
      <c r="J1335">
        <v>18</v>
      </c>
    </row>
    <row r="1336" spans="1:10" x14ac:dyDescent="0.35">
      <c r="A1336">
        <v>5060042350049</v>
      </c>
      <c r="B1336" t="s">
        <v>1734</v>
      </c>
      <c r="C1336" t="s">
        <v>9</v>
      </c>
      <c r="D1336" t="s">
        <v>1733</v>
      </c>
      <c r="E1336" t="s">
        <v>130</v>
      </c>
      <c r="F1336" t="s">
        <v>220</v>
      </c>
      <c r="G1336" t="s">
        <v>22</v>
      </c>
      <c r="H1336" t="s">
        <v>4520</v>
      </c>
      <c r="J1336">
        <v>1</v>
      </c>
    </row>
    <row r="1337" spans="1:10" x14ac:dyDescent="0.35">
      <c r="A1337">
        <v>5060042350056</v>
      </c>
      <c r="B1337" t="s">
        <v>235</v>
      </c>
      <c r="C1337" t="s">
        <v>9</v>
      </c>
      <c r="D1337" t="s">
        <v>1733</v>
      </c>
      <c r="E1337" t="s">
        <v>130</v>
      </c>
      <c r="F1337" t="s">
        <v>220</v>
      </c>
      <c r="G1337" t="s">
        <v>22</v>
      </c>
      <c r="H1337" t="s">
        <v>4520</v>
      </c>
      <c r="J1337">
        <v>2</v>
      </c>
    </row>
    <row r="1338" spans="1:10" x14ac:dyDescent="0.35">
      <c r="A1338">
        <v>5060042350124</v>
      </c>
      <c r="B1338" t="s">
        <v>1050</v>
      </c>
      <c r="C1338" t="s">
        <v>603</v>
      </c>
      <c r="D1338" t="s">
        <v>1733</v>
      </c>
      <c r="E1338" t="s">
        <v>130</v>
      </c>
      <c r="F1338" t="s">
        <v>220</v>
      </c>
      <c r="G1338" t="s">
        <v>22</v>
      </c>
      <c r="H1338" t="s">
        <v>4520</v>
      </c>
      <c r="J1338">
        <v>1</v>
      </c>
    </row>
    <row r="1339" spans="1:10" x14ac:dyDescent="0.35">
      <c r="A1339">
        <v>5060042641000</v>
      </c>
      <c r="B1339" t="s">
        <v>1735</v>
      </c>
      <c r="C1339" t="s">
        <v>1175</v>
      </c>
      <c r="D1339" t="s">
        <v>1736</v>
      </c>
      <c r="E1339" t="s">
        <v>22</v>
      </c>
      <c r="F1339" t="s">
        <v>1143</v>
      </c>
      <c r="G1339" t="s">
        <v>22</v>
      </c>
      <c r="H1339" t="s">
        <v>4653</v>
      </c>
      <c r="J1339">
        <v>1</v>
      </c>
    </row>
    <row r="1340" spans="1:10" x14ac:dyDescent="0.35">
      <c r="A1340">
        <v>5060060212077</v>
      </c>
      <c r="B1340" t="s">
        <v>1737</v>
      </c>
      <c r="C1340" t="s">
        <v>1738</v>
      </c>
      <c r="D1340" t="s">
        <v>1739</v>
      </c>
      <c r="E1340" t="s">
        <v>22</v>
      </c>
      <c r="F1340" t="s">
        <v>1740</v>
      </c>
      <c r="G1340" t="s">
        <v>41</v>
      </c>
      <c r="H1340" t="s">
        <v>4717</v>
      </c>
      <c r="J1340">
        <v>40</v>
      </c>
    </row>
    <row r="1341" spans="1:10" x14ac:dyDescent="0.35">
      <c r="A1341">
        <v>5060119293309</v>
      </c>
      <c r="B1341" t="s">
        <v>1741</v>
      </c>
      <c r="C1341" t="s">
        <v>659</v>
      </c>
      <c r="D1341" t="s">
        <v>1742</v>
      </c>
      <c r="E1341" t="s">
        <v>22</v>
      </c>
      <c r="F1341" t="s">
        <v>1743</v>
      </c>
      <c r="G1341" t="s">
        <v>22</v>
      </c>
      <c r="H1341" t="s">
        <v>4718</v>
      </c>
      <c r="J1341">
        <v>1</v>
      </c>
    </row>
    <row r="1342" spans="1:10" x14ac:dyDescent="0.35">
      <c r="A1342">
        <v>5060122038911</v>
      </c>
      <c r="B1342" t="s">
        <v>1744</v>
      </c>
      <c r="C1342" t="s">
        <v>1745</v>
      </c>
      <c r="D1342" t="s">
        <v>1722</v>
      </c>
      <c r="E1342" t="s">
        <v>15</v>
      </c>
      <c r="F1342" t="s">
        <v>1227</v>
      </c>
      <c r="G1342" t="s">
        <v>22</v>
      </c>
      <c r="H1342" t="s">
        <v>4668</v>
      </c>
      <c r="J1342">
        <v>1</v>
      </c>
    </row>
    <row r="1343" spans="1:10" x14ac:dyDescent="0.35">
      <c r="A1343">
        <v>5060198645617</v>
      </c>
      <c r="B1343" t="s">
        <v>1746</v>
      </c>
      <c r="C1343" t="s">
        <v>1747</v>
      </c>
      <c r="D1343" t="s">
        <v>1748</v>
      </c>
      <c r="E1343" t="s">
        <v>22</v>
      </c>
      <c r="F1343" t="s">
        <v>1749</v>
      </c>
      <c r="G1343" t="s">
        <v>22</v>
      </c>
      <c r="H1343" t="s">
        <v>4719</v>
      </c>
      <c r="J1343">
        <v>2</v>
      </c>
    </row>
    <row r="1344" spans="1:10" x14ac:dyDescent="0.35">
      <c r="A1344">
        <v>5060255920015</v>
      </c>
      <c r="B1344" t="s">
        <v>295</v>
      </c>
      <c r="C1344" t="s">
        <v>81</v>
      </c>
      <c r="D1344" t="s">
        <v>679</v>
      </c>
      <c r="E1344" t="s">
        <v>22</v>
      </c>
      <c r="F1344" t="s">
        <v>680</v>
      </c>
      <c r="G1344" t="s">
        <v>22</v>
      </c>
      <c r="H1344" t="s">
        <v>4579</v>
      </c>
      <c r="J1344">
        <v>4</v>
      </c>
    </row>
    <row r="1345" spans="1:10" x14ac:dyDescent="0.35">
      <c r="A1345">
        <v>5060315055954</v>
      </c>
      <c r="B1345" t="s">
        <v>1750</v>
      </c>
      <c r="C1345" t="s">
        <v>272</v>
      </c>
      <c r="D1345" t="s">
        <v>1751</v>
      </c>
      <c r="E1345" t="s">
        <v>308</v>
      </c>
      <c r="F1345" t="s">
        <v>309</v>
      </c>
      <c r="G1345" t="s">
        <v>150</v>
      </c>
      <c r="H1345" t="s">
        <v>4529</v>
      </c>
      <c r="J1345">
        <v>4</v>
      </c>
    </row>
    <row r="1346" spans="1:10" x14ac:dyDescent="0.35">
      <c r="A1346">
        <v>5060332524655</v>
      </c>
      <c r="B1346" t="s">
        <v>1752</v>
      </c>
      <c r="C1346" t="s">
        <v>173</v>
      </c>
      <c r="D1346" t="s">
        <v>1753</v>
      </c>
      <c r="E1346" t="s">
        <v>22</v>
      </c>
      <c r="F1346" t="s">
        <v>1754</v>
      </c>
      <c r="G1346" t="s">
        <v>22</v>
      </c>
      <c r="H1346" t="s">
        <v>4720</v>
      </c>
      <c r="J1346">
        <v>1</v>
      </c>
    </row>
    <row r="1347" spans="1:10" x14ac:dyDescent="0.35">
      <c r="A1347">
        <v>5060358090028</v>
      </c>
      <c r="B1347" t="s">
        <v>1755</v>
      </c>
      <c r="C1347" t="s">
        <v>9</v>
      </c>
      <c r="D1347" t="s">
        <v>1756</v>
      </c>
      <c r="E1347" t="s">
        <v>308</v>
      </c>
      <c r="F1347" t="s">
        <v>309</v>
      </c>
      <c r="G1347" t="s">
        <v>22</v>
      </c>
      <c r="H1347" t="s">
        <v>4529</v>
      </c>
      <c r="J1347">
        <v>1</v>
      </c>
    </row>
    <row r="1348" spans="1:10" x14ac:dyDescent="0.35">
      <c r="A1348">
        <v>5060358090967</v>
      </c>
      <c r="B1348" t="s">
        <v>1757</v>
      </c>
      <c r="C1348" t="s">
        <v>9</v>
      </c>
      <c r="D1348" t="s">
        <v>1756</v>
      </c>
      <c r="E1348" t="s">
        <v>308</v>
      </c>
      <c r="F1348" t="s">
        <v>309</v>
      </c>
      <c r="G1348" t="s">
        <v>22</v>
      </c>
      <c r="H1348" t="s">
        <v>4529</v>
      </c>
      <c r="J1348">
        <v>1</v>
      </c>
    </row>
    <row r="1349" spans="1:10" x14ac:dyDescent="0.35">
      <c r="A1349">
        <v>5060402903793</v>
      </c>
      <c r="B1349" t="s">
        <v>1758</v>
      </c>
      <c r="C1349" t="s">
        <v>472</v>
      </c>
      <c r="D1349" t="s">
        <v>1436</v>
      </c>
      <c r="E1349" t="s">
        <v>15</v>
      </c>
      <c r="F1349" t="s">
        <v>1227</v>
      </c>
      <c r="G1349" t="s">
        <v>22</v>
      </c>
      <c r="H1349" t="s">
        <v>4668</v>
      </c>
      <c r="J1349">
        <v>2</v>
      </c>
    </row>
    <row r="1350" spans="1:10" x14ac:dyDescent="0.35">
      <c r="A1350">
        <v>5060463190002</v>
      </c>
      <c r="B1350" t="s">
        <v>1759</v>
      </c>
      <c r="C1350" t="s">
        <v>110</v>
      </c>
      <c r="D1350" t="s">
        <v>1760</v>
      </c>
      <c r="E1350" t="s">
        <v>1761</v>
      </c>
      <c r="F1350" t="s">
        <v>1762</v>
      </c>
      <c r="G1350" t="s">
        <v>41</v>
      </c>
      <c r="H1350" t="s">
        <v>4721</v>
      </c>
      <c r="J1350">
        <v>20</v>
      </c>
    </row>
    <row r="1351" spans="1:10" x14ac:dyDescent="0.35">
      <c r="A1351">
        <v>5060466516632</v>
      </c>
      <c r="B1351" t="s">
        <v>1763</v>
      </c>
      <c r="C1351" t="s">
        <v>83</v>
      </c>
      <c r="D1351" t="s">
        <v>1764</v>
      </c>
      <c r="E1351" t="s">
        <v>15</v>
      </c>
      <c r="F1351" t="s">
        <v>14</v>
      </c>
      <c r="G1351" t="s">
        <v>11</v>
      </c>
      <c r="H1351" t="s">
        <v>4489</v>
      </c>
      <c r="J1351">
        <v>229</v>
      </c>
    </row>
    <row r="1352" spans="1:10" x14ac:dyDescent="0.35">
      <c r="A1352">
        <v>5060466516663</v>
      </c>
      <c r="B1352" t="s">
        <v>1765</v>
      </c>
      <c r="C1352" t="s">
        <v>806</v>
      </c>
      <c r="D1352" t="s">
        <v>1764</v>
      </c>
      <c r="E1352" t="s">
        <v>15</v>
      </c>
      <c r="F1352" t="s">
        <v>14</v>
      </c>
      <c r="G1352" t="s">
        <v>31</v>
      </c>
      <c r="H1352" t="s">
        <v>4489</v>
      </c>
      <c r="J1352">
        <v>42</v>
      </c>
    </row>
    <row r="1353" spans="1:10" x14ac:dyDescent="0.35">
      <c r="A1353">
        <v>5060476794396</v>
      </c>
      <c r="B1353" t="s">
        <v>1766</v>
      </c>
      <c r="C1353" t="s">
        <v>1435</v>
      </c>
      <c r="D1353" t="s">
        <v>1767</v>
      </c>
      <c r="E1353" t="s">
        <v>22</v>
      </c>
      <c r="F1353" t="s">
        <v>1768</v>
      </c>
      <c r="G1353" t="s">
        <v>22</v>
      </c>
      <c r="H1353" t="s">
        <v>4722</v>
      </c>
      <c r="J1353">
        <v>1</v>
      </c>
    </row>
    <row r="1354" spans="1:10" x14ac:dyDescent="0.35">
      <c r="A1354">
        <v>5060608740178</v>
      </c>
      <c r="B1354" t="s">
        <v>1769</v>
      </c>
      <c r="C1354" t="s">
        <v>83</v>
      </c>
      <c r="D1354" t="s">
        <v>1770</v>
      </c>
      <c r="E1354" t="s">
        <v>15</v>
      </c>
      <c r="F1354" t="s">
        <v>14</v>
      </c>
      <c r="G1354" t="s">
        <v>31</v>
      </c>
      <c r="H1354" t="s">
        <v>4489</v>
      </c>
      <c r="J1354">
        <v>49</v>
      </c>
    </row>
    <row r="1355" spans="1:10" x14ac:dyDescent="0.35">
      <c r="A1355">
        <v>5060608740253</v>
      </c>
      <c r="B1355" t="s">
        <v>295</v>
      </c>
      <c r="C1355" t="s">
        <v>83</v>
      </c>
      <c r="D1355" t="s">
        <v>1770</v>
      </c>
      <c r="E1355" t="s">
        <v>15</v>
      </c>
      <c r="F1355" t="s">
        <v>14</v>
      </c>
      <c r="G1355" t="s">
        <v>11</v>
      </c>
      <c r="H1355" t="s">
        <v>4489</v>
      </c>
      <c r="J1355">
        <v>269</v>
      </c>
    </row>
    <row r="1356" spans="1:10" x14ac:dyDescent="0.35">
      <c r="A1356">
        <v>5060608740253</v>
      </c>
      <c r="B1356" t="s">
        <v>295</v>
      </c>
      <c r="C1356" t="s">
        <v>83</v>
      </c>
      <c r="D1356" t="s">
        <v>1770</v>
      </c>
      <c r="E1356" t="s">
        <v>15</v>
      </c>
      <c r="F1356" t="s">
        <v>14</v>
      </c>
      <c r="G1356" t="s">
        <v>34</v>
      </c>
      <c r="H1356" t="s">
        <v>4489</v>
      </c>
      <c r="J1356">
        <v>16</v>
      </c>
    </row>
    <row r="1357" spans="1:10" x14ac:dyDescent="0.35">
      <c r="A1357">
        <v>5060608749232</v>
      </c>
      <c r="B1357" t="s">
        <v>1771</v>
      </c>
      <c r="C1357" t="s">
        <v>472</v>
      </c>
      <c r="D1357" t="s">
        <v>1770</v>
      </c>
      <c r="E1357" t="s">
        <v>15</v>
      </c>
      <c r="F1357" t="s">
        <v>14</v>
      </c>
      <c r="G1357" t="s">
        <v>34</v>
      </c>
      <c r="H1357" t="s">
        <v>4489</v>
      </c>
      <c r="J1357">
        <v>699</v>
      </c>
    </row>
    <row r="1358" spans="1:10" x14ac:dyDescent="0.35">
      <c r="A1358">
        <v>5060626030022</v>
      </c>
      <c r="B1358" t="s">
        <v>1772</v>
      </c>
      <c r="C1358" t="s">
        <v>1773</v>
      </c>
      <c r="D1358" t="s">
        <v>1364</v>
      </c>
      <c r="E1358" t="s">
        <v>598</v>
      </c>
      <c r="F1358" t="s">
        <v>1365</v>
      </c>
      <c r="G1358" t="s">
        <v>598</v>
      </c>
      <c r="H1358" t="s">
        <v>4680</v>
      </c>
      <c r="J1358">
        <v>2</v>
      </c>
    </row>
    <row r="1359" spans="1:10" x14ac:dyDescent="0.35">
      <c r="A1359">
        <v>5060677250479</v>
      </c>
      <c r="B1359" t="s">
        <v>1774</v>
      </c>
      <c r="C1359" t="s">
        <v>1775</v>
      </c>
      <c r="D1359" t="s">
        <v>1776</v>
      </c>
      <c r="E1359" t="s">
        <v>22</v>
      </c>
      <c r="F1359" t="s">
        <v>1777</v>
      </c>
      <c r="G1359" t="s">
        <v>464</v>
      </c>
      <c r="H1359" t="s">
        <v>4723</v>
      </c>
      <c r="J1359">
        <v>1</v>
      </c>
    </row>
    <row r="1360" spans="1:10" x14ac:dyDescent="0.35">
      <c r="A1360">
        <v>5060677250486</v>
      </c>
      <c r="B1360" t="s">
        <v>1778</v>
      </c>
      <c r="C1360" t="s">
        <v>892</v>
      </c>
      <c r="D1360" t="s">
        <v>1776</v>
      </c>
      <c r="E1360" t="s">
        <v>22</v>
      </c>
      <c r="F1360" t="s">
        <v>1777</v>
      </c>
      <c r="G1360" t="s">
        <v>464</v>
      </c>
      <c r="H1360" t="s">
        <v>4723</v>
      </c>
      <c r="J1360">
        <v>2</v>
      </c>
    </row>
    <row r="1361" spans="1:10" x14ac:dyDescent="0.35">
      <c r="A1361">
        <v>5060677250486</v>
      </c>
      <c r="B1361" t="s">
        <v>1778</v>
      </c>
      <c r="C1361" t="s">
        <v>892</v>
      </c>
      <c r="D1361" t="s">
        <v>1776</v>
      </c>
      <c r="E1361" t="s">
        <v>22</v>
      </c>
      <c r="F1361" t="s">
        <v>1777</v>
      </c>
      <c r="G1361" t="s">
        <v>31</v>
      </c>
      <c r="H1361" t="s">
        <v>4723</v>
      </c>
      <c r="J1361">
        <v>1</v>
      </c>
    </row>
    <row r="1362" spans="1:10" x14ac:dyDescent="0.35">
      <c r="A1362">
        <v>5060776100026</v>
      </c>
      <c r="B1362" t="s">
        <v>446</v>
      </c>
      <c r="C1362" t="s">
        <v>447</v>
      </c>
      <c r="D1362" t="s">
        <v>1779</v>
      </c>
      <c r="E1362" t="s">
        <v>117</v>
      </c>
      <c r="F1362" t="s">
        <v>1780</v>
      </c>
      <c r="G1362" t="s">
        <v>117</v>
      </c>
      <c r="H1362" t="s">
        <v>4724</v>
      </c>
      <c r="J1362">
        <v>36</v>
      </c>
    </row>
    <row r="1363" spans="1:10" x14ac:dyDescent="0.35">
      <c r="A1363">
        <v>5060776100057</v>
      </c>
      <c r="B1363" t="s">
        <v>446</v>
      </c>
      <c r="C1363" t="s">
        <v>192</v>
      </c>
      <c r="D1363" t="s">
        <v>1779</v>
      </c>
      <c r="E1363" t="s">
        <v>117</v>
      </c>
      <c r="F1363" t="s">
        <v>1780</v>
      </c>
      <c r="G1363" t="s">
        <v>117</v>
      </c>
      <c r="H1363" t="s">
        <v>4724</v>
      </c>
      <c r="J1363">
        <v>8</v>
      </c>
    </row>
    <row r="1364" spans="1:10" x14ac:dyDescent="0.35">
      <c r="A1364">
        <v>5060868950195</v>
      </c>
      <c r="B1364" t="s">
        <v>1781</v>
      </c>
      <c r="C1364" t="s">
        <v>9</v>
      </c>
      <c r="D1364" t="s">
        <v>1782</v>
      </c>
      <c r="E1364" t="s">
        <v>22</v>
      </c>
      <c r="F1364" t="s">
        <v>1783</v>
      </c>
      <c r="G1364" t="s">
        <v>22</v>
      </c>
      <c r="H1364" t="s">
        <v>4725</v>
      </c>
      <c r="J1364">
        <v>1</v>
      </c>
    </row>
    <row r="1365" spans="1:10" x14ac:dyDescent="0.35">
      <c r="A1365">
        <v>5060909050105</v>
      </c>
      <c r="B1365" t="s">
        <v>1016</v>
      </c>
      <c r="C1365" t="s">
        <v>1784</v>
      </c>
      <c r="D1365" t="s">
        <v>14</v>
      </c>
      <c r="E1365" t="s">
        <v>15</v>
      </c>
      <c r="F1365" t="s">
        <v>14</v>
      </c>
      <c r="G1365" t="s">
        <v>598</v>
      </c>
      <c r="H1365" t="s">
        <v>4489</v>
      </c>
      <c r="J1365">
        <v>1</v>
      </c>
    </row>
    <row r="1366" spans="1:10" x14ac:dyDescent="0.35">
      <c r="A1366">
        <v>5164604011536</v>
      </c>
      <c r="B1366" t="s">
        <v>1011</v>
      </c>
      <c r="C1366" t="s">
        <v>603</v>
      </c>
      <c r="D1366" t="s">
        <v>273</v>
      </c>
      <c r="E1366" t="s">
        <v>15</v>
      </c>
      <c r="F1366" t="s">
        <v>56</v>
      </c>
      <c r="G1366" t="s">
        <v>31</v>
      </c>
      <c r="H1366" t="s">
        <v>4497</v>
      </c>
      <c r="J1366">
        <v>1</v>
      </c>
    </row>
    <row r="1367" spans="1:10" x14ac:dyDescent="0.35">
      <c r="A1367">
        <v>5201627019887</v>
      </c>
      <c r="B1367" t="s">
        <v>485</v>
      </c>
      <c r="C1367" t="s">
        <v>192</v>
      </c>
      <c r="D1367" t="s">
        <v>1785</v>
      </c>
      <c r="E1367" t="s">
        <v>1786</v>
      </c>
      <c r="F1367" t="s">
        <v>1787</v>
      </c>
      <c r="G1367" t="s">
        <v>22</v>
      </c>
      <c r="H1367" t="s">
        <v>4726</v>
      </c>
      <c r="J1367">
        <v>1</v>
      </c>
    </row>
    <row r="1368" spans="1:10" x14ac:dyDescent="0.35">
      <c r="A1368">
        <v>5201627019900</v>
      </c>
      <c r="B1368" t="s">
        <v>1151</v>
      </c>
      <c r="C1368" t="s">
        <v>9</v>
      </c>
      <c r="D1368" t="s">
        <v>1785</v>
      </c>
      <c r="E1368" t="s">
        <v>1786</v>
      </c>
      <c r="F1368" t="s">
        <v>1787</v>
      </c>
      <c r="G1368" t="s">
        <v>22</v>
      </c>
      <c r="H1368" t="s">
        <v>4726</v>
      </c>
      <c r="J1368">
        <v>1</v>
      </c>
    </row>
    <row r="1369" spans="1:10" x14ac:dyDescent="0.35">
      <c r="A1369">
        <v>5201946900125</v>
      </c>
      <c r="B1369" t="s">
        <v>201</v>
      </c>
      <c r="C1369" t="s">
        <v>603</v>
      </c>
      <c r="D1369" t="s">
        <v>1788</v>
      </c>
      <c r="E1369" t="s">
        <v>1786</v>
      </c>
      <c r="F1369" t="s">
        <v>1789</v>
      </c>
      <c r="G1369" t="s">
        <v>22</v>
      </c>
      <c r="H1369" t="s">
        <v>4727</v>
      </c>
      <c r="J1369">
        <v>1</v>
      </c>
    </row>
    <row r="1370" spans="1:10" x14ac:dyDescent="0.35">
      <c r="A1370">
        <v>5203615820130</v>
      </c>
      <c r="B1370" t="s">
        <v>1790</v>
      </c>
      <c r="C1370" t="s">
        <v>806</v>
      </c>
      <c r="D1370" t="s">
        <v>414</v>
      </c>
      <c r="E1370" t="s">
        <v>61</v>
      </c>
      <c r="F1370" t="s">
        <v>85</v>
      </c>
      <c r="G1370" t="s">
        <v>61</v>
      </c>
      <c r="H1370" t="s">
        <v>4503</v>
      </c>
      <c r="J1370">
        <v>65</v>
      </c>
    </row>
    <row r="1371" spans="1:10" x14ac:dyDescent="0.35">
      <c r="A1371">
        <v>5207411220460</v>
      </c>
      <c r="B1371" t="s">
        <v>1791</v>
      </c>
      <c r="C1371" t="s">
        <v>38</v>
      </c>
      <c r="D1371" t="s">
        <v>84</v>
      </c>
      <c r="E1371" t="s">
        <v>61</v>
      </c>
      <c r="F1371" t="s">
        <v>85</v>
      </c>
      <c r="G1371" t="s">
        <v>61</v>
      </c>
      <c r="H1371" t="s">
        <v>4503</v>
      </c>
      <c r="J1371">
        <v>19</v>
      </c>
    </row>
    <row r="1372" spans="1:10" x14ac:dyDescent="0.35">
      <c r="A1372">
        <v>5210112460301</v>
      </c>
      <c r="B1372" t="s">
        <v>1792</v>
      </c>
      <c r="C1372" t="s">
        <v>1095</v>
      </c>
      <c r="D1372" t="s">
        <v>366</v>
      </c>
      <c r="E1372" t="s">
        <v>61</v>
      </c>
      <c r="F1372" t="s">
        <v>364</v>
      </c>
      <c r="G1372" t="s">
        <v>61</v>
      </c>
      <c r="H1372" t="s">
        <v>4540</v>
      </c>
      <c r="J1372">
        <v>1</v>
      </c>
    </row>
    <row r="1373" spans="1:10" x14ac:dyDescent="0.35">
      <c r="A1373">
        <v>5239141407101</v>
      </c>
      <c r="B1373" t="s">
        <v>581</v>
      </c>
      <c r="C1373" t="s">
        <v>110</v>
      </c>
      <c r="D1373" t="s">
        <v>1793</v>
      </c>
      <c r="E1373" t="s">
        <v>130</v>
      </c>
      <c r="F1373" t="s">
        <v>424</v>
      </c>
      <c r="G1373" t="s">
        <v>387</v>
      </c>
      <c r="H1373" t="s">
        <v>4550</v>
      </c>
      <c r="J1373">
        <v>1</v>
      </c>
    </row>
    <row r="1374" spans="1:10" x14ac:dyDescent="0.35">
      <c r="A1374">
        <v>5285002320546</v>
      </c>
      <c r="B1374" t="s">
        <v>1794</v>
      </c>
      <c r="C1374" t="s">
        <v>9</v>
      </c>
      <c r="D1374" t="s">
        <v>1795</v>
      </c>
      <c r="E1374" t="s">
        <v>598</v>
      </c>
      <c r="F1374" t="s">
        <v>1796</v>
      </c>
      <c r="G1374" t="s">
        <v>41</v>
      </c>
      <c r="H1374" t="s">
        <v>4728</v>
      </c>
      <c r="J1374">
        <v>11</v>
      </c>
    </row>
    <row r="1375" spans="1:10" x14ac:dyDescent="0.35">
      <c r="A1375">
        <v>5290074000524</v>
      </c>
      <c r="B1375" t="s">
        <v>1797</v>
      </c>
      <c r="C1375" t="s">
        <v>110</v>
      </c>
      <c r="D1375" t="s">
        <v>1798</v>
      </c>
      <c r="E1375" t="s">
        <v>1799</v>
      </c>
      <c r="F1375" t="s">
        <v>1800</v>
      </c>
      <c r="G1375" t="s">
        <v>41</v>
      </c>
      <c r="H1375" t="s">
        <v>4729</v>
      </c>
      <c r="J1375">
        <v>23</v>
      </c>
    </row>
    <row r="1376" spans="1:10" x14ac:dyDescent="0.35">
      <c r="A1376">
        <v>5299908030089</v>
      </c>
      <c r="B1376" t="s">
        <v>446</v>
      </c>
      <c r="C1376" t="s">
        <v>114</v>
      </c>
      <c r="D1376" t="s">
        <v>1801</v>
      </c>
      <c r="E1376" t="s">
        <v>117</v>
      </c>
      <c r="F1376" t="s">
        <v>1802</v>
      </c>
      <c r="G1376" t="s">
        <v>117</v>
      </c>
      <c r="H1376" t="s">
        <v>4730</v>
      </c>
      <c r="J1376">
        <v>19</v>
      </c>
    </row>
    <row r="1377" spans="1:10" x14ac:dyDescent="0.35">
      <c r="A1377">
        <v>53140036</v>
      </c>
      <c r="B1377" t="s">
        <v>1803</v>
      </c>
      <c r="C1377" t="s">
        <v>192</v>
      </c>
      <c r="D1377" t="s">
        <v>386</v>
      </c>
      <c r="E1377" t="s">
        <v>387</v>
      </c>
      <c r="F1377" t="s">
        <v>388</v>
      </c>
      <c r="G1377" t="s">
        <v>387</v>
      </c>
      <c r="H1377" t="s">
        <v>4544</v>
      </c>
      <c r="J1377">
        <v>1</v>
      </c>
    </row>
    <row r="1378" spans="1:10" x14ac:dyDescent="0.35">
      <c r="A1378">
        <v>5352205057408</v>
      </c>
      <c r="B1378" t="s">
        <v>708</v>
      </c>
      <c r="C1378" t="s">
        <v>9</v>
      </c>
      <c r="D1378" t="s">
        <v>14</v>
      </c>
      <c r="E1378" t="s">
        <v>15</v>
      </c>
      <c r="F1378" t="s">
        <v>14</v>
      </c>
      <c r="G1378" t="s">
        <v>22</v>
      </c>
      <c r="H1378" t="s">
        <v>4489</v>
      </c>
      <c r="J1378">
        <v>1</v>
      </c>
    </row>
    <row r="1379" spans="1:10" x14ac:dyDescent="0.35">
      <c r="A1379">
        <v>5391518270241</v>
      </c>
      <c r="B1379" t="s">
        <v>1804</v>
      </c>
      <c r="C1379" t="s">
        <v>1805</v>
      </c>
      <c r="D1379" t="s">
        <v>1806</v>
      </c>
      <c r="E1379" t="s">
        <v>15</v>
      </c>
      <c r="F1379" t="s">
        <v>1807</v>
      </c>
      <c r="G1379" t="s">
        <v>22</v>
      </c>
      <c r="H1379" t="s">
        <v>4731</v>
      </c>
      <c r="J1379">
        <v>20</v>
      </c>
    </row>
    <row r="1380" spans="1:10" x14ac:dyDescent="0.35">
      <c r="A1380">
        <v>54001213</v>
      </c>
      <c r="B1380" t="s">
        <v>167</v>
      </c>
      <c r="C1380" t="s">
        <v>83</v>
      </c>
      <c r="D1380" t="s">
        <v>539</v>
      </c>
      <c r="E1380" t="s">
        <v>15</v>
      </c>
      <c r="F1380" t="s">
        <v>14</v>
      </c>
      <c r="G1380" t="s">
        <v>31</v>
      </c>
      <c r="H1380" t="s">
        <v>4489</v>
      </c>
      <c r="I1380">
        <v>17.5</v>
      </c>
      <c r="J1380">
        <v>11</v>
      </c>
    </row>
    <row r="1381" spans="1:10" x14ac:dyDescent="0.35">
      <c r="A1381">
        <v>5400141269536</v>
      </c>
      <c r="B1381" t="s">
        <v>1808</v>
      </c>
      <c r="C1381" t="s">
        <v>1573</v>
      </c>
      <c r="D1381" t="s">
        <v>1809</v>
      </c>
      <c r="E1381" t="s">
        <v>816</v>
      </c>
      <c r="F1381" t="s">
        <v>1810</v>
      </c>
      <c r="G1381" t="s">
        <v>22</v>
      </c>
      <c r="H1381" t="s">
        <v>4732</v>
      </c>
      <c r="J1381">
        <v>1</v>
      </c>
    </row>
    <row r="1382" spans="1:10" x14ac:dyDescent="0.35">
      <c r="A1382">
        <v>54008199</v>
      </c>
      <c r="B1382" t="s">
        <v>246</v>
      </c>
      <c r="C1382" t="s">
        <v>472</v>
      </c>
      <c r="D1382" t="s">
        <v>246</v>
      </c>
      <c r="E1382" t="s">
        <v>15</v>
      </c>
      <c r="F1382" t="s">
        <v>14</v>
      </c>
      <c r="G1382" t="s">
        <v>34</v>
      </c>
      <c r="H1382" t="s">
        <v>4489</v>
      </c>
      <c r="J1382">
        <v>56</v>
      </c>
    </row>
    <row r="1383" spans="1:10" x14ac:dyDescent="0.35">
      <c r="A1383">
        <v>54008199</v>
      </c>
      <c r="B1383" t="s">
        <v>246</v>
      </c>
      <c r="C1383" t="s">
        <v>472</v>
      </c>
      <c r="D1383" t="s">
        <v>246</v>
      </c>
      <c r="E1383" t="s">
        <v>15</v>
      </c>
      <c r="F1383" t="s">
        <v>14</v>
      </c>
      <c r="G1383" t="s">
        <v>31</v>
      </c>
      <c r="H1383" t="s">
        <v>4489</v>
      </c>
      <c r="J1383">
        <v>14</v>
      </c>
    </row>
    <row r="1384" spans="1:10" x14ac:dyDescent="0.35">
      <c r="A1384">
        <v>54017665</v>
      </c>
      <c r="B1384" t="s">
        <v>1811</v>
      </c>
      <c r="C1384" t="s">
        <v>472</v>
      </c>
      <c r="D1384" t="s">
        <v>1812</v>
      </c>
      <c r="E1384" t="s">
        <v>15</v>
      </c>
      <c r="F1384" t="s">
        <v>14</v>
      </c>
      <c r="G1384" t="s">
        <v>34</v>
      </c>
      <c r="H1384" t="s">
        <v>4489</v>
      </c>
      <c r="J1384">
        <v>1</v>
      </c>
    </row>
    <row r="1385" spans="1:10" x14ac:dyDescent="0.35">
      <c r="A1385">
        <v>54017726</v>
      </c>
      <c r="B1385" t="s">
        <v>1813</v>
      </c>
      <c r="C1385" t="s">
        <v>472</v>
      </c>
      <c r="D1385" t="s">
        <v>1812</v>
      </c>
      <c r="E1385" t="s">
        <v>15</v>
      </c>
      <c r="F1385" t="s">
        <v>14</v>
      </c>
      <c r="G1385" t="s">
        <v>34</v>
      </c>
      <c r="H1385" t="s">
        <v>4489</v>
      </c>
      <c r="J1385">
        <v>963</v>
      </c>
    </row>
    <row r="1386" spans="1:10" x14ac:dyDescent="0.35">
      <c r="A1386">
        <v>54020450</v>
      </c>
      <c r="B1386" t="s">
        <v>1814</v>
      </c>
      <c r="C1386" t="s">
        <v>472</v>
      </c>
      <c r="D1386" t="s">
        <v>1812</v>
      </c>
      <c r="E1386" t="s">
        <v>15</v>
      </c>
      <c r="F1386" t="s">
        <v>14</v>
      </c>
      <c r="G1386" t="s">
        <v>34</v>
      </c>
      <c r="H1386" t="s">
        <v>4489</v>
      </c>
      <c r="J1386">
        <v>375</v>
      </c>
    </row>
    <row r="1387" spans="1:10" x14ac:dyDescent="0.35">
      <c r="A1387">
        <v>54020849</v>
      </c>
      <c r="B1387" t="s">
        <v>1815</v>
      </c>
      <c r="C1387" t="s">
        <v>38</v>
      </c>
      <c r="D1387" t="s">
        <v>1816</v>
      </c>
      <c r="E1387" t="s">
        <v>15</v>
      </c>
      <c r="F1387" t="s">
        <v>14</v>
      </c>
      <c r="G1387" t="s">
        <v>61</v>
      </c>
      <c r="H1387" t="s">
        <v>4489</v>
      </c>
      <c r="I1387">
        <v>14.7</v>
      </c>
      <c r="J1387">
        <v>5</v>
      </c>
    </row>
    <row r="1388" spans="1:10" x14ac:dyDescent="0.35">
      <c r="A1388">
        <v>54022096</v>
      </c>
      <c r="B1388" t="s">
        <v>1817</v>
      </c>
      <c r="C1388" t="s">
        <v>472</v>
      </c>
      <c r="D1388" t="s">
        <v>14</v>
      </c>
      <c r="E1388" t="s">
        <v>15</v>
      </c>
      <c r="F1388" t="s">
        <v>14</v>
      </c>
      <c r="G1388" t="s">
        <v>34</v>
      </c>
      <c r="H1388" t="s">
        <v>4489</v>
      </c>
      <c r="J1388">
        <v>1</v>
      </c>
    </row>
    <row r="1389" spans="1:10" x14ac:dyDescent="0.35">
      <c r="A1389">
        <v>5407010260069</v>
      </c>
      <c r="B1389" t="s">
        <v>1818</v>
      </c>
      <c r="C1389" t="s">
        <v>110</v>
      </c>
      <c r="D1389" t="s">
        <v>1062</v>
      </c>
      <c r="E1389" t="s">
        <v>130</v>
      </c>
      <c r="F1389" t="s">
        <v>424</v>
      </c>
      <c r="G1389" t="s">
        <v>387</v>
      </c>
      <c r="H1389" t="s">
        <v>4550</v>
      </c>
      <c r="J1389">
        <v>52</v>
      </c>
    </row>
    <row r="1390" spans="1:10" x14ac:dyDescent="0.35">
      <c r="A1390">
        <v>5407010260120</v>
      </c>
      <c r="B1390" t="s">
        <v>1062</v>
      </c>
      <c r="C1390" t="s">
        <v>472</v>
      </c>
      <c r="D1390" t="s">
        <v>1062</v>
      </c>
      <c r="E1390" t="s">
        <v>130</v>
      </c>
      <c r="F1390" t="s">
        <v>424</v>
      </c>
      <c r="G1390" t="s">
        <v>387</v>
      </c>
      <c r="H1390" t="s">
        <v>4550</v>
      </c>
      <c r="J1390">
        <v>5</v>
      </c>
    </row>
    <row r="1391" spans="1:10" x14ac:dyDescent="0.35">
      <c r="A1391">
        <v>5407010260205</v>
      </c>
      <c r="B1391" t="s">
        <v>581</v>
      </c>
      <c r="C1391" t="s">
        <v>110</v>
      </c>
      <c r="D1391" t="s">
        <v>1819</v>
      </c>
      <c r="E1391" t="s">
        <v>130</v>
      </c>
      <c r="F1391" t="s">
        <v>424</v>
      </c>
      <c r="G1391" t="s">
        <v>387</v>
      </c>
      <c r="H1391" t="s">
        <v>4550</v>
      </c>
      <c r="J1391">
        <v>8</v>
      </c>
    </row>
    <row r="1392" spans="1:10" x14ac:dyDescent="0.35">
      <c r="A1392">
        <v>5407010260649</v>
      </c>
      <c r="B1392" t="s">
        <v>423</v>
      </c>
      <c r="C1392" t="s">
        <v>110</v>
      </c>
      <c r="D1392" t="s">
        <v>423</v>
      </c>
      <c r="E1392" t="s">
        <v>130</v>
      </c>
      <c r="F1392" t="s">
        <v>424</v>
      </c>
      <c r="G1392" t="s">
        <v>387</v>
      </c>
      <c r="H1392" t="s">
        <v>4550</v>
      </c>
      <c r="J1392">
        <v>1</v>
      </c>
    </row>
    <row r="1393" spans="1:10" x14ac:dyDescent="0.35">
      <c r="A1393">
        <v>5410013108009</v>
      </c>
      <c r="B1393" t="s">
        <v>1151</v>
      </c>
      <c r="C1393" t="s">
        <v>9</v>
      </c>
      <c r="D1393" t="s">
        <v>1820</v>
      </c>
      <c r="E1393" t="s">
        <v>816</v>
      </c>
      <c r="F1393" t="s">
        <v>1821</v>
      </c>
      <c r="G1393" t="s">
        <v>816</v>
      </c>
      <c r="H1393" t="s">
        <v>4733</v>
      </c>
      <c r="J1393">
        <v>6</v>
      </c>
    </row>
    <row r="1394" spans="1:10" x14ac:dyDescent="0.35">
      <c r="A1394">
        <v>5410013108009</v>
      </c>
      <c r="B1394" t="s">
        <v>1151</v>
      </c>
      <c r="C1394" t="s">
        <v>9</v>
      </c>
      <c r="D1394" t="s">
        <v>1820</v>
      </c>
      <c r="E1394" t="s">
        <v>816</v>
      </c>
      <c r="F1394" t="s">
        <v>1821</v>
      </c>
      <c r="G1394" t="s">
        <v>117</v>
      </c>
      <c r="H1394" t="s">
        <v>4733</v>
      </c>
      <c r="J1394">
        <v>1</v>
      </c>
    </row>
    <row r="1395" spans="1:10" x14ac:dyDescent="0.35">
      <c r="A1395">
        <v>5410013108009</v>
      </c>
      <c r="B1395" t="s">
        <v>1151</v>
      </c>
      <c r="C1395" t="s">
        <v>9</v>
      </c>
      <c r="D1395" t="s">
        <v>1820</v>
      </c>
      <c r="E1395" t="s">
        <v>816</v>
      </c>
      <c r="F1395" t="s">
        <v>1821</v>
      </c>
      <c r="G1395" t="s">
        <v>22</v>
      </c>
      <c r="H1395" t="s">
        <v>4733</v>
      </c>
      <c r="J1395">
        <v>4</v>
      </c>
    </row>
    <row r="1396" spans="1:10" x14ac:dyDescent="0.35">
      <c r="A1396">
        <v>5410076928170</v>
      </c>
      <c r="B1396" t="s">
        <v>1822</v>
      </c>
      <c r="C1396" t="s">
        <v>1823</v>
      </c>
      <c r="D1396" t="s">
        <v>1319</v>
      </c>
      <c r="E1396" t="s">
        <v>15</v>
      </c>
      <c r="F1396" t="s">
        <v>1079</v>
      </c>
      <c r="G1396" t="s">
        <v>22</v>
      </c>
      <c r="H1396" t="s">
        <v>4646</v>
      </c>
      <c r="J1396">
        <v>1</v>
      </c>
    </row>
    <row r="1397" spans="1:10" x14ac:dyDescent="0.35">
      <c r="A1397">
        <v>5410316962520</v>
      </c>
      <c r="B1397" t="s">
        <v>127</v>
      </c>
      <c r="C1397" t="s">
        <v>36</v>
      </c>
      <c r="D1397" t="s">
        <v>330</v>
      </c>
      <c r="E1397" t="s">
        <v>22</v>
      </c>
      <c r="F1397" t="s">
        <v>328</v>
      </c>
      <c r="G1397" t="s">
        <v>16</v>
      </c>
      <c r="H1397" t="s">
        <v>4533</v>
      </c>
      <c r="J1397">
        <v>3</v>
      </c>
    </row>
    <row r="1398" spans="1:10" x14ac:dyDescent="0.35">
      <c r="A1398">
        <v>5410316962520</v>
      </c>
      <c r="B1398" t="s">
        <v>127</v>
      </c>
      <c r="C1398" t="s">
        <v>36</v>
      </c>
      <c r="D1398" t="s">
        <v>330</v>
      </c>
      <c r="E1398" t="s">
        <v>22</v>
      </c>
      <c r="F1398" t="s">
        <v>328</v>
      </c>
      <c r="G1398" t="s">
        <v>34</v>
      </c>
      <c r="H1398" t="s">
        <v>4533</v>
      </c>
      <c r="J1398">
        <v>1</v>
      </c>
    </row>
    <row r="1399" spans="1:10" x14ac:dyDescent="0.35">
      <c r="A1399">
        <v>5410316962520</v>
      </c>
      <c r="B1399" t="s">
        <v>127</v>
      </c>
      <c r="C1399" t="s">
        <v>36</v>
      </c>
      <c r="D1399" t="s">
        <v>330</v>
      </c>
      <c r="E1399" t="s">
        <v>22</v>
      </c>
      <c r="F1399" t="s">
        <v>328</v>
      </c>
      <c r="G1399" t="s">
        <v>150</v>
      </c>
      <c r="H1399" t="s">
        <v>4533</v>
      </c>
      <c r="J1399">
        <v>1</v>
      </c>
    </row>
    <row r="1400" spans="1:10" x14ac:dyDescent="0.35">
      <c r="A1400">
        <v>5410438036420</v>
      </c>
      <c r="B1400" t="s">
        <v>1824</v>
      </c>
      <c r="C1400" t="s">
        <v>83</v>
      </c>
      <c r="D1400" t="s">
        <v>1825</v>
      </c>
      <c r="E1400" t="s">
        <v>1201</v>
      </c>
      <c r="F1400" t="s">
        <v>1826</v>
      </c>
      <c r="G1400" t="s">
        <v>22</v>
      </c>
      <c r="H1400" t="s">
        <v>4734</v>
      </c>
      <c r="J1400">
        <v>2</v>
      </c>
    </row>
    <row r="1401" spans="1:10" x14ac:dyDescent="0.35">
      <c r="A1401">
        <v>5410438036482</v>
      </c>
      <c r="B1401" t="s">
        <v>1827</v>
      </c>
      <c r="C1401" t="s">
        <v>83</v>
      </c>
      <c r="D1401" t="s">
        <v>1825</v>
      </c>
      <c r="E1401" t="s">
        <v>1201</v>
      </c>
      <c r="F1401" t="s">
        <v>1826</v>
      </c>
      <c r="G1401" t="s">
        <v>22</v>
      </c>
      <c r="H1401" t="s">
        <v>4734</v>
      </c>
      <c r="J1401">
        <v>5</v>
      </c>
    </row>
    <row r="1402" spans="1:10" x14ac:dyDescent="0.35">
      <c r="A1402">
        <v>5410438036833</v>
      </c>
      <c r="B1402" t="s">
        <v>1828</v>
      </c>
      <c r="C1402" t="s">
        <v>81</v>
      </c>
      <c r="D1402" t="s">
        <v>1825</v>
      </c>
      <c r="E1402" t="s">
        <v>1201</v>
      </c>
      <c r="F1402" t="s">
        <v>1826</v>
      </c>
      <c r="G1402" t="s">
        <v>22</v>
      </c>
      <c r="H1402" t="s">
        <v>4734</v>
      </c>
      <c r="J1402">
        <v>1</v>
      </c>
    </row>
    <row r="1403" spans="1:10" x14ac:dyDescent="0.35">
      <c r="A1403">
        <v>5412533001556</v>
      </c>
      <c r="B1403" t="s">
        <v>1829</v>
      </c>
      <c r="C1403" t="s">
        <v>253</v>
      </c>
      <c r="D1403" t="s">
        <v>1830</v>
      </c>
      <c r="E1403" t="s">
        <v>15</v>
      </c>
      <c r="F1403" t="s">
        <v>1831</v>
      </c>
      <c r="G1403" t="s">
        <v>22</v>
      </c>
      <c r="H1403" t="s">
        <v>4735</v>
      </c>
      <c r="J1403">
        <v>1</v>
      </c>
    </row>
    <row r="1404" spans="1:10" x14ac:dyDescent="0.35">
      <c r="A1404">
        <v>5412533416886</v>
      </c>
      <c r="B1404" t="s">
        <v>1832</v>
      </c>
      <c r="C1404" t="s">
        <v>239</v>
      </c>
      <c r="D1404" t="s">
        <v>1830</v>
      </c>
      <c r="E1404" t="s">
        <v>15</v>
      </c>
      <c r="F1404" t="s">
        <v>1831</v>
      </c>
      <c r="G1404" t="s">
        <v>22</v>
      </c>
      <c r="H1404" t="s">
        <v>4735</v>
      </c>
      <c r="J1404">
        <v>2</v>
      </c>
    </row>
    <row r="1405" spans="1:10" x14ac:dyDescent="0.35">
      <c r="A1405">
        <v>5412533418316</v>
      </c>
      <c r="B1405" t="s">
        <v>1833</v>
      </c>
      <c r="C1405" t="s">
        <v>81</v>
      </c>
      <c r="D1405" t="s">
        <v>1830</v>
      </c>
      <c r="E1405" t="s">
        <v>15</v>
      </c>
      <c r="F1405" t="s">
        <v>1831</v>
      </c>
      <c r="G1405" t="s">
        <v>22</v>
      </c>
      <c r="H1405" t="s">
        <v>4735</v>
      </c>
      <c r="J1405">
        <v>1</v>
      </c>
    </row>
    <row r="1406" spans="1:10" x14ac:dyDescent="0.35">
      <c r="A1406">
        <v>5413149418431</v>
      </c>
      <c r="B1406" t="s">
        <v>1834</v>
      </c>
      <c r="C1406" t="s">
        <v>9</v>
      </c>
      <c r="D1406" t="s">
        <v>1078</v>
      </c>
      <c r="E1406" t="s">
        <v>15</v>
      </c>
      <c r="F1406" t="s">
        <v>1079</v>
      </c>
      <c r="G1406" t="s">
        <v>22</v>
      </c>
      <c r="H1406" t="s">
        <v>4646</v>
      </c>
      <c r="J1406">
        <v>1</v>
      </c>
    </row>
    <row r="1407" spans="1:10" x14ac:dyDescent="0.35">
      <c r="A1407">
        <v>5413149418493</v>
      </c>
      <c r="B1407" t="s">
        <v>1835</v>
      </c>
      <c r="C1407" t="s">
        <v>9</v>
      </c>
      <c r="D1407" t="s">
        <v>1078</v>
      </c>
      <c r="E1407" t="s">
        <v>15</v>
      </c>
      <c r="F1407" t="s">
        <v>1079</v>
      </c>
      <c r="G1407" t="s">
        <v>22</v>
      </c>
      <c r="H1407" t="s">
        <v>4646</v>
      </c>
      <c r="J1407">
        <v>1</v>
      </c>
    </row>
    <row r="1408" spans="1:10" x14ac:dyDescent="0.35">
      <c r="A1408">
        <v>5413149980761</v>
      </c>
      <c r="B1408" t="s">
        <v>1822</v>
      </c>
      <c r="C1408" t="s">
        <v>1823</v>
      </c>
      <c r="D1408" t="s">
        <v>1319</v>
      </c>
      <c r="E1408" t="s">
        <v>15</v>
      </c>
      <c r="F1408" t="s">
        <v>1079</v>
      </c>
      <c r="G1408" t="s">
        <v>22</v>
      </c>
      <c r="H1408" t="s">
        <v>4646</v>
      </c>
      <c r="J1408">
        <v>1</v>
      </c>
    </row>
    <row r="1409" spans="1:10" x14ac:dyDescent="0.35">
      <c r="A1409">
        <v>54172401</v>
      </c>
      <c r="B1409" t="s">
        <v>1836</v>
      </c>
      <c r="C1409" t="s">
        <v>326</v>
      </c>
      <c r="D1409" t="s">
        <v>1837</v>
      </c>
      <c r="E1409" t="s">
        <v>34</v>
      </c>
      <c r="F1409" t="s">
        <v>1838</v>
      </c>
      <c r="G1409" t="s">
        <v>34</v>
      </c>
      <c r="H1409" t="s">
        <v>4736</v>
      </c>
      <c r="J1409">
        <v>1</v>
      </c>
    </row>
    <row r="1410" spans="1:10" x14ac:dyDescent="0.35">
      <c r="A1410">
        <v>5423513860407</v>
      </c>
      <c r="B1410" t="s">
        <v>1839</v>
      </c>
      <c r="C1410" t="s">
        <v>9</v>
      </c>
      <c r="D1410" t="s">
        <v>1840</v>
      </c>
      <c r="E1410" t="s">
        <v>308</v>
      </c>
      <c r="F1410" t="s">
        <v>309</v>
      </c>
      <c r="G1410" t="s">
        <v>61</v>
      </c>
      <c r="H1410" t="s">
        <v>4529</v>
      </c>
      <c r="J1410">
        <v>7</v>
      </c>
    </row>
    <row r="1411" spans="1:10" x14ac:dyDescent="0.35">
      <c r="A1411">
        <v>5424212150301</v>
      </c>
      <c r="B1411" t="s">
        <v>1841</v>
      </c>
      <c r="C1411" t="s">
        <v>38</v>
      </c>
      <c r="D1411" t="s">
        <v>84</v>
      </c>
      <c r="E1411" t="s">
        <v>61</v>
      </c>
      <c r="F1411" t="s">
        <v>85</v>
      </c>
      <c r="G1411" t="s">
        <v>61</v>
      </c>
      <c r="H1411" t="s">
        <v>4503</v>
      </c>
      <c r="J1411">
        <v>1</v>
      </c>
    </row>
    <row r="1412" spans="1:10" x14ac:dyDescent="0.35">
      <c r="A1412">
        <v>54490000</v>
      </c>
      <c r="B1412" t="s">
        <v>684</v>
      </c>
      <c r="C1412" t="s">
        <v>81</v>
      </c>
      <c r="D1412" t="s">
        <v>711</v>
      </c>
      <c r="E1412" t="s">
        <v>15</v>
      </c>
      <c r="F1412" t="s">
        <v>14</v>
      </c>
      <c r="G1412" t="s">
        <v>11</v>
      </c>
      <c r="H1412" t="s">
        <v>4489</v>
      </c>
      <c r="J1412">
        <v>56</v>
      </c>
    </row>
    <row r="1413" spans="1:10" x14ac:dyDescent="0.35">
      <c r="A1413">
        <v>54490000</v>
      </c>
      <c r="B1413" t="s">
        <v>684</v>
      </c>
      <c r="C1413" t="s">
        <v>81</v>
      </c>
      <c r="D1413" t="s">
        <v>711</v>
      </c>
      <c r="E1413" t="s">
        <v>15</v>
      </c>
      <c r="F1413" t="s">
        <v>14</v>
      </c>
      <c r="G1413" t="s">
        <v>34</v>
      </c>
      <c r="H1413" t="s">
        <v>4489</v>
      </c>
      <c r="J1413">
        <v>6</v>
      </c>
    </row>
    <row r="1414" spans="1:10" x14ac:dyDescent="0.35">
      <c r="A1414">
        <v>54490000</v>
      </c>
      <c r="B1414" t="s">
        <v>684</v>
      </c>
      <c r="C1414" t="s">
        <v>81</v>
      </c>
      <c r="D1414" t="s">
        <v>711</v>
      </c>
      <c r="E1414" t="s">
        <v>15</v>
      </c>
      <c r="F1414" t="s">
        <v>14</v>
      </c>
      <c r="G1414" t="s">
        <v>61</v>
      </c>
      <c r="H1414" t="s">
        <v>4489</v>
      </c>
      <c r="J1414">
        <v>1</v>
      </c>
    </row>
    <row r="1415" spans="1:10" x14ac:dyDescent="0.35">
      <c r="A1415">
        <v>5449000000286</v>
      </c>
      <c r="B1415" t="s">
        <v>14</v>
      </c>
      <c r="C1415" t="s">
        <v>78</v>
      </c>
      <c r="D1415" t="s">
        <v>14</v>
      </c>
      <c r="E1415" t="s">
        <v>15</v>
      </c>
      <c r="F1415" t="s">
        <v>14</v>
      </c>
      <c r="G1415" t="s">
        <v>117</v>
      </c>
      <c r="H1415" t="s">
        <v>4489</v>
      </c>
      <c r="I1415">
        <v>52.5</v>
      </c>
      <c r="J1415">
        <v>3</v>
      </c>
    </row>
    <row r="1416" spans="1:10" x14ac:dyDescent="0.35">
      <c r="A1416">
        <v>5449000000286</v>
      </c>
      <c r="B1416" t="s">
        <v>14</v>
      </c>
      <c r="C1416" t="s">
        <v>78</v>
      </c>
      <c r="D1416" t="s">
        <v>14</v>
      </c>
      <c r="E1416" t="s">
        <v>15</v>
      </c>
      <c r="F1416" t="s">
        <v>14</v>
      </c>
      <c r="G1416" t="s">
        <v>22</v>
      </c>
      <c r="H1416" t="s">
        <v>4489</v>
      </c>
      <c r="I1416">
        <v>52.5</v>
      </c>
      <c r="J1416">
        <v>1</v>
      </c>
    </row>
    <row r="1417" spans="1:10" x14ac:dyDescent="0.35">
      <c r="A1417">
        <v>5449000000286</v>
      </c>
      <c r="B1417" t="s">
        <v>14</v>
      </c>
      <c r="C1417" t="s">
        <v>78</v>
      </c>
      <c r="D1417" t="s">
        <v>14</v>
      </c>
      <c r="E1417" t="s">
        <v>15</v>
      </c>
      <c r="F1417" t="s">
        <v>14</v>
      </c>
      <c r="G1417" t="s">
        <v>41</v>
      </c>
      <c r="H1417" t="s">
        <v>4489</v>
      </c>
      <c r="I1417">
        <v>52.5</v>
      </c>
      <c r="J1417">
        <v>18</v>
      </c>
    </row>
    <row r="1418" spans="1:10" x14ac:dyDescent="0.35">
      <c r="A1418">
        <v>5449000000286</v>
      </c>
      <c r="B1418" t="s">
        <v>14</v>
      </c>
      <c r="C1418" t="s">
        <v>78</v>
      </c>
      <c r="D1418" t="s">
        <v>14</v>
      </c>
      <c r="E1418" t="s">
        <v>15</v>
      </c>
      <c r="F1418" t="s">
        <v>14</v>
      </c>
      <c r="G1418" t="s">
        <v>11</v>
      </c>
      <c r="H1418" t="s">
        <v>4489</v>
      </c>
      <c r="I1418">
        <v>52.5</v>
      </c>
      <c r="J1418">
        <v>14</v>
      </c>
    </row>
    <row r="1419" spans="1:10" x14ac:dyDescent="0.35">
      <c r="A1419">
        <v>5449000000286</v>
      </c>
      <c r="B1419" t="s">
        <v>14</v>
      </c>
      <c r="C1419" t="s">
        <v>78</v>
      </c>
      <c r="D1419" t="s">
        <v>14</v>
      </c>
      <c r="E1419" t="s">
        <v>15</v>
      </c>
      <c r="F1419" t="s">
        <v>14</v>
      </c>
      <c r="G1419" t="s">
        <v>33</v>
      </c>
      <c r="H1419" t="s">
        <v>4489</v>
      </c>
      <c r="I1419">
        <v>52.5</v>
      </c>
      <c r="J1419">
        <v>11</v>
      </c>
    </row>
    <row r="1420" spans="1:10" x14ac:dyDescent="0.35">
      <c r="A1420">
        <v>5449000000286</v>
      </c>
      <c r="B1420" t="s">
        <v>14</v>
      </c>
      <c r="C1420" t="s">
        <v>78</v>
      </c>
      <c r="D1420" t="s">
        <v>14</v>
      </c>
      <c r="E1420" t="s">
        <v>15</v>
      </c>
      <c r="F1420" t="s">
        <v>14</v>
      </c>
      <c r="G1420" t="s">
        <v>34</v>
      </c>
      <c r="H1420" t="s">
        <v>4489</v>
      </c>
      <c r="I1420">
        <v>52.5</v>
      </c>
      <c r="J1420">
        <v>7623</v>
      </c>
    </row>
    <row r="1421" spans="1:10" x14ac:dyDescent="0.35">
      <c r="A1421">
        <v>5449000000286</v>
      </c>
      <c r="B1421" t="s">
        <v>14</v>
      </c>
      <c r="C1421" t="s">
        <v>78</v>
      </c>
      <c r="D1421" t="s">
        <v>14</v>
      </c>
      <c r="E1421" t="s">
        <v>15</v>
      </c>
      <c r="F1421" t="s">
        <v>14</v>
      </c>
      <c r="G1421" t="s">
        <v>61</v>
      </c>
      <c r="H1421" t="s">
        <v>4489</v>
      </c>
      <c r="I1421">
        <v>52.5</v>
      </c>
      <c r="J1421">
        <v>1</v>
      </c>
    </row>
    <row r="1422" spans="1:10" x14ac:dyDescent="0.35">
      <c r="A1422">
        <v>5449000000286</v>
      </c>
      <c r="B1422" t="s">
        <v>14</v>
      </c>
      <c r="C1422" t="s">
        <v>78</v>
      </c>
      <c r="D1422" t="s">
        <v>14</v>
      </c>
      <c r="E1422" t="s">
        <v>15</v>
      </c>
      <c r="F1422" t="s">
        <v>14</v>
      </c>
      <c r="G1422" t="s">
        <v>31</v>
      </c>
      <c r="H1422" t="s">
        <v>4489</v>
      </c>
      <c r="I1422">
        <v>52.5</v>
      </c>
      <c r="J1422">
        <v>123</v>
      </c>
    </row>
    <row r="1423" spans="1:10" x14ac:dyDescent="0.35">
      <c r="A1423">
        <v>5449000000439</v>
      </c>
      <c r="B1423" t="s">
        <v>14</v>
      </c>
      <c r="C1423" t="s">
        <v>192</v>
      </c>
      <c r="D1423" t="s">
        <v>14</v>
      </c>
      <c r="E1423" t="s">
        <v>15</v>
      </c>
      <c r="F1423" t="s">
        <v>14</v>
      </c>
      <c r="G1423" t="s">
        <v>117</v>
      </c>
      <c r="H1423" t="s">
        <v>4489</v>
      </c>
      <c r="J1423">
        <v>1</v>
      </c>
    </row>
    <row r="1424" spans="1:10" x14ac:dyDescent="0.35">
      <c r="A1424">
        <v>5449000000439</v>
      </c>
      <c r="B1424" t="s">
        <v>14</v>
      </c>
      <c r="C1424" t="s">
        <v>192</v>
      </c>
      <c r="D1424" t="s">
        <v>14</v>
      </c>
      <c r="E1424" t="s">
        <v>15</v>
      </c>
      <c r="F1424" t="s">
        <v>14</v>
      </c>
      <c r="G1424" t="s">
        <v>41</v>
      </c>
      <c r="H1424" t="s">
        <v>4489</v>
      </c>
      <c r="J1424">
        <v>137</v>
      </c>
    </row>
    <row r="1425" spans="1:10" x14ac:dyDescent="0.35">
      <c r="A1425">
        <v>5449000000439</v>
      </c>
      <c r="B1425" t="s">
        <v>14</v>
      </c>
      <c r="C1425" t="s">
        <v>192</v>
      </c>
      <c r="D1425" t="s">
        <v>14</v>
      </c>
      <c r="E1425" t="s">
        <v>15</v>
      </c>
      <c r="F1425" t="s">
        <v>14</v>
      </c>
      <c r="G1425" t="s">
        <v>34</v>
      </c>
      <c r="H1425" t="s">
        <v>4489</v>
      </c>
      <c r="J1425">
        <v>1</v>
      </c>
    </row>
    <row r="1426" spans="1:10" x14ac:dyDescent="0.35">
      <c r="A1426">
        <v>5449000000439</v>
      </c>
      <c r="B1426" t="s">
        <v>14</v>
      </c>
      <c r="C1426" t="s">
        <v>192</v>
      </c>
      <c r="D1426" t="s">
        <v>14</v>
      </c>
      <c r="E1426" t="s">
        <v>15</v>
      </c>
      <c r="F1426" t="s">
        <v>14</v>
      </c>
      <c r="G1426" t="s">
        <v>150</v>
      </c>
      <c r="H1426" t="s">
        <v>4489</v>
      </c>
      <c r="J1426">
        <v>15</v>
      </c>
    </row>
    <row r="1427" spans="1:10" x14ac:dyDescent="0.35">
      <c r="A1427">
        <v>5449000000439</v>
      </c>
      <c r="B1427" t="s">
        <v>14</v>
      </c>
      <c r="C1427" t="s">
        <v>192</v>
      </c>
      <c r="D1427" t="s">
        <v>14</v>
      </c>
      <c r="E1427" t="s">
        <v>15</v>
      </c>
      <c r="F1427" t="s">
        <v>14</v>
      </c>
      <c r="G1427" t="s">
        <v>73</v>
      </c>
      <c r="H1427" t="s">
        <v>4489</v>
      </c>
      <c r="J1427">
        <v>13</v>
      </c>
    </row>
    <row r="1428" spans="1:10" x14ac:dyDescent="0.35">
      <c r="A1428">
        <v>5449000000996</v>
      </c>
      <c r="B1428" t="s">
        <v>1842</v>
      </c>
      <c r="C1428" t="s">
        <v>1843</v>
      </c>
      <c r="D1428" t="s">
        <v>14</v>
      </c>
      <c r="E1428" t="s">
        <v>15</v>
      </c>
      <c r="F1428" t="s">
        <v>14</v>
      </c>
      <c r="G1428" t="s">
        <v>22</v>
      </c>
      <c r="H1428" t="s">
        <v>4489</v>
      </c>
      <c r="J1428">
        <v>2</v>
      </c>
    </row>
    <row r="1429" spans="1:10" x14ac:dyDescent="0.35">
      <c r="A1429">
        <v>5449000000996</v>
      </c>
      <c r="B1429" t="s">
        <v>1842</v>
      </c>
      <c r="C1429" t="s">
        <v>1843</v>
      </c>
      <c r="D1429" t="s">
        <v>14</v>
      </c>
      <c r="E1429" t="s">
        <v>15</v>
      </c>
      <c r="F1429" t="s">
        <v>14</v>
      </c>
      <c r="G1429" t="s">
        <v>41</v>
      </c>
      <c r="H1429" t="s">
        <v>4489</v>
      </c>
      <c r="J1429">
        <v>47</v>
      </c>
    </row>
    <row r="1430" spans="1:10" x14ac:dyDescent="0.35">
      <c r="A1430">
        <v>5449000000996</v>
      </c>
      <c r="B1430" t="s">
        <v>1842</v>
      </c>
      <c r="C1430" t="s">
        <v>1843</v>
      </c>
      <c r="D1430" t="s">
        <v>14</v>
      </c>
      <c r="E1430" t="s">
        <v>15</v>
      </c>
      <c r="F1430" t="s">
        <v>14</v>
      </c>
      <c r="G1430" t="s">
        <v>11</v>
      </c>
      <c r="H1430" t="s">
        <v>4489</v>
      </c>
      <c r="J1430">
        <v>47</v>
      </c>
    </row>
    <row r="1431" spans="1:10" x14ac:dyDescent="0.35">
      <c r="A1431">
        <v>5449000000996</v>
      </c>
      <c r="B1431" t="s">
        <v>1842</v>
      </c>
      <c r="C1431" t="s">
        <v>1843</v>
      </c>
      <c r="D1431" t="s">
        <v>14</v>
      </c>
      <c r="E1431" t="s">
        <v>15</v>
      </c>
      <c r="F1431" t="s">
        <v>14</v>
      </c>
      <c r="G1431" t="s">
        <v>34</v>
      </c>
      <c r="H1431" t="s">
        <v>4489</v>
      </c>
      <c r="J1431">
        <v>408</v>
      </c>
    </row>
    <row r="1432" spans="1:10" x14ac:dyDescent="0.35">
      <c r="A1432">
        <v>5449000000996</v>
      </c>
      <c r="B1432" t="s">
        <v>1842</v>
      </c>
      <c r="C1432" t="s">
        <v>1843</v>
      </c>
      <c r="D1432" t="s">
        <v>14</v>
      </c>
      <c r="E1432" t="s">
        <v>15</v>
      </c>
      <c r="F1432" t="s">
        <v>14</v>
      </c>
      <c r="G1432" t="s">
        <v>61</v>
      </c>
      <c r="H1432" t="s">
        <v>4489</v>
      </c>
      <c r="J1432">
        <v>1</v>
      </c>
    </row>
    <row r="1433" spans="1:10" x14ac:dyDescent="0.35">
      <c r="A1433">
        <v>5449000000996</v>
      </c>
      <c r="B1433" t="s">
        <v>1842</v>
      </c>
      <c r="C1433" t="s">
        <v>1843</v>
      </c>
      <c r="D1433" t="s">
        <v>14</v>
      </c>
      <c r="E1433" t="s">
        <v>15</v>
      </c>
      <c r="F1433" t="s">
        <v>14</v>
      </c>
      <c r="G1433" t="s">
        <v>15</v>
      </c>
      <c r="H1433" t="s">
        <v>4489</v>
      </c>
      <c r="J1433">
        <v>1</v>
      </c>
    </row>
    <row r="1434" spans="1:10" x14ac:dyDescent="0.35">
      <c r="A1434">
        <v>5449000000996</v>
      </c>
      <c r="B1434" t="s">
        <v>1842</v>
      </c>
      <c r="C1434" t="s">
        <v>1843</v>
      </c>
      <c r="D1434" t="s">
        <v>14</v>
      </c>
      <c r="E1434" t="s">
        <v>15</v>
      </c>
      <c r="F1434" t="s">
        <v>14</v>
      </c>
      <c r="G1434" t="s">
        <v>73</v>
      </c>
      <c r="H1434" t="s">
        <v>4489</v>
      </c>
      <c r="J1434">
        <v>1</v>
      </c>
    </row>
    <row r="1435" spans="1:10" x14ac:dyDescent="0.35">
      <c r="A1435">
        <v>5449000002914</v>
      </c>
      <c r="B1435" t="s">
        <v>1016</v>
      </c>
      <c r="C1435" t="s">
        <v>114</v>
      </c>
      <c r="D1435" t="s">
        <v>14</v>
      </c>
      <c r="E1435" t="s">
        <v>15</v>
      </c>
      <c r="F1435" t="s">
        <v>14</v>
      </c>
      <c r="G1435" t="s">
        <v>61</v>
      </c>
      <c r="H1435" t="s">
        <v>4489</v>
      </c>
      <c r="J1435">
        <v>20</v>
      </c>
    </row>
    <row r="1436" spans="1:10" x14ac:dyDescent="0.35">
      <c r="A1436">
        <v>5449000002938</v>
      </c>
      <c r="B1436" t="s">
        <v>1844</v>
      </c>
      <c r="C1436" t="s">
        <v>114</v>
      </c>
      <c r="D1436" t="s">
        <v>246</v>
      </c>
      <c r="E1436" t="s">
        <v>15</v>
      </c>
      <c r="F1436" t="s">
        <v>14</v>
      </c>
      <c r="G1436" t="s">
        <v>61</v>
      </c>
      <c r="H1436" t="s">
        <v>4489</v>
      </c>
      <c r="J1436">
        <v>16</v>
      </c>
    </row>
    <row r="1437" spans="1:10" x14ac:dyDescent="0.35">
      <c r="A1437">
        <v>5449000002938</v>
      </c>
      <c r="B1437" t="s">
        <v>1844</v>
      </c>
      <c r="C1437" t="s">
        <v>114</v>
      </c>
      <c r="D1437" t="s">
        <v>246</v>
      </c>
      <c r="E1437" t="s">
        <v>15</v>
      </c>
      <c r="F1437" t="s">
        <v>14</v>
      </c>
      <c r="G1437" t="s">
        <v>31</v>
      </c>
      <c r="H1437" t="s">
        <v>4489</v>
      </c>
      <c r="J1437">
        <v>1</v>
      </c>
    </row>
    <row r="1438" spans="1:10" x14ac:dyDescent="0.35">
      <c r="A1438">
        <v>5449000003751</v>
      </c>
      <c r="B1438" t="s">
        <v>1557</v>
      </c>
      <c r="C1438" t="s">
        <v>192</v>
      </c>
      <c r="D1438" t="s">
        <v>246</v>
      </c>
      <c r="E1438" t="s">
        <v>15</v>
      </c>
      <c r="F1438" t="s">
        <v>14</v>
      </c>
      <c r="G1438" t="s">
        <v>117</v>
      </c>
      <c r="H1438" t="s">
        <v>4489</v>
      </c>
      <c r="J1438">
        <v>2</v>
      </c>
    </row>
    <row r="1439" spans="1:10" x14ac:dyDescent="0.35">
      <c r="A1439">
        <v>5449000003751</v>
      </c>
      <c r="B1439" t="s">
        <v>1557</v>
      </c>
      <c r="C1439" t="s">
        <v>192</v>
      </c>
      <c r="D1439" t="s">
        <v>246</v>
      </c>
      <c r="E1439" t="s">
        <v>15</v>
      </c>
      <c r="F1439" t="s">
        <v>14</v>
      </c>
      <c r="G1439" t="s">
        <v>150</v>
      </c>
      <c r="H1439" t="s">
        <v>4489</v>
      </c>
      <c r="J1439">
        <v>16</v>
      </c>
    </row>
    <row r="1440" spans="1:10" x14ac:dyDescent="0.35">
      <c r="A1440">
        <v>5449000003768</v>
      </c>
      <c r="B1440" t="s">
        <v>1845</v>
      </c>
      <c r="C1440" t="s">
        <v>78</v>
      </c>
      <c r="D1440" t="s">
        <v>246</v>
      </c>
      <c r="E1440" t="s">
        <v>15</v>
      </c>
      <c r="F1440" t="s">
        <v>14</v>
      </c>
      <c r="G1440" t="s">
        <v>11</v>
      </c>
      <c r="H1440" t="s">
        <v>4489</v>
      </c>
      <c r="J1440">
        <v>2</v>
      </c>
    </row>
    <row r="1441" spans="1:10" x14ac:dyDescent="0.35">
      <c r="A1441">
        <v>5449000003768</v>
      </c>
      <c r="B1441" t="s">
        <v>1845</v>
      </c>
      <c r="C1441" t="s">
        <v>78</v>
      </c>
      <c r="D1441" t="s">
        <v>246</v>
      </c>
      <c r="E1441" t="s">
        <v>15</v>
      </c>
      <c r="F1441" t="s">
        <v>14</v>
      </c>
      <c r="G1441" t="s">
        <v>34</v>
      </c>
      <c r="H1441" t="s">
        <v>4489</v>
      </c>
      <c r="J1441">
        <v>152</v>
      </c>
    </row>
    <row r="1442" spans="1:10" x14ac:dyDescent="0.35">
      <c r="A1442">
        <v>5449000003768</v>
      </c>
      <c r="B1442" t="s">
        <v>1845</v>
      </c>
      <c r="C1442" t="s">
        <v>78</v>
      </c>
      <c r="D1442" t="s">
        <v>246</v>
      </c>
      <c r="E1442" t="s">
        <v>15</v>
      </c>
      <c r="F1442" t="s">
        <v>14</v>
      </c>
      <c r="G1442" t="s">
        <v>61</v>
      </c>
      <c r="H1442" t="s">
        <v>4489</v>
      </c>
      <c r="J1442">
        <v>1</v>
      </c>
    </row>
    <row r="1443" spans="1:10" x14ac:dyDescent="0.35">
      <c r="A1443">
        <v>5449000003768</v>
      </c>
      <c r="B1443" t="s">
        <v>1845</v>
      </c>
      <c r="C1443" t="s">
        <v>78</v>
      </c>
      <c r="D1443" t="s">
        <v>246</v>
      </c>
      <c r="E1443" t="s">
        <v>15</v>
      </c>
      <c r="F1443" t="s">
        <v>14</v>
      </c>
      <c r="G1443" t="s">
        <v>73</v>
      </c>
      <c r="H1443" t="s">
        <v>4489</v>
      </c>
      <c r="J1443">
        <v>1</v>
      </c>
    </row>
    <row r="1444" spans="1:10" x14ac:dyDescent="0.35">
      <c r="A1444">
        <v>5449000004840</v>
      </c>
      <c r="B1444" t="s">
        <v>1313</v>
      </c>
      <c r="C1444" t="s">
        <v>78</v>
      </c>
      <c r="D1444" t="s">
        <v>246</v>
      </c>
      <c r="E1444" t="s">
        <v>15</v>
      </c>
      <c r="F1444" t="s">
        <v>14</v>
      </c>
      <c r="G1444" t="s">
        <v>11</v>
      </c>
      <c r="H1444" t="s">
        <v>4489</v>
      </c>
      <c r="I1444">
        <v>49</v>
      </c>
      <c r="J1444">
        <v>43</v>
      </c>
    </row>
    <row r="1445" spans="1:10" x14ac:dyDescent="0.35">
      <c r="A1445">
        <v>5449000004840</v>
      </c>
      <c r="B1445" t="s">
        <v>1313</v>
      </c>
      <c r="C1445" t="s">
        <v>78</v>
      </c>
      <c r="D1445" t="s">
        <v>246</v>
      </c>
      <c r="E1445" t="s">
        <v>15</v>
      </c>
      <c r="F1445" t="s">
        <v>14</v>
      </c>
      <c r="G1445" t="s">
        <v>34</v>
      </c>
      <c r="H1445" t="s">
        <v>4489</v>
      </c>
      <c r="I1445">
        <v>49</v>
      </c>
      <c r="J1445">
        <v>1254</v>
      </c>
    </row>
    <row r="1446" spans="1:10" x14ac:dyDescent="0.35">
      <c r="A1446">
        <v>5449000004840</v>
      </c>
      <c r="B1446" t="s">
        <v>1313</v>
      </c>
      <c r="C1446" t="s">
        <v>78</v>
      </c>
      <c r="D1446" t="s">
        <v>246</v>
      </c>
      <c r="E1446" t="s">
        <v>15</v>
      </c>
      <c r="F1446" t="s">
        <v>14</v>
      </c>
      <c r="G1446" t="s">
        <v>31</v>
      </c>
      <c r="H1446" t="s">
        <v>4489</v>
      </c>
      <c r="I1446">
        <v>49</v>
      </c>
      <c r="J1446">
        <v>86</v>
      </c>
    </row>
    <row r="1447" spans="1:10" x14ac:dyDescent="0.35">
      <c r="A1447">
        <v>5449000004864</v>
      </c>
      <c r="B1447" t="s">
        <v>1846</v>
      </c>
      <c r="C1447" t="s">
        <v>78</v>
      </c>
      <c r="D1447" t="s">
        <v>705</v>
      </c>
      <c r="E1447" t="s">
        <v>15</v>
      </c>
      <c r="F1447" t="s">
        <v>14</v>
      </c>
      <c r="G1447" t="s">
        <v>11</v>
      </c>
      <c r="H1447" t="s">
        <v>4489</v>
      </c>
      <c r="J1447">
        <v>59</v>
      </c>
    </row>
    <row r="1448" spans="1:10" x14ac:dyDescent="0.35">
      <c r="A1448">
        <v>5449000004864</v>
      </c>
      <c r="B1448" t="s">
        <v>1846</v>
      </c>
      <c r="C1448" t="s">
        <v>78</v>
      </c>
      <c r="D1448" t="s">
        <v>705</v>
      </c>
      <c r="E1448" t="s">
        <v>15</v>
      </c>
      <c r="F1448" t="s">
        <v>14</v>
      </c>
      <c r="G1448" t="s">
        <v>34</v>
      </c>
      <c r="H1448" t="s">
        <v>4489</v>
      </c>
      <c r="J1448">
        <v>2</v>
      </c>
    </row>
    <row r="1449" spans="1:10" x14ac:dyDescent="0.35">
      <c r="A1449">
        <v>5449000004864</v>
      </c>
      <c r="B1449" t="s">
        <v>1846</v>
      </c>
      <c r="C1449" t="s">
        <v>78</v>
      </c>
      <c r="D1449" t="s">
        <v>705</v>
      </c>
      <c r="E1449" t="s">
        <v>15</v>
      </c>
      <c r="F1449" t="s">
        <v>14</v>
      </c>
      <c r="G1449" t="s">
        <v>31</v>
      </c>
      <c r="H1449" t="s">
        <v>4489</v>
      </c>
      <c r="J1449">
        <v>41</v>
      </c>
    </row>
    <row r="1450" spans="1:10" x14ac:dyDescent="0.35">
      <c r="A1450">
        <v>5449000005755</v>
      </c>
      <c r="B1450" t="s">
        <v>705</v>
      </c>
      <c r="C1450" t="s">
        <v>114</v>
      </c>
      <c r="D1450" t="s">
        <v>705</v>
      </c>
      <c r="E1450" t="s">
        <v>15</v>
      </c>
      <c r="F1450" t="s">
        <v>14</v>
      </c>
      <c r="G1450" t="s">
        <v>61</v>
      </c>
      <c r="H1450" t="s">
        <v>4489</v>
      </c>
      <c r="J1450">
        <v>72</v>
      </c>
    </row>
    <row r="1451" spans="1:10" x14ac:dyDescent="0.35">
      <c r="A1451">
        <v>5449000006271</v>
      </c>
      <c r="B1451" t="s">
        <v>246</v>
      </c>
      <c r="C1451" t="s">
        <v>81</v>
      </c>
      <c r="D1451" t="s">
        <v>246</v>
      </c>
      <c r="E1451" t="s">
        <v>15</v>
      </c>
      <c r="F1451" t="s">
        <v>14</v>
      </c>
      <c r="G1451" t="s">
        <v>387</v>
      </c>
      <c r="H1451" t="s">
        <v>4489</v>
      </c>
      <c r="J1451">
        <v>2</v>
      </c>
    </row>
    <row r="1452" spans="1:10" x14ac:dyDescent="0.35">
      <c r="A1452">
        <v>5449000006271</v>
      </c>
      <c r="B1452" t="s">
        <v>246</v>
      </c>
      <c r="C1452" t="s">
        <v>81</v>
      </c>
      <c r="D1452" t="s">
        <v>246</v>
      </c>
      <c r="E1452" t="s">
        <v>15</v>
      </c>
      <c r="F1452" t="s">
        <v>14</v>
      </c>
      <c r="G1452" t="s">
        <v>34</v>
      </c>
      <c r="H1452" t="s">
        <v>4489</v>
      </c>
      <c r="J1452">
        <v>1193</v>
      </c>
    </row>
    <row r="1453" spans="1:10" x14ac:dyDescent="0.35">
      <c r="A1453">
        <v>5449000006271</v>
      </c>
      <c r="B1453" t="s">
        <v>246</v>
      </c>
      <c r="C1453" t="s">
        <v>81</v>
      </c>
      <c r="D1453" t="s">
        <v>246</v>
      </c>
      <c r="E1453" t="s">
        <v>15</v>
      </c>
      <c r="F1453" t="s">
        <v>14</v>
      </c>
      <c r="G1453" t="s">
        <v>150</v>
      </c>
      <c r="H1453" t="s">
        <v>4489</v>
      </c>
      <c r="J1453">
        <v>11</v>
      </c>
    </row>
    <row r="1454" spans="1:10" x14ac:dyDescent="0.35">
      <c r="A1454">
        <v>5449000009067</v>
      </c>
      <c r="B1454" t="s">
        <v>1333</v>
      </c>
      <c r="C1454" t="s">
        <v>78</v>
      </c>
      <c r="D1454" t="s">
        <v>14</v>
      </c>
      <c r="E1454" t="s">
        <v>15</v>
      </c>
      <c r="F1454" t="s">
        <v>14</v>
      </c>
      <c r="G1454" t="s">
        <v>464</v>
      </c>
      <c r="H1454" t="s">
        <v>4489</v>
      </c>
      <c r="J1454">
        <v>1</v>
      </c>
    </row>
    <row r="1455" spans="1:10" x14ac:dyDescent="0.35">
      <c r="A1455">
        <v>5449000009067</v>
      </c>
      <c r="B1455" t="s">
        <v>1333</v>
      </c>
      <c r="C1455" t="s">
        <v>78</v>
      </c>
      <c r="D1455" t="s">
        <v>14</v>
      </c>
      <c r="E1455" t="s">
        <v>15</v>
      </c>
      <c r="F1455" t="s">
        <v>14</v>
      </c>
      <c r="G1455" t="s">
        <v>73</v>
      </c>
      <c r="H1455" t="s">
        <v>4489</v>
      </c>
      <c r="J1455">
        <v>35</v>
      </c>
    </row>
    <row r="1456" spans="1:10" x14ac:dyDescent="0.35">
      <c r="A1456">
        <v>5449000010049</v>
      </c>
      <c r="B1456" t="s">
        <v>1847</v>
      </c>
      <c r="C1456" t="s">
        <v>214</v>
      </c>
      <c r="D1456" t="s">
        <v>246</v>
      </c>
      <c r="E1456" t="s">
        <v>15</v>
      </c>
      <c r="F1456" t="s">
        <v>14</v>
      </c>
      <c r="G1456" t="s">
        <v>117</v>
      </c>
      <c r="H1456" t="s">
        <v>4489</v>
      </c>
      <c r="J1456">
        <v>1</v>
      </c>
    </row>
    <row r="1457" spans="1:10" x14ac:dyDescent="0.35">
      <c r="A1457">
        <v>5449000010070</v>
      </c>
      <c r="B1457" t="s">
        <v>1845</v>
      </c>
      <c r="C1457" t="s">
        <v>78</v>
      </c>
      <c r="D1457" t="s">
        <v>246</v>
      </c>
      <c r="E1457" t="s">
        <v>15</v>
      </c>
      <c r="F1457" t="s">
        <v>14</v>
      </c>
      <c r="G1457" t="s">
        <v>33</v>
      </c>
      <c r="H1457" t="s">
        <v>4489</v>
      </c>
      <c r="I1457">
        <v>49</v>
      </c>
      <c r="J1457">
        <v>20</v>
      </c>
    </row>
    <row r="1458" spans="1:10" x14ac:dyDescent="0.35">
      <c r="A1458">
        <v>5449000010070</v>
      </c>
      <c r="B1458" t="s">
        <v>1845</v>
      </c>
      <c r="C1458" t="s">
        <v>78</v>
      </c>
      <c r="D1458" t="s">
        <v>246</v>
      </c>
      <c r="E1458" t="s">
        <v>15</v>
      </c>
      <c r="F1458" t="s">
        <v>14</v>
      </c>
      <c r="G1458" t="s">
        <v>34</v>
      </c>
      <c r="H1458" t="s">
        <v>4489</v>
      </c>
      <c r="I1458">
        <v>49</v>
      </c>
      <c r="J1458">
        <v>701</v>
      </c>
    </row>
    <row r="1459" spans="1:10" x14ac:dyDescent="0.35">
      <c r="A1459">
        <v>5449000010070</v>
      </c>
      <c r="B1459" t="s">
        <v>1845</v>
      </c>
      <c r="C1459" t="s">
        <v>78</v>
      </c>
      <c r="D1459" t="s">
        <v>246</v>
      </c>
      <c r="E1459" t="s">
        <v>15</v>
      </c>
      <c r="F1459" t="s">
        <v>14</v>
      </c>
      <c r="G1459" t="s">
        <v>73</v>
      </c>
      <c r="H1459" t="s">
        <v>4489</v>
      </c>
      <c r="I1459">
        <v>49</v>
      </c>
      <c r="J1459">
        <v>1</v>
      </c>
    </row>
    <row r="1460" spans="1:10" x14ac:dyDescent="0.35">
      <c r="A1460">
        <v>5449000011527</v>
      </c>
      <c r="B1460" t="s">
        <v>1848</v>
      </c>
      <c r="C1460" t="s">
        <v>603</v>
      </c>
      <c r="D1460" t="s">
        <v>14</v>
      </c>
      <c r="E1460" t="s">
        <v>15</v>
      </c>
      <c r="F1460" t="s">
        <v>14</v>
      </c>
      <c r="G1460" t="s">
        <v>22</v>
      </c>
      <c r="H1460" t="s">
        <v>4489</v>
      </c>
      <c r="J1460">
        <v>1</v>
      </c>
    </row>
    <row r="1461" spans="1:10" x14ac:dyDescent="0.35">
      <c r="A1461">
        <v>5449000012203</v>
      </c>
      <c r="B1461" t="s">
        <v>1849</v>
      </c>
      <c r="C1461" t="s">
        <v>192</v>
      </c>
      <c r="D1461" t="s">
        <v>705</v>
      </c>
      <c r="E1461" t="s">
        <v>15</v>
      </c>
      <c r="F1461" t="s">
        <v>14</v>
      </c>
      <c r="G1461" t="s">
        <v>117</v>
      </c>
      <c r="H1461" t="s">
        <v>4489</v>
      </c>
      <c r="J1461">
        <v>2</v>
      </c>
    </row>
    <row r="1462" spans="1:10" x14ac:dyDescent="0.35">
      <c r="A1462">
        <v>5449000012203</v>
      </c>
      <c r="B1462" t="s">
        <v>1849</v>
      </c>
      <c r="C1462" t="s">
        <v>192</v>
      </c>
      <c r="D1462" t="s">
        <v>705</v>
      </c>
      <c r="E1462" t="s">
        <v>15</v>
      </c>
      <c r="F1462" t="s">
        <v>14</v>
      </c>
      <c r="G1462" t="s">
        <v>150</v>
      </c>
      <c r="H1462" t="s">
        <v>4489</v>
      </c>
      <c r="J1462">
        <v>5</v>
      </c>
    </row>
    <row r="1463" spans="1:10" x14ac:dyDescent="0.35">
      <c r="A1463">
        <v>5449000014917</v>
      </c>
      <c r="B1463" t="s">
        <v>1815</v>
      </c>
      <c r="C1463" t="s">
        <v>81</v>
      </c>
      <c r="D1463" t="s">
        <v>52</v>
      </c>
      <c r="E1463" t="s">
        <v>15</v>
      </c>
      <c r="F1463" t="s">
        <v>14</v>
      </c>
      <c r="G1463" t="s">
        <v>34</v>
      </c>
      <c r="H1463" t="s">
        <v>4489</v>
      </c>
      <c r="J1463">
        <v>17</v>
      </c>
    </row>
    <row r="1464" spans="1:10" x14ac:dyDescent="0.35">
      <c r="A1464">
        <v>5449000014917</v>
      </c>
      <c r="B1464" t="s">
        <v>1815</v>
      </c>
      <c r="C1464" t="s">
        <v>81</v>
      </c>
      <c r="D1464" t="s">
        <v>52</v>
      </c>
      <c r="E1464" t="s">
        <v>15</v>
      </c>
      <c r="F1464" t="s">
        <v>14</v>
      </c>
      <c r="G1464" t="s">
        <v>73</v>
      </c>
      <c r="H1464" t="s">
        <v>4489</v>
      </c>
      <c r="J1464">
        <v>53</v>
      </c>
    </row>
    <row r="1465" spans="1:10" x14ac:dyDescent="0.35">
      <c r="A1465">
        <v>5449000016560</v>
      </c>
      <c r="B1465" t="s">
        <v>1850</v>
      </c>
      <c r="C1465" t="s">
        <v>81</v>
      </c>
      <c r="D1465" t="s">
        <v>14</v>
      </c>
      <c r="E1465" t="s">
        <v>15</v>
      </c>
      <c r="F1465" t="s">
        <v>14</v>
      </c>
      <c r="G1465" t="s">
        <v>73</v>
      </c>
      <c r="H1465" t="s">
        <v>4489</v>
      </c>
      <c r="J1465">
        <v>5</v>
      </c>
    </row>
    <row r="1466" spans="1:10" x14ac:dyDescent="0.35">
      <c r="A1466">
        <v>5449000021830</v>
      </c>
      <c r="B1466" t="s">
        <v>1851</v>
      </c>
      <c r="C1466" t="s">
        <v>81</v>
      </c>
      <c r="D1466" t="s">
        <v>246</v>
      </c>
      <c r="E1466" t="s">
        <v>15</v>
      </c>
      <c r="F1466" t="s">
        <v>14</v>
      </c>
      <c r="G1466" t="s">
        <v>34</v>
      </c>
      <c r="H1466" t="s">
        <v>4489</v>
      </c>
      <c r="J1466">
        <v>9</v>
      </c>
    </row>
    <row r="1467" spans="1:10" x14ac:dyDescent="0.35">
      <c r="A1467">
        <v>5449000022752</v>
      </c>
      <c r="B1467" t="s">
        <v>1694</v>
      </c>
      <c r="C1467" t="s">
        <v>78</v>
      </c>
      <c r="D1467" t="s">
        <v>246</v>
      </c>
      <c r="E1467" t="s">
        <v>15</v>
      </c>
      <c r="F1467" t="s">
        <v>14</v>
      </c>
      <c r="G1467" t="s">
        <v>11</v>
      </c>
      <c r="H1467" t="s">
        <v>4489</v>
      </c>
      <c r="J1467">
        <v>37</v>
      </c>
    </row>
    <row r="1468" spans="1:10" x14ac:dyDescent="0.35">
      <c r="A1468">
        <v>5449000025173</v>
      </c>
      <c r="B1468" t="s">
        <v>14</v>
      </c>
      <c r="C1468" t="s">
        <v>1299</v>
      </c>
      <c r="D1468" t="s">
        <v>14</v>
      </c>
      <c r="E1468" t="s">
        <v>15</v>
      </c>
      <c r="F1468" t="s">
        <v>14</v>
      </c>
      <c r="G1468" t="s">
        <v>73</v>
      </c>
      <c r="H1468" t="s">
        <v>4489</v>
      </c>
      <c r="J1468">
        <v>1</v>
      </c>
    </row>
    <row r="1469" spans="1:10" x14ac:dyDescent="0.35">
      <c r="A1469">
        <v>5449000028075</v>
      </c>
      <c r="B1469" t="s">
        <v>1852</v>
      </c>
      <c r="C1469" t="s">
        <v>9</v>
      </c>
      <c r="D1469" t="s">
        <v>451</v>
      </c>
      <c r="E1469" t="s">
        <v>15</v>
      </c>
      <c r="F1469" t="s">
        <v>14</v>
      </c>
      <c r="G1469" t="s">
        <v>61</v>
      </c>
      <c r="H1469" t="s">
        <v>4489</v>
      </c>
      <c r="J1469">
        <v>174</v>
      </c>
    </row>
    <row r="1470" spans="1:10" x14ac:dyDescent="0.35">
      <c r="A1470">
        <v>5449000028921</v>
      </c>
      <c r="B1470" t="s">
        <v>1016</v>
      </c>
      <c r="C1470" t="s">
        <v>1853</v>
      </c>
      <c r="D1470" t="s">
        <v>14</v>
      </c>
      <c r="E1470" t="s">
        <v>15</v>
      </c>
      <c r="F1470" t="s">
        <v>14</v>
      </c>
      <c r="G1470" t="s">
        <v>11</v>
      </c>
      <c r="H1470" t="s">
        <v>4489</v>
      </c>
      <c r="J1470">
        <v>29</v>
      </c>
    </row>
    <row r="1471" spans="1:10" x14ac:dyDescent="0.35">
      <c r="A1471">
        <v>5449000028921</v>
      </c>
      <c r="B1471" t="s">
        <v>1016</v>
      </c>
      <c r="C1471" t="s">
        <v>1853</v>
      </c>
      <c r="D1471" t="s">
        <v>14</v>
      </c>
      <c r="E1471" t="s">
        <v>15</v>
      </c>
      <c r="F1471" t="s">
        <v>14</v>
      </c>
      <c r="G1471" t="s">
        <v>61</v>
      </c>
      <c r="H1471" t="s">
        <v>4489</v>
      </c>
      <c r="J1471">
        <v>99</v>
      </c>
    </row>
    <row r="1472" spans="1:10" x14ac:dyDescent="0.35">
      <c r="A1472">
        <v>5449000028938</v>
      </c>
      <c r="B1472" t="s">
        <v>1854</v>
      </c>
      <c r="C1472" t="s">
        <v>814</v>
      </c>
      <c r="D1472" t="s">
        <v>246</v>
      </c>
      <c r="E1472" t="s">
        <v>15</v>
      </c>
      <c r="F1472" t="s">
        <v>14</v>
      </c>
      <c r="G1472" t="s">
        <v>11</v>
      </c>
      <c r="H1472" t="s">
        <v>4489</v>
      </c>
      <c r="J1472">
        <v>42</v>
      </c>
    </row>
    <row r="1473" spans="1:10" x14ac:dyDescent="0.35">
      <c r="A1473">
        <v>5449000028938</v>
      </c>
      <c r="B1473" t="s">
        <v>1854</v>
      </c>
      <c r="C1473" t="s">
        <v>814</v>
      </c>
      <c r="D1473" t="s">
        <v>246</v>
      </c>
      <c r="E1473" t="s">
        <v>15</v>
      </c>
      <c r="F1473" t="s">
        <v>14</v>
      </c>
      <c r="G1473" t="s">
        <v>34</v>
      </c>
      <c r="H1473" t="s">
        <v>4489</v>
      </c>
      <c r="J1473">
        <v>50</v>
      </c>
    </row>
    <row r="1474" spans="1:10" x14ac:dyDescent="0.35">
      <c r="A1474">
        <v>5449000028938</v>
      </c>
      <c r="B1474" t="s">
        <v>1854</v>
      </c>
      <c r="C1474" t="s">
        <v>814</v>
      </c>
      <c r="D1474" t="s">
        <v>246</v>
      </c>
      <c r="E1474" t="s">
        <v>15</v>
      </c>
      <c r="F1474" t="s">
        <v>14</v>
      </c>
      <c r="G1474" t="s">
        <v>61</v>
      </c>
      <c r="H1474" t="s">
        <v>4489</v>
      </c>
      <c r="J1474">
        <v>33</v>
      </c>
    </row>
    <row r="1475" spans="1:10" x14ac:dyDescent="0.35">
      <c r="A1475">
        <v>5449000028976</v>
      </c>
      <c r="B1475" t="s">
        <v>1855</v>
      </c>
      <c r="C1475" t="s">
        <v>814</v>
      </c>
      <c r="D1475" t="s">
        <v>705</v>
      </c>
      <c r="E1475" t="s">
        <v>15</v>
      </c>
      <c r="F1475" t="s">
        <v>14</v>
      </c>
      <c r="G1475" t="s">
        <v>11</v>
      </c>
      <c r="H1475" t="s">
        <v>4489</v>
      </c>
      <c r="J1475">
        <v>3</v>
      </c>
    </row>
    <row r="1476" spans="1:10" x14ac:dyDescent="0.35">
      <c r="A1476">
        <v>5449000028976</v>
      </c>
      <c r="B1476" t="s">
        <v>1855</v>
      </c>
      <c r="C1476" t="s">
        <v>814</v>
      </c>
      <c r="D1476" t="s">
        <v>705</v>
      </c>
      <c r="E1476" t="s">
        <v>15</v>
      </c>
      <c r="F1476" t="s">
        <v>14</v>
      </c>
      <c r="G1476" t="s">
        <v>34</v>
      </c>
      <c r="H1476" t="s">
        <v>4489</v>
      </c>
      <c r="J1476">
        <v>1</v>
      </c>
    </row>
    <row r="1477" spans="1:10" x14ac:dyDescent="0.35">
      <c r="A1477">
        <v>5449000028976</v>
      </c>
      <c r="B1477" t="s">
        <v>1855</v>
      </c>
      <c r="C1477" t="s">
        <v>814</v>
      </c>
      <c r="D1477" t="s">
        <v>705</v>
      </c>
      <c r="E1477" t="s">
        <v>15</v>
      </c>
      <c r="F1477" t="s">
        <v>14</v>
      </c>
      <c r="G1477" t="s">
        <v>61</v>
      </c>
      <c r="H1477" t="s">
        <v>4489</v>
      </c>
      <c r="J1477">
        <v>8</v>
      </c>
    </row>
    <row r="1478" spans="1:10" x14ac:dyDescent="0.35">
      <c r="A1478">
        <v>5449000034335</v>
      </c>
      <c r="B1478" t="s">
        <v>1856</v>
      </c>
      <c r="C1478" t="s">
        <v>114</v>
      </c>
      <c r="D1478" t="s">
        <v>914</v>
      </c>
      <c r="E1478" t="s">
        <v>15</v>
      </c>
      <c r="F1478" t="s">
        <v>14</v>
      </c>
      <c r="G1478" t="s">
        <v>22</v>
      </c>
      <c r="H1478" t="s">
        <v>4489</v>
      </c>
      <c r="J1478">
        <v>7</v>
      </c>
    </row>
    <row r="1479" spans="1:10" x14ac:dyDescent="0.35">
      <c r="A1479">
        <v>5449000036353</v>
      </c>
      <c r="B1479" t="s">
        <v>486</v>
      </c>
      <c r="C1479" t="s">
        <v>192</v>
      </c>
      <c r="D1479" t="s">
        <v>451</v>
      </c>
      <c r="E1479" t="s">
        <v>15</v>
      </c>
      <c r="F1479" t="s">
        <v>14</v>
      </c>
      <c r="G1479" t="s">
        <v>73</v>
      </c>
      <c r="H1479" t="s">
        <v>4489</v>
      </c>
      <c r="J1479">
        <v>10</v>
      </c>
    </row>
    <row r="1480" spans="1:10" x14ac:dyDescent="0.35">
      <c r="A1480">
        <v>5449000044808</v>
      </c>
      <c r="B1480" t="s">
        <v>1324</v>
      </c>
      <c r="C1480" t="s">
        <v>110</v>
      </c>
      <c r="D1480" t="s">
        <v>52</v>
      </c>
      <c r="E1480" t="s">
        <v>15</v>
      </c>
      <c r="F1480" t="s">
        <v>14</v>
      </c>
      <c r="G1480" t="s">
        <v>387</v>
      </c>
      <c r="H1480" t="s">
        <v>4489</v>
      </c>
      <c r="J1480">
        <v>1</v>
      </c>
    </row>
    <row r="1481" spans="1:10" x14ac:dyDescent="0.35">
      <c r="A1481">
        <v>5449000044808</v>
      </c>
      <c r="B1481" t="s">
        <v>1324</v>
      </c>
      <c r="C1481" t="s">
        <v>110</v>
      </c>
      <c r="D1481" t="s">
        <v>52</v>
      </c>
      <c r="E1481" t="s">
        <v>15</v>
      </c>
      <c r="F1481" t="s">
        <v>14</v>
      </c>
      <c r="G1481" t="s">
        <v>34</v>
      </c>
      <c r="H1481" t="s">
        <v>4489</v>
      </c>
      <c r="J1481">
        <v>1</v>
      </c>
    </row>
    <row r="1482" spans="1:10" x14ac:dyDescent="0.35">
      <c r="A1482">
        <v>5449000045478</v>
      </c>
      <c r="B1482" t="s">
        <v>485</v>
      </c>
      <c r="C1482" t="s">
        <v>192</v>
      </c>
      <c r="D1482" t="s">
        <v>1312</v>
      </c>
      <c r="E1482" t="s">
        <v>15</v>
      </c>
      <c r="F1482" t="s">
        <v>14</v>
      </c>
      <c r="G1482" t="s">
        <v>34</v>
      </c>
      <c r="H1482" t="s">
        <v>4489</v>
      </c>
      <c r="J1482">
        <v>2687</v>
      </c>
    </row>
    <row r="1483" spans="1:10" x14ac:dyDescent="0.35">
      <c r="A1483">
        <v>5449000050939</v>
      </c>
      <c r="B1483" t="s">
        <v>1857</v>
      </c>
      <c r="C1483" t="s">
        <v>110</v>
      </c>
      <c r="D1483" t="s">
        <v>14</v>
      </c>
      <c r="E1483" t="s">
        <v>15</v>
      </c>
      <c r="F1483" t="s">
        <v>14</v>
      </c>
      <c r="G1483" t="s">
        <v>387</v>
      </c>
      <c r="H1483" t="s">
        <v>4489</v>
      </c>
      <c r="J1483">
        <v>6</v>
      </c>
    </row>
    <row r="1484" spans="1:10" x14ac:dyDescent="0.35">
      <c r="A1484">
        <v>5449000051981</v>
      </c>
      <c r="B1484" t="s">
        <v>1858</v>
      </c>
      <c r="C1484" t="s">
        <v>1859</v>
      </c>
      <c r="D1484" t="s">
        <v>14</v>
      </c>
      <c r="E1484" t="s">
        <v>15</v>
      </c>
      <c r="F1484" t="s">
        <v>14</v>
      </c>
      <c r="G1484" t="s">
        <v>117</v>
      </c>
      <c r="H1484" t="s">
        <v>4489</v>
      </c>
      <c r="J1484">
        <v>1</v>
      </c>
    </row>
    <row r="1485" spans="1:10" x14ac:dyDescent="0.35">
      <c r="A1485">
        <v>5449000052926</v>
      </c>
      <c r="B1485" t="s">
        <v>1860</v>
      </c>
      <c r="C1485" t="s">
        <v>192</v>
      </c>
      <c r="D1485" t="s">
        <v>246</v>
      </c>
      <c r="E1485" t="s">
        <v>15</v>
      </c>
      <c r="F1485" t="s">
        <v>14</v>
      </c>
      <c r="G1485" t="s">
        <v>117</v>
      </c>
      <c r="H1485" t="s">
        <v>4489</v>
      </c>
      <c r="J1485">
        <v>9</v>
      </c>
    </row>
    <row r="1486" spans="1:10" x14ac:dyDescent="0.35">
      <c r="A1486">
        <v>5449000052926</v>
      </c>
      <c r="B1486" t="s">
        <v>1860</v>
      </c>
      <c r="C1486" t="s">
        <v>192</v>
      </c>
      <c r="D1486" t="s">
        <v>246</v>
      </c>
      <c r="E1486" t="s">
        <v>15</v>
      </c>
      <c r="F1486" t="s">
        <v>14</v>
      </c>
      <c r="G1486" t="s">
        <v>34</v>
      </c>
      <c r="H1486" t="s">
        <v>4489</v>
      </c>
      <c r="J1486">
        <v>1</v>
      </c>
    </row>
    <row r="1487" spans="1:10" x14ac:dyDescent="0.35">
      <c r="A1487">
        <v>5449000052926</v>
      </c>
      <c r="B1487" t="s">
        <v>1860</v>
      </c>
      <c r="C1487" t="s">
        <v>192</v>
      </c>
      <c r="D1487" t="s">
        <v>246</v>
      </c>
      <c r="E1487" t="s">
        <v>15</v>
      </c>
      <c r="F1487" t="s">
        <v>14</v>
      </c>
      <c r="G1487" t="s">
        <v>150</v>
      </c>
      <c r="H1487" t="s">
        <v>4489</v>
      </c>
      <c r="J1487">
        <v>20</v>
      </c>
    </row>
    <row r="1488" spans="1:10" x14ac:dyDescent="0.35">
      <c r="A1488">
        <v>5449000054227</v>
      </c>
      <c r="B1488" t="s">
        <v>1333</v>
      </c>
      <c r="C1488" t="s">
        <v>81</v>
      </c>
      <c r="D1488" t="s">
        <v>14</v>
      </c>
      <c r="E1488" t="s">
        <v>15</v>
      </c>
      <c r="F1488" t="s">
        <v>14</v>
      </c>
      <c r="G1488" t="s">
        <v>387</v>
      </c>
      <c r="H1488" t="s">
        <v>4489</v>
      </c>
      <c r="I1488">
        <v>37.5</v>
      </c>
      <c r="J1488">
        <v>7</v>
      </c>
    </row>
    <row r="1489" spans="1:10" x14ac:dyDescent="0.35">
      <c r="A1489">
        <v>5449000054227</v>
      </c>
      <c r="B1489" t="s">
        <v>1333</v>
      </c>
      <c r="C1489" t="s">
        <v>81</v>
      </c>
      <c r="D1489" t="s">
        <v>14</v>
      </c>
      <c r="E1489" t="s">
        <v>15</v>
      </c>
      <c r="F1489" t="s">
        <v>14</v>
      </c>
      <c r="G1489" t="s">
        <v>22</v>
      </c>
      <c r="H1489" t="s">
        <v>4489</v>
      </c>
      <c r="I1489">
        <v>37.5</v>
      </c>
      <c r="J1489">
        <v>2</v>
      </c>
    </row>
    <row r="1490" spans="1:10" x14ac:dyDescent="0.35">
      <c r="A1490">
        <v>5449000054227</v>
      </c>
      <c r="B1490" t="s">
        <v>1333</v>
      </c>
      <c r="C1490" t="s">
        <v>81</v>
      </c>
      <c r="D1490" t="s">
        <v>14</v>
      </c>
      <c r="E1490" t="s">
        <v>15</v>
      </c>
      <c r="F1490" t="s">
        <v>14</v>
      </c>
      <c r="G1490" t="s">
        <v>33</v>
      </c>
      <c r="H1490" t="s">
        <v>4489</v>
      </c>
      <c r="I1490">
        <v>37.5</v>
      </c>
      <c r="J1490">
        <v>50</v>
      </c>
    </row>
    <row r="1491" spans="1:10" x14ac:dyDescent="0.35">
      <c r="A1491">
        <v>5449000054227</v>
      </c>
      <c r="B1491" t="s">
        <v>1333</v>
      </c>
      <c r="C1491" t="s">
        <v>81</v>
      </c>
      <c r="D1491" t="s">
        <v>14</v>
      </c>
      <c r="E1491" t="s">
        <v>15</v>
      </c>
      <c r="F1491" t="s">
        <v>14</v>
      </c>
      <c r="G1491" t="s">
        <v>34</v>
      </c>
      <c r="H1491" t="s">
        <v>4489</v>
      </c>
      <c r="I1491">
        <v>37.5</v>
      </c>
      <c r="J1491">
        <v>4869</v>
      </c>
    </row>
    <row r="1492" spans="1:10" x14ac:dyDescent="0.35">
      <c r="A1492">
        <v>5449000060082</v>
      </c>
      <c r="B1492" t="s">
        <v>1861</v>
      </c>
      <c r="C1492" t="s">
        <v>78</v>
      </c>
      <c r="D1492" t="s">
        <v>1862</v>
      </c>
      <c r="E1492" t="s">
        <v>15</v>
      </c>
      <c r="F1492" t="s">
        <v>14</v>
      </c>
      <c r="G1492" t="s">
        <v>34</v>
      </c>
      <c r="H1492" t="s">
        <v>4489</v>
      </c>
      <c r="J1492">
        <v>3</v>
      </c>
    </row>
    <row r="1493" spans="1:10" x14ac:dyDescent="0.35">
      <c r="A1493">
        <v>5449000060082</v>
      </c>
      <c r="B1493" t="s">
        <v>1861</v>
      </c>
      <c r="C1493" t="s">
        <v>78</v>
      </c>
      <c r="D1493" t="s">
        <v>1862</v>
      </c>
      <c r="E1493" t="s">
        <v>15</v>
      </c>
      <c r="F1493" t="s">
        <v>14</v>
      </c>
      <c r="G1493" t="s">
        <v>73</v>
      </c>
      <c r="H1493" t="s">
        <v>4489</v>
      </c>
      <c r="J1493">
        <v>2</v>
      </c>
    </row>
    <row r="1494" spans="1:10" x14ac:dyDescent="0.35">
      <c r="A1494">
        <v>5449000061768</v>
      </c>
      <c r="B1494" t="s">
        <v>14</v>
      </c>
      <c r="C1494" t="s">
        <v>1299</v>
      </c>
      <c r="D1494" t="s">
        <v>14</v>
      </c>
      <c r="E1494" t="s">
        <v>15</v>
      </c>
      <c r="F1494" t="s">
        <v>14</v>
      </c>
      <c r="G1494" t="s">
        <v>73</v>
      </c>
      <c r="H1494" t="s">
        <v>4489</v>
      </c>
      <c r="J1494">
        <v>3</v>
      </c>
    </row>
    <row r="1495" spans="1:10" x14ac:dyDescent="0.35">
      <c r="A1495">
        <v>5449000062215</v>
      </c>
      <c r="B1495" t="s">
        <v>684</v>
      </c>
      <c r="C1495" t="s">
        <v>1863</v>
      </c>
      <c r="D1495" t="s">
        <v>1312</v>
      </c>
      <c r="E1495" t="s">
        <v>15</v>
      </c>
      <c r="F1495" t="s">
        <v>14</v>
      </c>
      <c r="G1495" t="s">
        <v>34</v>
      </c>
      <c r="H1495" t="s">
        <v>4489</v>
      </c>
      <c r="J1495">
        <v>521</v>
      </c>
    </row>
    <row r="1496" spans="1:10" x14ac:dyDescent="0.35">
      <c r="A1496">
        <v>5449000064141</v>
      </c>
      <c r="B1496" t="s">
        <v>250</v>
      </c>
      <c r="C1496" t="s">
        <v>814</v>
      </c>
      <c r="D1496" t="s">
        <v>14</v>
      </c>
      <c r="E1496" t="s">
        <v>15</v>
      </c>
      <c r="F1496" t="s">
        <v>14</v>
      </c>
      <c r="G1496" t="s">
        <v>22</v>
      </c>
      <c r="H1496" t="s">
        <v>4489</v>
      </c>
      <c r="J1496">
        <v>8</v>
      </c>
    </row>
    <row r="1497" spans="1:10" x14ac:dyDescent="0.35">
      <c r="A1497">
        <v>5449000069429</v>
      </c>
      <c r="B1497" t="s">
        <v>139</v>
      </c>
      <c r="C1497" t="s">
        <v>603</v>
      </c>
      <c r="D1497" t="s">
        <v>246</v>
      </c>
      <c r="E1497" t="s">
        <v>15</v>
      </c>
      <c r="F1497" t="s">
        <v>14</v>
      </c>
      <c r="G1497" t="s">
        <v>34</v>
      </c>
      <c r="H1497" t="s">
        <v>4489</v>
      </c>
      <c r="J1497">
        <v>3</v>
      </c>
    </row>
    <row r="1498" spans="1:10" x14ac:dyDescent="0.35">
      <c r="A1498">
        <v>5449000090096</v>
      </c>
      <c r="B1498" t="s">
        <v>1864</v>
      </c>
      <c r="C1498" t="s">
        <v>78</v>
      </c>
      <c r="D1498" t="s">
        <v>246</v>
      </c>
      <c r="E1498" t="s">
        <v>15</v>
      </c>
      <c r="F1498" t="s">
        <v>14</v>
      </c>
      <c r="G1498" t="s">
        <v>11</v>
      </c>
      <c r="H1498" t="s">
        <v>4489</v>
      </c>
      <c r="J1498">
        <v>40</v>
      </c>
    </row>
    <row r="1499" spans="1:10" x14ac:dyDescent="0.35">
      <c r="A1499">
        <v>5449000090096</v>
      </c>
      <c r="B1499" t="s">
        <v>1864</v>
      </c>
      <c r="C1499" t="s">
        <v>78</v>
      </c>
      <c r="D1499" t="s">
        <v>246</v>
      </c>
      <c r="E1499" t="s">
        <v>15</v>
      </c>
      <c r="F1499" t="s">
        <v>14</v>
      </c>
      <c r="G1499" t="s">
        <v>34</v>
      </c>
      <c r="H1499" t="s">
        <v>4489</v>
      </c>
      <c r="J1499">
        <v>44</v>
      </c>
    </row>
    <row r="1500" spans="1:10" x14ac:dyDescent="0.35">
      <c r="A1500">
        <v>5449000093943</v>
      </c>
      <c r="B1500" t="s">
        <v>1865</v>
      </c>
      <c r="C1500">
        <v>5</v>
      </c>
      <c r="D1500" t="s">
        <v>1312</v>
      </c>
      <c r="E1500" t="s">
        <v>15</v>
      </c>
      <c r="F1500" t="s">
        <v>14</v>
      </c>
      <c r="G1500" t="s">
        <v>34</v>
      </c>
      <c r="H1500" t="s">
        <v>4489</v>
      </c>
      <c r="J1500">
        <v>4</v>
      </c>
    </row>
    <row r="1501" spans="1:10" x14ac:dyDescent="0.35">
      <c r="A1501">
        <v>5449000098504</v>
      </c>
      <c r="B1501" t="s">
        <v>1867</v>
      </c>
      <c r="C1501" t="s">
        <v>192</v>
      </c>
      <c r="D1501" t="s">
        <v>711</v>
      </c>
      <c r="E1501" t="s">
        <v>15</v>
      </c>
      <c r="F1501" t="s">
        <v>14</v>
      </c>
      <c r="G1501" t="s">
        <v>117</v>
      </c>
      <c r="H1501" t="s">
        <v>4489</v>
      </c>
      <c r="J1501">
        <v>4</v>
      </c>
    </row>
    <row r="1502" spans="1:10" x14ac:dyDescent="0.35">
      <c r="A1502">
        <v>5449000098504</v>
      </c>
      <c r="B1502" t="s">
        <v>1867</v>
      </c>
      <c r="C1502" t="s">
        <v>192</v>
      </c>
      <c r="D1502" t="s">
        <v>711</v>
      </c>
      <c r="E1502" t="s">
        <v>15</v>
      </c>
      <c r="F1502" t="s">
        <v>14</v>
      </c>
      <c r="G1502" t="s">
        <v>61</v>
      </c>
      <c r="H1502" t="s">
        <v>4489</v>
      </c>
      <c r="J1502">
        <v>31</v>
      </c>
    </row>
    <row r="1503" spans="1:10" x14ac:dyDescent="0.35">
      <c r="A1503">
        <v>5449000098580</v>
      </c>
      <c r="B1503" t="s">
        <v>1868</v>
      </c>
      <c r="C1503" t="s">
        <v>214</v>
      </c>
      <c r="D1503" t="s">
        <v>1862</v>
      </c>
      <c r="E1503" t="s">
        <v>15</v>
      </c>
      <c r="F1503" t="s">
        <v>14</v>
      </c>
      <c r="G1503" t="s">
        <v>34</v>
      </c>
      <c r="H1503" t="s">
        <v>4489</v>
      </c>
      <c r="J1503">
        <v>7</v>
      </c>
    </row>
    <row r="1504" spans="1:10" x14ac:dyDescent="0.35">
      <c r="A1504">
        <v>5449000098580</v>
      </c>
      <c r="B1504" t="s">
        <v>1868</v>
      </c>
      <c r="C1504" t="s">
        <v>214</v>
      </c>
      <c r="D1504" t="s">
        <v>1862</v>
      </c>
      <c r="E1504" t="s">
        <v>15</v>
      </c>
      <c r="F1504" t="s">
        <v>14</v>
      </c>
      <c r="G1504" t="s">
        <v>73</v>
      </c>
      <c r="H1504" t="s">
        <v>4489</v>
      </c>
      <c r="J1504">
        <v>1</v>
      </c>
    </row>
    <row r="1505" spans="1:10" x14ac:dyDescent="0.35">
      <c r="A1505">
        <v>5449000098764</v>
      </c>
      <c r="B1505" t="s">
        <v>684</v>
      </c>
      <c r="C1505" t="s">
        <v>81</v>
      </c>
      <c r="D1505" t="s">
        <v>711</v>
      </c>
      <c r="E1505" t="s">
        <v>15</v>
      </c>
      <c r="F1505" t="s">
        <v>14</v>
      </c>
      <c r="G1505" t="s">
        <v>16</v>
      </c>
      <c r="H1505" t="s">
        <v>4489</v>
      </c>
      <c r="J1505">
        <v>1</v>
      </c>
    </row>
    <row r="1506" spans="1:10" x14ac:dyDescent="0.35">
      <c r="A1506">
        <v>5449000098764</v>
      </c>
      <c r="B1506" t="s">
        <v>684</v>
      </c>
      <c r="C1506" t="s">
        <v>81</v>
      </c>
      <c r="D1506" t="s">
        <v>711</v>
      </c>
      <c r="E1506" t="s">
        <v>15</v>
      </c>
      <c r="F1506" t="s">
        <v>14</v>
      </c>
      <c r="G1506" t="s">
        <v>11</v>
      </c>
      <c r="H1506" t="s">
        <v>4489</v>
      </c>
      <c r="J1506">
        <v>43</v>
      </c>
    </row>
    <row r="1507" spans="1:10" x14ac:dyDescent="0.35">
      <c r="A1507">
        <v>5449000103079</v>
      </c>
      <c r="B1507" t="s">
        <v>1869</v>
      </c>
      <c r="C1507" t="s">
        <v>253</v>
      </c>
      <c r="D1507" t="s">
        <v>14</v>
      </c>
      <c r="E1507" t="s">
        <v>15</v>
      </c>
      <c r="F1507" t="s">
        <v>14</v>
      </c>
      <c r="G1507" t="s">
        <v>61</v>
      </c>
      <c r="H1507" t="s">
        <v>4489</v>
      </c>
      <c r="J1507">
        <v>78</v>
      </c>
    </row>
    <row r="1508" spans="1:10" x14ac:dyDescent="0.35">
      <c r="A1508">
        <v>5449000103079</v>
      </c>
      <c r="B1508" t="s">
        <v>1869</v>
      </c>
      <c r="C1508" t="s">
        <v>253</v>
      </c>
      <c r="D1508" t="s">
        <v>14</v>
      </c>
      <c r="E1508" t="s">
        <v>15</v>
      </c>
      <c r="F1508" t="s">
        <v>14</v>
      </c>
      <c r="G1508" t="s">
        <v>31</v>
      </c>
      <c r="H1508" t="s">
        <v>4489</v>
      </c>
      <c r="J1508">
        <v>9</v>
      </c>
    </row>
    <row r="1509" spans="1:10" x14ac:dyDescent="0.35">
      <c r="A1509">
        <v>5449000104885</v>
      </c>
      <c r="B1509" t="s">
        <v>1870</v>
      </c>
      <c r="C1509" t="s">
        <v>78</v>
      </c>
      <c r="D1509" t="s">
        <v>705</v>
      </c>
      <c r="E1509" t="s">
        <v>15</v>
      </c>
      <c r="F1509" t="s">
        <v>14</v>
      </c>
      <c r="G1509" t="s">
        <v>22</v>
      </c>
      <c r="H1509" t="s">
        <v>4489</v>
      </c>
      <c r="J1509">
        <v>1</v>
      </c>
    </row>
    <row r="1510" spans="1:10" x14ac:dyDescent="0.35">
      <c r="A1510">
        <v>5449000105660</v>
      </c>
      <c r="B1510" t="s">
        <v>451</v>
      </c>
      <c r="C1510" t="s">
        <v>78</v>
      </c>
      <c r="D1510" t="s">
        <v>451</v>
      </c>
      <c r="E1510" t="s">
        <v>15</v>
      </c>
      <c r="F1510" t="s">
        <v>14</v>
      </c>
      <c r="G1510" t="s">
        <v>34</v>
      </c>
      <c r="H1510" t="s">
        <v>4489</v>
      </c>
      <c r="I1510">
        <v>49</v>
      </c>
      <c r="J1510">
        <v>1298</v>
      </c>
    </row>
    <row r="1511" spans="1:10" x14ac:dyDescent="0.35">
      <c r="A1511">
        <v>5449000107664</v>
      </c>
      <c r="B1511" t="s">
        <v>235</v>
      </c>
      <c r="C1511" t="s">
        <v>9</v>
      </c>
      <c r="D1511" t="s">
        <v>1871</v>
      </c>
      <c r="E1511" t="s">
        <v>15</v>
      </c>
      <c r="F1511" t="s">
        <v>14</v>
      </c>
      <c r="G1511" t="s">
        <v>34</v>
      </c>
      <c r="H1511" t="s">
        <v>4489</v>
      </c>
      <c r="J1511">
        <v>34</v>
      </c>
    </row>
    <row r="1512" spans="1:10" x14ac:dyDescent="0.35">
      <c r="A1512">
        <v>5449000107664</v>
      </c>
      <c r="B1512" t="s">
        <v>235</v>
      </c>
      <c r="C1512" t="s">
        <v>9</v>
      </c>
      <c r="D1512" t="s">
        <v>1871</v>
      </c>
      <c r="E1512" t="s">
        <v>15</v>
      </c>
      <c r="F1512" t="s">
        <v>14</v>
      </c>
      <c r="G1512" t="s">
        <v>73</v>
      </c>
      <c r="H1512" t="s">
        <v>4489</v>
      </c>
      <c r="J1512">
        <v>7</v>
      </c>
    </row>
    <row r="1513" spans="1:10" x14ac:dyDescent="0.35">
      <c r="A1513">
        <v>5449000107749</v>
      </c>
      <c r="B1513" t="s">
        <v>560</v>
      </c>
      <c r="C1513" t="s">
        <v>81</v>
      </c>
      <c r="D1513" t="s">
        <v>1871</v>
      </c>
      <c r="E1513" t="s">
        <v>15</v>
      </c>
      <c r="F1513" t="s">
        <v>14</v>
      </c>
      <c r="G1513" t="s">
        <v>73</v>
      </c>
      <c r="H1513" t="s">
        <v>4489</v>
      </c>
      <c r="J1513">
        <v>3</v>
      </c>
    </row>
    <row r="1514" spans="1:10" x14ac:dyDescent="0.35">
      <c r="A1514">
        <v>5449000107787</v>
      </c>
      <c r="B1514" t="s">
        <v>410</v>
      </c>
      <c r="C1514" t="s">
        <v>192</v>
      </c>
      <c r="D1514" t="s">
        <v>1871</v>
      </c>
      <c r="E1514" t="s">
        <v>15</v>
      </c>
      <c r="F1514" t="s">
        <v>14</v>
      </c>
      <c r="G1514" t="s">
        <v>34</v>
      </c>
      <c r="H1514" t="s">
        <v>4489</v>
      </c>
      <c r="J1514">
        <v>3</v>
      </c>
    </row>
    <row r="1515" spans="1:10" x14ac:dyDescent="0.35">
      <c r="A1515">
        <v>5449000107787</v>
      </c>
      <c r="B1515" t="s">
        <v>410</v>
      </c>
      <c r="C1515" t="s">
        <v>192</v>
      </c>
      <c r="D1515" t="s">
        <v>1871</v>
      </c>
      <c r="E1515" t="s">
        <v>15</v>
      </c>
      <c r="F1515" t="s">
        <v>14</v>
      </c>
      <c r="G1515" t="s">
        <v>73</v>
      </c>
      <c r="H1515" t="s">
        <v>4489</v>
      </c>
      <c r="J1515">
        <v>3</v>
      </c>
    </row>
    <row r="1516" spans="1:10" x14ac:dyDescent="0.35">
      <c r="A1516">
        <v>5449000109613</v>
      </c>
      <c r="B1516" t="s">
        <v>1872</v>
      </c>
      <c r="C1516" t="s">
        <v>9</v>
      </c>
      <c r="D1516" t="s">
        <v>705</v>
      </c>
      <c r="E1516" t="s">
        <v>15</v>
      </c>
      <c r="F1516" t="s">
        <v>14</v>
      </c>
      <c r="G1516" t="s">
        <v>22</v>
      </c>
      <c r="H1516" t="s">
        <v>4489</v>
      </c>
      <c r="J1516">
        <v>3</v>
      </c>
    </row>
    <row r="1517" spans="1:10" x14ac:dyDescent="0.35">
      <c r="A1517">
        <v>5449000109613</v>
      </c>
      <c r="B1517" t="s">
        <v>1872</v>
      </c>
      <c r="C1517" t="s">
        <v>9</v>
      </c>
      <c r="D1517" t="s">
        <v>705</v>
      </c>
      <c r="E1517" t="s">
        <v>15</v>
      </c>
      <c r="F1517" t="s">
        <v>14</v>
      </c>
      <c r="G1517" t="s">
        <v>34</v>
      </c>
      <c r="H1517" t="s">
        <v>4489</v>
      </c>
      <c r="J1517">
        <v>5</v>
      </c>
    </row>
    <row r="1518" spans="1:10" x14ac:dyDescent="0.35">
      <c r="A1518">
        <v>5449000109613</v>
      </c>
      <c r="B1518" t="s">
        <v>1872</v>
      </c>
      <c r="C1518" t="s">
        <v>9</v>
      </c>
      <c r="D1518" t="s">
        <v>705</v>
      </c>
      <c r="E1518" t="s">
        <v>15</v>
      </c>
      <c r="F1518" t="s">
        <v>14</v>
      </c>
      <c r="G1518" t="s">
        <v>73</v>
      </c>
      <c r="H1518" t="s">
        <v>4489</v>
      </c>
      <c r="J1518">
        <v>1</v>
      </c>
    </row>
    <row r="1519" spans="1:10" x14ac:dyDescent="0.35">
      <c r="A1519">
        <v>5449000113467</v>
      </c>
      <c r="B1519" t="s">
        <v>1694</v>
      </c>
      <c r="C1519" t="s">
        <v>814</v>
      </c>
      <c r="D1519" t="s">
        <v>246</v>
      </c>
      <c r="E1519" t="s">
        <v>15</v>
      </c>
      <c r="F1519" t="s">
        <v>14</v>
      </c>
      <c r="G1519" t="s">
        <v>11</v>
      </c>
      <c r="H1519" t="s">
        <v>4489</v>
      </c>
      <c r="J1519">
        <v>43</v>
      </c>
    </row>
    <row r="1520" spans="1:10" x14ac:dyDescent="0.35">
      <c r="A1520">
        <v>5449000117977</v>
      </c>
      <c r="B1520" t="s">
        <v>1873</v>
      </c>
      <c r="C1520" t="s">
        <v>78</v>
      </c>
      <c r="D1520" t="s">
        <v>451</v>
      </c>
      <c r="E1520" t="s">
        <v>15</v>
      </c>
      <c r="F1520" t="s">
        <v>14</v>
      </c>
      <c r="G1520" t="s">
        <v>34</v>
      </c>
      <c r="H1520" t="s">
        <v>4489</v>
      </c>
      <c r="I1520">
        <v>49</v>
      </c>
      <c r="J1520">
        <v>241</v>
      </c>
    </row>
    <row r="1521" spans="1:10" x14ac:dyDescent="0.35">
      <c r="A1521">
        <v>5449000117977</v>
      </c>
      <c r="B1521" t="s">
        <v>1873</v>
      </c>
      <c r="C1521" t="s">
        <v>78</v>
      </c>
      <c r="D1521" t="s">
        <v>451</v>
      </c>
      <c r="E1521" t="s">
        <v>15</v>
      </c>
      <c r="F1521" t="s">
        <v>14</v>
      </c>
      <c r="G1521" t="s">
        <v>73</v>
      </c>
      <c r="H1521" t="s">
        <v>4489</v>
      </c>
      <c r="I1521">
        <v>49</v>
      </c>
      <c r="J1521">
        <v>3</v>
      </c>
    </row>
    <row r="1522" spans="1:10" x14ac:dyDescent="0.35">
      <c r="A1522">
        <v>5449000118615</v>
      </c>
      <c r="B1522" t="s">
        <v>1874</v>
      </c>
      <c r="C1522" t="s">
        <v>1863</v>
      </c>
      <c r="D1522" t="s">
        <v>452</v>
      </c>
      <c r="E1522" t="s">
        <v>15</v>
      </c>
      <c r="F1522" t="s">
        <v>14</v>
      </c>
      <c r="G1522" t="s">
        <v>61</v>
      </c>
      <c r="H1522" t="s">
        <v>4489</v>
      </c>
      <c r="J1522">
        <v>153</v>
      </c>
    </row>
    <row r="1523" spans="1:10" x14ac:dyDescent="0.35">
      <c r="A1523">
        <v>5449000118745</v>
      </c>
      <c r="B1523" t="s">
        <v>262</v>
      </c>
      <c r="C1523" t="s">
        <v>9</v>
      </c>
      <c r="D1523" t="s">
        <v>452</v>
      </c>
      <c r="E1523" t="s">
        <v>15</v>
      </c>
      <c r="F1523" t="s">
        <v>14</v>
      </c>
      <c r="G1523" t="s">
        <v>61</v>
      </c>
      <c r="H1523" t="s">
        <v>4489</v>
      </c>
      <c r="J1523">
        <v>541</v>
      </c>
    </row>
    <row r="1524" spans="1:10" x14ac:dyDescent="0.35">
      <c r="A1524">
        <v>5449000120731</v>
      </c>
      <c r="B1524" t="s">
        <v>1875</v>
      </c>
      <c r="C1524" t="s">
        <v>192</v>
      </c>
      <c r="D1524" t="s">
        <v>1876</v>
      </c>
      <c r="E1524" t="s">
        <v>15</v>
      </c>
      <c r="F1524" t="s">
        <v>14</v>
      </c>
      <c r="G1524" t="s">
        <v>464</v>
      </c>
      <c r="H1524" t="s">
        <v>4489</v>
      </c>
      <c r="J1524">
        <v>6</v>
      </c>
    </row>
    <row r="1525" spans="1:10" x14ac:dyDescent="0.35">
      <c r="A1525">
        <v>5449000120731</v>
      </c>
      <c r="B1525" t="s">
        <v>1875</v>
      </c>
      <c r="C1525" t="s">
        <v>192</v>
      </c>
      <c r="D1525" t="s">
        <v>1876</v>
      </c>
      <c r="E1525" t="s">
        <v>15</v>
      </c>
      <c r="F1525" t="s">
        <v>14</v>
      </c>
      <c r="G1525" t="s">
        <v>22</v>
      </c>
      <c r="H1525" t="s">
        <v>4489</v>
      </c>
      <c r="J1525">
        <v>1</v>
      </c>
    </row>
    <row r="1526" spans="1:10" x14ac:dyDescent="0.35">
      <c r="A1526">
        <v>5449000120984</v>
      </c>
      <c r="B1526" t="s">
        <v>1844</v>
      </c>
      <c r="C1526" t="s">
        <v>78</v>
      </c>
      <c r="D1526" t="s">
        <v>246</v>
      </c>
      <c r="E1526" t="s">
        <v>15</v>
      </c>
      <c r="F1526" t="s">
        <v>14</v>
      </c>
      <c r="G1526" t="s">
        <v>33</v>
      </c>
      <c r="H1526" t="s">
        <v>4489</v>
      </c>
      <c r="J1526">
        <v>50</v>
      </c>
    </row>
    <row r="1527" spans="1:10" x14ac:dyDescent="0.35">
      <c r="A1527">
        <v>5449000120984</v>
      </c>
      <c r="B1527" t="s">
        <v>1844</v>
      </c>
      <c r="C1527" t="s">
        <v>78</v>
      </c>
      <c r="D1527" t="s">
        <v>246</v>
      </c>
      <c r="E1527" t="s">
        <v>15</v>
      </c>
      <c r="F1527" t="s">
        <v>14</v>
      </c>
      <c r="G1527" t="s">
        <v>34</v>
      </c>
      <c r="H1527" t="s">
        <v>4489</v>
      </c>
      <c r="J1527">
        <v>1665</v>
      </c>
    </row>
    <row r="1528" spans="1:10" x14ac:dyDescent="0.35">
      <c r="A1528">
        <v>5449000120984</v>
      </c>
      <c r="B1528" t="s">
        <v>1844</v>
      </c>
      <c r="C1528" t="s">
        <v>78</v>
      </c>
      <c r="D1528" t="s">
        <v>246</v>
      </c>
      <c r="E1528" t="s">
        <v>15</v>
      </c>
      <c r="F1528" t="s">
        <v>14</v>
      </c>
      <c r="G1528" t="s">
        <v>150</v>
      </c>
      <c r="H1528" t="s">
        <v>4489</v>
      </c>
      <c r="J1528">
        <v>22</v>
      </c>
    </row>
    <row r="1529" spans="1:10" x14ac:dyDescent="0.35">
      <c r="A1529">
        <v>5449000121059</v>
      </c>
      <c r="B1529" t="s">
        <v>1877</v>
      </c>
      <c r="C1529" t="s">
        <v>9</v>
      </c>
      <c r="D1529" t="s">
        <v>1876</v>
      </c>
      <c r="E1529" t="s">
        <v>15</v>
      </c>
      <c r="F1529" t="s">
        <v>14</v>
      </c>
      <c r="G1529" t="s">
        <v>464</v>
      </c>
      <c r="H1529" t="s">
        <v>4489</v>
      </c>
      <c r="J1529">
        <v>5</v>
      </c>
    </row>
    <row r="1530" spans="1:10" x14ac:dyDescent="0.35">
      <c r="A1530">
        <v>5449000123268</v>
      </c>
      <c r="B1530" t="s">
        <v>235</v>
      </c>
      <c r="C1530" t="s">
        <v>9</v>
      </c>
      <c r="D1530" t="s">
        <v>1871</v>
      </c>
      <c r="E1530" t="s">
        <v>15</v>
      </c>
      <c r="F1530" t="s">
        <v>14</v>
      </c>
      <c r="G1530" t="s">
        <v>34</v>
      </c>
      <c r="H1530" t="s">
        <v>4489</v>
      </c>
      <c r="J1530">
        <v>2</v>
      </c>
    </row>
    <row r="1531" spans="1:10" x14ac:dyDescent="0.35">
      <c r="A1531">
        <v>5449000123268</v>
      </c>
      <c r="B1531" t="s">
        <v>235</v>
      </c>
      <c r="C1531" t="s">
        <v>9</v>
      </c>
      <c r="D1531" t="s">
        <v>1871</v>
      </c>
      <c r="E1531" t="s">
        <v>15</v>
      </c>
      <c r="F1531" t="s">
        <v>14</v>
      </c>
      <c r="G1531" t="s">
        <v>73</v>
      </c>
      <c r="H1531" t="s">
        <v>4489</v>
      </c>
      <c r="J1531">
        <v>3</v>
      </c>
    </row>
    <row r="1532" spans="1:10" x14ac:dyDescent="0.35">
      <c r="A1532">
        <v>5449000124999</v>
      </c>
      <c r="B1532" t="s">
        <v>1878</v>
      </c>
      <c r="C1532" t="s">
        <v>9</v>
      </c>
      <c r="D1532" t="s">
        <v>1399</v>
      </c>
      <c r="E1532" t="s">
        <v>15</v>
      </c>
      <c r="F1532" t="s">
        <v>14</v>
      </c>
      <c r="G1532" t="s">
        <v>22</v>
      </c>
      <c r="H1532" t="s">
        <v>4489</v>
      </c>
      <c r="J1532">
        <v>11</v>
      </c>
    </row>
    <row r="1533" spans="1:10" x14ac:dyDescent="0.35">
      <c r="A1533">
        <v>5449000124999</v>
      </c>
      <c r="B1533" t="s">
        <v>1878</v>
      </c>
      <c r="C1533" t="s">
        <v>9</v>
      </c>
      <c r="D1533" t="s">
        <v>1399</v>
      </c>
      <c r="E1533" t="s">
        <v>15</v>
      </c>
      <c r="F1533" t="s">
        <v>14</v>
      </c>
      <c r="G1533" t="s">
        <v>34</v>
      </c>
      <c r="H1533" t="s">
        <v>4489</v>
      </c>
      <c r="J1533">
        <v>16</v>
      </c>
    </row>
    <row r="1534" spans="1:10" x14ac:dyDescent="0.35">
      <c r="A1534">
        <v>5449000125002</v>
      </c>
      <c r="B1534" t="s">
        <v>1878</v>
      </c>
      <c r="C1534" t="s">
        <v>192</v>
      </c>
      <c r="D1534" t="s">
        <v>1399</v>
      </c>
      <c r="E1534" t="s">
        <v>15</v>
      </c>
      <c r="F1534" t="s">
        <v>14</v>
      </c>
      <c r="G1534" t="s">
        <v>22</v>
      </c>
      <c r="H1534" t="s">
        <v>4489</v>
      </c>
      <c r="J1534">
        <v>1</v>
      </c>
    </row>
    <row r="1535" spans="1:10" x14ac:dyDescent="0.35">
      <c r="A1535">
        <v>5449000125019</v>
      </c>
      <c r="B1535" t="s">
        <v>1879</v>
      </c>
      <c r="C1535" t="s">
        <v>9</v>
      </c>
      <c r="D1535" t="s">
        <v>1399</v>
      </c>
      <c r="E1535" t="s">
        <v>15</v>
      </c>
      <c r="F1535" t="s">
        <v>14</v>
      </c>
      <c r="G1535" t="s">
        <v>22</v>
      </c>
      <c r="H1535" t="s">
        <v>4489</v>
      </c>
      <c r="J1535">
        <v>3</v>
      </c>
    </row>
    <row r="1536" spans="1:10" x14ac:dyDescent="0.35">
      <c r="A1536">
        <v>5449000125019</v>
      </c>
      <c r="B1536" t="s">
        <v>1879</v>
      </c>
      <c r="C1536" t="s">
        <v>9</v>
      </c>
      <c r="D1536" t="s">
        <v>1399</v>
      </c>
      <c r="E1536" t="s">
        <v>15</v>
      </c>
      <c r="F1536" t="s">
        <v>14</v>
      </c>
      <c r="G1536" t="s">
        <v>150</v>
      </c>
      <c r="H1536" t="s">
        <v>4489</v>
      </c>
      <c r="J1536">
        <v>3</v>
      </c>
    </row>
    <row r="1537" spans="1:10" x14ac:dyDescent="0.35">
      <c r="A1537">
        <v>5449000129383</v>
      </c>
      <c r="B1537" t="s">
        <v>1880</v>
      </c>
      <c r="C1537" t="s">
        <v>1081</v>
      </c>
      <c r="D1537" t="s">
        <v>14</v>
      </c>
      <c r="E1537" t="s">
        <v>15</v>
      </c>
      <c r="F1537" t="s">
        <v>14</v>
      </c>
      <c r="G1537" t="s">
        <v>598</v>
      </c>
      <c r="H1537" t="s">
        <v>4489</v>
      </c>
      <c r="J1537">
        <v>22</v>
      </c>
    </row>
    <row r="1538" spans="1:10" x14ac:dyDescent="0.35">
      <c r="A1538">
        <v>5449000129420</v>
      </c>
      <c r="B1538" t="s">
        <v>1881</v>
      </c>
      <c r="C1538" t="s">
        <v>326</v>
      </c>
      <c r="D1538" t="s">
        <v>1082</v>
      </c>
      <c r="E1538" t="s">
        <v>15</v>
      </c>
      <c r="F1538" t="s">
        <v>14</v>
      </c>
      <c r="G1538" t="s">
        <v>598</v>
      </c>
      <c r="H1538" t="s">
        <v>4489</v>
      </c>
      <c r="J1538">
        <v>19</v>
      </c>
    </row>
    <row r="1539" spans="1:10" x14ac:dyDescent="0.35">
      <c r="A1539">
        <v>5449000130792</v>
      </c>
      <c r="B1539" t="s">
        <v>1882</v>
      </c>
      <c r="C1539" t="s">
        <v>9</v>
      </c>
      <c r="D1539" t="s">
        <v>711</v>
      </c>
      <c r="E1539" t="s">
        <v>15</v>
      </c>
      <c r="F1539" t="s">
        <v>14</v>
      </c>
      <c r="G1539" t="s">
        <v>61</v>
      </c>
      <c r="H1539" t="s">
        <v>4489</v>
      </c>
      <c r="J1539">
        <v>3</v>
      </c>
    </row>
    <row r="1540" spans="1:10" x14ac:dyDescent="0.35">
      <c r="A1540">
        <v>5449000131805</v>
      </c>
      <c r="B1540" t="s">
        <v>13</v>
      </c>
      <c r="C1540" t="s">
        <v>603</v>
      </c>
      <c r="D1540" t="s">
        <v>14</v>
      </c>
      <c r="E1540" t="s">
        <v>15</v>
      </c>
      <c r="F1540" t="s">
        <v>14</v>
      </c>
      <c r="G1540" t="s">
        <v>34</v>
      </c>
      <c r="H1540" t="s">
        <v>4489</v>
      </c>
      <c r="J1540">
        <v>1</v>
      </c>
    </row>
    <row r="1541" spans="1:10" x14ac:dyDescent="0.35">
      <c r="A1541">
        <v>5449000131836</v>
      </c>
      <c r="B1541" t="s">
        <v>250</v>
      </c>
      <c r="C1541" t="s">
        <v>9</v>
      </c>
      <c r="D1541" t="s">
        <v>14</v>
      </c>
      <c r="E1541" t="s">
        <v>15</v>
      </c>
      <c r="F1541" t="s">
        <v>14</v>
      </c>
      <c r="G1541" t="s">
        <v>117</v>
      </c>
      <c r="H1541" t="s">
        <v>4489</v>
      </c>
      <c r="J1541">
        <v>2</v>
      </c>
    </row>
    <row r="1542" spans="1:10" x14ac:dyDescent="0.35">
      <c r="A1542">
        <v>5449000131836</v>
      </c>
      <c r="B1542" t="s">
        <v>250</v>
      </c>
      <c r="C1542" t="s">
        <v>9</v>
      </c>
      <c r="D1542" t="s">
        <v>14</v>
      </c>
      <c r="E1542" t="s">
        <v>15</v>
      </c>
      <c r="F1542" t="s">
        <v>14</v>
      </c>
      <c r="G1542" t="s">
        <v>464</v>
      </c>
      <c r="H1542" t="s">
        <v>4489</v>
      </c>
      <c r="J1542">
        <v>3</v>
      </c>
    </row>
    <row r="1543" spans="1:10" x14ac:dyDescent="0.35">
      <c r="A1543">
        <v>5449000131836</v>
      </c>
      <c r="B1543" t="s">
        <v>250</v>
      </c>
      <c r="C1543" t="s">
        <v>9</v>
      </c>
      <c r="D1543" t="s">
        <v>14</v>
      </c>
      <c r="E1543" t="s">
        <v>15</v>
      </c>
      <c r="F1543" t="s">
        <v>14</v>
      </c>
      <c r="G1543" t="s">
        <v>22</v>
      </c>
      <c r="H1543" t="s">
        <v>4489</v>
      </c>
      <c r="J1543">
        <v>4</v>
      </c>
    </row>
    <row r="1544" spans="1:10" x14ac:dyDescent="0.35">
      <c r="A1544">
        <v>5449000131836</v>
      </c>
      <c r="B1544" t="s">
        <v>250</v>
      </c>
      <c r="C1544" t="s">
        <v>9</v>
      </c>
      <c r="D1544" t="s">
        <v>14</v>
      </c>
      <c r="E1544" t="s">
        <v>15</v>
      </c>
      <c r="F1544" t="s">
        <v>14</v>
      </c>
      <c r="G1544" t="s">
        <v>11</v>
      </c>
      <c r="H1544" t="s">
        <v>4489</v>
      </c>
      <c r="J1544">
        <v>21</v>
      </c>
    </row>
    <row r="1545" spans="1:10" x14ac:dyDescent="0.35">
      <c r="A1545">
        <v>5449000131836</v>
      </c>
      <c r="B1545" t="s">
        <v>250</v>
      </c>
      <c r="C1545" t="s">
        <v>9</v>
      </c>
      <c r="D1545" t="s">
        <v>14</v>
      </c>
      <c r="E1545" t="s">
        <v>15</v>
      </c>
      <c r="F1545" t="s">
        <v>14</v>
      </c>
      <c r="G1545" t="s">
        <v>34</v>
      </c>
      <c r="H1545" t="s">
        <v>4489</v>
      </c>
      <c r="J1545">
        <v>3</v>
      </c>
    </row>
    <row r="1546" spans="1:10" x14ac:dyDescent="0.35">
      <c r="A1546">
        <v>5449000131836</v>
      </c>
      <c r="B1546" t="s">
        <v>250</v>
      </c>
      <c r="C1546" t="s">
        <v>9</v>
      </c>
      <c r="D1546" t="s">
        <v>14</v>
      </c>
      <c r="E1546" t="s">
        <v>15</v>
      </c>
      <c r="F1546" t="s">
        <v>14</v>
      </c>
      <c r="G1546" t="s">
        <v>150</v>
      </c>
      <c r="H1546" t="s">
        <v>4489</v>
      </c>
      <c r="J1546">
        <v>58</v>
      </c>
    </row>
    <row r="1547" spans="1:10" x14ac:dyDescent="0.35">
      <c r="A1547">
        <v>5449000131836</v>
      </c>
      <c r="B1547" t="s">
        <v>250</v>
      </c>
      <c r="C1547" t="s">
        <v>9</v>
      </c>
      <c r="D1547" t="s">
        <v>14</v>
      </c>
      <c r="E1547" t="s">
        <v>15</v>
      </c>
      <c r="F1547" t="s">
        <v>14</v>
      </c>
      <c r="G1547" t="s">
        <v>61</v>
      </c>
      <c r="H1547" t="s">
        <v>4489</v>
      </c>
      <c r="J1547">
        <v>8</v>
      </c>
    </row>
    <row r="1548" spans="1:10" x14ac:dyDescent="0.35">
      <c r="A1548">
        <v>5449000131836</v>
      </c>
      <c r="B1548" t="s">
        <v>250</v>
      </c>
      <c r="C1548" t="s">
        <v>9</v>
      </c>
      <c r="D1548" t="s">
        <v>14</v>
      </c>
      <c r="E1548" t="s">
        <v>15</v>
      </c>
      <c r="F1548" t="s">
        <v>14</v>
      </c>
      <c r="G1548" t="s">
        <v>578</v>
      </c>
      <c r="H1548" t="s">
        <v>4489</v>
      </c>
      <c r="J1548">
        <v>2</v>
      </c>
    </row>
    <row r="1549" spans="1:10" x14ac:dyDescent="0.35">
      <c r="A1549">
        <v>5449000131843</v>
      </c>
      <c r="B1549" t="s">
        <v>709</v>
      </c>
      <c r="C1549" t="s">
        <v>78</v>
      </c>
      <c r="D1549" t="s">
        <v>14</v>
      </c>
      <c r="E1549" t="s">
        <v>15</v>
      </c>
      <c r="F1549" t="s">
        <v>14</v>
      </c>
      <c r="G1549" t="s">
        <v>464</v>
      </c>
      <c r="H1549" t="s">
        <v>4489</v>
      </c>
      <c r="J1549">
        <v>1</v>
      </c>
    </row>
    <row r="1550" spans="1:10" x14ac:dyDescent="0.35">
      <c r="A1550">
        <v>5449000131843</v>
      </c>
      <c r="B1550" t="s">
        <v>709</v>
      </c>
      <c r="C1550" t="s">
        <v>78</v>
      </c>
      <c r="D1550" t="s">
        <v>14</v>
      </c>
      <c r="E1550" t="s">
        <v>15</v>
      </c>
      <c r="F1550" t="s">
        <v>14</v>
      </c>
      <c r="G1550" t="s">
        <v>11</v>
      </c>
      <c r="H1550" t="s">
        <v>4489</v>
      </c>
      <c r="J1550">
        <v>75</v>
      </c>
    </row>
    <row r="1551" spans="1:10" x14ac:dyDescent="0.35">
      <c r="A1551">
        <v>5449000131843</v>
      </c>
      <c r="B1551" t="s">
        <v>709</v>
      </c>
      <c r="C1551" t="s">
        <v>78</v>
      </c>
      <c r="D1551" t="s">
        <v>14</v>
      </c>
      <c r="E1551" t="s">
        <v>15</v>
      </c>
      <c r="F1551" t="s">
        <v>14</v>
      </c>
      <c r="G1551" t="s">
        <v>34</v>
      </c>
      <c r="H1551" t="s">
        <v>4489</v>
      </c>
      <c r="J1551">
        <v>3</v>
      </c>
    </row>
    <row r="1552" spans="1:10" x14ac:dyDescent="0.35">
      <c r="A1552">
        <v>5449000133328</v>
      </c>
      <c r="B1552" t="s">
        <v>709</v>
      </c>
      <c r="C1552" t="s">
        <v>81</v>
      </c>
      <c r="D1552" t="s">
        <v>14</v>
      </c>
      <c r="E1552" t="s">
        <v>15</v>
      </c>
      <c r="F1552" t="s">
        <v>14</v>
      </c>
      <c r="G1552" t="s">
        <v>22</v>
      </c>
      <c r="H1552" t="s">
        <v>4489</v>
      </c>
      <c r="J1552">
        <v>2</v>
      </c>
    </row>
    <row r="1553" spans="1:10" x14ac:dyDescent="0.35">
      <c r="A1553">
        <v>5449000133328</v>
      </c>
      <c r="B1553" t="s">
        <v>709</v>
      </c>
      <c r="C1553" t="s">
        <v>81</v>
      </c>
      <c r="D1553" t="s">
        <v>14</v>
      </c>
      <c r="E1553" t="s">
        <v>15</v>
      </c>
      <c r="F1553" t="s">
        <v>14</v>
      </c>
      <c r="G1553" t="s">
        <v>34</v>
      </c>
      <c r="H1553" t="s">
        <v>4489</v>
      </c>
      <c r="J1553">
        <v>89</v>
      </c>
    </row>
    <row r="1554" spans="1:10" x14ac:dyDescent="0.35">
      <c r="A1554">
        <v>5449000133328</v>
      </c>
      <c r="B1554" t="s">
        <v>709</v>
      </c>
      <c r="C1554" t="s">
        <v>81</v>
      </c>
      <c r="D1554" t="s">
        <v>14</v>
      </c>
      <c r="E1554" t="s">
        <v>15</v>
      </c>
      <c r="F1554" t="s">
        <v>14</v>
      </c>
      <c r="G1554" t="s">
        <v>73</v>
      </c>
      <c r="H1554" t="s">
        <v>4489</v>
      </c>
      <c r="J1554">
        <v>5</v>
      </c>
    </row>
    <row r="1555" spans="1:10" x14ac:dyDescent="0.35">
      <c r="A1555">
        <v>5449000133335</v>
      </c>
      <c r="B1555" t="s">
        <v>710</v>
      </c>
      <c r="C1555" t="s">
        <v>192</v>
      </c>
      <c r="D1555" t="s">
        <v>14</v>
      </c>
      <c r="E1555" t="s">
        <v>15</v>
      </c>
      <c r="F1555" t="s">
        <v>14</v>
      </c>
      <c r="G1555" t="s">
        <v>73</v>
      </c>
      <c r="H1555" t="s">
        <v>4489</v>
      </c>
      <c r="J1555">
        <v>2</v>
      </c>
    </row>
    <row r="1556" spans="1:10" x14ac:dyDescent="0.35">
      <c r="A1556">
        <v>5449000133373</v>
      </c>
      <c r="B1556" t="s">
        <v>1324</v>
      </c>
      <c r="C1556" t="s">
        <v>81</v>
      </c>
      <c r="D1556" t="s">
        <v>52</v>
      </c>
      <c r="E1556" t="s">
        <v>15</v>
      </c>
      <c r="F1556" t="s">
        <v>14</v>
      </c>
      <c r="G1556" t="s">
        <v>22</v>
      </c>
      <c r="H1556" t="s">
        <v>4489</v>
      </c>
      <c r="J1556">
        <v>1</v>
      </c>
    </row>
    <row r="1557" spans="1:10" x14ac:dyDescent="0.35">
      <c r="A1557">
        <v>5449000133410</v>
      </c>
      <c r="B1557" t="s">
        <v>1883</v>
      </c>
      <c r="C1557" t="s">
        <v>801</v>
      </c>
      <c r="D1557" t="s">
        <v>52</v>
      </c>
      <c r="E1557" t="s">
        <v>15</v>
      </c>
      <c r="F1557" t="s">
        <v>14</v>
      </c>
      <c r="G1557" t="s">
        <v>22</v>
      </c>
      <c r="H1557" t="s">
        <v>4489</v>
      </c>
      <c r="J1557">
        <v>1</v>
      </c>
    </row>
    <row r="1558" spans="1:10" x14ac:dyDescent="0.35">
      <c r="A1558">
        <v>5449000133724</v>
      </c>
      <c r="B1558" t="s">
        <v>709</v>
      </c>
      <c r="C1558" t="s">
        <v>814</v>
      </c>
      <c r="D1558" t="s">
        <v>14</v>
      </c>
      <c r="E1558" t="s">
        <v>15</v>
      </c>
      <c r="F1558" t="s">
        <v>14</v>
      </c>
      <c r="G1558" t="s">
        <v>22</v>
      </c>
      <c r="H1558" t="s">
        <v>4489</v>
      </c>
      <c r="J1558">
        <v>2</v>
      </c>
    </row>
    <row r="1559" spans="1:10" x14ac:dyDescent="0.35">
      <c r="A1559">
        <v>5449000139030</v>
      </c>
      <c r="B1559" t="s">
        <v>1884</v>
      </c>
      <c r="C1559" t="s">
        <v>253</v>
      </c>
      <c r="D1559" t="s">
        <v>1816</v>
      </c>
      <c r="E1559" t="s">
        <v>15</v>
      </c>
      <c r="F1559" t="s">
        <v>14</v>
      </c>
      <c r="G1559" t="s">
        <v>11</v>
      </c>
      <c r="H1559" t="s">
        <v>4489</v>
      </c>
      <c r="J1559">
        <v>54</v>
      </c>
    </row>
    <row r="1560" spans="1:10" x14ac:dyDescent="0.35">
      <c r="A1560">
        <v>5449000139030</v>
      </c>
      <c r="B1560" t="s">
        <v>1884</v>
      </c>
      <c r="C1560" t="s">
        <v>253</v>
      </c>
      <c r="D1560" t="s">
        <v>1816</v>
      </c>
      <c r="E1560" t="s">
        <v>15</v>
      </c>
      <c r="F1560" t="s">
        <v>14</v>
      </c>
      <c r="G1560" t="s">
        <v>31</v>
      </c>
      <c r="H1560" t="s">
        <v>4489</v>
      </c>
      <c r="J1560">
        <v>31</v>
      </c>
    </row>
    <row r="1561" spans="1:10" x14ac:dyDescent="0.35">
      <c r="A1561">
        <v>5449000139474</v>
      </c>
      <c r="B1561" t="s">
        <v>1885</v>
      </c>
      <c r="C1561" t="s">
        <v>81</v>
      </c>
      <c r="D1561" t="s">
        <v>451</v>
      </c>
      <c r="E1561" t="s">
        <v>15</v>
      </c>
      <c r="F1561" t="s">
        <v>14</v>
      </c>
      <c r="G1561" t="s">
        <v>34</v>
      </c>
      <c r="H1561" t="s">
        <v>4489</v>
      </c>
      <c r="J1561">
        <v>469</v>
      </c>
    </row>
    <row r="1562" spans="1:10" x14ac:dyDescent="0.35">
      <c r="A1562">
        <v>5449000139528</v>
      </c>
      <c r="B1562" t="s">
        <v>1886</v>
      </c>
      <c r="C1562" t="s">
        <v>81</v>
      </c>
      <c r="D1562" t="s">
        <v>246</v>
      </c>
      <c r="E1562" t="s">
        <v>15</v>
      </c>
      <c r="F1562" t="s">
        <v>14</v>
      </c>
      <c r="G1562" t="s">
        <v>34</v>
      </c>
      <c r="H1562" t="s">
        <v>4489</v>
      </c>
      <c r="J1562">
        <v>71</v>
      </c>
    </row>
    <row r="1563" spans="1:10" x14ac:dyDescent="0.35">
      <c r="A1563">
        <v>5449000165978</v>
      </c>
      <c r="B1563" t="s">
        <v>262</v>
      </c>
      <c r="C1563" t="s">
        <v>81</v>
      </c>
      <c r="D1563" t="s">
        <v>452</v>
      </c>
      <c r="E1563" t="s">
        <v>15</v>
      </c>
      <c r="F1563" t="s">
        <v>14</v>
      </c>
      <c r="G1563" t="s">
        <v>61</v>
      </c>
      <c r="H1563" t="s">
        <v>4489</v>
      </c>
      <c r="J1563">
        <v>130</v>
      </c>
    </row>
    <row r="1564" spans="1:10" x14ac:dyDescent="0.35">
      <c r="A1564">
        <v>5449000169358</v>
      </c>
      <c r="B1564" t="s">
        <v>1887</v>
      </c>
      <c r="C1564" t="s">
        <v>192</v>
      </c>
      <c r="D1564" t="s">
        <v>14</v>
      </c>
      <c r="E1564" t="s">
        <v>15</v>
      </c>
      <c r="F1564" t="s">
        <v>14</v>
      </c>
      <c r="G1564" t="s">
        <v>73</v>
      </c>
      <c r="H1564" t="s">
        <v>4489</v>
      </c>
      <c r="J1564">
        <v>1</v>
      </c>
    </row>
    <row r="1565" spans="1:10" x14ac:dyDescent="0.35">
      <c r="A1565">
        <v>5449000172167</v>
      </c>
      <c r="B1565" t="s">
        <v>1888</v>
      </c>
      <c r="C1565" t="s">
        <v>1863</v>
      </c>
      <c r="D1565" t="s">
        <v>705</v>
      </c>
      <c r="E1565" t="s">
        <v>15</v>
      </c>
      <c r="F1565" t="s">
        <v>14</v>
      </c>
      <c r="G1565" t="s">
        <v>73</v>
      </c>
      <c r="H1565" t="s">
        <v>4489</v>
      </c>
      <c r="J1565">
        <v>1</v>
      </c>
    </row>
    <row r="1566" spans="1:10" x14ac:dyDescent="0.35">
      <c r="A1566">
        <v>5449000174291</v>
      </c>
      <c r="B1566" t="s">
        <v>1889</v>
      </c>
      <c r="C1566" t="s">
        <v>81</v>
      </c>
      <c r="D1566" t="s">
        <v>52</v>
      </c>
      <c r="E1566" t="s">
        <v>15</v>
      </c>
      <c r="F1566" t="s">
        <v>14</v>
      </c>
      <c r="G1566" t="s">
        <v>387</v>
      </c>
      <c r="H1566" t="s">
        <v>4489</v>
      </c>
      <c r="J1566">
        <v>1</v>
      </c>
    </row>
    <row r="1567" spans="1:10" x14ac:dyDescent="0.35">
      <c r="A1567">
        <v>5449000180056</v>
      </c>
      <c r="B1567" t="s">
        <v>451</v>
      </c>
      <c r="C1567" t="s">
        <v>78</v>
      </c>
      <c r="D1567" t="s">
        <v>451</v>
      </c>
      <c r="E1567" t="s">
        <v>15</v>
      </c>
      <c r="F1567" t="s">
        <v>14</v>
      </c>
      <c r="G1567" t="s">
        <v>34</v>
      </c>
      <c r="H1567" t="s">
        <v>4489</v>
      </c>
      <c r="I1567">
        <v>49</v>
      </c>
      <c r="J1567">
        <v>250</v>
      </c>
    </row>
    <row r="1568" spans="1:10" x14ac:dyDescent="0.35">
      <c r="A1568">
        <v>5449000180247</v>
      </c>
      <c r="B1568" t="s">
        <v>1571</v>
      </c>
      <c r="C1568" t="s">
        <v>81</v>
      </c>
      <c r="D1568" t="s">
        <v>539</v>
      </c>
      <c r="E1568" t="s">
        <v>15</v>
      </c>
      <c r="F1568" t="s">
        <v>14</v>
      </c>
      <c r="G1568" t="s">
        <v>11</v>
      </c>
      <c r="H1568" t="s">
        <v>4489</v>
      </c>
      <c r="J1568">
        <v>58</v>
      </c>
    </row>
    <row r="1569" spans="1:10" x14ac:dyDescent="0.35">
      <c r="A1569">
        <v>5449000180247</v>
      </c>
      <c r="B1569" t="s">
        <v>1571</v>
      </c>
      <c r="C1569" t="s">
        <v>81</v>
      </c>
      <c r="D1569" t="s">
        <v>539</v>
      </c>
      <c r="E1569" t="s">
        <v>15</v>
      </c>
      <c r="F1569" t="s">
        <v>14</v>
      </c>
      <c r="G1569" t="s">
        <v>150</v>
      </c>
      <c r="H1569" t="s">
        <v>4489</v>
      </c>
      <c r="J1569">
        <v>1</v>
      </c>
    </row>
    <row r="1570" spans="1:10" x14ac:dyDescent="0.35">
      <c r="A1570">
        <v>5449000180247</v>
      </c>
      <c r="B1570" t="s">
        <v>1571</v>
      </c>
      <c r="C1570" t="s">
        <v>81</v>
      </c>
      <c r="D1570" t="s">
        <v>539</v>
      </c>
      <c r="E1570" t="s">
        <v>15</v>
      </c>
      <c r="F1570" t="s">
        <v>14</v>
      </c>
      <c r="G1570" t="s">
        <v>31</v>
      </c>
      <c r="H1570" t="s">
        <v>4489</v>
      </c>
      <c r="J1570">
        <v>64</v>
      </c>
    </row>
    <row r="1571" spans="1:10" x14ac:dyDescent="0.35">
      <c r="A1571">
        <v>5449000180292</v>
      </c>
      <c r="B1571" t="s">
        <v>1890</v>
      </c>
      <c r="C1571" t="s">
        <v>81</v>
      </c>
      <c r="D1571" t="s">
        <v>539</v>
      </c>
      <c r="E1571" t="s">
        <v>15</v>
      </c>
      <c r="F1571" t="s">
        <v>14</v>
      </c>
      <c r="G1571" t="s">
        <v>11</v>
      </c>
      <c r="H1571" t="s">
        <v>4489</v>
      </c>
      <c r="J1571">
        <v>6</v>
      </c>
    </row>
    <row r="1572" spans="1:10" x14ac:dyDescent="0.35">
      <c r="A1572">
        <v>5449000180292</v>
      </c>
      <c r="B1572" t="s">
        <v>1890</v>
      </c>
      <c r="C1572" t="s">
        <v>81</v>
      </c>
      <c r="D1572" t="s">
        <v>539</v>
      </c>
      <c r="E1572" t="s">
        <v>15</v>
      </c>
      <c r="F1572" t="s">
        <v>14</v>
      </c>
      <c r="G1572" t="s">
        <v>34</v>
      </c>
      <c r="H1572" t="s">
        <v>4489</v>
      </c>
      <c r="J1572">
        <v>1</v>
      </c>
    </row>
    <row r="1573" spans="1:10" x14ac:dyDescent="0.35">
      <c r="A1573">
        <v>5449000187215</v>
      </c>
      <c r="B1573" t="s">
        <v>1891</v>
      </c>
      <c r="C1573" t="s">
        <v>192</v>
      </c>
      <c r="D1573" t="s">
        <v>332</v>
      </c>
      <c r="E1573" t="s">
        <v>71</v>
      </c>
      <c r="F1573" t="s">
        <v>72</v>
      </c>
      <c r="G1573" t="s">
        <v>464</v>
      </c>
      <c r="H1573" t="s">
        <v>4501</v>
      </c>
      <c r="J1573">
        <v>1</v>
      </c>
    </row>
    <row r="1574" spans="1:10" x14ac:dyDescent="0.35">
      <c r="A1574">
        <v>5449000188342</v>
      </c>
      <c r="B1574" t="s">
        <v>1890</v>
      </c>
      <c r="C1574" t="s">
        <v>83</v>
      </c>
      <c r="D1574" t="s">
        <v>539</v>
      </c>
      <c r="E1574" t="s">
        <v>15</v>
      </c>
      <c r="F1574" t="s">
        <v>14</v>
      </c>
      <c r="G1574" t="s">
        <v>11</v>
      </c>
      <c r="H1574" t="s">
        <v>4489</v>
      </c>
      <c r="I1574">
        <v>17.5</v>
      </c>
      <c r="J1574">
        <v>28</v>
      </c>
    </row>
    <row r="1575" spans="1:10" x14ac:dyDescent="0.35">
      <c r="A1575">
        <v>5449000188342</v>
      </c>
      <c r="B1575" t="s">
        <v>1890</v>
      </c>
      <c r="C1575" t="s">
        <v>83</v>
      </c>
      <c r="D1575" t="s">
        <v>539</v>
      </c>
      <c r="E1575" t="s">
        <v>15</v>
      </c>
      <c r="F1575" t="s">
        <v>14</v>
      </c>
      <c r="G1575" t="s">
        <v>31</v>
      </c>
      <c r="H1575" t="s">
        <v>4489</v>
      </c>
      <c r="I1575">
        <v>17.5</v>
      </c>
      <c r="J1575">
        <v>7</v>
      </c>
    </row>
    <row r="1576" spans="1:10" x14ac:dyDescent="0.35">
      <c r="A1576">
        <v>5449000193865</v>
      </c>
      <c r="B1576" t="s">
        <v>1892</v>
      </c>
      <c r="C1576" t="s">
        <v>9</v>
      </c>
      <c r="D1576" t="s">
        <v>1893</v>
      </c>
      <c r="E1576" t="s">
        <v>15</v>
      </c>
      <c r="F1576" t="s">
        <v>14</v>
      </c>
      <c r="G1576" t="s">
        <v>11</v>
      </c>
      <c r="H1576" t="s">
        <v>4489</v>
      </c>
      <c r="J1576">
        <v>5</v>
      </c>
    </row>
    <row r="1577" spans="1:10" x14ac:dyDescent="0.35">
      <c r="A1577">
        <v>5449000193865</v>
      </c>
      <c r="B1577" t="s">
        <v>1892</v>
      </c>
      <c r="C1577" t="s">
        <v>9</v>
      </c>
      <c r="D1577" t="s">
        <v>1893</v>
      </c>
      <c r="E1577" t="s">
        <v>15</v>
      </c>
      <c r="F1577" t="s">
        <v>14</v>
      </c>
      <c r="G1577" t="s">
        <v>150</v>
      </c>
      <c r="H1577" t="s">
        <v>4489</v>
      </c>
      <c r="J1577">
        <v>28</v>
      </c>
    </row>
    <row r="1578" spans="1:10" x14ac:dyDescent="0.35">
      <c r="A1578">
        <v>5449000193865</v>
      </c>
      <c r="B1578" t="s">
        <v>1892</v>
      </c>
      <c r="C1578" t="s">
        <v>9</v>
      </c>
      <c r="D1578" t="s">
        <v>1893</v>
      </c>
      <c r="E1578" t="s">
        <v>15</v>
      </c>
      <c r="F1578" t="s">
        <v>14</v>
      </c>
      <c r="G1578" t="s">
        <v>31</v>
      </c>
      <c r="H1578" t="s">
        <v>4489</v>
      </c>
      <c r="J1578">
        <v>180</v>
      </c>
    </row>
    <row r="1579" spans="1:10" x14ac:dyDescent="0.35">
      <c r="A1579">
        <v>5449000195456</v>
      </c>
      <c r="B1579" t="s">
        <v>1894</v>
      </c>
      <c r="C1579" t="s">
        <v>81</v>
      </c>
      <c r="D1579" t="s">
        <v>539</v>
      </c>
      <c r="E1579" t="s">
        <v>15</v>
      </c>
      <c r="F1579" t="s">
        <v>14</v>
      </c>
      <c r="G1579" t="s">
        <v>11</v>
      </c>
      <c r="H1579" t="s">
        <v>4489</v>
      </c>
      <c r="J1579">
        <v>27</v>
      </c>
    </row>
    <row r="1580" spans="1:10" x14ac:dyDescent="0.35">
      <c r="A1580">
        <v>5449000195777</v>
      </c>
      <c r="B1580" t="s">
        <v>1895</v>
      </c>
      <c r="C1580" t="s">
        <v>253</v>
      </c>
      <c r="D1580" t="s">
        <v>1348</v>
      </c>
      <c r="E1580" t="s">
        <v>15</v>
      </c>
      <c r="F1580" t="s">
        <v>14</v>
      </c>
      <c r="G1580" t="s">
        <v>117</v>
      </c>
      <c r="H1580" t="s">
        <v>4489</v>
      </c>
      <c r="J1580">
        <v>50</v>
      </c>
    </row>
    <row r="1581" spans="1:10" x14ac:dyDescent="0.35">
      <c r="A1581">
        <v>5449000195777</v>
      </c>
      <c r="B1581" t="s">
        <v>1895</v>
      </c>
      <c r="C1581" t="s">
        <v>253</v>
      </c>
      <c r="D1581" t="s">
        <v>1348</v>
      </c>
      <c r="E1581" t="s">
        <v>15</v>
      </c>
      <c r="F1581" t="s">
        <v>14</v>
      </c>
      <c r="G1581" t="s">
        <v>11</v>
      </c>
      <c r="H1581" t="s">
        <v>4489</v>
      </c>
      <c r="J1581">
        <v>11</v>
      </c>
    </row>
    <row r="1582" spans="1:10" x14ac:dyDescent="0.35">
      <c r="A1582">
        <v>5449000195777</v>
      </c>
      <c r="B1582" t="s">
        <v>1895</v>
      </c>
      <c r="C1582" t="s">
        <v>253</v>
      </c>
      <c r="D1582" t="s">
        <v>1348</v>
      </c>
      <c r="E1582" t="s">
        <v>15</v>
      </c>
      <c r="F1582" t="s">
        <v>14</v>
      </c>
      <c r="G1582" t="s">
        <v>150</v>
      </c>
      <c r="H1582" t="s">
        <v>4489</v>
      </c>
      <c r="J1582">
        <v>50</v>
      </c>
    </row>
    <row r="1583" spans="1:10" x14ac:dyDescent="0.35">
      <c r="A1583">
        <v>5449000195777</v>
      </c>
      <c r="B1583" t="s">
        <v>1895</v>
      </c>
      <c r="C1583" t="s">
        <v>253</v>
      </c>
      <c r="D1583" t="s">
        <v>1348</v>
      </c>
      <c r="E1583" t="s">
        <v>15</v>
      </c>
      <c r="F1583" t="s">
        <v>14</v>
      </c>
      <c r="G1583" t="s">
        <v>61</v>
      </c>
      <c r="H1583" t="s">
        <v>4489</v>
      </c>
      <c r="J1583">
        <v>1</v>
      </c>
    </row>
    <row r="1584" spans="1:10" x14ac:dyDescent="0.35">
      <c r="A1584">
        <v>5449000195777</v>
      </c>
      <c r="B1584" t="s">
        <v>1895</v>
      </c>
      <c r="C1584" t="s">
        <v>253</v>
      </c>
      <c r="D1584" t="s">
        <v>1348</v>
      </c>
      <c r="E1584" t="s">
        <v>15</v>
      </c>
      <c r="F1584" t="s">
        <v>14</v>
      </c>
      <c r="G1584" t="s">
        <v>31</v>
      </c>
      <c r="H1584" t="s">
        <v>4489</v>
      </c>
      <c r="J1584">
        <v>20</v>
      </c>
    </row>
    <row r="1585" spans="1:10" x14ac:dyDescent="0.35">
      <c r="A1585">
        <v>5449000196903</v>
      </c>
      <c r="B1585" t="s">
        <v>1014</v>
      </c>
      <c r="C1585" t="s">
        <v>814</v>
      </c>
      <c r="D1585" t="s">
        <v>1816</v>
      </c>
      <c r="E1585" t="s">
        <v>15</v>
      </c>
      <c r="F1585" t="s">
        <v>14</v>
      </c>
      <c r="G1585" t="s">
        <v>11</v>
      </c>
      <c r="H1585" t="s">
        <v>4489</v>
      </c>
      <c r="J1585">
        <v>3</v>
      </c>
    </row>
    <row r="1586" spans="1:10" x14ac:dyDescent="0.35">
      <c r="A1586">
        <v>5449000201454</v>
      </c>
      <c r="B1586" t="s">
        <v>1811</v>
      </c>
      <c r="C1586" t="s">
        <v>1896</v>
      </c>
      <c r="D1586" t="s">
        <v>539</v>
      </c>
      <c r="E1586" t="s">
        <v>15</v>
      </c>
      <c r="F1586" t="s">
        <v>14</v>
      </c>
      <c r="G1586" t="s">
        <v>11</v>
      </c>
      <c r="H1586" t="s">
        <v>4489</v>
      </c>
      <c r="J1586">
        <v>1</v>
      </c>
    </row>
    <row r="1587" spans="1:10" x14ac:dyDescent="0.35">
      <c r="A1587">
        <v>5449000214522</v>
      </c>
      <c r="B1587" t="s">
        <v>1897</v>
      </c>
      <c r="C1587" t="s">
        <v>9</v>
      </c>
      <c r="D1587" t="s">
        <v>246</v>
      </c>
      <c r="E1587" t="s">
        <v>15</v>
      </c>
      <c r="F1587" t="s">
        <v>14</v>
      </c>
      <c r="G1587" t="s">
        <v>22</v>
      </c>
      <c r="H1587" t="s">
        <v>4489</v>
      </c>
      <c r="J1587">
        <v>1</v>
      </c>
    </row>
    <row r="1588" spans="1:10" x14ac:dyDescent="0.35">
      <c r="A1588">
        <v>5449000214607</v>
      </c>
      <c r="B1588" t="s">
        <v>1898</v>
      </c>
      <c r="C1588" t="s">
        <v>1899</v>
      </c>
      <c r="D1588" t="s">
        <v>914</v>
      </c>
      <c r="E1588" t="s">
        <v>15</v>
      </c>
      <c r="F1588" t="s">
        <v>14</v>
      </c>
      <c r="G1588" t="s">
        <v>22</v>
      </c>
      <c r="H1588" t="s">
        <v>4489</v>
      </c>
      <c r="J1588">
        <v>2</v>
      </c>
    </row>
    <row r="1589" spans="1:10" x14ac:dyDescent="0.35">
      <c r="A1589">
        <v>5449000214812</v>
      </c>
      <c r="B1589" t="s">
        <v>1900</v>
      </c>
      <c r="C1589" t="s">
        <v>603</v>
      </c>
      <c r="D1589" t="s">
        <v>14</v>
      </c>
      <c r="E1589" t="s">
        <v>15</v>
      </c>
      <c r="F1589" t="s">
        <v>14</v>
      </c>
      <c r="G1589" t="s">
        <v>816</v>
      </c>
      <c r="H1589" t="s">
        <v>4489</v>
      </c>
      <c r="J1589">
        <v>1</v>
      </c>
    </row>
    <row r="1590" spans="1:10" x14ac:dyDescent="0.35">
      <c r="A1590">
        <v>5449000214911</v>
      </c>
      <c r="B1590" t="s">
        <v>14</v>
      </c>
      <c r="C1590" t="s">
        <v>603</v>
      </c>
      <c r="D1590" t="s">
        <v>14</v>
      </c>
      <c r="E1590" t="s">
        <v>15</v>
      </c>
      <c r="F1590" t="s">
        <v>14</v>
      </c>
      <c r="G1590" t="s">
        <v>1901</v>
      </c>
      <c r="H1590" t="s">
        <v>4489</v>
      </c>
      <c r="J1590">
        <v>1</v>
      </c>
    </row>
    <row r="1591" spans="1:10" x14ac:dyDescent="0.35">
      <c r="A1591">
        <v>5449000214911</v>
      </c>
      <c r="B1591" t="s">
        <v>14</v>
      </c>
      <c r="C1591" t="s">
        <v>603</v>
      </c>
      <c r="D1591" t="s">
        <v>14</v>
      </c>
      <c r="E1591" t="s">
        <v>15</v>
      </c>
      <c r="F1591" t="s">
        <v>14</v>
      </c>
      <c r="G1591" t="s">
        <v>34</v>
      </c>
      <c r="H1591" t="s">
        <v>4489</v>
      </c>
      <c r="J1591">
        <v>5</v>
      </c>
    </row>
    <row r="1592" spans="1:10" x14ac:dyDescent="0.35">
      <c r="A1592">
        <v>5449000219206</v>
      </c>
      <c r="B1592" t="s">
        <v>1902</v>
      </c>
      <c r="C1592" t="s">
        <v>192</v>
      </c>
      <c r="D1592" t="s">
        <v>246</v>
      </c>
      <c r="E1592" t="s">
        <v>15</v>
      </c>
      <c r="F1592" t="s">
        <v>14</v>
      </c>
      <c r="G1592" t="s">
        <v>117</v>
      </c>
      <c r="H1592" t="s">
        <v>4489</v>
      </c>
      <c r="J1592">
        <v>1</v>
      </c>
    </row>
    <row r="1593" spans="1:10" x14ac:dyDescent="0.35">
      <c r="A1593">
        <v>5449000219206</v>
      </c>
      <c r="B1593" t="s">
        <v>1902</v>
      </c>
      <c r="C1593" t="s">
        <v>192</v>
      </c>
      <c r="D1593" t="s">
        <v>246</v>
      </c>
      <c r="E1593" t="s">
        <v>15</v>
      </c>
      <c r="F1593" t="s">
        <v>14</v>
      </c>
      <c r="G1593" t="s">
        <v>150</v>
      </c>
      <c r="H1593" t="s">
        <v>4489</v>
      </c>
      <c r="J1593">
        <v>139</v>
      </c>
    </row>
    <row r="1594" spans="1:10" x14ac:dyDescent="0.35">
      <c r="A1594">
        <v>5449000219299</v>
      </c>
      <c r="B1594" t="s">
        <v>1903</v>
      </c>
      <c r="C1594" t="s">
        <v>9</v>
      </c>
      <c r="D1594" t="s">
        <v>246</v>
      </c>
      <c r="E1594" t="s">
        <v>15</v>
      </c>
      <c r="F1594" t="s">
        <v>14</v>
      </c>
      <c r="G1594" t="s">
        <v>150</v>
      </c>
      <c r="H1594" t="s">
        <v>4489</v>
      </c>
      <c r="J1594">
        <v>308</v>
      </c>
    </row>
    <row r="1595" spans="1:10" x14ac:dyDescent="0.35">
      <c r="A1595">
        <v>5449000221780</v>
      </c>
      <c r="B1595" t="s">
        <v>250</v>
      </c>
      <c r="C1595" t="s">
        <v>610</v>
      </c>
      <c r="D1595" t="s">
        <v>14</v>
      </c>
      <c r="E1595" t="s">
        <v>15</v>
      </c>
      <c r="F1595" t="s">
        <v>14</v>
      </c>
      <c r="G1595" t="s">
        <v>61</v>
      </c>
      <c r="H1595" t="s">
        <v>4489</v>
      </c>
      <c r="J1595">
        <v>31</v>
      </c>
    </row>
    <row r="1596" spans="1:10" x14ac:dyDescent="0.35">
      <c r="A1596">
        <v>5449000222145</v>
      </c>
      <c r="B1596" t="s">
        <v>1904</v>
      </c>
      <c r="C1596" t="s">
        <v>81</v>
      </c>
      <c r="D1596" t="s">
        <v>539</v>
      </c>
      <c r="E1596" t="s">
        <v>15</v>
      </c>
      <c r="F1596" t="s">
        <v>14</v>
      </c>
      <c r="G1596" t="s">
        <v>31</v>
      </c>
      <c r="H1596" t="s">
        <v>4489</v>
      </c>
      <c r="J1596">
        <v>41</v>
      </c>
    </row>
    <row r="1597" spans="1:10" x14ac:dyDescent="0.35">
      <c r="A1597">
        <v>5449000230089</v>
      </c>
      <c r="B1597" t="s">
        <v>1845</v>
      </c>
      <c r="C1597" t="s">
        <v>9</v>
      </c>
      <c r="D1597" t="s">
        <v>246</v>
      </c>
      <c r="E1597" t="s">
        <v>15</v>
      </c>
      <c r="F1597" t="s">
        <v>14</v>
      </c>
      <c r="G1597" t="s">
        <v>578</v>
      </c>
      <c r="H1597" t="s">
        <v>4489</v>
      </c>
      <c r="J1597">
        <v>6</v>
      </c>
    </row>
    <row r="1598" spans="1:10" x14ac:dyDescent="0.35">
      <c r="A1598">
        <v>5449000230164</v>
      </c>
      <c r="B1598" t="s">
        <v>1905</v>
      </c>
      <c r="C1598" t="s">
        <v>9</v>
      </c>
      <c r="D1598" t="s">
        <v>14</v>
      </c>
      <c r="E1598" t="s">
        <v>15</v>
      </c>
      <c r="F1598" t="s">
        <v>14</v>
      </c>
      <c r="G1598" t="s">
        <v>73</v>
      </c>
      <c r="H1598" t="s">
        <v>4489</v>
      </c>
      <c r="J1598">
        <v>2</v>
      </c>
    </row>
    <row r="1599" spans="1:10" x14ac:dyDescent="0.35">
      <c r="A1599">
        <v>5449000232755</v>
      </c>
      <c r="B1599" t="s">
        <v>1815</v>
      </c>
      <c r="C1599" t="s">
        <v>472</v>
      </c>
      <c r="D1599" t="s">
        <v>451</v>
      </c>
      <c r="E1599" t="s">
        <v>15</v>
      </c>
      <c r="F1599" t="s">
        <v>14</v>
      </c>
      <c r="G1599" t="s">
        <v>41</v>
      </c>
      <c r="H1599" t="s">
        <v>4489</v>
      </c>
      <c r="J1599">
        <v>27</v>
      </c>
    </row>
    <row r="1600" spans="1:10" x14ac:dyDescent="0.35">
      <c r="A1600">
        <v>5449000234285</v>
      </c>
      <c r="B1600" t="s">
        <v>246</v>
      </c>
      <c r="C1600" t="s">
        <v>110</v>
      </c>
      <c r="D1600" t="s">
        <v>246</v>
      </c>
      <c r="E1600" t="s">
        <v>15</v>
      </c>
      <c r="F1600" t="s">
        <v>14</v>
      </c>
      <c r="G1600" t="s">
        <v>41</v>
      </c>
      <c r="H1600" t="s">
        <v>4489</v>
      </c>
      <c r="J1600">
        <v>23</v>
      </c>
    </row>
    <row r="1601" spans="1:10" x14ac:dyDescent="0.35">
      <c r="A1601">
        <v>5449000234612</v>
      </c>
      <c r="B1601" t="s">
        <v>705</v>
      </c>
      <c r="C1601" t="s">
        <v>81</v>
      </c>
      <c r="D1601" t="s">
        <v>705</v>
      </c>
      <c r="E1601" t="s">
        <v>15</v>
      </c>
      <c r="F1601" t="s">
        <v>14</v>
      </c>
      <c r="G1601" t="s">
        <v>34</v>
      </c>
      <c r="H1601" t="s">
        <v>4489</v>
      </c>
      <c r="J1601">
        <v>788</v>
      </c>
    </row>
    <row r="1602" spans="1:10" x14ac:dyDescent="0.35">
      <c r="A1602">
        <v>5449000234612</v>
      </c>
      <c r="B1602" t="s">
        <v>705</v>
      </c>
      <c r="C1602" t="s">
        <v>81</v>
      </c>
      <c r="D1602" t="s">
        <v>705</v>
      </c>
      <c r="E1602" t="s">
        <v>15</v>
      </c>
      <c r="F1602" t="s">
        <v>14</v>
      </c>
      <c r="G1602" t="s">
        <v>150</v>
      </c>
      <c r="H1602" t="s">
        <v>4489</v>
      </c>
      <c r="J1602">
        <v>4</v>
      </c>
    </row>
    <row r="1603" spans="1:10" x14ac:dyDescent="0.35">
      <c r="A1603">
        <v>5449000234612</v>
      </c>
      <c r="B1603" t="s">
        <v>705</v>
      </c>
      <c r="C1603" t="s">
        <v>81</v>
      </c>
      <c r="D1603" t="s">
        <v>705</v>
      </c>
      <c r="E1603" t="s">
        <v>15</v>
      </c>
      <c r="F1603" t="s">
        <v>14</v>
      </c>
      <c r="G1603" t="s">
        <v>73</v>
      </c>
      <c r="H1603" t="s">
        <v>4489</v>
      </c>
      <c r="J1603">
        <v>1</v>
      </c>
    </row>
    <row r="1604" spans="1:10" x14ac:dyDescent="0.35">
      <c r="A1604">
        <v>5449000234636</v>
      </c>
      <c r="B1604" t="s">
        <v>705</v>
      </c>
      <c r="C1604" t="s">
        <v>78</v>
      </c>
      <c r="D1604" t="s">
        <v>705</v>
      </c>
      <c r="E1604" t="s">
        <v>15</v>
      </c>
      <c r="F1604" t="s">
        <v>14</v>
      </c>
      <c r="G1604" t="s">
        <v>34</v>
      </c>
      <c r="H1604" t="s">
        <v>4489</v>
      </c>
      <c r="J1604">
        <v>1554</v>
      </c>
    </row>
    <row r="1605" spans="1:10" x14ac:dyDescent="0.35">
      <c r="A1605">
        <v>5449000234636</v>
      </c>
      <c r="B1605" t="s">
        <v>705</v>
      </c>
      <c r="C1605" t="s">
        <v>78</v>
      </c>
      <c r="D1605" t="s">
        <v>705</v>
      </c>
      <c r="E1605" t="s">
        <v>15</v>
      </c>
      <c r="F1605" t="s">
        <v>14</v>
      </c>
      <c r="G1605" t="s">
        <v>73</v>
      </c>
      <c r="H1605" t="s">
        <v>4489</v>
      </c>
      <c r="J1605">
        <v>1</v>
      </c>
    </row>
    <row r="1606" spans="1:10" x14ac:dyDescent="0.35">
      <c r="A1606">
        <v>5449000234643</v>
      </c>
      <c r="B1606" t="s">
        <v>1906</v>
      </c>
      <c r="C1606" t="s">
        <v>1907</v>
      </c>
      <c r="D1606" t="s">
        <v>705</v>
      </c>
      <c r="E1606" t="s">
        <v>15</v>
      </c>
      <c r="F1606" t="s">
        <v>14</v>
      </c>
      <c r="G1606" t="s">
        <v>73</v>
      </c>
      <c r="H1606" t="s">
        <v>4489</v>
      </c>
      <c r="J1606">
        <v>1</v>
      </c>
    </row>
    <row r="1607" spans="1:10" x14ac:dyDescent="0.35">
      <c r="A1607">
        <v>5449000236135</v>
      </c>
      <c r="B1607" t="s">
        <v>1908</v>
      </c>
      <c r="C1607" t="s">
        <v>9</v>
      </c>
      <c r="D1607" t="s">
        <v>705</v>
      </c>
      <c r="E1607" t="s">
        <v>15</v>
      </c>
      <c r="F1607" t="s">
        <v>14</v>
      </c>
      <c r="G1607" t="s">
        <v>33</v>
      </c>
      <c r="H1607" t="s">
        <v>4489</v>
      </c>
      <c r="J1607">
        <v>116</v>
      </c>
    </row>
    <row r="1608" spans="1:10" x14ac:dyDescent="0.35">
      <c r="A1608">
        <v>5449000236135</v>
      </c>
      <c r="B1608" t="s">
        <v>1908</v>
      </c>
      <c r="C1608" t="s">
        <v>9</v>
      </c>
      <c r="D1608" t="s">
        <v>705</v>
      </c>
      <c r="E1608" t="s">
        <v>15</v>
      </c>
      <c r="F1608" t="s">
        <v>14</v>
      </c>
      <c r="G1608" t="s">
        <v>578</v>
      </c>
      <c r="H1608" t="s">
        <v>4489</v>
      </c>
      <c r="J1608">
        <v>8</v>
      </c>
    </row>
    <row r="1609" spans="1:10" x14ac:dyDescent="0.35">
      <c r="A1609">
        <v>5449000236371</v>
      </c>
      <c r="B1609" t="s">
        <v>1909</v>
      </c>
      <c r="C1609" t="s">
        <v>81</v>
      </c>
      <c r="D1609" t="s">
        <v>52</v>
      </c>
      <c r="E1609" t="s">
        <v>15</v>
      </c>
      <c r="F1609" t="s">
        <v>14</v>
      </c>
      <c r="G1609" t="s">
        <v>34</v>
      </c>
      <c r="H1609" t="s">
        <v>4489</v>
      </c>
      <c r="J1609">
        <v>1</v>
      </c>
    </row>
    <row r="1610" spans="1:10" x14ac:dyDescent="0.35">
      <c r="A1610">
        <v>5449000239662</v>
      </c>
      <c r="B1610" t="s">
        <v>708</v>
      </c>
      <c r="C1610" t="s">
        <v>78</v>
      </c>
      <c r="D1610" t="s">
        <v>14</v>
      </c>
      <c r="E1610" t="s">
        <v>15</v>
      </c>
      <c r="F1610" t="s">
        <v>14</v>
      </c>
      <c r="G1610" t="s">
        <v>22</v>
      </c>
      <c r="H1610" t="s">
        <v>4489</v>
      </c>
      <c r="J1610">
        <v>1</v>
      </c>
    </row>
    <row r="1611" spans="1:10" x14ac:dyDescent="0.35">
      <c r="A1611">
        <v>5449000241924</v>
      </c>
      <c r="B1611" t="s">
        <v>1910</v>
      </c>
      <c r="C1611" t="s">
        <v>1911</v>
      </c>
      <c r="D1611" t="s">
        <v>246</v>
      </c>
      <c r="E1611" t="s">
        <v>15</v>
      </c>
      <c r="F1611" t="s">
        <v>14</v>
      </c>
      <c r="G1611" t="s">
        <v>11</v>
      </c>
      <c r="H1611" t="s">
        <v>4489</v>
      </c>
      <c r="J1611">
        <v>1</v>
      </c>
    </row>
    <row r="1612" spans="1:10" x14ac:dyDescent="0.35">
      <c r="A1612">
        <v>5449000244208</v>
      </c>
      <c r="B1612" t="s">
        <v>1912</v>
      </c>
      <c r="C1612" t="s">
        <v>78</v>
      </c>
      <c r="D1612" t="s">
        <v>1913</v>
      </c>
      <c r="E1612" t="s">
        <v>15</v>
      </c>
      <c r="F1612" t="s">
        <v>14</v>
      </c>
      <c r="G1612" t="s">
        <v>34</v>
      </c>
      <c r="H1612" t="s">
        <v>4489</v>
      </c>
      <c r="J1612">
        <v>22</v>
      </c>
    </row>
    <row r="1613" spans="1:10" x14ac:dyDescent="0.35">
      <c r="A1613">
        <v>5449000251541</v>
      </c>
      <c r="B1613" t="s">
        <v>1914</v>
      </c>
      <c r="C1613" t="s">
        <v>9</v>
      </c>
      <c r="D1613" t="s">
        <v>705</v>
      </c>
      <c r="E1613" t="s">
        <v>15</v>
      </c>
      <c r="F1613" t="s">
        <v>14</v>
      </c>
      <c r="G1613" t="s">
        <v>11</v>
      </c>
      <c r="H1613" t="s">
        <v>4489</v>
      </c>
      <c r="J1613">
        <v>6</v>
      </c>
    </row>
    <row r="1614" spans="1:10" x14ac:dyDescent="0.35">
      <c r="A1614">
        <v>5449000251541</v>
      </c>
      <c r="B1614" t="s">
        <v>1914</v>
      </c>
      <c r="C1614" t="s">
        <v>9</v>
      </c>
      <c r="D1614" t="s">
        <v>705</v>
      </c>
      <c r="E1614" t="s">
        <v>15</v>
      </c>
      <c r="F1614" t="s">
        <v>14</v>
      </c>
      <c r="G1614" t="s">
        <v>150</v>
      </c>
      <c r="H1614" t="s">
        <v>4489</v>
      </c>
      <c r="J1614">
        <v>1</v>
      </c>
    </row>
    <row r="1615" spans="1:10" x14ac:dyDescent="0.35">
      <c r="A1615">
        <v>5449000251541</v>
      </c>
      <c r="B1615" t="s">
        <v>1914</v>
      </c>
      <c r="C1615" t="s">
        <v>9</v>
      </c>
      <c r="D1615" t="s">
        <v>705</v>
      </c>
      <c r="E1615" t="s">
        <v>15</v>
      </c>
      <c r="F1615" t="s">
        <v>14</v>
      </c>
      <c r="G1615" t="s">
        <v>31</v>
      </c>
      <c r="H1615" t="s">
        <v>4489</v>
      </c>
      <c r="J1615">
        <v>24</v>
      </c>
    </row>
    <row r="1616" spans="1:10" x14ac:dyDescent="0.35">
      <c r="A1616">
        <v>5449000251893</v>
      </c>
      <c r="B1616" t="s">
        <v>1915</v>
      </c>
      <c r="C1616" t="s">
        <v>83</v>
      </c>
      <c r="D1616" t="s">
        <v>539</v>
      </c>
      <c r="E1616" t="s">
        <v>15</v>
      </c>
      <c r="F1616" t="s">
        <v>14</v>
      </c>
      <c r="G1616" t="s">
        <v>11</v>
      </c>
      <c r="H1616" t="s">
        <v>4489</v>
      </c>
      <c r="J1616">
        <v>2</v>
      </c>
    </row>
    <row r="1617" spans="1:10" x14ac:dyDescent="0.35">
      <c r="A1617">
        <v>5449000251893</v>
      </c>
      <c r="B1617" t="s">
        <v>1915</v>
      </c>
      <c r="C1617" t="s">
        <v>83</v>
      </c>
      <c r="D1617" t="s">
        <v>539</v>
      </c>
      <c r="E1617" t="s">
        <v>15</v>
      </c>
      <c r="F1617" t="s">
        <v>14</v>
      </c>
      <c r="G1617" t="s">
        <v>31</v>
      </c>
      <c r="H1617" t="s">
        <v>4489</v>
      </c>
      <c r="J1617">
        <v>13</v>
      </c>
    </row>
    <row r="1618" spans="1:10" x14ac:dyDescent="0.35">
      <c r="A1618">
        <v>5449000258953</v>
      </c>
      <c r="B1618" t="s">
        <v>1916</v>
      </c>
      <c r="C1618" t="s">
        <v>78</v>
      </c>
      <c r="D1618" t="s">
        <v>1893</v>
      </c>
      <c r="E1618" t="s">
        <v>15</v>
      </c>
      <c r="F1618" t="s">
        <v>14</v>
      </c>
      <c r="G1618" t="s">
        <v>73</v>
      </c>
      <c r="H1618" t="s">
        <v>4489</v>
      </c>
      <c r="J1618">
        <v>2</v>
      </c>
    </row>
    <row r="1619" spans="1:10" x14ac:dyDescent="0.35">
      <c r="A1619">
        <v>5449000260093</v>
      </c>
      <c r="B1619" t="s">
        <v>1917</v>
      </c>
      <c r="C1619" t="s">
        <v>1918</v>
      </c>
      <c r="D1619" t="s">
        <v>1893</v>
      </c>
      <c r="E1619" t="s">
        <v>15</v>
      </c>
      <c r="F1619" t="s">
        <v>14</v>
      </c>
      <c r="G1619" t="s">
        <v>11</v>
      </c>
      <c r="H1619" t="s">
        <v>4489</v>
      </c>
      <c r="J1619">
        <v>1</v>
      </c>
    </row>
    <row r="1620" spans="1:10" x14ac:dyDescent="0.35">
      <c r="A1620">
        <v>5449000261700</v>
      </c>
      <c r="B1620" t="s">
        <v>709</v>
      </c>
      <c r="C1620" t="s">
        <v>78</v>
      </c>
      <c r="D1620" t="s">
        <v>14</v>
      </c>
      <c r="E1620" t="s">
        <v>15</v>
      </c>
      <c r="F1620" t="s">
        <v>14</v>
      </c>
      <c r="G1620" t="s">
        <v>73</v>
      </c>
      <c r="H1620" t="s">
        <v>4489</v>
      </c>
      <c r="J1620">
        <v>1</v>
      </c>
    </row>
    <row r="1621" spans="1:10" x14ac:dyDescent="0.35">
      <c r="A1621">
        <v>5449000263445</v>
      </c>
      <c r="B1621" t="s">
        <v>14</v>
      </c>
      <c r="C1621" t="s">
        <v>192</v>
      </c>
      <c r="D1621" t="s">
        <v>14</v>
      </c>
      <c r="E1621" t="s">
        <v>15</v>
      </c>
      <c r="F1621" t="s">
        <v>14</v>
      </c>
      <c r="G1621" t="s">
        <v>150</v>
      </c>
      <c r="H1621" t="s">
        <v>4489</v>
      </c>
      <c r="J1621">
        <v>19</v>
      </c>
    </row>
    <row r="1622" spans="1:10" x14ac:dyDescent="0.35">
      <c r="A1622">
        <v>5449000265609</v>
      </c>
      <c r="B1622" t="s">
        <v>1919</v>
      </c>
      <c r="C1622" t="s">
        <v>326</v>
      </c>
      <c r="D1622" t="s">
        <v>1312</v>
      </c>
      <c r="E1622" t="s">
        <v>15</v>
      </c>
      <c r="F1622" t="s">
        <v>14</v>
      </c>
      <c r="G1622" t="s">
        <v>73</v>
      </c>
      <c r="H1622" t="s">
        <v>4489</v>
      </c>
      <c r="J1622">
        <v>2</v>
      </c>
    </row>
    <row r="1623" spans="1:10" x14ac:dyDescent="0.35">
      <c r="A1623">
        <v>5449000270948</v>
      </c>
      <c r="B1623" t="s">
        <v>1920</v>
      </c>
      <c r="C1623" t="s">
        <v>385</v>
      </c>
      <c r="D1623" t="s">
        <v>705</v>
      </c>
      <c r="E1623" t="s">
        <v>15</v>
      </c>
      <c r="F1623" t="s">
        <v>14</v>
      </c>
      <c r="G1623" t="s">
        <v>41</v>
      </c>
      <c r="H1623" t="s">
        <v>4489</v>
      </c>
      <c r="J1623">
        <v>40</v>
      </c>
    </row>
    <row r="1624" spans="1:10" x14ac:dyDescent="0.35">
      <c r="A1624">
        <v>5449000274359</v>
      </c>
      <c r="B1624" t="s">
        <v>1921</v>
      </c>
      <c r="C1624" t="s">
        <v>81</v>
      </c>
      <c r="D1624" t="s">
        <v>539</v>
      </c>
      <c r="E1624" t="s">
        <v>15</v>
      </c>
      <c r="F1624" t="s">
        <v>14</v>
      </c>
      <c r="G1624" t="s">
        <v>11</v>
      </c>
      <c r="H1624" t="s">
        <v>4489</v>
      </c>
      <c r="J1624">
        <v>1</v>
      </c>
    </row>
    <row r="1625" spans="1:10" x14ac:dyDescent="0.35">
      <c r="A1625">
        <v>5449000274380</v>
      </c>
      <c r="B1625" t="s">
        <v>1922</v>
      </c>
      <c r="C1625" t="s">
        <v>81</v>
      </c>
      <c r="D1625" t="s">
        <v>539</v>
      </c>
      <c r="E1625" t="s">
        <v>15</v>
      </c>
      <c r="F1625" t="s">
        <v>14</v>
      </c>
      <c r="G1625" t="s">
        <v>11</v>
      </c>
      <c r="H1625" t="s">
        <v>4489</v>
      </c>
      <c r="J1625">
        <v>5</v>
      </c>
    </row>
    <row r="1626" spans="1:10" x14ac:dyDescent="0.35">
      <c r="A1626">
        <v>5449000277695</v>
      </c>
      <c r="B1626" t="s">
        <v>1855</v>
      </c>
      <c r="C1626" t="s">
        <v>326</v>
      </c>
      <c r="D1626" t="s">
        <v>705</v>
      </c>
      <c r="E1626" t="s">
        <v>15</v>
      </c>
      <c r="F1626" t="s">
        <v>14</v>
      </c>
      <c r="G1626" t="s">
        <v>61</v>
      </c>
      <c r="H1626" t="s">
        <v>4489</v>
      </c>
      <c r="J1626">
        <v>22</v>
      </c>
    </row>
    <row r="1627" spans="1:10" x14ac:dyDescent="0.35">
      <c r="A1627">
        <v>5449000278333</v>
      </c>
      <c r="B1627" t="s">
        <v>1923</v>
      </c>
      <c r="C1627" t="s">
        <v>81</v>
      </c>
      <c r="D1627" t="s">
        <v>539</v>
      </c>
      <c r="E1627" t="s">
        <v>15</v>
      </c>
      <c r="F1627" t="s">
        <v>14</v>
      </c>
      <c r="G1627" t="s">
        <v>34</v>
      </c>
      <c r="H1627" t="s">
        <v>4489</v>
      </c>
      <c r="J1627">
        <v>2</v>
      </c>
    </row>
    <row r="1628" spans="1:10" x14ac:dyDescent="0.35">
      <c r="A1628">
        <v>5449000284006</v>
      </c>
      <c r="B1628" t="s">
        <v>1924</v>
      </c>
      <c r="C1628" t="s">
        <v>81</v>
      </c>
      <c r="D1628" t="s">
        <v>539</v>
      </c>
      <c r="E1628" t="s">
        <v>15</v>
      </c>
      <c r="F1628" t="s">
        <v>14</v>
      </c>
      <c r="G1628" t="s">
        <v>61</v>
      </c>
      <c r="H1628" t="s">
        <v>4489</v>
      </c>
      <c r="J1628">
        <v>3</v>
      </c>
    </row>
    <row r="1629" spans="1:10" x14ac:dyDescent="0.35">
      <c r="A1629">
        <v>5449000284037</v>
      </c>
      <c r="B1629" t="s">
        <v>1925</v>
      </c>
      <c r="C1629" t="s">
        <v>81</v>
      </c>
      <c r="D1629" t="s">
        <v>539</v>
      </c>
      <c r="E1629" t="s">
        <v>15</v>
      </c>
      <c r="F1629" t="s">
        <v>14</v>
      </c>
      <c r="G1629" t="s">
        <v>61</v>
      </c>
      <c r="H1629" t="s">
        <v>4489</v>
      </c>
      <c r="J1629">
        <v>54</v>
      </c>
    </row>
    <row r="1630" spans="1:10" x14ac:dyDescent="0.35">
      <c r="A1630">
        <v>5449000284044</v>
      </c>
      <c r="B1630" t="s">
        <v>1926</v>
      </c>
      <c r="C1630" t="s">
        <v>83</v>
      </c>
      <c r="D1630" t="s">
        <v>539</v>
      </c>
      <c r="E1630" t="s">
        <v>15</v>
      </c>
      <c r="F1630" t="s">
        <v>14</v>
      </c>
      <c r="G1630" t="s">
        <v>34</v>
      </c>
      <c r="H1630" t="s">
        <v>4489</v>
      </c>
      <c r="I1630">
        <v>17.5</v>
      </c>
      <c r="J1630">
        <v>3</v>
      </c>
    </row>
    <row r="1631" spans="1:10" x14ac:dyDescent="0.35">
      <c r="A1631">
        <v>5449000284044</v>
      </c>
      <c r="B1631" t="s">
        <v>1926</v>
      </c>
      <c r="C1631" t="s">
        <v>83</v>
      </c>
      <c r="D1631" t="s">
        <v>539</v>
      </c>
      <c r="E1631" t="s">
        <v>15</v>
      </c>
      <c r="F1631" t="s">
        <v>14</v>
      </c>
      <c r="G1631" t="s">
        <v>61</v>
      </c>
      <c r="H1631" t="s">
        <v>4489</v>
      </c>
      <c r="I1631">
        <v>17.5</v>
      </c>
      <c r="J1631">
        <v>46</v>
      </c>
    </row>
    <row r="1632" spans="1:10" x14ac:dyDescent="0.35">
      <c r="A1632">
        <v>5449000284303</v>
      </c>
      <c r="B1632" t="s">
        <v>1927</v>
      </c>
      <c r="C1632" t="s">
        <v>81</v>
      </c>
      <c r="D1632" t="s">
        <v>52</v>
      </c>
      <c r="E1632" t="s">
        <v>15</v>
      </c>
      <c r="F1632" t="s">
        <v>14</v>
      </c>
      <c r="G1632" t="s">
        <v>34</v>
      </c>
      <c r="H1632" t="s">
        <v>4489</v>
      </c>
      <c r="J1632">
        <v>2</v>
      </c>
    </row>
    <row r="1633" spans="1:10" x14ac:dyDescent="0.35">
      <c r="A1633">
        <v>5449000285300</v>
      </c>
      <c r="B1633" t="s">
        <v>1928</v>
      </c>
      <c r="C1633" t="s">
        <v>814</v>
      </c>
      <c r="D1633" t="s">
        <v>539</v>
      </c>
      <c r="E1633" t="s">
        <v>15</v>
      </c>
      <c r="F1633" t="s">
        <v>14</v>
      </c>
      <c r="G1633" t="s">
        <v>117</v>
      </c>
      <c r="H1633" t="s">
        <v>4489</v>
      </c>
      <c r="J1633">
        <v>1</v>
      </c>
    </row>
    <row r="1634" spans="1:10" x14ac:dyDescent="0.35">
      <c r="A1634">
        <v>5449000290014</v>
      </c>
      <c r="B1634" t="s">
        <v>1924</v>
      </c>
      <c r="C1634" t="s">
        <v>192</v>
      </c>
      <c r="D1634" t="s">
        <v>1812</v>
      </c>
      <c r="E1634" t="s">
        <v>15</v>
      </c>
      <c r="F1634" t="s">
        <v>14</v>
      </c>
      <c r="G1634" t="s">
        <v>34</v>
      </c>
      <c r="H1634" t="s">
        <v>4489</v>
      </c>
      <c r="J1634">
        <v>199</v>
      </c>
    </row>
    <row r="1635" spans="1:10" x14ac:dyDescent="0.35">
      <c r="A1635">
        <v>5449000297280</v>
      </c>
      <c r="B1635" t="s">
        <v>14</v>
      </c>
      <c r="C1635" t="s">
        <v>9</v>
      </c>
      <c r="D1635" t="s">
        <v>14</v>
      </c>
      <c r="E1635" t="s">
        <v>15</v>
      </c>
      <c r="F1635" t="s">
        <v>14</v>
      </c>
      <c r="G1635" t="s">
        <v>598</v>
      </c>
      <c r="H1635" t="s">
        <v>4489</v>
      </c>
      <c r="J1635">
        <v>23</v>
      </c>
    </row>
    <row r="1636" spans="1:10" x14ac:dyDescent="0.35">
      <c r="A1636">
        <v>5449000297280</v>
      </c>
      <c r="B1636" t="s">
        <v>14</v>
      </c>
      <c r="C1636" t="s">
        <v>9</v>
      </c>
      <c r="D1636" t="s">
        <v>14</v>
      </c>
      <c r="E1636" t="s">
        <v>15</v>
      </c>
      <c r="F1636" t="s">
        <v>14</v>
      </c>
      <c r="G1636" t="s">
        <v>150</v>
      </c>
      <c r="H1636" t="s">
        <v>4489</v>
      </c>
      <c r="J1636">
        <v>79</v>
      </c>
    </row>
    <row r="1637" spans="1:10" x14ac:dyDescent="0.35">
      <c r="A1637">
        <v>5449000306357</v>
      </c>
      <c r="B1637" t="s">
        <v>1929</v>
      </c>
      <c r="C1637" t="s">
        <v>81</v>
      </c>
      <c r="D1637" t="s">
        <v>1812</v>
      </c>
      <c r="E1637" t="s">
        <v>15</v>
      </c>
      <c r="F1637" t="s">
        <v>14</v>
      </c>
      <c r="G1637" t="s">
        <v>34</v>
      </c>
      <c r="H1637" t="s">
        <v>4489</v>
      </c>
      <c r="J1637">
        <v>13</v>
      </c>
    </row>
    <row r="1638" spans="1:10" x14ac:dyDescent="0.35">
      <c r="A1638">
        <v>5449000306579</v>
      </c>
      <c r="B1638" t="s">
        <v>1812</v>
      </c>
      <c r="C1638" t="s">
        <v>81</v>
      </c>
      <c r="D1638" t="s">
        <v>1930</v>
      </c>
      <c r="E1638" t="s">
        <v>34</v>
      </c>
      <c r="F1638" t="s">
        <v>1931</v>
      </c>
      <c r="G1638" t="s">
        <v>34</v>
      </c>
      <c r="H1638" t="s">
        <v>4737</v>
      </c>
      <c r="J1638">
        <v>596</v>
      </c>
    </row>
    <row r="1639" spans="1:10" x14ac:dyDescent="0.35">
      <c r="A1639">
        <v>5449000308337</v>
      </c>
      <c r="B1639" t="s">
        <v>1557</v>
      </c>
      <c r="C1639" t="s">
        <v>83</v>
      </c>
      <c r="D1639" t="s">
        <v>52</v>
      </c>
      <c r="E1639" t="s">
        <v>15</v>
      </c>
      <c r="F1639" t="s">
        <v>14</v>
      </c>
      <c r="G1639" t="s">
        <v>598</v>
      </c>
      <c r="H1639" t="s">
        <v>4489</v>
      </c>
      <c r="J1639">
        <v>3</v>
      </c>
    </row>
    <row r="1640" spans="1:10" x14ac:dyDescent="0.35">
      <c r="A1640">
        <v>5449000308672</v>
      </c>
      <c r="B1640" t="s">
        <v>1932</v>
      </c>
      <c r="C1640" t="s">
        <v>83</v>
      </c>
      <c r="D1640" t="s">
        <v>52</v>
      </c>
      <c r="E1640" t="s">
        <v>15</v>
      </c>
      <c r="F1640" t="s">
        <v>14</v>
      </c>
      <c r="G1640" t="s">
        <v>598</v>
      </c>
      <c r="H1640" t="s">
        <v>4489</v>
      </c>
      <c r="J1640">
        <v>1</v>
      </c>
    </row>
    <row r="1641" spans="1:10" x14ac:dyDescent="0.35">
      <c r="A1641">
        <v>5449000310637</v>
      </c>
      <c r="B1641" t="s">
        <v>1151</v>
      </c>
      <c r="C1641" t="s">
        <v>939</v>
      </c>
      <c r="D1641" t="s">
        <v>1933</v>
      </c>
      <c r="E1641" t="s">
        <v>15</v>
      </c>
      <c r="F1641" t="s">
        <v>14</v>
      </c>
      <c r="G1641" t="s">
        <v>31</v>
      </c>
      <c r="H1641" t="s">
        <v>4489</v>
      </c>
      <c r="J1641">
        <v>25</v>
      </c>
    </row>
    <row r="1642" spans="1:10" x14ac:dyDescent="0.35">
      <c r="A1642">
        <v>5449000315328</v>
      </c>
      <c r="B1642" t="s">
        <v>246</v>
      </c>
      <c r="C1642" t="s">
        <v>114</v>
      </c>
      <c r="D1642" t="s">
        <v>246</v>
      </c>
      <c r="E1642" t="s">
        <v>15</v>
      </c>
      <c r="F1642" t="s">
        <v>14</v>
      </c>
      <c r="G1642" t="s">
        <v>61</v>
      </c>
      <c r="H1642" t="s">
        <v>4489</v>
      </c>
      <c r="J1642">
        <v>5</v>
      </c>
    </row>
    <row r="1643" spans="1:10" x14ac:dyDescent="0.35">
      <c r="A1643">
        <v>5449000317223</v>
      </c>
      <c r="B1643" t="s">
        <v>1934</v>
      </c>
      <c r="C1643" t="s">
        <v>447</v>
      </c>
      <c r="D1643" t="s">
        <v>52</v>
      </c>
      <c r="E1643" t="s">
        <v>15</v>
      </c>
      <c r="F1643" t="s">
        <v>14</v>
      </c>
      <c r="G1643" t="s">
        <v>61</v>
      </c>
      <c r="H1643" t="s">
        <v>4489</v>
      </c>
      <c r="J1643">
        <v>1</v>
      </c>
    </row>
    <row r="1644" spans="1:10" x14ac:dyDescent="0.35">
      <c r="A1644">
        <v>5449000664525</v>
      </c>
      <c r="B1644" t="s">
        <v>478</v>
      </c>
      <c r="C1644">
        <v>2</v>
      </c>
      <c r="D1644" t="s">
        <v>246</v>
      </c>
      <c r="E1644" t="s">
        <v>15</v>
      </c>
      <c r="F1644" t="s">
        <v>14</v>
      </c>
      <c r="G1644" t="s">
        <v>34</v>
      </c>
      <c r="H1644" t="s">
        <v>4489</v>
      </c>
      <c r="J1644">
        <v>2</v>
      </c>
    </row>
    <row r="1645" spans="1:10" x14ac:dyDescent="0.35">
      <c r="A1645">
        <v>5449000664686</v>
      </c>
      <c r="B1645" t="s">
        <v>1333</v>
      </c>
      <c r="C1645" t="s">
        <v>1907</v>
      </c>
      <c r="D1645" t="s">
        <v>14</v>
      </c>
      <c r="E1645" t="s">
        <v>15</v>
      </c>
      <c r="F1645" t="s">
        <v>14</v>
      </c>
      <c r="G1645" t="s">
        <v>34</v>
      </c>
      <c r="H1645" t="s">
        <v>4489</v>
      </c>
      <c r="J1645">
        <v>8</v>
      </c>
    </row>
    <row r="1646" spans="1:10" x14ac:dyDescent="0.35">
      <c r="A1646">
        <v>5449000664686</v>
      </c>
      <c r="B1646" t="s">
        <v>1333</v>
      </c>
      <c r="C1646" t="s">
        <v>1907</v>
      </c>
      <c r="D1646" t="s">
        <v>14</v>
      </c>
      <c r="E1646" t="s">
        <v>15</v>
      </c>
      <c r="F1646" t="s">
        <v>14</v>
      </c>
      <c r="G1646" t="s">
        <v>73</v>
      </c>
      <c r="H1646" t="s">
        <v>4489</v>
      </c>
      <c r="J1646">
        <v>1</v>
      </c>
    </row>
    <row r="1647" spans="1:10" x14ac:dyDescent="0.35">
      <c r="A1647">
        <v>5449000664853</v>
      </c>
      <c r="B1647" t="s">
        <v>1936</v>
      </c>
      <c r="C1647" t="s">
        <v>1907</v>
      </c>
      <c r="D1647" t="s">
        <v>451</v>
      </c>
      <c r="E1647" t="s">
        <v>15</v>
      </c>
      <c r="F1647" t="s">
        <v>14</v>
      </c>
      <c r="G1647" t="s">
        <v>34</v>
      </c>
      <c r="H1647" t="s">
        <v>4489</v>
      </c>
      <c r="J1647">
        <v>2</v>
      </c>
    </row>
    <row r="1648" spans="1:10" x14ac:dyDescent="0.35">
      <c r="A1648">
        <v>54490123</v>
      </c>
      <c r="B1648" t="s">
        <v>581</v>
      </c>
      <c r="C1648" t="s">
        <v>253</v>
      </c>
      <c r="D1648" t="s">
        <v>14</v>
      </c>
      <c r="E1648" t="s">
        <v>15</v>
      </c>
      <c r="F1648" t="s">
        <v>14</v>
      </c>
      <c r="G1648" t="s">
        <v>117</v>
      </c>
      <c r="H1648" t="s">
        <v>4489</v>
      </c>
      <c r="J1648">
        <v>18</v>
      </c>
    </row>
    <row r="1649" spans="1:10" x14ac:dyDescent="0.35">
      <c r="A1649">
        <v>54490345</v>
      </c>
      <c r="B1649" t="s">
        <v>1937</v>
      </c>
      <c r="C1649" t="s">
        <v>9</v>
      </c>
      <c r="D1649" t="s">
        <v>707</v>
      </c>
      <c r="E1649" t="s">
        <v>15</v>
      </c>
      <c r="F1649" t="s">
        <v>14</v>
      </c>
      <c r="G1649" t="s">
        <v>34</v>
      </c>
      <c r="H1649" t="s">
        <v>4489</v>
      </c>
      <c r="J1649">
        <v>1</v>
      </c>
    </row>
    <row r="1650" spans="1:10" x14ac:dyDescent="0.35">
      <c r="A1650">
        <v>54490345</v>
      </c>
      <c r="B1650" t="s">
        <v>1937</v>
      </c>
      <c r="C1650" t="s">
        <v>9</v>
      </c>
      <c r="D1650" t="s">
        <v>707</v>
      </c>
      <c r="E1650" t="s">
        <v>15</v>
      </c>
      <c r="F1650" t="s">
        <v>14</v>
      </c>
      <c r="G1650" t="s">
        <v>73</v>
      </c>
      <c r="H1650" t="s">
        <v>4489</v>
      </c>
      <c r="J1650">
        <v>3</v>
      </c>
    </row>
    <row r="1651" spans="1:10" x14ac:dyDescent="0.35">
      <c r="A1651">
        <v>54490482</v>
      </c>
      <c r="B1651" t="s">
        <v>1938</v>
      </c>
      <c r="C1651" t="s">
        <v>9</v>
      </c>
      <c r="D1651" t="s">
        <v>707</v>
      </c>
      <c r="E1651" t="s">
        <v>15</v>
      </c>
      <c r="F1651" t="s">
        <v>14</v>
      </c>
      <c r="G1651" t="s">
        <v>73</v>
      </c>
      <c r="H1651" t="s">
        <v>4489</v>
      </c>
      <c r="J1651">
        <v>1</v>
      </c>
    </row>
    <row r="1652" spans="1:10" x14ac:dyDescent="0.35">
      <c r="A1652">
        <v>54490673</v>
      </c>
      <c r="B1652" t="s">
        <v>1939</v>
      </c>
      <c r="C1652" t="s">
        <v>253</v>
      </c>
      <c r="D1652" t="s">
        <v>1816</v>
      </c>
      <c r="E1652" t="s">
        <v>15</v>
      </c>
      <c r="F1652" t="s">
        <v>14</v>
      </c>
      <c r="G1652" t="s">
        <v>61</v>
      </c>
      <c r="H1652" t="s">
        <v>4489</v>
      </c>
      <c r="J1652">
        <v>22</v>
      </c>
    </row>
    <row r="1653" spans="1:10" x14ac:dyDescent="0.35">
      <c r="A1653">
        <v>54490857</v>
      </c>
      <c r="B1653" t="s">
        <v>1815</v>
      </c>
      <c r="C1653" t="s">
        <v>9</v>
      </c>
      <c r="D1653" t="s">
        <v>1816</v>
      </c>
      <c r="E1653" t="s">
        <v>15</v>
      </c>
      <c r="F1653" t="s">
        <v>14</v>
      </c>
      <c r="G1653" t="s">
        <v>61</v>
      </c>
      <c r="H1653" t="s">
        <v>4489</v>
      </c>
      <c r="J1653">
        <v>2</v>
      </c>
    </row>
    <row r="1654" spans="1:10" x14ac:dyDescent="0.35">
      <c r="A1654">
        <v>54491069</v>
      </c>
      <c r="B1654" t="s">
        <v>1940</v>
      </c>
      <c r="C1654" t="s">
        <v>9</v>
      </c>
      <c r="D1654" t="s">
        <v>705</v>
      </c>
      <c r="E1654" t="s">
        <v>15</v>
      </c>
      <c r="F1654" t="s">
        <v>14</v>
      </c>
      <c r="G1654" t="s">
        <v>22</v>
      </c>
      <c r="H1654" t="s">
        <v>4489</v>
      </c>
      <c r="J1654">
        <v>1</v>
      </c>
    </row>
    <row r="1655" spans="1:10" x14ac:dyDescent="0.35">
      <c r="A1655">
        <v>54491069</v>
      </c>
      <c r="B1655" t="s">
        <v>1940</v>
      </c>
      <c r="C1655" t="s">
        <v>9</v>
      </c>
      <c r="D1655" t="s">
        <v>705</v>
      </c>
      <c r="E1655" t="s">
        <v>15</v>
      </c>
      <c r="F1655" t="s">
        <v>14</v>
      </c>
      <c r="G1655" t="s">
        <v>11</v>
      </c>
      <c r="H1655" t="s">
        <v>4489</v>
      </c>
      <c r="J1655">
        <v>64</v>
      </c>
    </row>
    <row r="1656" spans="1:10" x14ac:dyDescent="0.35">
      <c r="A1656">
        <v>54491069</v>
      </c>
      <c r="B1656" t="s">
        <v>1940</v>
      </c>
      <c r="C1656" t="s">
        <v>9</v>
      </c>
      <c r="D1656" t="s">
        <v>705</v>
      </c>
      <c r="E1656" t="s">
        <v>15</v>
      </c>
      <c r="F1656" t="s">
        <v>14</v>
      </c>
      <c r="G1656" t="s">
        <v>33</v>
      </c>
      <c r="H1656" t="s">
        <v>4489</v>
      </c>
      <c r="J1656">
        <v>2</v>
      </c>
    </row>
    <row r="1657" spans="1:10" x14ac:dyDescent="0.35">
      <c r="A1657">
        <v>54491069</v>
      </c>
      <c r="B1657" t="s">
        <v>1940</v>
      </c>
      <c r="C1657" t="s">
        <v>9</v>
      </c>
      <c r="D1657" t="s">
        <v>705</v>
      </c>
      <c r="E1657" t="s">
        <v>15</v>
      </c>
      <c r="F1657" t="s">
        <v>14</v>
      </c>
      <c r="G1657" t="s">
        <v>34</v>
      </c>
      <c r="H1657" t="s">
        <v>4489</v>
      </c>
      <c r="J1657">
        <v>1</v>
      </c>
    </row>
    <row r="1658" spans="1:10" x14ac:dyDescent="0.35">
      <c r="A1658">
        <v>54491069</v>
      </c>
      <c r="B1658" t="s">
        <v>1940</v>
      </c>
      <c r="C1658" t="s">
        <v>9</v>
      </c>
      <c r="D1658" t="s">
        <v>705</v>
      </c>
      <c r="E1658" t="s">
        <v>15</v>
      </c>
      <c r="F1658" t="s">
        <v>14</v>
      </c>
      <c r="G1658" t="s">
        <v>598</v>
      </c>
      <c r="H1658" t="s">
        <v>4489</v>
      </c>
      <c r="J1658">
        <v>10</v>
      </c>
    </row>
    <row r="1659" spans="1:10" x14ac:dyDescent="0.35">
      <c r="A1659">
        <v>54491069</v>
      </c>
      <c r="B1659" t="s">
        <v>1940</v>
      </c>
      <c r="C1659" t="s">
        <v>9</v>
      </c>
      <c r="D1659" t="s">
        <v>705</v>
      </c>
      <c r="E1659" t="s">
        <v>15</v>
      </c>
      <c r="F1659" t="s">
        <v>14</v>
      </c>
      <c r="G1659" t="s">
        <v>150</v>
      </c>
      <c r="H1659" t="s">
        <v>4489</v>
      </c>
      <c r="J1659">
        <v>47</v>
      </c>
    </row>
    <row r="1660" spans="1:10" x14ac:dyDescent="0.35">
      <c r="A1660">
        <v>54491069</v>
      </c>
      <c r="B1660" t="s">
        <v>1940</v>
      </c>
      <c r="C1660" t="s">
        <v>9</v>
      </c>
      <c r="D1660" t="s">
        <v>705</v>
      </c>
      <c r="E1660" t="s">
        <v>15</v>
      </c>
      <c r="F1660" t="s">
        <v>14</v>
      </c>
      <c r="G1660" t="s">
        <v>61</v>
      </c>
      <c r="H1660" t="s">
        <v>4489</v>
      </c>
      <c r="J1660">
        <v>209</v>
      </c>
    </row>
    <row r="1661" spans="1:10" x14ac:dyDescent="0.35">
      <c r="A1661">
        <v>54491069</v>
      </c>
      <c r="B1661" t="s">
        <v>1940</v>
      </c>
      <c r="C1661" t="s">
        <v>9</v>
      </c>
      <c r="D1661" t="s">
        <v>705</v>
      </c>
      <c r="E1661" t="s">
        <v>15</v>
      </c>
      <c r="F1661" t="s">
        <v>14</v>
      </c>
      <c r="G1661" t="s">
        <v>31</v>
      </c>
      <c r="H1661" t="s">
        <v>4489</v>
      </c>
      <c r="J1661">
        <v>42</v>
      </c>
    </row>
    <row r="1662" spans="1:10" x14ac:dyDescent="0.35">
      <c r="A1662">
        <v>54491397</v>
      </c>
      <c r="B1662" t="s">
        <v>1941</v>
      </c>
      <c r="C1662" t="s">
        <v>9</v>
      </c>
      <c r="D1662" t="s">
        <v>246</v>
      </c>
      <c r="E1662" t="s">
        <v>15</v>
      </c>
      <c r="F1662" t="s">
        <v>14</v>
      </c>
      <c r="G1662" t="s">
        <v>22</v>
      </c>
      <c r="H1662" t="s">
        <v>4489</v>
      </c>
      <c r="J1662">
        <v>1</v>
      </c>
    </row>
    <row r="1663" spans="1:10" x14ac:dyDescent="0.35">
      <c r="A1663">
        <v>54491472</v>
      </c>
      <c r="B1663" t="s">
        <v>14</v>
      </c>
      <c r="C1663" t="s">
        <v>9</v>
      </c>
      <c r="D1663" t="s">
        <v>14</v>
      </c>
      <c r="E1663" t="s">
        <v>15</v>
      </c>
      <c r="F1663" t="s">
        <v>14</v>
      </c>
      <c r="G1663" t="s">
        <v>117</v>
      </c>
      <c r="H1663" t="s">
        <v>4489</v>
      </c>
      <c r="I1663">
        <v>24</v>
      </c>
      <c r="J1663">
        <v>19</v>
      </c>
    </row>
    <row r="1664" spans="1:10" x14ac:dyDescent="0.35">
      <c r="A1664">
        <v>54491472</v>
      </c>
      <c r="B1664" t="s">
        <v>14</v>
      </c>
      <c r="C1664" t="s">
        <v>9</v>
      </c>
      <c r="D1664" t="s">
        <v>14</v>
      </c>
      <c r="E1664" t="s">
        <v>15</v>
      </c>
      <c r="F1664" t="s">
        <v>14</v>
      </c>
      <c r="G1664" t="s">
        <v>464</v>
      </c>
      <c r="H1664" t="s">
        <v>4489</v>
      </c>
      <c r="I1664">
        <v>24</v>
      </c>
      <c r="J1664">
        <v>3</v>
      </c>
    </row>
    <row r="1665" spans="1:10" x14ac:dyDescent="0.35">
      <c r="A1665">
        <v>54491472</v>
      </c>
      <c r="B1665" t="s">
        <v>14</v>
      </c>
      <c r="C1665" t="s">
        <v>9</v>
      </c>
      <c r="D1665" t="s">
        <v>14</v>
      </c>
      <c r="E1665" t="s">
        <v>15</v>
      </c>
      <c r="F1665" t="s">
        <v>14</v>
      </c>
      <c r="G1665" t="s">
        <v>22</v>
      </c>
      <c r="H1665" t="s">
        <v>4489</v>
      </c>
      <c r="I1665">
        <v>24</v>
      </c>
      <c r="J1665">
        <v>17</v>
      </c>
    </row>
    <row r="1666" spans="1:10" x14ac:dyDescent="0.35">
      <c r="A1666">
        <v>54491472</v>
      </c>
      <c r="B1666" t="s">
        <v>14</v>
      </c>
      <c r="C1666" t="s">
        <v>9</v>
      </c>
      <c r="D1666" t="s">
        <v>14</v>
      </c>
      <c r="E1666" t="s">
        <v>15</v>
      </c>
      <c r="F1666" t="s">
        <v>14</v>
      </c>
      <c r="G1666" t="s">
        <v>11</v>
      </c>
      <c r="H1666" t="s">
        <v>4489</v>
      </c>
      <c r="I1666">
        <v>24</v>
      </c>
      <c r="J1666">
        <v>61</v>
      </c>
    </row>
    <row r="1667" spans="1:10" x14ac:dyDescent="0.35">
      <c r="A1667">
        <v>54491472</v>
      </c>
      <c r="B1667" t="s">
        <v>14</v>
      </c>
      <c r="C1667" t="s">
        <v>9</v>
      </c>
      <c r="D1667" t="s">
        <v>14</v>
      </c>
      <c r="E1667" t="s">
        <v>15</v>
      </c>
      <c r="F1667" t="s">
        <v>14</v>
      </c>
      <c r="G1667" t="s">
        <v>33</v>
      </c>
      <c r="H1667" t="s">
        <v>4489</v>
      </c>
      <c r="I1667">
        <v>24</v>
      </c>
      <c r="J1667">
        <v>232</v>
      </c>
    </row>
    <row r="1668" spans="1:10" x14ac:dyDescent="0.35">
      <c r="A1668">
        <v>54491472</v>
      </c>
      <c r="B1668" t="s">
        <v>14</v>
      </c>
      <c r="C1668" t="s">
        <v>9</v>
      </c>
      <c r="D1668" t="s">
        <v>14</v>
      </c>
      <c r="E1668" t="s">
        <v>15</v>
      </c>
      <c r="F1668" t="s">
        <v>14</v>
      </c>
      <c r="G1668" t="s">
        <v>34</v>
      </c>
      <c r="H1668" t="s">
        <v>4489</v>
      </c>
      <c r="I1668">
        <v>24</v>
      </c>
      <c r="J1668">
        <v>26</v>
      </c>
    </row>
    <row r="1669" spans="1:10" x14ac:dyDescent="0.35">
      <c r="A1669">
        <v>54491472</v>
      </c>
      <c r="B1669" t="s">
        <v>14</v>
      </c>
      <c r="C1669" t="s">
        <v>9</v>
      </c>
      <c r="D1669" t="s">
        <v>14</v>
      </c>
      <c r="E1669" t="s">
        <v>15</v>
      </c>
      <c r="F1669" t="s">
        <v>14</v>
      </c>
      <c r="G1669" t="s">
        <v>150</v>
      </c>
      <c r="H1669" t="s">
        <v>4489</v>
      </c>
      <c r="I1669">
        <v>24</v>
      </c>
      <c r="J1669">
        <v>25</v>
      </c>
    </row>
    <row r="1670" spans="1:10" x14ac:dyDescent="0.35">
      <c r="A1670">
        <v>54491472</v>
      </c>
      <c r="B1670" t="s">
        <v>14</v>
      </c>
      <c r="C1670" t="s">
        <v>9</v>
      </c>
      <c r="D1670" t="s">
        <v>14</v>
      </c>
      <c r="E1670" t="s">
        <v>15</v>
      </c>
      <c r="F1670" t="s">
        <v>14</v>
      </c>
      <c r="G1670" t="s">
        <v>61</v>
      </c>
      <c r="H1670" t="s">
        <v>4489</v>
      </c>
      <c r="I1670">
        <v>24</v>
      </c>
      <c r="J1670">
        <v>706</v>
      </c>
    </row>
    <row r="1671" spans="1:10" x14ac:dyDescent="0.35">
      <c r="A1671">
        <v>54491472</v>
      </c>
      <c r="B1671" t="s">
        <v>14</v>
      </c>
      <c r="C1671" t="s">
        <v>9</v>
      </c>
      <c r="D1671" t="s">
        <v>14</v>
      </c>
      <c r="E1671" t="s">
        <v>15</v>
      </c>
      <c r="F1671" t="s">
        <v>14</v>
      </c>
      <c r="G1671" t="s">
        <v>31</v>
      </c>
      <c r="H1671" t="s">
        <v>4489</v>
      </c>
      <c r="I1671">
        <v>24</v>
      </c>
      <c r="J1671">
        <v>106</v>
      </c>
    </row>
    <row r="1672" spans="1:10" x14ac:dyDescent="0.35">
      <c r="A1672">
        <v>54491472</v>
      </c>
      <c r="B1672" t="s">
        <v>14</v>
      </c>
      <c r="C1672" t="s">
        <v>9</v>
      </c>
      <c r="D1672" t="s">
        <v>14</v>
      </c>
      <c r="E1672" t="s">
        <v>15</v>
      </c>
      <c r="F1672" t="s">
        <v>14</v>
      </c>
      <c r="G1672" t="s">
        <v>578</v>
      </c>
      <c r="H1672" t="s">
        <v>4489</v>
      </c>
      <c r="I1672">
        <v>24</v>
      </c>
      <c r="J1672">
        <v>40</v>
      </c>
    </row>
    <row r="1673" spans="1:10" x14ac:dyDescent="0.35">
      <c r="A1673">
        <v>54491496</v>
      </c>
      <c r="B1673" t="s">
        <v>250</v>
      </c>
      <c r="C1673" t="s">
        <v>9</v>
      </c>
      <c r="D1673" t="s">
        <v>14</v>
      </c>
      <c r="E1673" t="s">
        <v>15</v>
      </c>
      <c r="F1673" t="s">
        <v>14</v>
      </c>
      <c r="G1673" t="s">
        <v>22</v>
      </c>
      <c r="H1673" t="s">
        <v>4489</v>
      </c>
      <c r="J1673">
        <v>6</v>
      </c>
    </row>
    <row r="1674" spans="1:10" x14ac:dyDescent="0.35">
      <c r="A1674">
        <v>54491496</v>
      </c>
      <c r="B1674" t="s">
        <v>250</v>
      </c>
      <c r="C1674" t="s">
        <v>9</v>
      </c>
      <c r="D1674" t="s">
        <v>14</v>
      </c>
      <c r="E1674" t="s">
        <v>15</v>
      </c>
      <c r="F1674" t="s">
        <v>14</v>
      </c>
      <c r="G1674" t="s">
        <v>11</v>
      </c>
      <c r="H1674" t="s">
        <v>4489</v>
      </c>
      <c r="J1674">
        <v>13</v>
      </c>
    </row>
    <row r="1675" spans="1:10" x14ac:dyDescent="0.35">
      <c r="A1675">
        <v>54491496</v>
      </c>
      <c r="B1675" t="s">
        <v>250</v>
      </c>
      <c r="C1675" t="s">
        <v>9</v>
      </c>
      <c r="D1675" t="s">
        <v>14</v>
      </c>
      <c r="E1675" t="s">
        <v>15</v>
      </c>
      <c r="F1675" t="s">
        <v>14</v>
      </c>
      <c r="G1675" t="s">
        <v>34</v>
      </c>
      <c r="H1675" t="s">
        <v>4489</v>
      </c>
      <c r="J1675">
        <v>68</v>
      </c>
    </row>
    <row r="1676" spans="1:10" x14ac:dyDescent="0.35">
      <c r="A1676">
        <v>54491496</v>
      </c>
      <c r="B1676" t="s">
        <v>250</v>
      </c>
      <c r="C1676" t="s">
        <v>9</v>
      </c>
      <c r="D1676" t="s">
        <v>14</v>
      </c>
      <c r="E1676" t="s">
        <v>15</v>
      </c>
      <c r="F1676" t="s">
        <v>14</v>
      </c>
      <c r="G1676" t="s">
        <v>150</v>
      </c>
      <c r="H1676" t="s">
        <v>4489</v>
      </c>
      <c r="J1676">
        <v>13</v>
      </c>
    </row>
    <row r="1677" spans="1:10" x14ac:dyDescent="0.35">
      <c r="A1677">
        <v>54492493</v>
      </c>
      <c r="B1677" t="s">
        <v>1344</v>
      </c>
      <c r="C1677" t="s">
        <v>9</v>
      </c>
      <c r="D1677" t="s">
        <v>246</v>
      </c>
      <c r="E1677" t="s">
        <v>15</v>
      </c>
      <c r="F1677" t="s">
        <v>14</v>
      </c>
      <c r="G1677" t="s">
        <v>22</v>
      </c>
      <c r="H1677" t="s">
        <v>4489</v>
      </c>
      <c r="J1677">
        <v>2</v>
      </c>
    </row>
    <row r="1678" spans="1:10" x14ac:dyDescent="0.35">
      <c r="A1678">
        <v>54492653</v>
      </c>
      <c r="B1678" t="s">
        <v>1942</v>
      </c>
      <c r="C1678" t="s">
        <v>9</v>
      </c>
      <c r="D1678" t="s">
        <v>707</v>
      </c>
      <c r="E1678" t="s">
        <v>15</v>
      </c>
      <c r="F1678" t="s">
        <v>14</v>
      </c>
      <c r="G1678" t="s">
        <v>130</v>
      </c>
      <c r="H1678" t="s">
        <v>4489</v>
      </c>
      <c r="J1678">
        <v>1</v>
      </c>
    </row>
    <row r="1679" spans="1:10" x14ac:dyDescent="0.35">
      <c r="A1679">
        <v>54492653</v>
      </c>
      <c r="B1679" t="s">
        <v>1942</v>
      </c>
      <c r="C1679" t="s">
        <v>9</v>
      </c>
      <c r="D1679" t="s">
        <v>707</v>
      </c>
      <c r="E1679" t="s">
        <v>15</v>
      </c>
      <c r="F1679" t="s">
        <v>14</v>
      </c>
      <c r="G1679" t="s">
        <v>22</v>
      </c>
      <c r="H1679" t="s">
        <v>4489</v>
      </c>
      <c r="J1679">
        <v>5</v>
      </c>
    </row>
    <row r="1680" spans="1:10" x14ac:dyDescent="0.35">
      <c r="A1680">
        <v>54492691</v>
      </c>
      <c r="B1680" t="s">
        <v>705</v>
      </c>
      <c r="C1680" t="s">
        <v>38</v>
      </c>
      <c r="D1680" t="s">
        <v>705</v>
      </c>
      <c r="E1680" t="s">
        <v>15</v>
      </c>
      <c r="F1680" t="s">
        <v>14</v>
      </c>
      <c r="G1680" t="s">
        <v>11</v>
      </c>
      <c r="H1680" t="s">
        <v>4489</v>
      </c>
      <c r="J1680">
        <v>6</v>
      </c>
    </row>
    <row r="1681" spans="1:10" x14ac:dyDescent="0.35">
      <c r="A1681">
        <v>54492691</v>
      </c>
      <c r="B1681" t="s">
        <v>705</v>
      </c>
      <c r="C1681" t="s">
        <v>38</v>
      </c>
      <c r="D1681" t="s">
        <v>705</v>
      </c>
      <c r="E1681" t="s">
        <v>15</v>
      </c>
      <c r="F1681" t="s">
        <v>14</v>
      </c>
      <c r="G1681" t="s">
        <v>34</v>
      </c>
      <c r="H1681" t="s">
        <v>4489</v>
      </c>
      <c r="J1681">
        <v>30</v>
      </c>
    </row>
    <row r="1682" spans="1:10" x14ac:dyDescent="0.35">
      <c r="A1682">
        <v>54492691</v>
      </c>
      <c r="B1682" t="s">
        <v>705</v>
      </c>
      <c r="C1682" t="s">
        <v>38</v>
      </c>
      <c r="D1682" t="s">
        <v>705</v>
      </c>
      <c r="E1682" t="s">
        <v>15</v>
      </c>
      <c r="F1682" t="s">
        <v>14</v>
      </c>
      <c r="G1682" t="s">
        <v>150</v>
      </c>
      <c r="H1682" t="s">
        <v>4489</v>
      </c>
      <c r="J1682">
        <v>17</v>
      </c>
    </row>
    <row r="1683" spans="1:10" x14ac:dyDescent="0.35">
      <c r="A1683">
        <v>54492691</v>
      </c>
      <c r="B1683" t="s">
        <v>705</v>
      </c>
      <c r="C1683" t="s">
        <v>38</v>
      </c>
      <c r="D1683" t="s">
        <v>705</v>
      </c>
      <c r="E1683" t="s">
        <v>15</v>
      </c>
      <c r="F1683" t="s">
        <v>14</v>
      </c>
      <c r="G1683" t="s">
        <v>61</v>
      </c>
      <c r="H1683" t="s">
        <v>4489</v>
      </c>
      <c r="J1683">
        <v>87</v>
      </c>
    </row>
    <row r="1684" spans="1:10" x14ac:dyDescent="0.35">
      <c r="A1684">
        <v>54492790</v>
      </c>
      <c r="B1684" t="s">
        <v>1943</v>
      </c>
      <c r="C1684" t="s">
        <v>9</v>
      </c>
      <c r="D1684" t="s">
        <v>14</v>
      </c>
      <c r="E1684" t="s">
        <v>15</v>
      </c>
      <c r="F1684" t="s">
        <v>14</v>
      </c>
      <c r="G1684" t="s">
        <v>22</v>
      </c>
      <c r="H1684" t="s">
        <v>4489</v>
      </c>
      <c r="J1684">
        <v>3</v>
      </c>
    </row>
    <row r="1685" spans="1:10" x14ac:dyDescent="0.35">
      <c r="A1685">
        <v>54493353</v>
      </c>
      <c r="B1685" t="s">
        <v>1944</v>
      </c>
      <c r="C1685" t="s">
        <v>9</v>
      </c>
      <c r="D1685" t="s">
        <v>246</v>
      </c>
      <c r="E1685" t="s">
        <v>15</v>
      </c>
      <c r="F1685" t="s">
        <v>14</v>
      </c>
      <c r="G1685" t="s">
        <v>11</v>
      </c>
      <c r="H1685" t="s">
        <v>4489</v>
      </c>
      <c r="J1685">
        <v>21</v>
      </c>
    </row>
    <row r="1686" spans="1:10" x14ac:dyDescent="0.35">
      <c r="A1686">
        <v>54493353</v>
      </c>
      <c r="B1686" t="s">
        <v>1944</v>
      </c>
      <c r="C1686" t="s">
        <v>9</v>
      </c>
      <c r="D1686" t="s">
        <v>246</v>
      </c>
      <c r="E1686" t="s">
        <v>15</v>
      </c>
      <c r="F1686" t="s">
        <v>14</v>
      </c>
      <c r="G1686" t="s">
        <v>61</v>
      </c>
      <c r="H1686" t="s">
        <v>4489</v>
      </c>
      <c r="J1686">
        <v>384</v>
      </c>
    </row>
    <row r="1687" spans="1:10" x14ac:dyDescent="0.35">
      <c r="A1687">
        <v>54493957</v>
      </c>
      <c r="B1687" t="s">
        <v>1403</v>
      </c>
      <c r="C1687" t="s">
        <v>9</v>
      </c>
      <c r="D1687" t="s">
        <v>246</v>
      </c>
      <c r="E1687" t="s">
        <v>15</v>
      </c>
      <c r="F1687" t="s">
        <v>14</v>
      </c>
      <c r="G1687" t="s">
        <v>22</v>
      </c>
      <c r="H1687" t="s">
        <v>4489</v>
      </c>
      <c r="J1687">
        <v>11</v>
      </c>
    </row>
    <row r="1688" spans="1:10" x14ac:dyDescent="0.35">
      <c r="A1688">
        <v>54494022</v>
      </c>
      <c r="B1688" t="s">
        <v>1945</v>
      </c>
      <c r="C1688" t="s">
        <v>38</v>
      </c>
      <c r="D1688" t="s">
        <v>246</v>
      </c>
      <c r="E1688" t="s">
        <v>15</v>
      </c>
      <c r="F1688" t="s">
        <v>14</v>
      </c>
      <c r="G1688" t="s">
        <v>61</v>
      </c>
      <c r="H1688" t="s">
        <v>4489</v>
      </c>
      <c r="J1688">
        <v>94</v>
      </c>
    </row>
    <row r="1689" spans="1:10" x14ac:dyDescent="0.35">
      <c r="A1689">
        <v>5512171114714</v>
      </c>
      <c r="B1689" t="s">
        <v>1946</v>
      </c>
      <c r="C1689" t="s">
        <v>9</v>
      </c>
      <c r="D1689" t="s">
        <v>1602</v>
      </c>
      <c r="E1689" t="s">
        <v>22</v>
      </c>
      <c r="F1689" t="s">
        <v>1603</v>
      </c>
      <c r="G1689" t="s">
        <v>22</v>
      </c>
      <c r="H1689" t="s">
        <v>4703</v>
      </c>
      <c r="J1689">
        <v>1</v>
      </c>
    </row>
    <row r="1690" spans="1:10" x14ac:dyDescent="0.35">
      <c r="A1690">
        <v>5556553789336</v>
      </c>
      <c r="B1690" t="s">
        <v>1947</v>
      </c>
      <c r="C1690" t="s">
        <v>909</v>
      </c>
      <c r="D1690" t="s">
        <v>756</v>
      </c>
      <c r="E1690" t="s">
        <v>308</v>
      </c>
      <c r="F1690" t="s">
        <v>309</v>
      </c>
      <c r="G1690" t="s">
        <v>31</v>
      </c>
      <c r="H1690" t="s">
        <v>4529</v>
      </c>
      <c r="J1690">
        <v>115</v>
      </c>
    </row>
    <row r="1691" spans="1:10" x14ac:dyDescent="0.35">
      <c r="A1691">
        <v>5600157262914</v>
      </c>
      <c r="B1691" t="s">
        <v>1948</v>
      </c>
      <c r="C1691" t="s">
        <v>1095</v>
      </c>
      <c r="D1691" t="s">
        <v>1949</v>
      </c>
      <c r="E1691" t="s">
        <v>507</v>
      </c>
      <c r="F1691" t="s">
        <v>1950</v>
      </c>
      <c r="G1691" t="s">
        <v>921</v>
      </c>
      <c r="H1691" t="s">
        <v>4738</v>
      </c>
      <c r="J1691">
        <v>4</v>
      </c>
    </row>
    <row r="1692" spans="1:10" x14ac:dyDescent="0.35">
      <c r="A1692">
        <v>5600413000663</v>
      </c>
      <c r="B1692" t="s">
        <v>1951</v>
      </c>
      <c r="C1692" t="s">
        <v>9</v>
      </c>
      <c r="D1692" t="s">
        <v>1952</v>
      </c>
      <c r="E1692" t="s">
        <v>507</v>
      </c>
      <c r="F1692" t="s">
        <v>1953</v>
      </c>
      <c r="G1692" t="s">
        <v>34</v>
      </c>
      <c r="H1692" t="s">
        <v>4739</v>
      </c>
      <c r="J1692">
        <v>2</v>
      </c>
    </row>
    <row r="1693" spans="1:10" x14ac:dyDescent="0.35">
      <c r="A1693">
        <v>5600413001127</v>
      </c>
      <c r="B1693" t="s">
        <v>1954</v>
      </c>
      <c r="C1693" t="s">
        <v>9</v>
      </c>
      <c r="D1693" t="s">
        <v>1952</v>
      </c>
      <c r="E1693" t="s">
        <v>507</v>
      </c>
      <c r="F1693" t="s">
        <v>1953</v>
      </c>
      <c r="G1693" t="s">
        <v>34</v>
      </c>
      <c r="H1693" t="s">
        <v>4739</v>
      </c>
      <c r="J1693">
        <v>1</v>
      </c>
    </row>
    <row r="1694" spans="1:10" x14ac:dyDescent="0.35">
      <c r="A1694">
        <v>5600413002032</v>
      </c>
      <c r="B1694" t="s">
        <v>1955</v>
      </c>
      <c r="C1694" t="s">
        <v>9</v>
      </c>
      <c r="D1694" t="s">
        <v>1952</v>
      </c>
      <c r="E1694" t="s">
        <v>507</v>
      </c>
      <c r="F1694" t="s">
        <v>1953</v>
      </c>
      <c r="G1694" t="s">
        <v>34</v>
      </c>
      <c r="H1694" t="s">
        <v>4739</v>
      </c>
      <c r="J1694">
        <v>50</v>
      </c>
    </row>
    <row r="1695" spans="1:10" x14ac:dyDescent="0.35">
      <c r="A1695">
        <v>5600621472139</v>
      </c>
      <c r="B1695" t="s">
        <v>1956</v>
      </c>
      <c r="C1695" t="s">
        <v>114</v>
      </c>
      <c r="D1695" t="s">
        <v>1957</v>
      </c>
      <c r="E1695" t="s">
        <v>507</v>
      </c>
      <c r="F1695" t="s">
        <v>1950</v>
      </c>
      <c r="G1695" t="s">
        <v>921</v>
      </c>
      <c r="H1695" t="s">
        <v>4738</v>
      </c>
      <c r="J1695">
        <v>7</v>
      </c>
    </row>
    <row r="1696" spans="1:10" x14ac:dyDescent="0.35">
      <c r="A1696">
        <v>5600621472139</v>
      </c>
      <c r="B1696" t="s">
        <v>1956</v>
      </c>
      <c r="C1696" t="s">
        <v>114</v>
      </c>
      <c r="D1696" t="s">
        <v>1957</v>
      </c>
      <c r="E1696" t="s">
        <v>507</v>
      </c>
      <c r="F1696" t="s">
        <v>1950</v>
      </c>
      <c r="G1696" t="s">
        <v>34</v>
      </c>
      <c r="H1696" t="s">
        <v>4738</v>
      </c>
      <c r="J1696">
        <v>11</v>
      </c>
    </row>
    <row r="1697" spans="1:10" x14ac:dyDescent="0.35">
      <c r="A1697">
        <v>5600756819021</v>
      </c>
      <c r="B1697" t="s">
        <v>1958</v>
      </c>
      <c r="C1697" t="s">
        <v>603</v>
      </c>
      <c r="D1697" t="s">
        <v>1959</v>
      </c>
      <c r="E1697" t="s">
        <v>507</v>
      </c>
      <c r="F1697" t="s">
        <v>1960</v>
      </c>
      <c r="G1697" t="s">
        <v>34</v>
      </c>
      <c r="H1697" t="s">
        <v>4740</v>
      </c>
      <c r="J1697">
        <v>125</v>
      </c>
    </row>
    <row r="1698" spans="1:10" x14ac:dyDescent="0.35">
      <c r="A1698">
        <v>5600756819069</v>
      </c>
      <c r="B1698" t="s">
        <v>790</v>
      </c>
      <c r="C1698" t="s">
        <v>75</v>
      </c>
      <c r="D1698" t="s">
        <v>1959</v>
      </c>
      <c r="E1698" t="s">
        <v>507</v>
      </c>
      <c r="F1698" t="s">
        <v>1960</v>
      </c>
      <c r="G1698" t="s">
        <v>34</v>
      </c>
      <c r="H1698" t="s">
        <v>4740</v>
      </c>
      <c r="J1698">
        <v>55</v>
      </c>
    </row>
    <row r="1699" spans="1:10" x14ac:dyDescent="0.35">
      <c r="A1699">
        <v>5601024335212</v>
      </c>
      <c r="B1699" t="s">
        <v>1961</v>
      </c>
      <c r="C1699" t="s">
        <v>1296</v>
      </c>
      <c r="D1699" t="s">
        <v>1962</v>
      </c>
      <c r="E1699" t="s">
        <v>507</v>
      </c>
      <c r="F1699" t="s">
        <v>1963</v>
      </c>
      <c r="G1699" t="s">
        <v>34</v>
      </c>
      <c r="H1699" t="s">
        <v>4741</v>
      </c>
      <c r="J1699">
        <v>3</v>
      </c>
    </row>
    <row r="1700" spans="1:10" x14ac:dyDescent="0.35">
      <c r="A1700">
        <v>5601024335670</v>
      </c>
      <c r="B1700" t="s">
        <v>1964</v>
      </c>
      <c r="C1700" t="s">
        <v>81</v>
      </c>
      <c r="D1700" t="s">
        <v>1962</v>
      </c>
      <c r="E1700" t="s">
        <v>507</v>
      </c>
      <c r="F1700" t="s">
        <v>1963</v>
      </c>
      <c r="G1700" t="s">
        <v>34</v>
      </c>
      <c r="H1700" t="s">
        <v>4741</v>
      </c>
      <c r="J1700">
        <v>68</v>
      </c>
    </row>
    <row r="1701" spans="1:10" x14ac:dyDescent="0.35">
      <c r="A1701">
        <v>5601045105009</v>
      </c>
      <c r="B1701" t="s">
        <v>505</v>
      </c>
      <c r="C1701" t="s">
        <v>603</v>
      </c>
      <c r="D1701" t="s">
        <v>1965</v>
      </c>
      <c r="E1701" t="s">
        <v>507</v>
      </c>
      <c r="F1701" t="s">
        <v>1966</v>
      </c>
      <c r="G1701" t="s">
        <v>34</v>
      </c>
      <c r="H1701" t="s">
        <v>4742</v>
      </c>
      <c r="J1701">
        <v>6</v>
      </c>
    </row>
    <row r="1702" spans="1:10" x14ac:dyDescent="0.35">
      <c r="A1702">
        <v>5601045300008</v>
      </c>
      <c r="B1702" t="s">
        <v>1967</v>
      </c>
      <c r="C1702" t="s">
        <v>214</v>
      </c>
      <c r="D1702" t="s">
        <v>1968</v>
      </c>
      <c r="E1702" t="s">
        <v>308</v>
      </c>
      <c r="F1702" t="s">
        <v>309</v>
      </c>
      <c r="G1702" t="s">
        <v>34</v>
      </c>
      <c r="H1702" t="s">
        <v>4529</v>
      </c>
      <c r="J1702">
        <v>5</v>
      </c>
    </row>
    <row r="1703" spans="1:10" x14ac:dyDescent="0.35">
      <c r="A1703">
        <v>5601050033878</v>
      </c>
      <c r="B1703" t="s">
        <v>1969</v>
      </c>
      <c r="C1703" t="s">
        <v>1970</v>
      </c>
      <c r="D1703" t="s">
        <v>1971</v>
      </c>
      <c r="E1703" t="s">
        <v>130</v>
      </c>
      <c r="F1703" t="s">
        <v>220</v>
      </c>
      <c r="G1703" t="s">
        <v>34</v>
      </c>
      <c r="H1703" t="s">
        <v>4520</v>
      </c>
      <c r="J1703">
        <v>1</v>
      </c>
    </row>
    <row r="1704" spans="1:10" x14ac:dyDescent="0.35">
      <c r="A1704">
        <v>5601050033878</v>
      </c>
      <c r="B1704" t="s">
        <v>1969</v>
      </c>
      <c r="C1704" t="s">
        <v>1970</v>
      </c>
      <c r="D1704" t="s">
        <v>1971</v>
      </c>
      <c r="E1704" t="s">
        <v>130</v>
      </c>
      <c r="F1704" t="s">
        <v>220</v>
      </c>
      <c r="G1704" t="s">
        <v>31</v>
      </c>
      <c r="H1704" t="s">
        <v>4520</v>
      </c>
      <c r="J1704">
        <v>5</v>
      </c>
    </row>
    <row r="1705" spans="1:10" x14ac:dyDescent="0.35">
      <c r="A1705">
        <v>5601082041728</v>
      </c>
      <c r="B1705" t="s">
        <v>1972</v>
      </c>
      <c r="C1705" t="s">
        <v>1973</v>
      </c>
      <c r="D1705" t="s">
        <v>1974</v>
      </c>
      <c r="E1705" t="s">
        <v>507</v>
      </c>
      <c r="F1705" t="s">
        <v>1975</v>
      </c>
      <c r="G1705" t="s">
        <v>34</v>
      </c>
      <c r="H1705" t="s">
        <v>4743</v>
      </c>
      <c r="J1705">
        <v>1</v>
      </c>
    </row>
    <row r="1706" spans="1:10" x14ac:dyDescent="0.35">
      <c r="A1706">
        <v>5601082046549</v>
      </c>
      <c r="B1706" t="s">
        <v>1976</v>
      </c>
      <c r="C1706" t="s">
        <v>1973</v>
      </c>
      <c r="D1706" t="s">
        <v>1974</v>
      </c>
      <c r="E1706" t="s">
        <v>507</v>
      </c>
      <c r="F1706" t="s">
        <v>1975</v>
      </c>
      <c r="G1706" t="s">
        <v>34</v>
      </c>
      <c r="H1706" t="s">
        <v>4743</v>
      </c>
      <c r="J1706">
        <v>1</v>
      </c>
    </row>
    <row r="1707" spans="1:10" x14ac:dyDescent="0.35">
      <c r="A1707">
        <v>5601084125907</v>
      </c>
      <c r="B1707" t="s">
        <v>1977</v>
      </c>
      <c r="C1707" t="s">
        <v>81</v>
      </c>
      <c r="D1707" t="s">
        <v>1978</v>
      </c>
      <c r="E1707" t="s">
        <v>507</v>
      </c>
      <c r="F1707" t="s">
        <v>1979</v>
      </c>
      <c r="G1707" t="s">
        <v>34</v>
      </c>
      <c r="H1707" t="s">
        <v>4744</v>
      </c>
      <c r="J1707">
        <v>1</v>
      </c>
    </row>
    <row r="1708" spans="1:10" x14ac:dyDescent="0.35">
      <c r="A1708">
        <v>5601151972120</v>
      </c>
      <c r="B1708" t="s">
        <v>1980</v>
      </c>
      <c r="C1708" t="s">
        <v>81</v>
      </c>
      <c r="D1708" t="s">
        <v>1981</v>
      </c>
      <c r="E1708" t="s">
        <v>507</v>
      </c>
      <c r="F1708" t="s">
        <v>1966</v>
      </c>
      <c r="G1708" t="s">
        <v>34</v>
      </c>
      <c r="H1708" t="s">
        <v>4742</v>
      </c>
      <c r="J1708">
        <v>1</v>
      </c>
    </row>
    <row r="1709" spans="1:10" x14ac:dyDescent="0.35">
      <c r="A1709">
        <v>5601151975527</v>
      </c>
      <c r="B1709" t="s">
        <v>1928</v>
      </c>
      <c r="C1709" t="s">
        <v>81</v>
      </c>
      <c r="D1709" t="s">
        <v>1981</v>
      </c>
      <c r="E1709" t="s">
        <v>507</v>
      </c>
      <c r="F1709" t="s">
        <v>1966</v>
      </c>
      <c r="G1709" t="s">
        <v>34</v>
      </c>
      <c r="H1709" t="s">
        <v>4742</v>
      </c>
      <c r="J1709">
        <v>2</v>
      </c>
    </row>
    <row r="1710" spans="1:10" x14ac:dyDescent="0.35">
      <c r="A1710">
        <v>5601163060518</v>
      </c>
      <c r="B1710" t="s">
        <v>793</v>
      </c>
      <c r="C1710">
        <v>1.5</v>
      </c>
      <c r="D1710" t="s">
        <v>1983</v>
      </c>
      <c r="E1710" t="s">
        <v>1201</v>
      </c>
      <c r="F1710" t="s">
        <v>1202</v>
      </c>
      <c r="G1710" t="s">
        <v>34</v>
      </c>
      <c r="H1710" t="s">
        <v>4663</v>
      </c>
      <c r="J1710">
        <v>2</v>
      </c>
    </row>
    <row r="1711" spans="1:10" x14ac:dyDescent="0.35">
      <c r="A1711">
        <v>5601163100313</v>
      </c>
      <c r="B1711" t="s">
        <v>790</v>
      </c>
      <c r="C1711" t="s">
        <v>9</v>
      </c>
      <c r="D1711" t="s">
        <v>1983</v>
      </c>
      <c r="E1711" t="s">
        <v>1201</v>
      </c>
      <c r="F1711" t="s">
        <v>1202</v>
      </c>
      <c r="G1711" t="s">
        <v>34</v>
      </c>
      <c r="H1711" t="s">
        <v>4663</v>
      </c>
      <c r="J1711">
        <v>11</v>
      </c>
    </row>
    <row r="1712" spans="1:10" x14ac:dyDescent="0.35">
      <c r="A1712">
        <v>5601312061397</v>
      </c>
      <c r="B1712" t="s">
        <v>1984</v>
      </c>
      <c r="C1712" t="s">
        <v>43</v>
      </c>
      <c r="D1712" t="s">
        <v>1985</v>
      </c>
      <c r="E1712" t="s">
        <v>507</v>
      </c>
      <c r="F1712" t="s">
        <v>1986</v>
      </c>
      <c r="G1712" t="s">
        <v>34</v>
      </c>
      <c r="H1712" t="s">
        <v>4745</v>
      </c>
      <c r="J1712">
        <v>1</v>
      </c>
    </row>
    <row r="1713" spans="1:10" x14ac:dyDescent="0.35">
      <c r="A1713">
        <v>5601312063261</v>
      </c>
      <c r="B1713" t="s">
        <v>1987</v>
      </c>
      <c r="C1713" t="s">
        <v>1988</v>
      </c>
      <c r="D1713" t="s">
        <v>1985</v>
      </c>
      <c r="E1713" t="s">
        <v>507</v>
      </c>
      <c r="F1713" t="s">
        <v>1986</v>
      </c>
      <c r="G1713" t="s">
        <v>117</v>
      </c>
      <c r="H1713" t="s">
        <v>4745</v>
      </c>
      <c r="J1713">
        <v>1</v>
      </c>
    </row>
    <row r="1714" spans="1:10" x14ac:dyDescent="0.35">
      <c r="A1714">
        <v>5601312063261</v>
      </c>
      <c r="B1714" t="s">
        <v>1987</v>
      </c>
      <c r="C1714" t="s">
        <v>1988</v>
      </c>
      <c r="D1714" t="s">
        <v>1985</v>
      </c>
      <c r="E1714" t="s">
        <v>507</v>
      </c>
      <c r="F1714" t="s">
        <v>1986</v>
      </c>
      <c r="G1714" t="s">
        <v>34</v>
      </c>
      <c r="H1714" t="s">
        <v>4745</v>
      </c>
      <c r="J1714">
        <v>1</v>
      </c>
    </row>
    <row r="1715" spans="1:10" x14ac:dyDescent="0.35">
      <c r="A1715">
        <v>5601312069805</v>
      </c>
      <c r="B1715" t="s">
        <v>1989</v>
      </c>
      <c r="C1715" t="s">
        <v>69</v>
      </c>
      <c r="D1715" t="s">
        <v>1985</v>
      </c>
      <c r="E1715" t="s">
        <v>507</v>
      </c>
      <c r="F1715" t="s">
        <v>1986</v>
      </c>
      <c r="G1715" t="s">
        <v>34</v>
      </c>
      <c r="H1715" t="s">
        <v>4745</v>
      </c>
      <c r="J1715">
        <v>2</v>
      </c>
    </row>
    <row r="1716" spans="1:10" x14ac:dyDescent="0.35">
      <c r="A1716">
        <v>5601312077701</v>
      </c>
      <c r="B1716" t="s">
        <v>1990</v>
      </c>
      <c r="C1716" t="s">
        <v>431</v>
      </c>
      <c r="D1716" t="s">
        <v>1985</v>
      </c>
      <c r="E1716" t="s">
        <v>507</v>
      </c>
      <c r="F1716" t="s">
        <v>1986</v>
      </c>
      <c r="G1716" t="s">
        <v>34</v>
      </c>
      <c r="H1716" t="s">
        <v>4745</v>
      </c>
      <c r="J1716">
        <v>1</v>
      </c>
    </row>
    <row r="1717" spans="1:10" x14ac:dyDescent="0.35">
      <c r="A1717">
        <v>5601312086819</v>
      </c>
      <c r="B1717" t="s">
        <v>1991</v>
      </c>
      <c r="C1717" t="s">
        <v>83</v>
      </c>
      <c r="D1717" t="s">
        <v>1985</v>
      </c>
      <c r="E1717" t="s">
        <v>507</v>
      </c>
      <c r="F1717" t="s">
        <v>1986</v>
      </c>
      <c r="G1717" t="s">
        <v>34</v>
      </c>
      <c r="H1717" t="s">
        <v>4745</v>
      </c>
      <c r="J1717">
        <v>1</v>
      </c>
    </row>
    <row r="1718" spans="1:10" x14ac:dyDescent="0.35">
      <c r="A1718">
        <v>5601312090595</v>
      </c>
      <c r="B1718" t="s">
        <v>1992</v>
      </c>
      <c r="C1718" t="s">
        <v>81</v>
      </c>
      <c r="D1718" t="s">
        <v>1985</v>
      </c>
      <c r="E1718" t="s">
        <v>507</v>
      </c>
      <c r="F1718" t="s">
        <v>1986</v>
      </c>
      <c r="G1718" t="s">
        <v>34</v>
      </c>
      <c r="H1718" t="s">
        <v>4745</v>
      </c>
      <c r="J1718">
        <v>1</v>
      </c>
    </row>
    <row r="1719" spans="1:10" x14ac:dyDescent="0.35">
      <c r="A1719">
        <v>5601312092759</v>
      </c>
      <c r="B1719" t="s">
        <v>1993</v>
      </c>
      <c r="C1719" t="s">
        <v>110</v>
      </c>
      <c r="D1719" t="s">
        <v>1985</v>
      </c>
      <c r="E1719" t="s">
        <v>507</v>
      </c>
      <c r="F1719" t="s">
        <v>1986</v>
      </c>
      <c r="G1719" t="s">
        <v>34</v>
      </c>
      <c r="H1719" t="s">
        <v>4745</v>
      </c>
      <c r="J1719">
        <v>1</v>
      </c>
    </row>
    <row r="1720" spans="1:10" x14ac:dyDescent="0.35">
      <c r="A1720">
        <v>5601312601678</v>
      </c>
      <c r="B1720" t="s">
        <v>1994</v>
      </c>
      <c r="C1720" t="s">
        <v>272</v>
      </c>
      <c r="D1720" t="s">
        <v>1985</v>
      </c>
      <c r="E1720" t="s">
        <v>507</v>
      </c>
      <c r="F1720" t="s">
        <v>1986</v>
      </c>
      <c r="G1720" t="s">
        <v>34</v>
      </c>
      <c r="H1720" t="s">
        <v>4745</v>
      </c>
      <c r="J1720">
        <v>1</v>
      </c>
    </row>
    <row r="1721" spans="1:10" x14ac:dyDescent="0.35">
      <c r="A1721">
        <v>5601312603900</v>
      </c>
      <c r="B1721" t="s">
        <v>1995</v>
      </c>
      <c r="C1721" t="s">
        <v>78</v>
      </c>
      <c r="D1721" t="s">
        <v>1985</v>
      </c>
      <c r="E1721" t="s">
        <v>507</v>
      </c>
      <c r="F1721" t="s">
        <v>1986</v>
      </c>
      <c r="G1721" t="s">
        <v>34</v>
      </c>
      <c r="H1721" t="s">
        <v>4745</v>
      </c>
      <c r="J1721">
        <v>1</v>
      </c>
    </row>
    <row r="1722" spans="1:10" x14ac:dyDescent="0.35">
      <c r="A1722">
        <v>5601312604266</v>
      </c>
      <c r="B1722" t="s">
        <v>1996</v>
      </c>
      <c r="C1722" t="s">
        <v>9</v>
      </c>
      <c r="D1722" t="s">
        <v>1985</v>
      </c>
      <c r="E1722" t="s">
        <v>507</v>
      </c>
      <c r="F1722" t="s">
        <v>1986</v>
      </c>
      <c r="G1722" t="s">
        <v>34</v>
      </c>
      <c r="H1722" t="s">
        <v>4745</v>
      </c>
      <c r="J1722">
        <v>1</v>
      </c>
    </row>
    <row r="1723" spans="1:10" x14ac:dyDescent="0.35">
      <c r="A1723">
        <v>5601312604679</v>
      </c>
      <c r="B1723" t="s">
        <v>1997</v>
      </c>
      <c r="C1723" t="s">
        <v>81</v>
      </c>
      <c r="D1723" t="s">
        <v>1985</v>
      </c>
      <c r="E1723" t="s">
        <v>507</v>
      </c>
      <c r="F1723" t="s">
        <v>1986</v>
      </c>
      <c r="G1723" t="s">
        <v>34</v>
      </c>
      <c r="H1723" t="s">
        <v>4745</v>
      </c>
      <c r="J1723">
        <v>1</v>
      </c>
    </row>
    <row r="1724" spans="1:10" x14ac:dyDescent="0.35">
      <c r="A1724">
        <v>5601312605553</v>
      </c>
      <c r="B1724" t="s">
        <v>1998</v>
      </c>
      <c r="C1724" t="s">
        <v>81</v>
      </c>
      <c r="D1724" t="s">
        <v>1985</v>
      </c>
      <c r="E1724" t="s">
        <v>507</v>
      </c>
      <c r="F1724" t="s">
        <v>1986</v>
      </c>
      <c r="G1724" t="s">
        <v>34</v>
      </c>
      <c r="H1724" t="s">
        <v>4745</v>
      </c>
      <c r="J1724">
        <v>1</v>
      </c>
    </row>
    <row r="1725" spans="1:10" x14ac:dyDescent="0.35">
      <c r="A1725">
        <v>5601314225209</v>
      </c>
      <c r="B1725" t="s">
        <v>1999</v>
      </c>
      <c r="C1725" t="s">
        <v>192</v>
      </c>
      <c r="D1725" t="s">
        <v>2000</v>
      </c>
      <c r="E1725" t="s">
        <v>2001</v>
      </c>
      <c r="F1725" t="s">
        <v>2002</v>
      </c>
      <c r="G1725" t="s">
        <v>34</v>
      </c>
      <c r="H1725" t="s">
        <v>4746</v>
      </c>
      <c r="J1725">
        <v>4</v>
      </c>
    </row>
    <row r="1726" spans="1:10" x14ac:dyDescent="0.35">
      <c r="A1726">
        <v>5601405001309</v>
      </c>
      <c r="B1726" t="s">
        <v>2003</v>
      </c>
      <c r="C1726" t="s">
        <v>192</v>
      </c>
      <c r="D1726" t="s">
        <v>2004</v>
      </c>
      <c r="E1726" t="s">
        <v>507</v>
      </c>
      <c r="F1726" t="s">
        <v>2005</v>
      </c>
      <c r="G1726" t="s">
        <v>34</v>
      </c>
      <c r="H1726" t="s">
        <v>4747</v>
      </c>
      <c r="J1726">
        <v>12</v>
      </c>
    </row>
    <row r="1727" spans="1:10" x14ac:dyDescent="0.35">
      <c r="A1727">
        <v>5601591000018</v>
      </c>
      <c r="B1727" t="s">
        <v>1958</v>
      </c>
      <c r="C1727" t="s">
        <v>603</v>
      </c>
      <c r="D1727" t="s">
        <v>506</v>
      </c>
      <c r="E1727" t="s">
        <v>507</v>
      </c>
      <c r="F1727" t="s">
        <v>508</v>
      </c>
      <c r="G1727" t="s">
        <v>34</v>
      </c>
      <c r="H1727" t="s">
        <v>4558</v>
      </c>
      <c r="J1727">
        <v>5</v>
      </c>
    </row>
    <row r="1728" spans="1:10" x14ac:dyDescent="0.35">
      <c r="A1728">
        <v>5601591000025</v>
      </c>
      <c r="B1728" t="s">
        <v>2006</v>
      </c>
      <c r="C1728" t="s">
        <v>192</v>
      </c>
      <c r="D1728" t="s">
        <v>506</v>
      </c>
      <c r="E1728" t="s">
        <v>507</v>
      </c>
      <c r="F1728" t="s">
        <v>508</v>
      </c>
      <c r="G1728" t="s">
        <v>34</v>
      </c>
      <c r="H1728" t="s">
        <v>4558</v>
      </c>
      <c r="J1728">
        <v>1</v>
      </c>
    </row>
    <row r="1729" spans="1:10" x14ac:dyDescent="0.35">
      <c r="A1729">
        <v>5601663002315</v>
      </c>
      <c r="B1729" t="s">
        <v>2007</v>
      </c>
      <c r="C1729" t="s">
        <v>2008</v>
      </c>
      <c r="D1729" t="s">
        <v>2009</v>
      </c>
      <c r="E1729" t="s">
        <v>308</v>
      </c>
      <c r="F1729" t="s">
        <v>309</v>
      </c>
      <c r="G1729" t="s">
        <v>34</v>
      </c>
      <c r="H1729" t="s">
        <v>4529</v>
      </c>
      <c r="J1729">
        <v>1</v>
      </c>
    </row>
    <row r="1730" spans="1:10" x14ac:dyDescent="0.35">
      <c r="A1730">
        <v>5601663002315</v>
      </c>
      <c r="B1730" t="s">
        <v>2007</v>
      </c>
      <c r="C1730" t="s">
        <v>2008</v>
      </c>
      <c r="D1730" t="s">
        <v>2009</v>
      </c>
      <c r="E1730" t="s">
        <v>308</v>
      </c>
      <c r="F1730" t="s">
        <v>309</v>
      </c>
      <c r="G1730" t="s">
        <v>150</v>
      </c>
      <c r="H1730" t="s">
        <v>4529</v>
      </c>
      <c r="J1730">
        <v>5</v>
      </c>
    </row>
    <row r="1731" spans="1:10" x14ac:dyDescent="0.35">
      <c r="A1731">
        <v>5601839000107</v>
      </c>
      <c r="B1731" t="s">
        <v>2010</v>
      </c>
      <c r="C1731" t="s">
        <v>9</v>
      </c>
      <c r="D1731" t="s">
        <v>2011</v>
      </c>
      <c r="E1731" t="s">
        <v>507</v>
      </c>
      <c r="F1731" t="s">
        <v>2012</v>
      </c>
      <c r="G1731" t="s">
        <v>34</v>
      </c>
      <c r="H1731" t="s">
        <v>4748</v>
      </c>
      <c r="J1731">
        <v>4</v>
      </c>
    </row>
    <row r="1732" spans="1:10" x14ac:dyDescent="0.35">
      <c r="A1732">
        <v>5601839000114</v>
      </c>
      <c r="B1732" t="s">
        <v>1958</v>
      </c>
      <c r="C1732" t="s">
        <v>192</v>
      </c>
      <c r="D1732" t="s">
        <v>2011</v>
      </c>
      <c r="E1732" t="s">
        <v>507</v>
      </c>
      <c r="F1732" t="s">
        <v>2012</v>
      </c>
      <c r="G1732" t="s">
        <v>34</v>
      </c>
      <c r="H1732" t="s">
        <v>4748</v>
      </c>
      <c r="J1732">
        <v>2</v>
      </c>
    </row>
    <row r="1733" spans="1:10" x14ac:dyDescent="0.35">
      <c r="A1733">
        <v>5602109006874</v>
      </c>
      <c r="B1733" t="s">
        <v>2010</v>
      </c>
      <c r="C1733" t="s">
        <v>9</v>
      </c>
      <c r="D1733" t="s">
        <v>2013</v>
      </c>
      <c r="E1733" t="s">
        <v>308</v>
      </c>
      <c r="F1733" t="s">
        <v>309</v>
      </c>
      <c r="G1733" t="s">
        <v>34</v>
      </c>
      <c r="H1733" t="s">
        <v>4529</v>
      </c>
      <c r="J1733">
        <v>1</v>
      </c>
    </row>
    <row r="1734" spans="1:10" x14ac:dyDescent="0.35">
      <c r="A1734">
        <v>5603124018828</v>
      </c>
      <c r="B1734" t="s">
        <v>2014</v>
      </c>
      <c r="C1734" t="s">
        <v>2015</v>
      </c>
      <c r="D1734" t="s">
        <v>2016</v>
      </c>
      <c r="E1734" t="s">
        <v>507</v>
      </c>
      <c r="F1734" t="s">
        <v>2017</v>
      </c>
      <c r="G1734" t="s">
        <v>34</v>
      </c>
      <c r="H1734" t="s">
        <v>4749</v>
      </c>
      <c r="J1734">
        <v>2</v>
      </c>
    </row>
    <row r="1735" spans="1:10" x14ac:dyDescent="0.35">
      <c r="A1735">
        <v>5603124026809</v>
      </c>
      <c r="B1735" t="s">
        <v>2018</v>
      </c>
      <c r="C1735" t="s">
        <v>81</v>
      </c>
      <c r="D1735" t="s">
        <v>2019</v>
      </c>
      <c r="E1735" t="s">
        <v>507</v>
      </c>
      <c r="F1735" t="s">
        <v>2017</v>
      </c>
      <c r="G1735" t="s">
        <v>34</v>
      </c>
      <c r="H1735" t="s">
        <v>4749</v>
      </c>
      <c r="J1735">
        <v>2</v>
      </c>
    </row>
    <row r="1736" spans="1:10" x14ac:dyDescent="0.35">
      <c r="A1736">
        <v>5603124026885</v>
      </c>
      <c r="B1736" t="s">
        <v>2020</v>
      </c>
      <c r="C1736" t="s">
        <v>2021</v>
      </c>
      <c r="D1736" t="s">
        <v>2019</v>
      </c>
      <c r="E1736" t="s">
        <v>507</v>
      </c>
      <c r="F1736" t="s">
        <v>2017</v>
      </c>
      <c r="G1736" t="s">
        <v>34</v>
      </c>
      <c r="H1736" t="s">
        <v>4749</v>
      </c>
      <c r="J1736">
        <v>2</v>
      </c>
    </row>
    <row r="1737" spans="1:10" x14ac:dyDescent="0.35">
      <c r="A1737">
        <v>5603674000076</v>
      </c>
      <c r="B1737" t="s">
        <v>2022</v>
      </c>
      <c r="C1737" t="s">
        <v>326</v>
      </c>
      <c r="D1737" t="s">
        <v>2019</v>
      </c>
      <c r="E1737" t="s">
        <v>507</v>
      </c>
      <c r="F1737" t="s">
        <v>2017</v>
      </c>
      <c r="G1737" t="s">
        <v>34</v>
      </c>
      <c r="H1737" t="s">
        <v>4749</v>
      </c>
      <c r="J1737">
        <v>2</v>
      </c>
    </row>
    <row r="1738" spans="1:10" x14ac:dyDescent="0.35">
      <c r="A1738">
        <v>5603674000311</v>
      </c>
      <c r="B1738" t="s">
        <v>2023</v>
      </c>
      <c r="C1738" t="s">
        <v>192</v>
      </c>
      <c r="D1738" t="s">
        <v>2019</v>
      </c>
      <c r="E1738" t="s">
        <v>507</v>
      </c>
      <c r="F1738" t="s">
        <v>2017</v>
      </c>
      <c r="G1738" t="s">
        <v>34</v>
      </c>
      <c r="H1738" t="s">
        <v>4749</v>
      </c>
      <c r="J1738">
        <v>18</v>
      </c>
    </row>
    <row r="1739" spans="1:10" x14ac:dyDescent="0.35">
      <c r="A1739">
        <v>5603674000557</v>
      </c>
      <c r="B1739" t="s">
        <v>2024</v>
      </c>
      <c r="C1739" t="s">
        <v>1115</v>
      </c>
      <c r="D1739" t="s">
        <v>2019</v>
      </c>
      <c r="E1739" t="s">
        <v>507</v>
      </c>
      <c r="F1739" t="s">
        <v>2017</v>
      </c>
      <c r="G1739" t="s">
        <v>34</v>
      </c>
      <c r="H1739" t="s">
        <v>4749</v>
      </c>
      <c r="J1739">
        <v>1</v>
      </c>
    </row>
    <row r="1740" spans="1:10" x14ac:dyDescent="0.35">
      <c r="A1740">
        <v>5603674000762</v>
      </c>
      <c r="B1740" t="s">
        <v>2025</v>
      </c>
      <c r="C1740" t="s">
        <v>272</v>
      </c>
      <c r="D1740" t="s">
        <v>2016</v>
      </c>
      <c r="E1740" t="s">
        <v>507</v>
      </c>
      <c r="F1740" t="s">
        <v>2017</v>
      </c>
      <c r="G1740" t="s">
        <v>34</v>
      </c>
      <c r="H1740" t="s">
        <v>4749</v>
      </c>
      <c r="J1740">
        <v>1</v>
      </c>
    </row>
    <row r="1741" spans="1:10" x14ac:dyDescent="0.35">
      <c r="A1741">
        <v>5603674000779</v>
      </c>
      <c r="B1741" t="s">
        <v>2025</v>
      </c>
      <c r="C1741" t="s">
        <v>272</v>
      </c>
      <c r="D1741" t="s">
        <v>2016</v>
      </c>
      <c r="E1741" t="s">
        <v>507</v>
      </c>
      <c r="F1741" t="s">
        <v>2017</v>
      </c>
      <c r="G1741" t="s">
        <v>34</v>
      </c>
      <c r="H1741" t="s">
        <v>4749</v>
      </c>
      <c r="J1741">
        <v>1</v>
      </c>
    </row>
    <row r="1742" spans="1:10" x14ac:dyDescent="0.35">
      <c r="A1742">
        <v>5603674002797</v>
      </c>
      <c r="B1742" t="s">
        <v>2026</v>
      </c>
      <c r="C1742" t="s">
        <v>272</v>
      </c>
      <c r="D1742" t="s">
        <v>2019</v>
      </c>
      <c r="E1742" t="s">
        <v>507</v>
      </c>
      <c r="F1742" t="s">
        <v>2017</v>
      </c>
      <c r="G1742" t="s">
        <v>34</v>
      </c>
      <c r="H1742" t="s">
        <v>4749</v>
      </c>
      <c r="J1742">
        <v>1</v>
      </c>
    </row>
    <row r="1743" spans="1:10" x14ac:dyDescent="0.35">
      <c r="A1743">
        <v>5603674002803</v>
      </c>
      <c r="B1743" t="s">
        <v>2027</v>
      </c>
      <c r="C1743" t="s">
        <v>272</v>
      </c>
      <c r="D1743" t="s">
        <v>2019</v>
      </c>
      <c r="E1743" t="s">
        <v>507</v>
      </c>
      <c r="F1743" t="s">
        <v>2017</v>
      </c>
      <c r="G1743" t="s">
        <v>34</v>
      </c>
      <c r="H1743" t="s">
        <v>4749</v>
      </c>
      <c r="J1743">
        <v>1</v>
      </c>
    </row>
    <row r="1744" spans="1:10" x14ac:dyDescent="0.35">
      <c r="A1744">
        <v>5604321002078</v>
      </c>
      <c r="B1744" t="s">
        <v>2028</v>
      </c>
      <c r="C1744" t="s">
        <v>431</v>
      </c>
      <c r="D1744" t="s">
        <v>2029</v>
      </c>
      <c r="E1744" t="s">
        <v>507</v>
      </c>
      <c r="F1744" t="s">
        <v>2030</v>
      </c>
      <c r="G1744" t="s">
        <v>34</v>
      </c>
      <c r="H1744" t="s">
        <v>4750</v>
      </c>
      <c r="J1744">
        <v>1</v>
      </c>
    </row>
    <row r="1745" spans="1:10" x14ac:dyDescent="0.35">
      <c r="A1745">
        <v>5606536050004</v>
      </c>
      <c r="B1745" t="s">
        <v>790</v>
      </c>
      <c r="C1745" t="s">
        <v>9</v>
      </c>
      <c r="D1745" t="s">
        <v>2031</v>
      </c>
      <c r="E1745" t="s">
        <v>34</v>
      </c>
      <c r="F1745" t="s">
        <v>2032</v>
      </c>
      <c r="G1745" t="s">
        <v>34</v>
      </c>
      <c r="H1745" t="s">
        <v>4751</v>
      </c>
      <c r="J1745">
        <v>42</v>
      </c>
    </row>
    <row r="1746" spans="1:10" x14ac:dyDescent="0.35">
      <c r="A1746">
        <v>5606536050011</v>
      </c>
      <c r="B1746" t="s">
        <v>2033</v>
      </c>
      <c r="C1746" t="s">
        <v>1598</v>
      </c>
      <c r="D1746" t="s">
        <v>115</v>
      </c>
      <c r="E1746" t="s">
        <v>34</v>
      </c>
      <c r="F1746" t="s">
        <v>116</v>
      </c>
      <c r="G1746" t="s">
        <v>34</v>
      </c>
      <c r="H1746" t="s">
        <v>4509</v>
      </c>
      <c r="J1746">
        <v>2</v>
      </c>
    </row>
    <row r="1747" spans="1:10" x14ac:dyDescent="0.35">
      <c r="A1747">
        <v>5607375004715</v>
      </c>
      <c r="B1747" t="s">
        <v>2034</v>
      </c>
      <c r="C1747" t="s">
        <v>2035</v>
      </c>
      <c r="D1747" t="s">
        <v>2036</v>
      </c>
      <c r="E1747" t="s">
        <v>308</v>
      </c>
      <c r="F1747" t="s">
        <v>309</v>
      </c>
      <c r="G1747" t="s">
        <v>34</v>
      </c>
      <c r="H1747" t="s">
        <v>4529</v>
      </c>
      <c r="J1747">
        <v>1</v>
      </c>
    </row>
    <row r="1748" spans="1:10" x14ac:dyDescent="0.35">
      <c r="A1748">
        <v>5608242145630</v>
      </c>
      <c r="B1748" t="s">
        <v>920</v>
      </c>
      <c r="C1748" t="s">
        <v>192</v>
      </c>
      <c r="D1748" t="s">
        <v>2037</v>
      </c>
      <c r="E1748" t="s">
        <v>921</v>
      </c>
      <c r="F1748" t="s">
        <v>2038</v>
      </c>
      <c r="G1748" t="s">
        <v>921</v>
      </c>
      <c r="H1748" t="s">
        <v>4752</v>
      </c>
      <c r="J1748">
        <v>4</v>
      </c>
    </row>
    <row r="1749" spans="1:10" x14ac:dyDescent="0.35">
      <c r="A1749">
        <v>5608242145630</v>
      </c>
      <c r="B1749" t="s">
        <v>920</v>
      </c>
      <c r="C1749" t="s">
        <v>192</v>
      </c>
      <c r="D1749" t="s">
        <v>2037</v>
      </c>
      <c r="E1749" t="s">
        <v>921</v>
      </c>
      <c r="F1749" t="s">
        <v>2038</v>
      </c>
      <c r="G1749" t="s">
        <v>34</v>
      </c>
      <c r="H1749" t="s">
        <v>4752</v>
      </c>
      <c r="J1749">
        <v>1</v>
      </c>
    </row>
    <row r="1750" spans="1:10" x14ac:dyDescent="0.35">
      <c r="A1750">
        <v>5608242145647</v>
      </c>
      <c r="B1750" t="s">
        <v>920</v>
      </c>
      <c r="C1750" t="s">
        <v>9</v>
      </c>
      <c r="D1750" t="s">
        <v>2037</v>
      </c>
      <c r="E1750" t="s">
        <v>921</v>
      </c>
      <c r="F1750" t="s">
        <v>2038</v>
      </c>
      <c r="G1750" t="s">
        <v>921</v>
      </c>
      <c r="H1750" t="s">
        <v>4752</v>
      </c>
      <c r="J1750">
        <v>18</v>
      </c>
    </row>
    <row r="1751" spans="1:10" x14ac:dyDescent="0.35">
      <c r="A1751">
        <v>5608242145685</v>
      </c>
      <c r="B1751" t="s">
        <v>920</v>
      </c>
      <c r="C1751" t="s">
        <v>603</v>
      </c>
      <c r="D1751" t="s">
        <v>2037</v>
      </c>
      <c r="E1751" t="s">
        <v>921</v>
      </c>
      <c r="F1751" t="s">
        <v>2038</v>
      </c>
      <c r="G1751" t="s">
        <v>921</v>
      </c>
      <c r="H1751" t="s">
        <v>4752</v>
      </c>
      <c r="J1751">
        <v>6</v>
      </c>
    </row>
    <row r="1752" spans="1:10" x14ac:dyDescent="0.35">
      <c r="A1752">
        <v>56098358</v>
      </c>
      <c r="B1752" t="s">
        <v>295</v>
      </c>
      <c r="C1752" t="s">
        <v>272</v>
      </c>
      <c r="D1752" t="s">
        <v>2039</v>
      </c>
      <c r="E1752" t="s">
        <v>921</v>
      </c>
      <c r="F1752" t="s">
        <v>2038</v>
      </c>
      <c r="G1752" t="s">
        <v>921</v>
      </c>
      <c r="H1752" t="s">
        <v>4752</v>
      </c>
      <c r="J1752">
        <v>2</v>
      </c>
    </row>
    <row r="1753" spans="1:10" x14ac:dyDescent="0.35">
      <c r="A1753">
        <v>57030609</v>
      </c>
      <c r="B1753" t="s">
        <v>2040</v>
      </c>
      <c r="C1753" t="s">
        <v>1484</v>
      </c>
      <c r="D1753" t="s">
        <v>613</v>
      </c>
      <c r="E1753" t="s">
        <v>15</v>
      </c>
      <c r="F1753" t="s">
        <v>460</v>
      </c>
      <c r="G1753" t="s">
        <v>22</v>
      </c>
      <c r="H1753" t="s">
        <v>4554</v>
      </c>
      <c r="J1753">
        <v>1</v>
      </c>
    </row>
    <row r="1754" spans="1:10" x14ac:dyDescent="0.35">
      <c r="A1754">
        <v>5704947001148</v>
      </c>
      <c r="B1754" t="s">
        <v>2041</v>
      </c>
      <c r="C1754" t="s">
        <v>2042</v>
      </c>
      <c r="D1754" t="s">
        <v>2043</v>
      </c>
      <c r="E1754" t="s">
        <v>308</v>
      </c>
      <c r="F1754" t="s">
        <v>309</v>
      </c>
      <c r="G1754" t="s">
        <v>22</v>
      </c>
      <c r="H1754" t="s">
        <v>4529</v>
      </c>
      <c r="J1754">
        <v>1</v>
      </c>
    </row>
    <row r="1755" spans="1:10" x14ac:dyDescent="0.35">
      <c r="A1755">
        <v>5705994075090</v>
      </c>
      <c r="B1755" t="s">
        <v>2044</v>
      </c>
      <c r="C1755" t="s">
        <v>78</v>
      </c>
      <c r="D1755" t="s">
        <v>2045</v>
      </c>
      <c r="E1755" t="s">
        <v>34</v>
      </c>
      <c r="F1755" t="s">
        <v>2045</v>
      </c>
      <c r="G1755" t="s">
        <v>34</v>
      </c>
      <c r="H1755" t="s">
        <v>4753</v>
      </c>
      <c r="J1755">
        <v>86</v>
      </c>
    </row>
    <row r="1756" spans="1:10" x14ac:dyDescent="0.35">
      <c r="A1756">
        <v>5705994075922</v>
      </c>
      <c r="B1756" t="s">
        <v>2046</v>
      </c>
      <c r="C1756" t="s">
        <v>75</v>
      </c>
      <c r="D1756" t="s">
        <v>2045</v>
      </c>
      <c r="E1756" t="s">
        <v>34</v>
      </c>
      <c r="F1756" t="s">
        <v>2045</v>
      </c>
      <c r="G1756" t="s">
        <v>34</v>
      </c>
      <c r="H1756" t="s">
        <v>4753</v>
      </c>
      <c r="J1756">
        <v>357</v>
      </c>
    </row>
    <row r="1757" spans="1:10" x14ac:dyDescent="0.35">
      <c r="A1757">
        <v>5705994075939</v>
      </c>
      <c r="B1757" t="s">
        <v>2047</v>
      </c>
      <c r="C1757" t="s">
        <v>78</v>
      </c>
      <c r="D1757" t="s">
        <v>2045</v>
      </c>
      <c r="E1757" t="s">
        <v>34</v>
      </c>
      <c r="F1757" t="s">
        <v>2045</v>
      </c>
      <c r="G1757" t="s">
        <v>34</v>
      </c>
      <c r="H1757" t="s">
        <v>4753</v>
      </c>
      <c r="J1757">
        <v>510</v>
      </c>
    </row>
    <row r="1758" spans="1:10" x14ac:dyDescent="0.35">
      <c r="A1758">
        <v>5705994075946</v>
      </c>
      <c r="B1758" t="s">
        <v>2048</v>
      </c>
      <c r="C1758" t="s">
        <v>81</v>
      </c>
      <c r="D1758" t="s">
        <v>2045</v>
      </c>
      <c r="E1758" t="s">
        <v>34</v>
      </c>
      <c r="F1758" t="s">
        <v>2045</v>
      </c>
      <c r="G1758" t="s">
        <v>34</v>
      </c>
      <c r="H1758" t="s">
        <v>4753</v>
      </c>
      <c r="J1758">
        <v>232</v>
      </c>
    </row>
    <row r="1759" spans="1:10" x14ac:dyDescent="0.35">
      <c r="A1759">
        <v>5760466976329</v>
      </c>
      <c r="B1759" t="s">
        <v>2049</v>
      </c>
      <c r="C1759" t="s">
        <v>1115</v>
      </c>
      <c r="D1759" t="s">
        <v>2050</v>
      </c>
      <c r="E1759" t="s">
        <v>308</v>
      </c>
      <c r="F1759" t="s">
        <v>309</v>
      </c>
      <c r="G1759" t="s">
        <v>22</v>
      </c>
      <c r="H1759" t="s">
        <v>4529</v>
      </c>
      <c r="J1759">
        <v>1</v>
      </c>
    </row>
    <row r="1760" spans="1:10" x14ac:dyDescent="0.35">
      <c r="A1760">
        <v>5786180819803</v>
      </c>
      <c r="B1760" t="s">
        <v>2051</v>
      </c>
      <c r="C1760" t="s">
        <v>9</v>
      </c>
      <c r="D1760" t="s">
        <v>2052</v>
      </c>
      <c r="E1760" t="s">
        <v>34</v>
      </c>
      <c r="F1760" t="s">
        <v>2053</v>
      </c>
      <c r="G1760" t="s">
        <v>34</v>
      </c>
      <c r="H1760" t="s">
        <v>4754</v>
      </c>
      <c r="J1760">
        <v>2</v>
      </c>
    </row>
    <row r="1761" spans="1:10" x14ac:dyDescent="0.35">
      <c r="A1761">
        <v>5900002072973</v>
      </c>
      <c r="B1761" t="s">
        <v>2054</v>
      </c>
      <c r="C1761" t="s">
        <v>253</v>
      </c>
      <c r="D1761" t="s">
        <v>1082</v>
      </c>
      <c r="E1761" t="s">
        <v>15</v>
      </c>
      <c r="F1761" t="s">
        <v>14</v>
      </c>
      <c r="G1761" t="s">
        <v>150</v>
      </c>
      <c r="H1761" t="s">
        <v>4489</v>
      </c>
      <c r="J1761">
        <v>1</v>
      </c>
    </row>
    <row r="1762" spans="1:10" x14ac:dyDescent="0.35">
      <c r="A1762">
        <v>5900334007919</v>
      </c>
      <c r="B1762" t="s">
        <v>2055</v>
      </c>
      <c r="C1762" t="s">
        <v>38</v>
      </c>
      <c r="D1762" t="s">
        <v>2056</v>
      </c>
      <c r="E1762" t="s">
        <v>2057</v>
      </c>
      <c r="F1762" t="s">
        <v>2056</v>
      </c>
      <c r="G1762" t="s">
        <v>41</v>
      </c>
      <c r="H1762" t="s">
        <v>4755</v>
      </c>
      <c r="J1762">
        <v>22</v>
      </c>
    </row>
    <row r="1763" spans="1:10" x14ac:dyDescent="0.35">
      <c r="A1763">
        <v>5900535006407</v>
      </c>
      <c r="B1763" t="s">
        <v>2058</v>
      </c>
      <c r="C1763" t="s">
        <v>9</v>
      </c>
      <c r="D1763" t="s">
        <v>2059</v>
      </c>
      <c r="E1763" t="s">
        <v>2057</v>
      </c>
      <c r="F1763" t="s">
        <v>2060</v>
      </c>
      <c r="G1763" t="s">
        <v>387</v>
      </c>
      <c r="H1763" t="s">
        <v>4756</v>
      </c>
      <c r="J1763">
        <v>5</v>
      </c>
    </row>
    <row r="1764" spans="1:10" x14ac:dyDescent="0.35">
      <c r="A1764">
        <v>5900951293610</v>
      </c>
      <c r="B1764" t="s">
        <v>2061</v>
      </c>
      <c r="C1764" t="s">
        <v>2062</v>
      </c>
      <c r="D1764" t="s">
        <v>1436</v>
      </c>
      <c r="E1764" t="s">
        <v>15</v>
      </c>
      <c r="F1764" t="s">
        <v>1227</v>
      </c>
      <c r="G1764" t="s">
        <v>22</v>
      </c>
      <c r="H1764" t="s">
        <v>4668</v>
      </c>
      <c r="J1764">
        <v>1</v>
      </c>
    </row>
    <row r="1765" spans="1:10" x14ac:dyDescent="0.35">
      <c r="A1765">
        <v>5904232416200</v>
      </c>
      <c r="B1765" t="s">
        <v>2063</v>
      </c>
      <c r="C1765" t="s">
        <v>458</v>
      </c>
      <c r="D1765" t="s">
        <v>2064</v>
      </c>
      <c r="E1765" t="s">
        <v>117</v>
      </c>
      <c r="F1765" t="s">
        <v>2065</v>
      </c>
      <c r="G1765" t="s">
        <v>117</v>
      </c>
      <c r="H1765" t="s">
        <v>4757</v>
      </c>
      <c r="J1765">
        <v>20</v>
      </c>
    </row>
    <row r="1766" spans="1:10" x14ac:dyDescent="0.35">
      <c r="A1766">
        <v>5905927001695</v>
      </c>
      <c r="B1766" t="s">
        <v>855</v>
      </c>
      <c r="C1766">
        <v>500</v>
      </c>
      <c r="D1766" t="s">
        <v>124</v>
      </c>
      <c r="E1766" t="s">
        <v>921</v>
      </c>
      <c r="F1766" t="s">
        <v>922</v>
      </c>
      <c r="G1766" t="s">
        <v>22</v>
      </c>
      <c r="H1766" t="s">
        <v>4618</v>
      </c>
      <c r="J1766">
        <v>1</v>
      </c>
    </row>
    <row r="1767" spans="1:10" x14ac:dyDescent="0.35">
      <c r="A1767">
        <v>6000820372190</v>
      </c>
      <c r="B1767" t="s">
        <v>2066</v>
      </c>
      <c r="C1767" t="s">
        <v>268</v>
      </c>
      <c r="D1767" t="s">
        <v>426</v>
      </c>
      <c r="E1767" t="s">
        <v>22</v>
      </c>
      <c r="F1767" t="s">
        <v>427</v>
      </c>
      <c r="G1767" t="s">
        <v>22</v>
      </c>
      <c r="H1767" t="s">
        <v>4551</v>
      </c>
      <c r="J1767">
        <v>1</v>
      </c>
    </row>
    <row r="1768" spans="1:10" x14ac:dyDescent="0.35">
      <c r="A1768">
        <v>6001001848213</v>
      </c>
      <c r="B1768" t="s">
        <v>1597</v>
      </c>
      <c r="C1768" t="s">
        <v>192</v>
      </c>
      <c r="D1768" t="s">
        <v>70</v>
      </c>
      <c r="E1768" t="s">
        <v>71</v>
      </c>
      <c r="F1768" t="s">
        <v>72</v>
      </c>
      <c r="G1768" t="s">
        <v>73</v>
      </c>
      <c r="H1768" t="s">
        <v>4501</v>
      </c>
      <c r="J1768">
        <v>3</v>
      </c>
    </row>
    <row r="1769" spans="1:10" x14ac:dyDescent="0.35">
      <c r="A1769">
        <v>6001008101403</v>
      </c>
      <c r="B1769" t="s">
        <v>1412</v>
      </c>
      <c r="C1769" t="s">
        <v>326</v>
      </c>
      <c r="D1769" t="s">
        <v>1136</v>
      </c>
      <c r="E1769" t="s">
        <v>73</v>
      </c>
      <c r="F1769" t="s">
        <v>1137</v>
      </c>
      <c r="G1769" t="s">
        <v>73</v>
      </c>
      <c r="H1769" t="s">
        <v>4652</v>
      </c>
      <c r="J1769">
        <v>1</v>
      </c>
    </row>
    <row r="1770" spans="1:10" x14ac:dyDescent="0.35">
      <c r="A1770">
        <v>6001008168123</v>
      </c>
      <c r="B1770" t="s">
        <v>2067</v>
      </c>
      <c r="C1770" t="s">
        <v>326</v>
      </c>
      <c r="D1770" t="s">
        <v>2068</v>
      </c>
      <c r="E1770" t="s">
        <v>73</v>
      </c>
      <c r="F1770" t="s">
        <v>1137</v>
      </c>
      <c r="G1770" t="s">
        <v>34</v>
      </c>
      <c r="H1770" t="s">
        <v>4652</v>
      </c>
      <c r="J1770">
        <v>1</v>
      </c>
    </row>
    <row r="1771" spans="1:10" x14ac:dyDescent="0.35">
      <c r="A1771">
        <v>6001008618666</v>
      </c>
      <c r="B1771" t="s">
        <v>2069</v>
      </c>
      <c r="C1771" t="s">
        <v>69</v>
      </c>
      <c r="D1771" t="s">
        <v>1136</v>
      </c>
      <c r="E1771" t="s">
        <v>73</v>
      </c>
      <c r="F1771" t="s">
        <v>1137</v>
      </c>
      <c r="G1771" t="s">
        <v>34</v>
      </c>
      <c r="H1771" t="s">
        <v>4652</v>
      </c>
      <c r="J1771">
        <v>1</v>
      </c>
    </row>
    <row r="1772" spans="1:10" x14ac:dyDescent="0.35">
      <c r="A1772">
        <v>6001008657122</v>
      </c>
      <c r="B1772" t="s">
        <v>2070</v>
      </c>
      <c r="C1772" t="s">
        <v>912</v>
      </c>
      <c r="D1772" t="s">
        <v>1136</v>
      </c>
      <c r="E1772" t="s">
        <v>73</v>
      </c>
      <c r="F1772" t="s">
        <v>1137</v>
      </c>
      <c r="G1772" t="s">
        <v>34</v>
      </c>
      <c r="H1772" t="s">
        <v>4652</v>
      </c>
      <c r="J1772">
        <v>1</v>
      </c>
    </row>
    <row r="1773" spans="1:10" x14ac:dyDescent="0.35">
      <c r="A1773">
        <v>6001008684579</v>
      </c>
      <c r="B1773" t="s">
        <v>2071</v>
      </c>
      <c r="C1773" t="s">
        <v>9</v>
      </c>
      <c r="D1773" t="s">
        <v>1136</v>
      </c>
      <c r="E1773" t="s">
        <v>73</v>
      </c>
      <c r="F1773" t="s">
        <v>1137</v>
      </c>
      <c r="G1773" t="s">
        <v>33</v>
      </c>
      <c r="H1773" t="s">
        <v>4652</v>
      </c>
      <c r="J1773">
        <v>50</v>
      </c>
    </row>
    <row r="1774" spans="1:10" x14ac:dyDescent="0.35">
      <c r="A1774">
        <v>6001008694097</v>
      </c>
      <c r="B1774" t="s">
        <v>2072</v>
      </c>
      <c r="C1774" t="s">
        <v>83</v>
      </c>
      <c r="D1774" t="s">
        <v>1136</v>
      </c>
      <c r="E1774" t="s">
        <v>73</v>
      </c>
      <c r="F1774" t="s">
        <v>1137</v>
      </c>
      <c r="G1774" t="s">
        <v>34</v>
      </c>
      <c r="H1774" t="s">
        <v>4652</v>
      </c>
      <c r="J1774">
        <v>1</v>
      </c>
    </row>
    <row r="1775" spans="1:10" x14ac:dyDescent="0.35">
      <c r="A1775">
        <v>6001008739446</v>
      </c>
      <c r="B1775" t="s">
        <v>486</v>
      </c>
      <c r="C1775" t="s">
        <v>78</v>
      </c>
      <c r="D1775" t="s">
        <v>1136</v>
      </c>
      <c r="E1775" t="s">
        <v>73</v>
      </c>
      <c r="F1775" t="s">
        <v>1137</v>
      </c>
      <c r="G1775" t="s">
        <v>34</v>
      </c>
      <c r="H1775" t="s">
        <v>4652</v>
      </c>
      <c r="J1775">
        <v>1</v>
      </c>
    </row>
    <row r="1776" spans="1:10" x14ac:dyDescent="0.35">
      <c r="A1776">
        <v>6001008808395</v>
      </c>
      <c r="B1776" t="s">
        <v>2073</v>
      </c>
      <c r="C1776" t="s">
        <v>81</v>
      </c>
      <c r="D1776" t="s">
        <v>1136</v>
      </c>
      <c r="E1776" t="s">
        <v>73</v>
      </c>
      <c r="F1776" t="s">
        <v>1137</v>
      </c>
      <c r="G1776" t="s">
        <v>34</v>
      </c>
      <c r="H1776" t="s">
        <v>4652</v>
      </c>
      <c r="J1776">
        <v>1</v>
      </c>
    </row>
    <row r="1777" spans="1:10" x14ac:dyDescent="0.35">
      <c r="A1777">
        <v>6001009013446</v>
      </c>
      <c r="B1777" t="s">
        <v>2074</v>
      </c>
      <c r="C1777" t="s">
        <v>69</v>
      </c>
      <c r="D1777" t="s">
        <v>1097</v>
      </c>
      <c r="E1777" t="s">
        <v>73</v>
      </c>
      <c r="F1777" t="s">
        <v>1098</v>
      </c>
      <c r="G1777" t="s">
        <v>34</v>
      </c>
      <c r="H1777" t="s">
        <v>4650</v>
      </c>
      <c r="J1777">
        <v>1</v>
      </c>
    </row>
    <row r="1778" spans="1:10" x14ac:dyDescent="0.35">
      <c r="A1778">
        <v>6001009020420</v>
      </c>
      <c r="B1778" t="s">
        <v>2075</v>
      </c>
      <c r="C1778" t="s">
        <v>78</v>
      </c>
      <c r="D1778" t="s">
        <v>1097</v>
      </c>
      <c r="E1778" t="s">
        <v>73</v>
      </c>
      <c r="F1778" t="s">
        <v>1098</v>
      </c>
      <c r="G1778" t="s">
        <v>73</v>
      </c>
      <c r="H1778" t="s">
        <v>4650</v>
      </c>
      <c r="J1778">
        <v>1</v>
      </c>
    </row>
    <row r="1779" spans="1:10" x14ac:dyDescent="0.35">
      <c r="A1779">
        <v>6001009028051</v>
      </c>
      <c r="B1779" t="s">
        <v>2076</v>
      </c>
      <c r="C1779" t="s">
        <v>78</v>
      </c>
      <c r="D1779" t="s">
        <v>1120</v>
      </c>
      <c r="E1779" t="s">
        <v>73</v>
      </c>
      <c r="F1779" t="s">
        <v>1098</v>
      </c>
      <c r="G1779" t="s">
        <v>73</v>
      </c>
      <c r="H1779" t="s">
        <v>4650</v>
      </c>
      <c r="J1779">
        <v>5</v>
      </c>
    </row>
    <row r="1780" spans="1:10" x14ac:dyDescent="0.35">
      <c r="A1780">
        <v>6001009038463</v>
      </c>
      <c r="B1780" t="s">
        <v>2077</v>
      </c>
      <c r="C1780" t="s">
        <v>1175</v>
      </c>
      <c r="D1780" t="s">
        <v>1097</v>
      </c>
      <c r="E1780" t="s">
        <v>73</v>
      </c>
      <c r="F1780" t="s">
        <v>1098</v>
      </c>
      <c r="G1780" t="s">
        <v>73</v>
      </c>
      <c r="H1780" t="s">
        <v>4650</v>
      </c>
      <c r="J1780">
        <v>20</v>
      </c>
    </row>
    <row r="1781" spans="1:10" x14ac:dyDescent="0.35">
      <c r="A1781">
        <v>6001016400000</v>
      </c>
      <c r="B1781" t="s">
        <v>2078</v>
      </c>
      <c r="C1781" t="s">
        <v>326</v>
      </c>
      <c r="D1781" t="s">
        <v>1570</v>
      </c>
      <c r="E1781" t="s">
        <v>22</v>
      </c>
      <c r="F1781" t="s">
        <v>1568</v>
      </c>
      <c r="G1781" t="s">
        <v>73</v>
      </c>
      <c r="H1781" t="s">
        <v>4700</v>
      </c>
      <c r="J1781">
        <v>1</v>
      </c>
    </row>
    <row r="1782" spans="1:10" x14ac:dyDescent="0.35">
      <c r="A1782">
        <v>6001020020195</v>
      </c>
      <c r="B1782" t="s">
        <v>2079</v>
      </c>
      <c r="C1782">
        <v>375</v>
      </c>
      <c r="D1782" t="s">
        <v>2081</v>
      </c>
      <c r="E1782" t="s">
        <v>816</v>
      </c>
      <c r="F1782" t="s">
        <v>817</v>
      </c>
      <c r="G1782" t="s">
        <v>34</v>
      </c>
      <c r="H1782" t="s">
        <v>4598</v>
      </c>
      <c r="J1782">
        <v>3</v>
      </c>
    </row>
    <row r="1783" spans="1:10" x14ac:dyDescent="0.35">
      <c r="A1783">
        <v>6001021020002</v>
      </c>
      <c r="B1783" t="s">
        <v>2082</v>
      </c>
      <c r="C1783" t="s">
        <v>912</v>
      </c>
      <c r="D1783" t="s">
        <v>323</v>
      </c>
      <c r="E1783" t="s">
        <v>73</v>
      </c>
      <c r="F1783" t="s">
        <v>324</v>
      </c>
      <c r="G1783" t="s">
        <v>73</v>
      </c>
      <c r="H1783" t="s">
        <v>4532</v>
      </c>
      <c r="J1783">
        <v>3</v>
      </c>
    </row>
    <row r="1784" spans="1:10" x14ac:dyDescent="0.35">
      <c r="A1784">
        <v>6001021021023</v>
      </c>
      <c r="B1784" t="s">
        <v>2082</v>
      </c>
      <c r="C1784" t="s">
        <v>336</v>
      </c>
      <c r="D1784" t="s">
        <v>323</v>
      </c>
      <c r="E1784" t="s">
        <v>73</v>
      </c>
      <c r="F1784" t="s">
        <v>324</v>
      </c>
      <c r="G1784" t="s">
        <v>33</v>
      </c>
      <c r="H1784" t="s">
        <v>4532</v>
      </c>
      <c r="J1784">
        <v>2</v>
      </c>
    </row>
    <row r="1785" spans="1:10" x14ac:dyDescent="0.35">
      <c r="A1785">
        <v>6001021021023</v>
      </c>
      <c r="B1785" t="s">
        <v>2082</v>
      </c>
      <c r="C1785" t="s">
        <v>336</v>
      </c>
      <c r="D1785" t="s">
        <v>323</v>
      </c>
      <c r="E1785" t="s">
        <v>73</v>
      </c>
      <c r="F1785" t="s">
        <v>324</v>
      </c>
      <c r="G1785" t="s">
        <v>34</v>
      </c>
      <c r="H1785" t="s">
        <v>4532</v>
      </c>
      <c r="J1785">
        <v>7</v>
      </c>
    </row>
    <row r="1786" spans="1:10" x14ac:dyDescent="0.35">
      <c r="A1786">
        <v>6001021021023</v>
      </c>
      <c r="B1786" t="s">
        <v>2082</v>
      </c>
      <c r="C1786" t="s">
        <v>336</v>
      </c>
      <c r="D1786" t="s">
        <v>323</v>
      </c>
      <c r="E1786" t="s">
        <v>73</v>
      </c>
      <c r="F1786" t="s">
        <v>324</v>
      </c>
      <c r="G1786" t="s">
        <v>73</v>
      </c>
      <c r="H1786" t="s">
        <v>4532</v>
      </c>
      <c r="J1786">
        <v>2</v>
      </c>
    </row>
    <row r="1787" spans="1:10" x14ac:dyDescent="0.35">
      <c r="A1787">
        <v>6001021317355</v>
      </c>
      <c r="B1787" t="s">
        <v>367</v>
      </c>
      <c r="C1787" t="s">
        <v>43</v>
      </c>
      <c r="D1787" t="s">
        <v>323</v>
      </c>
      <c r="E1787" t="s">
        <v>73</v>
      </c>
      <c r="F1787" t="s">
        <v>324</v>
      </c>
      <c r="G1787" t="s">
        <v>73</v>
      </c>
      <c r="H1787" t="s">
        <v>4532</v>
      </c>
      <c r="J1787">
        <v>1</v>
      </c>
    </row>
    <row r="1788" spans="1:10" x14ac:dyDescent="0.35">
      <c r="A1788">
        <v>6001030002075</v>
      </c>
      <c r="B1788" t="s">
        <v>2083</v>
      </c>
      <c r="C1788" t="s">
        <v>9</v>
      </c>
      <c r="D1788" t="s">
        <v>2084</v>
      </c>
      <c r="E1788" t="s">
        <v>73</v>
      </c>
      <c r="F1788" t="s">
        <v>2085</v>
      </c>
      <c r="G1788" t="s">
        <v>73</v>
      </c>
      <c r="H1788" t="s">
        <v>4758</v>
      </c>
      <c r="J1788">
        <v>1</v>
      </c>
    </row>
    <row r="1789" spans="1:10" x14ac:dyDescent="0.35">
      <c r="A1789">
        <v>6001038172558</v>
      </c>
      <c r="B1789" t="s">
        <v>2086</v>
      </c>
      <c r="C1789" t="s">
        <v>758</v>
      </c>
      <c r="D1789" t="s">
        <v>2087</v>
      </c>
      <c r="E1789" t="s">
        <v>22</v>
      </c>
      <c r="F1789" t="s">
        <v>361</v>
      </c>
      <c r="G1789" t="s">
        <v>34</v>
      </c>
      <c r="H1789" t="s">
        <v>4539</v>
      </c>
      <c r="J1789">
        <v>1</v>
      </c>
    </row>
    <row r="1790" spans="1:10" x14ac:dyDescent="0.35">
      <c r="A1790">
        <v>6001049057806</v>
      </c>
      <c r="B1790" t="s">
        <v>2088</v>
      </c>
      <c r="C1790" t="s">
        <v>2089</v>
      </c>
      <c r="D1790" t="s">
        <v>2090</v>
      </c>
      <c r="E1790" t="s">
        <v>130</v>
      </c>
      <c r="F1790" t="s">
        <v>2091</v>
      </c>
      <c r="G1790" t="s">
        <v>34</v>
      </c>
      <c r="H1790" t="s">
        <v>4759</v>
      </c>
      <c r="J1790">
        <v>1</v>
      </c>
    </row>
    <row r="1791" spans="1:10" x14ac:dyDescent="0.35">
      <c r="A1791">
        <v>6001049080613</v>
      </c>
      <c r="B1791" t="s">
        <v>2092</v>
      </c>
      <c r="C1791" t="s">
        <v>1123</v>
      </c>
      <c r="D1791" t="s">
        <v>2090</v>
      </c>
      <c r="E1791" t="s">
        <v>130</v>
      </c>
      <c r="F1791" t="s">
        <v>2091</v>
      </c>
      <c r="G1791" t="s">
        <v>73</v>
      </c>
      <c r="H1791" t="s">
        <v>4759</v>
      </c>
      <c r="J1791">
        <v>1</v>
      </c>
    </row>
    <row r="1792" spans="1:10" x14ac:dyDescent="0.35">
      <c r="A1792">
        <v>6001049089500</v>
      </c>
      <c r="B1792" t="s">
        <v>2093</v>
      </c>
      <c r="C1792" t="s">
        <v>570</v>
      </c>
      <c r="D1792" t="s">
        <v>2090</v>
      </c>
      <c r="E1792" t="s">
        <v>130</v>
      </c>
      <c r="F1792" t="s">
        <v>2091</v>
      </c>
      <c r="G1792" t="s">
        <v>73</v>
      </c>
      <c r="H1792" t="s">
        <v>4759</v>
      </c>
      <c r="J1792">
        <v>1</v>
      </c>
    </row>
    <row r="1793" spans="1:10" x14ac:dyDescent="0.35">
      <c r="A1793">
        <v>6001051000753</v>
      </c>
      <c r="B1793" t="s">
        <v>2094</v>
      </c>
      <c r="C1793" t="s">
        <v>83</v>
      </c>
      <c r="D1793" t="s">
        <v>1249</v>
      </c>
      <c r="E1793" t="s">
        <v>20</v>
      </c>
      <c r="F1793" t="s">
        <v>1250</v>
      </c>
      <c r="G1793" t="s">
        <v>33</v>
      </c>
      <c r="H1793" t="s">
        <v>4674</v>
      </c>
      <c r="J1793">
        <v>2</v>
      </c>
    </row>
    <row r="1794" spans="1:10" x14ac:dyDescent="0.35">
      <c r="A1794">
        <v>6001051001323</v>
      </c>
      <c r="B1794" t="s">
        <v>2095</v>
      </c>
      <c r="C1794" t="s">
        <v>272</v>
      </c>
      <c r="D1794" t="s">
        <v>1249</v>
      </c>
      <c r="E1794" t="s">
        <v>20</v>
      </c>
      <c r="F1794" t="s">
        <v>1250</v>
      </c>
      <c r="G1794" t="s">
        <v>11</v>
      </c>
      <c r="H1794" t="s">
        <v>4674</v>
      </c>
      <c r="J1794">
        <v>8</v>
      </c>
    </row>
    <row r="1795" spans="1:10" x14ac:dyDescent="0.35">
      <c r="A1795">
        <v>6001051002023</v>
      </c>
      <c r="B1795" t="s">
        <v>2096</v>
      </c>
      <c r="C1795" t="s">
        <v>806</v>
      </c>
      <c r="D1795" t="s">
        <v>1249</v>
      </c>
      <c r="E1795" t="s">
        <v>20</v>
      </c>
      <c r="F1795" t="s">
        <v>1250</v>
      </c>
      <c r="G1795" t="s">
        <v>578</v>
      </c>
      <c r="H1795" t="s">
        <v>4674</v>
      </c>
      <c r="J1795">
        <v>1</v>
      </c>
    </row>
    <row r="1796" spans="1:10" x14ac:dyDescent="0.35">
      <c r="A1796">
        <v>6001051002375</v>
      </c>
      <c r="B1796" t="s">
        <v>2097</v>
      </c>
      <c r="C1796" t="s">
        <v>806</v>
      </c>
      <c r="D1796" t="s">
        <v>1249</v>
      </c>
      <c r="E1796" t="s">
        <v>20</v>
      </c>
      <c r="F1796" t="s">
        <v>1250</v>
      </c>
      <c r="G1796" t="s">
        <v>150</v>
      </c>
      <c r="H1796" t="s">
        <v>4674</v>
      </c>
      <c r="J1796">
        <v>4</v>
      </c>
    </row>
    <row r="1797" spans="1:10" x14ac:dyDescent="0.35">
      <c r="A1797">
        <v>6001051003433</v>
      </c>
      <c r="B1797" t="s">
        <v>2098</v>
      </c>
      <c r="C1797" t="s">
        <v>272</v>
      </c>
      <c r="D1797" t="s">
        <v>1249</v>
      </c>
      <c r="E1797" t="s">
        <v>20</v>
      </c>
      <c r="F1797" t="s">
        <v>1250</v>
      </c>
      <c r="G1797" t="s">
        <v>34</v>
      </c>
      <c r="H1797" t="s">
        <v>4674</v>
      </c>
      <c r="J1797">
        <v>1</v>
      </c>
    </row>
    <row r="1798" spans="1:10" x14ac:dyDescent="0.35">
      <c r="A1798">
        <v>6001056294003</v>
      </c>
      <c r="B1798" t="s">
        <v>2099</v>
      </c>
      <c r="C1798" t="s">
        <v>419</v>
      </c>
      <c r="D1798" t="s">
        <v>2100</v>
      </c>
      <c r="E1798" t="s">
        <v>308</v>
      </c>
      <c r="F1798" t="s">
        <v>309</v>
      </c>
      <c r="G1798" t="s">
        <v>34</v>
      </c>
      <c r="H1798" t="s">
        <v>4529</v>
      </c>
      <c r="J1798">
        <v>2</v>
      </c>
    </row>
    <row r="1799" spans="1:10" x14ac:dyDescent="0.35">
      <c r="A1799">
        <v>6001059954072</v>
      </c>
      <c r="B1799" t="s">
        <v>2101</v>
      </c>
      <c r="C1799" t="s">
        <v>9</v>
      </c>
      <c r="D1799" t="s">
        <v>2102</v>
      </c>
      <c r="E1799" t="s">
        <v>73</v>
      </c>
      <c r="F1799" t="s">
        <v>2103</v>
      </c>
      <c r="G1799" t="s">
        <v>31</v>
      </c>
      <c r="H1799" t="s">
        <v>4760</v>
      </c>
      <c r="J1799">
        <v>8</v>
      </c>
    </row>
    <row r="1800" spans="1:10" x14ac:dyDescent="0.35">
      <c r="A1800">
        <v>6001059954072</v>
      </c>
      <c r="B1800" t="s">
        <v>2101</v>
      </c>
      <c r="C1800" t="s">
        <v>9</v>
      </c>
      <c r="D1800" t="s">
        <v>2102</v>
      </c>
      <c r="E1800" t="s">
        <v>73</v>
      </c>
      <c r="F1800" t="s">
        <v>2103</v>
      </c>
      <c r="G1800" t="s">
        <v>73</v>
      </c>
      <c r="H1800" t="s">
        <v>4760</v>
      </c>
      <c r="J1800">
        <v>1</v>
      </c>
    </row>
    <row r="1801" spans="1:10" x14ac:dyDescent="0.35">
      <c r="A1801">
        <v>6001065601052</v>
      </c>
      <c r="B1801" t="s">
        <v>2104</v>
      </c>
      <c r="C1801" t="s">
        <v>565</v>
      </c>
      <c r="D1801" t="s">
        <v>613</v>
      </c>
      <c r="E1801" t="s">
        <v>15</v>
      </c>
      <c r="F1801" t="s">
        <v>460</v>
      </c>
      <c r="G1801" t="s">
        <v>34</v>
      </c>
      <c r="H1801" t="s">
        <v>4554</v>
      </c>
      <c r="J1801">
        <v>1</v>
      </c>
    </row>
    <row r="1802" spans="1:10" x14ac:dyDescent="0.35">
      <c r="A1802">
        <v>6001065601069</v>
      </c>
      <c r="B1802" t="s">
        <v>2105</v>
      </c>
      <c r="C1802" t="s">
        <v>565</v>
      </c>
      <c r="D1802" t="s">
        <v>613</v>
      </c>
      <c r="E1802" t="s">
        <v>15</v>
      </c>
      <c r="F1802" t="s">
        <v>460</v>
      </c>
      <c r="G1802" t="s">
        <v>11</v>
      </c>
      <c r="H1802" t="s">
        <v>4554</v>
      </c>
      <c r="J1802">
        <v>3</v>
      </c>
    </row>
    <row r="1803" spans="1:10" x14ac:dyDescent="0.35">
      <c r="A1803">
        <v>6001065601069</v>
      </c>
      <c r="B1803" t="s">
        <v>2105</v>
      </c>
      <c r="C1803" t="s">
        <v>565</v>
      </c>
      <c r="D1803" t="s">
        <v>613</v>
      </c>
      <c r="E1803" t="s">
        <v>15</v>
      </c>
      <c r="F1803" t="s">
        <v>460</v>
      </c>
      <c r="G1803" t="s">
        <v>34</v>
      </c>
      <c r="H1803" t="s">
        <v>4554</v>
      </c>
      <c r="J1803">
        <v>1</v>
      </c>
    </row>
    <row r="1804" spans="1:10" x14ac:dyDescent="0.35">
      <c r="A1804">
        <v>6001065601069</v>
      </c>
      <c r="B1804" t="s">
        <v>2105</v>
      </c>
      <c r="C1804" t="s">
        <v>565</v>
      </c>
      <c r="D1804" t="s">
        <v>613</v>
      </c>
      <c r="E1804" t="s">
        <v>15</v>
      </c>
      <c r="F1804" t="s">
        <v>460</v>
      </c>
      <c r="G1804" t="s">
        <v>31</v>
      </c>
      <c r="H1804" t="s">
        <v>4554</v>
      </c>
      <c r="J1804">
        <v>2</v>
      </c>
    </row>
    <row r="1805" spans="1:10" x14ac:dyDescent="0.35">
      <c r="A1805">
        <v>6001067007289</v>
      </c>
      <c r="B1805" t="s">
        <v>2106</v>
      </c>
      <c r="C1805" t="s">
        <v>659</v>
      </c>
      <c r="D1805" t="s">
        <v>2107</v>
      </c>
      <c r="E1805" t="s">
        <v>15</v>
      </c>
      <c r="F1805" t="s">
        <v>2108</v>
      </c>
      <c r="G1805" t="s">
        <v>33</v>
      </c>
      <c r="H1805" t="s">
        <v>4761</v>
      </c>
      <c r="J1805">
        <v>1</v>
      </c>
    </row>
    <row r="1806" spans="1:10" x14ac:dyDescent="0.35">
      <c r="A1806">
        <v>6001068371204</v>
      </c>
      <c r="B1806" t="s">
        <v>2109</v>
      </c>
      <c r="C1806" t="s">
        <v>69</v>
      </c>
      <c r="D1806" t="s">
        <v>2110</v>
      </c>
      <c r="E1806" t="s">
        <v>71</v>
      </c>
      <c r="F1806" t="s">
        <v>72</v>
      </c>
      <c r="G1806" t="s">
        <v>33</v>
      </c>
      <c r="H1806" t="s">
        <v>4501</v>
      </c>
      <c r="J1806">
        <v>18</v>
      </c>
    </row>
    <row r="1807" spans="1:10" x14ac:dyDescent="0.35">
      <c r="A1807">
        <v>6001068379200</v>
      </c>
      <c r="B1807" t="s">
        <v>2111</v>
      </c>
      <c r="C1807" t="s">
        <v>43</v>
      </c>
      <c r="D1807" t="s">
        <v>70</v>
      </c>
      <c r="E1807" t="s">
        <v>71</v>
      </c>
      <c r="F1807" t="s">
        <v>72</v>
      </c>
      <c r="G1807" t="s">
        <v>73</v>
      </c>
      <c r="H1807" t="s">
        <v>4501</v>
      </c>
      <c r="J1807">
        <v>1</v>
      </c>
    </row>
    <row r="1808" spans="1:10" x14ac:dyDescent="0.35">
      <c r="A1808">
        <v>6001085010346</v>
      </c>
      <c r="B1808" t="s">
        <v>2112</v>
      </c>
      <c r="C1808" t="s">
        <v>192</v>
      </c>
      <c r="D1808" t="s">
        <v>2113</v>
      </c>
      <c r="E1808" t="s">
        <v>22</v>
      </c>
      <c r="F1808" t="s">
        <v>361</v>
      </c>
      <c r="G1808" t="s">
        <v>34</v>
      </c>
      <c r="H1808" t="s">
        <v>4539</v>
      </c>
      <c r="I1808">
        <v>90</v>
      </c>
      <c r="J1808">
        <v>176</v>
      </c>
    </row>
    <row r="1809" spans="1:10" x14ac:dyDescent="0.35">
      <c r="A1809">
        <v>6001085010346</v>
      </c>
      <c r="B1809" t="s">
        <v>2112</v>
      </c>
      <c r="C1809" t="s">
        <v>192</v>
      </c>
      <c r="D1809" t="s">
        <v>2113</v>
      </c>
      <c r="E1809" t="s">
        <v>22</v>
      </c>
      <c r="F1809" t="s">
        <v>361</v>
      </c>
      <c r="G1809" t="s">
        <v>73</v>
      </c>
      <c r="H1809" t="s">
        <v>4539</v>
      </c>
      <c r="I1809">
        <v>90</v>
      </c>
      <c r="J1809">
        <v>5</v>
      </c>
    </row>
    <row r="1810" spans="1:10" x14ac:dyDescent="0.35">
      <c r="A1810">
        <v>6001085010469</v>
      </c>
      <c r="B1810" t="s">
        <v>2114</v>
      </c>
      <c r="C1810" t="s">
        <v>326</v>
      </c>
      <c r="D1810" t="s">
        <v>1456</v>
      </c>
      <c r="E1810" t="s">
        <v>22</v>
      </c>
      <c r="F1810" t="s">
        <v>361</v>
      </c>
      <c r="G1810" t="s">
        <v>73</v>
      </c>
      <c r="H1810" t="s">
        <v>4539</v>
      </c>
      <c r="J1810">
        <v>7</v>
      </c>
    </row>
    <row r="1811" spans="1:10" x14ac:dyDescent="0.35">
      <c r="A1811">
        <v>6001085013149</v>
      </c>
      <c r="B1811" t="s">
        <v>2115</v>
      </c>
      <c r="C1811" t="s">
        <v>610</v>
      </c>
      <c r="D1811" t="s">
        <v>2116</v>
      </c>
      <c r="E1811" t="s">
        <v>22</v>
      </c>
      <c r="F1811" t="s">
        <v>361</v>
      </c>
      <c r="G1811" t="s">
        <v>73</v>
      </c>
      <c r="H1811" t="s">
        <v>4539</v>
      </c>
      <c r="J1811">
        <v>1</v>
      </c>
    </row>
    <row r="1812" spans="1:10" x14ac:dyDescent="0.35">
      <c r="A1812">
        <v>6001085013156</v>
      </c>
      <c r="B1812" t="s">
        <v>2117</v>
      </c>
      <c r="C1812" t="s">
        <v>610</v>
      </c>
      <c r="D1812" t="s">
        <v>2116</v>
      </c>
      <c r="E1812" t="s">
        <v>22</v>
      </c>
      <c r="F1812" t="s">
        <v>361</v>
      </c>
      <c r="G1812" t="s">
        <v>34</v>
      </c>
      <c r="H1812" t="s">
        <v>4539</v>
      </c>
      <c r="J1812">
        <v>4</v>
      </c>
    </row>
    <row r="1813" spans="1:10" x14ac:dyDescent="0.35">
      <c r="A1813">
        <v>6001085061317</v>
      </c>
      <c r="B1813" t="s">
        <v>2118</v>
      </c>
      <c r="C1813" t="s">
        <v>43</v>
      </c>
      <c r="D1813" t="s">
        <v>2119</v>
      </c>
      <c r="E1813" t="s">
        <v>22</v>
      </c>
      <c r="F1813" t="s">
        <v>361</v>
      </c>
      <c r="G1813" t="s">
        <v>34</v>
      </c>
      <c r="H1813" t="s">
        <v>4539</v>
      </c>
      <c r="J1813">
        <v>1</v>
      </c>
    </row>
    <row r="1814" spans="1:10" x14ac:dyDescent="0.35">
      <c r="A1814">
        <v>6001085116956</v>
      </c>
      <c r="B1814" t="s">
        <v>2120</v>
      </c>
      <c r="C1814" t="s">
        <v>610</v>
      </c>
      <c r="D1814" t="s">
        <v>1456</v>
      </c>
      <c r="E1814" t="s">
        <v>22</v>
      </c>
      <c r="F1814" t="s">
        <v>361</v>
      </c>
      <c r="G1814" t="s">
        <v>73</v>
      </c>
      <c r="H1814" t="s">
        <v>4539</v>
      </c>
      <c r="J1814">
        <v>9</v>
      </c>
    </row>
    <row r="1815" spans="1:10" x14ac:dyDescent="0.35">
      <c r="A1815">
        <v>6001085120229</v>
      </c>
      <c r="B1815" t="s">
        <v>2121</v>
      </c>
      <c r="C1815" t="s">
        <v>326</v>
      </c>
      <c r="D1815" t="s">
        <v>1456</v>
      </c>
      <c r="E1815" t="s">
        <v>22</v>
      </c>
      <c r="F1815" t="s">
        <v>361</v>
      </c>
      <c r="G1815" t="s">
        <v>73</v>
      </c>
      <c r="H1815" t="s">
        <v>4539</v>
      </c>
      <c r="J1815">
        <v>3</v>
      </c>
    </row>
    <row r="1816" spans="1:10" x14ac:dyDescent="0.35">
      <c r="A1816">
        <v>6001087005647</v>
      </c>
      <c r="B1816" t="s">
        <v>2122</v>
      </c>
      <c r="C1816" t="s">
        <v>1115</v>
      </c>
      <c r="D1816" t="s">
        <v>2123</v>
      </c>
      <c r="E1816" t="s">
        <v>22</v>
      </c>
      <c r="F1816" t="s">
        <v>361</v>
      </c>
      <c r="G1816" t="s">
        <v>73</v>
      </c>
      <c r="H1816" t="s">
        <v>4539</v>
      </c>
      <c r="J1816">
        <v>2</v>
      </c>
    </row>
    <row r="1817" spans="1:10" x14ac:dyDescent="0.35">
      <c r="A1817">
        <v>6001087006057</v>
      </c>
      <c r="B1817" t="s">
        <v>2124</v>
      </c>
      <c r="C1817" t="s">
        <v>326</v>
      </c>
      <c r="D1817" t="s">
        <v>2125</v>
      </c>
      <c r="E1817" t="s">
        <v>22</v>
      </c>
      <c r="F1817" t="s">
        <v>361</v>
      </c>
      <c r="G1817" t="s">
        <v>34</v>
      </c>
      <c r="H1817" t="s">
        <v>4539</v>
      </c>
      <c r="J1817">
        <v>2</v>
      </c>
    </row>
    <row r="1818" spans="1:10" x14ac:dyDescent="0.35">
      <c r="A1818">
        <v>6001087006057</v>
      </c>
      <c r="B1818" t="s">
        <v>2124</v>
      </c>
      <c r="C1818" t="s">
        <v>326</v>
      </c>
      <c r="D1818" t="s">
        <v>2125</v>
      </c>
      <c r="E1818" t="s">
        <v>22</v>
      </c>
      <c r="F1818" t="s">
        <v>361</v>
      </c>
      <c r="G1818" t="s">
        <v>73</v>
      </c>
      <c r="H1818" t="s">
        <v>4539</v>
      </c>
      <c r="J1818">
        <v>7</v>
      </c>
    </row>
    <row r="1819" spans="1:10" x14ac:dyDescent="0.35">
      <c r="A1819">
        <v>6001087006095</v>
      </c>
      <c r="B1819" t="s">
        <v>2126</v>
      </c>
      <c r="C1819" t="s">
        <v>326</v>
      </c>
      <c r="D1819" t="s">
        <v>2125</v>
      </c>
      <c r="E1819" t="s">
        <v>22</v>
      </c>
      <c r="F1819" t="s">
        <v>361</v>
      </c>
      <c r="G1819" t="s">
        <v>34</v>
      </c>
      <c r="H1819" t="s">
        <v>4539</v>
      </c>
      <c r="J1819">
        <v>1</v>
      </c>
    </row>
    <row r="1820" spans="1:10" x14ac:dyDescent="0.35">
      <c r="A1820">
        <v>6001087009928</v>
      </c>
      <c r="B1820" t="s">
        <v>2127</v>
      </c>
      <c r="C1820" t="s">
        <v>83</v>
      </c>
      <c r="D1820" t="s">
        <v>2128</v>
      </c>
      <c r="E1820" t="s">
        <v>22</v>
      </c>
      <c r="F1820" t="s">
        <v>361</v>
      </c>
      <c r="G1820" t="s">
        <v>33</v>
      </c>
      <c r="H1820" t="s">
        <v>4539</v>
      </c>
      <c r="J1820">
        <v>1</v>
      </c>
    </row>
    <row r="1821" spans="1:10" x14ac:dyDescent="0.35">
      <c r="A1821">
        <v>6001087012010</v>
      </c>
      <c r="B1821" t="s">
        <v>2129</v>
      </c>
      <c r="C1821" t="s">
        <v>83</v>
      </c>
      <c r="D1821" t="s">
        <v>2123</v>
      </c>
      <c r="E1821" t="s">
        <v>22</v>
      </c>
      <c r="F1821" t="s">
        <v>361</v>
      </c>
      <c r="G1821" t="s">
        <v>117</v>
      </c>
      <c r="H1821" t="s">
        <v>4539</v>
      </c>
      <c r="J1821">
        <v>50</v>
      </c>
    </row>
    <row r="1822" spans="1:10" x14ac:dyDescent="0.35">
      <c r="A1822">
        <v>6001087012010</v>
      </c>
      <c r="B1822" t="s">
        <v>2129</v>
      </c>
      <c r="C1822" t="s">
        <v>83</v>
      </c>
      <c r="D1822" t="s">
        <v>2123</v>
      </c>
      <c r="E1822" t="s">
        <v>22</v>
      </c>
      <c r="F1822" t="s">
        <v>361</v>
      </c>
      <c r="G1822" t="s">
        <v>33</v>
      </c>
      <c r="H1822" t="s">
        <v>4539</v>
      </c>
      <c r="J1822">
        <v>100</v>
      </c>
    </row>
    <row r="1823" spans="1:10" x14ac:dyDescent="0.35">
      <c r="A1823">
        <v>6001087012010</v>
      </c>
      <c r="B1823" t="s">
        <v>2129</v>
      </c>
      <c r="C1823" t="s">
        <v>83</v>
      </c>
      <c r="D1823" t="s">
        <v>2123</v>
      </c>
      <c r="E1823" t="s">
        <v>22</v>
      </c>
      <c r="F1823" t="s">
        <v>361</v>
      </c>
      <c r="G1823" t="s">
        <v>150</v>
      </c>
      <c r="H1823" t="s">
        <v>4539</v>
      </c>
      <c r="J1823">
        <v>3</v>
      </c>
    </row>
    <row r="1824" spans="1:10" x14ac:dyDescent="0.35">
      <c r="A1824">
        <v>6001087012317</v>
      </c>
      <c r="B1824" t="s">
        <v>1252</v>
      </c>
      <c r="C1824" t="s">
        <v>173</v>
      </c>
      <c r="D1824" t="s">
        <v>2128</v>
      </c>
      <c r="E1824" t="s">
        <v>22</v>
      </c>
      <c r="F1824" t="s">
        <v>361</v>
      </c>
      <c r="G1824" t="s">
        <v>34</v>
      </c>
      <c r="H1824" t="s">
        <v>4539</v>
      </c>
      <c r="J1824">
        <v>1</v>
      </c>
    </row>
    <row r="1825" spans="1:10" x14ac:dyDescent="0.35">
      <c r="A1825">
        <v>6001087012348</v>
      </c>
      <c r="B1825" t="s">
        <v>2130</v>
      </c>
      <c r="C1825" t="s">
        <v>83</v>
      </c>
      <c r="D1825" t="s">
        <v>2128</v>
      </c>
      <c r="E1825" t="s">
        <v>22</v>
      </c>
      <c r="F1825" t="s">
        <v>361</v>
      </c>
      <c r="G1825" t="s">
        <v>117</v>
      </c>
      <c r="H1825" t="s">
        <v>4539</v>
      </c>
      <c r="J1825">
        <v>1</v>
      </c>
    </row>
    <row r="1826" spans="1:10" x14ac:dyDescent="0.35">
      <c r="A1826">
        <v>6001087012348</v>
      </c>
      <c r="B1826" t="s">
        <v>2130</v>
      </c>
      <c r="C1826" t="s">
        <v>83</v>
      </c>
      <c r="D1826" t="s">
        <v>2128</v>
      </c>
      <c r="E1826" t="s">
        <v>22</v>
      </c>
      <c r="F1826" t="s">
        <v>361</v>
      </c>
      <c r="G1826" t="s">
        <v>34</v>
      </c>
      <c r="H1826" t="s">
        <v>4539</v>
      </c>
      <c r="J1826">
        <v>2</v>
      </c>
    </row>
    <row r="1827" spans="1:10" x14ac:dyDescent="0.35">
      <c r="A1827">
        <v>6001087012348</v>
      </c>
      <c r="B1827" t="s">
        <v>2130</v>
      </c>
      <c r="C1827" t="s">
        <v>83</v>
      </c>
      <c r="D1827" t="s">
        <v>2128</v>
      </c>
      <c r="E1827" t="s">
        <v>22</v>
      </c>
      <c r="F1827" t="s">
        <v>361</v>
      </c>
      <c r="G1827" t="s">
        <v>73</v>
      </c>
      <c r="H1827" t="s">
        <v>4539</v>
      </c>
      <c r="J1827">
        <v>2</v>
      </c>
    </row>
    <row r="1828" spans="1:10" x14ac:dyDescent="0.35">
      <c r="A1828">
        <v>6001087357050</v>
      </c>
      <c r="B1828" t="s">
        <v>2131</v>
      </c>
      <c r="C1828" t="s">
        <v>83</v>
      </c>
      <c r="D1828" t="s">
        <v>2123</v>
      </c>
      <c r="E1828" t="s">
        <v>22</v>
      </c>
      <c r="F1828" t="s">
        <v>361</v>
      </c>
      <c r="G1828" t="s">
        <v>117</v>
      </c>
      <c r="H1828" t="s">
        <v>4539</v>
      </c>
      <c r="J1828">
        <v>1</v>
      </c>
    </row>
    <row r="1829" spans="1:10" x14ac:dyDescent="0.35">
      <c r="A1829">
        <v>6001087358743</v>
      </c>
      <c r="B1829" t="s">
        <v>2132</v>
      </c>
      <c r="C1829" t="s">
        <v>326</v>
      </c>
      <c r="D1829" t="s">
        <v>2113</v>
      </c>
      <c r="E1829" t="s">
        <v>22</v>
      </c>
      <c r="F1829" t="s">
        <v>361</v>
      </c>
      <c r="G1829" t="s">
        <v>34</v>
      </c>
      <c r="H1829" t="s">
        <v>4539</v>
      </c>
      <c r="J1829">
        <v>130</v>
      </c>
    </row>
    <row r="1830" spans="1:10" x14ac:dyDescent="0.35">
      <c r="A1830">
        <v>6001087358743</v>
      </c>
      <c r="B1830" t="s">
        <v>2132</v>
      </c>
      <c r="C1830" t="s">
        <v>326</v>
      </c>
      <c r="D1830" t="s">
        <v>2113</v>
      </c>
      <c r="E1830" t="s">
        <v>22</v>
      </c>
      <c r="F1830" t="s">
        <v>361</v>
      </c>
      <c r="G1830" t="s">
        <v>73</v>
      </c>
      <c r="H1830" t="s">
        <v>4539</v>
      </c>
      <c r="J1830">
        <v>9</v>
      </c>
    </row>
    <row r="1831" spans="1:10" x14ac:dyDescent="0.35">
      <c r="A1831">
        <v>6001087387798</v>
      </c>
      <c r="B1831" t="s">
        <v>2133</v>
      </c>
      <c r="C1831" t="s">
        <v>81</v>
      </c>
      <c r="D1831" t="s">
        <v>2113</v>
      </c>
      <c r="E1831" t="s">
        <v>22</v>
      </c>
      <c r="F1831" t="s">
        <v>361</v>
      </c>
      <c r="G1831" t="s">
        <v>34</v>
      </c>
      <c r="H1831" t="s">
        <v>4539</v>
      </c>
      <c r="J1831">
        <v>2</v>
      </c>
    </row>
    <row r="1832" spans="1:10" x14ac:dyDescent="0.35">
      <c r="A1832">
        <v>6001087391733</v>
      </c>
      <c r="B1832" t="s">
        <v>2124</v>
      </c>
      <c r="C1832" t="s">
        <v>610</v>
      </c>
      <c r="D1832" t="s">
        <v>2125</v>
      </c>
      <c r="E1832" t="s">
        <v>22</v>
      </c>
      <c r="F1832" t="s">
        <v>361</v>
      </c>
      <c r="G1832" t="s">
        <v>73</v>
      </c>
      <c r="H1832" t="s">
        <v>4539</v>
      </c>
      <c r="J1832">
        <v>3</v>
      </c>
    </row>
    <row r="1833" spans="1:10" x14ac:dyDescent="0.35">
      <c r="A1833">
        <v>6001087392228</v>
      </c>
      <c r="B1833" t="s">
        <v>2134</v>
      </c>
      <c r="C1833" t="s">
        <v>81</v>
      </c>
      <c r="D1833" t="s">
        <v>2135</v>
      </c>
      <c r="E1833" t="s">
        <v>22</v>
      </c>
      <c r="F1833" t="s">
        <v>361</v>
      </c>
      <c r="G1833" t="s">
        <v>34</v>
      </c>
      <c r="H1833" t="s">
        <v>4539</v>
      </c>
      <c r="J1833">
        <v>1</v>
      </c>
    </row>
    <row r="1834" spans="1:10" x14ac:dyDescent="0.35">
      <c r="A1834">
        <v>6001106100551</v>
      </c>
      <c r="B1834" t="s">
        <v>2136</v>
      </c>
      <c r="C1834" t="s">
        <v>326</v>
      </c>
      <c r="D1834" t="s">
        <v>2137</v>
      </c>
      <c r="E1834" t="s">
        <v>22</v>
      </c>
      <c r="F1834" t="s">
        <v>1568</v>
      </c>
      <c r="G1834" t="s">
        <v>73</v>
      </c>
      <c r="H1834" t="s">
        <v>4700</v>
      </c>
      <c r="J1834">
        <v>4</v>
      </c>
    </row>
    <row r="1835" spans="1:10" x14ac:dyDescent="0.35">
      <c r="A1835">
        <v>6001106107031</v>
      </c>
      <c r="B1835" t="s">
        <v>2138</v>
      </c>
      <c r="C1835" t="s">
        <v>326</v>
      </c>
      <c r="D1835" t="s">
        <v>2139</v>
      </c>
      <c r="E1835" t="s">
        <v>22</v>
      </c>
      <c r="F1835" t="s">
        <v>1568</v>
      </c>
      <c r="G1835" t="s">
        <v>34</v>
      </c>
      <c r="H1835" t="s">
        <v>4700</v>
      </c>
      <c r="J1835">
        <v>1</v>
      </c>
    </row>
    <row r="1836" spans="1:10" x14ac:dyDescent="0.35">
      <c r="A1836">
        <v>6001106107178</v>
      </c>
      <c r="B1836" t="s">
        <v>2140</v>
      </c>
      <c r="C1836" t="s">
        <v>610</v>
      </c>
      <c r="D1836" t="s">
        <v>2139</v>
      </c>
      <c r="E1836" t="s">
        <v>22</v>
      </c>
      <c r="F1836" t="s">
        <v>1568</v>
      </c>
      <c r="G1836" t="s">
        <v>34</v>
      </c>
      <c r="H1836" t="s">
        <v>4700</v>
      </c>
      <c r="J1836">
        <v>1</v>
      </c>
    </row>
    <row r="1837" spans="1:10" x14ac:dyDescent="0.35">
      <c r="A1837">
        <v>6001106117047</v>
      </c>
      <c r="B1837" t="s">
        <v>2141</v>
      </c>
      <c r="C1837" t="s">
        <v>326</v>
      </c>
      <c r="D1837" t="s">
        <v>2137</v>
      </c>
      <c r="E1837" t="s">
        <v>22</v>
      </c>
      <c r="F1837" t="s">
        <v>1568</v>
      </c>
      <c r="G1837" t="s">
        <v>73</v>
      </c>
      <c r="H1837" t="s">
        <v>4700</v>
      </c>
      <c r="J1837">
        <v>9</v>
      </c>
    </row>
    <row r="1838" spans="1:10" x14ac:dyDescent="0.35">
      <c r="A1838">
        <v>6001106120559</v>
      </c>
      <c r="B1838" t="s">
        <v>2142</v>
      </c>
      <c r="C1838" t="s">
        <v>9</v>
      </c>
      <c r="D1838" t="s">
        <v>1570</v>
      </c>
      <c r="E1838" t="s">
        <v>22</v>
      </c>
      <c r="F1838" t="s">
        <v>1568</v>
      </c>
      <c r="G1838" t="s">
        <v>34</v>
      </c>
      <c r="H1838" t="s">
        <v>4700</v>
      </c>
      <c r="J1838">
        <v>2</v>
      </c>
    </row>
    <row r="1839" spans="1:10" x14ac:dyDescent="0.35">
      <c r="A1839">
        <v>6001106122966</v>
      </c>
      <c r="B1839" t="s">
        <v>2143</v>
      </c>
      <c r="C1839" t="s">
        <v>66</v>
      </c>
      <c r="D1839" t="s">
        <v>1570</v>
      </c>
      <c r="E1839" t="s">
        <v>22</v>
      </c>
      <c r="F1839" t="s">
        <v>1568</v>
      </c>
      <c r="G1839" t="s">
        <v>34</v>
      </c>
      <c r="H1839" t="s">
        <v>4700</v>
      </c>
      <c r="J1839">
        <v>1</v>
      </c>
    </row>
    <row r="1840" spans="1:10" x14ac:dyDescent="0.35">
      <c r="A1840">
        <v>6001106227616</v>
      </c>
      <c r="B1840" t="s">
        <v>2144</v>
      </c>
      <c r="C1840" t="s">
        <v>326</v>
      </c>
      <c r="D1840" t="s">
        <v>2145</v>
      </c>
      <c r="E1840" t="s">
        <v>22</v>
      </c>
      <c r="F1840" t="s">
        <v>1568</v>
      </c>
      <c r="G1840" t="s">
        <v>31</v>
      </c>
      <c r="H1840" t="s">
        <v>4700</v>
      </c>
      <c r="J1840">
        <v>11</v>
      </c>
    </row>
    <row r="1841" spans="1:10" x14ac:dyDescent="0.35">
      <c r="A1841">
        <v>6001106227616</v>
      </c>
      <c r="B1841" t="s">
        <v>2144</v>
      </c>
      <c r="C1841" t="s">
        <v>326</v>
      </c>
      <c r="D1841" t="s">
        <v>2145</v>
      </c>
      <c r="E1841" t="s">
        <v>22</v>
      </c>
      <c r="F1841" t="s">
        <v>1568</v>
      </c>
      <c r="G1841" t="s">
        <v>73</v>
      </c>
      <c r="H1841" t="s">
        <v>4700</v>
      </c>
      <c r="J1841">
        <v>1</v>
      </c>
    </row>
    <row r="1842" spans="1:10" x14ac:dyDescent="0.35">
      <c r="A1842">
        <v>6001106228095</v>
      </c>
      <c r="B1842" t="s">
        <v>2146</v>
      </c>
      <c r="C1842" t="s">
        <v>2147</v>
      </c>
      <c r="D1842" t="s">
        <v>1570</v>
      </c>
      <c r="E1842" t="s">
        <v>22</v>
      </c>
      <c r="F1842" t="s">
        <v>1568</v>
      </c>
      <c r="G1842" t="s">
        <v>61</v>
      </c>
      <c r="H1842" t="s">
        <v>4700</v>
      </c>
      <c r="J1842">
        <v>1</v>
      </c>
    </row>
    <row r="1843" spans="1:10" x14ac:dyDescent="0.35">
      <c r="A1843">
        <v>6001108028044</v>
      </c>
      <c r="B1843" t="s">
        <v>2148</v>
      </c>
      <c r="C1843" t="s">
        <v>1199</v>
      </c>
      <c r="D1843" t="s">
        <v>2148</v>
      </c>
      <c r="E1843" t="s">
        <v>73</v>
      </c>
      <c r="F1843" t="s">
        <v>2149</v>
      </c>
      <c r="G1843" t="s">
        <v>61</v>
      </c>
      <c r="H1843" t="s">
        <v>4762</v>
      </c>
      <c r="J1843">
        <v>48</v>
      </c>
    </row>
    <row r="1844" spans="1:10" x14ac:dyDescent="0.35">
      <c r="A1844">
        <v>6001134087305</v>
      </c>
      <c r="B1844" t="s">
        <v>2150</v>
      </c>
      <c r="C1844" t="s">
        <v>78</v>
      </c>
      <c r="D1844" t="s">
        <v>451</v>
      </c>
      <c r="E1844" t="s">
        <v>15</v>
      </c>
      <c r="F1844" t="s">
        <v>14</v>
      </c>
      <c r="G1844" t="s">
        <v>34</v>
      </c>
      <c r="H1844" t="s">
        <v>4489</v>
      </c>
      <c r="J1844">
        <v>1</v>
      </c>
    </row>
    <row r="1845" spans="1:10" x14ac:dyDescent="0.35">
      <c r="A1845">
        <v>6001134087305</v>
      </c>
      <c r="B1845" t="s">
        <v>2150</v>
      </c>
      <c r="C1845" t="s">
        <v>78</v>
      </c>
      <c r="D1845" t="s">
        <v>451</v>
      </c>
      <c r="E1845" t="s">
        <v>15</v>
      </c>
      <c r="F1845" t="s">
        <v>14</v>
      </c>
      <c r="G1845" t="s">
        <v>73</v>
      </c>
      <c r="H1845" t="s">
        <v>4489</v>
      </c>
      <c r="J1845">
        <v>1</v>
      </c>
    </row>
    <row r="1846" spans="1:10" x14ac:dyDescent="0.35">
      <c r="A1846">
        <v>6001134297308</v>
      </c>
      <c r="B1846" t="s">
        <v>1903</v>
      </c>
      <c r="C1846" t="s">
        <v>78</v>
      </c>
      <c r="D1846" t="s">
        <v>2151</v>
      </c>
      <c r="E1846" t="s">
        <v>15</v>
      </c>
      <c r="F1846" t="s">
        <v>14</v>
      </c>
      <c r="G1846" t="s">
        <v>73</v>
      </c>
      <c r="H1846" t="s">
        <v>4489</v>
      </c>
      <c r="J1846">
        <v>1</v>
      </c>
    </row>
    <row r="1847" spans="1:10" x14ac:dyDescent="0.35">
      <c r="A1847">
        <v>6001134707302</v>
      </c>
      <c r="B1847" t="s">
        <v>2152</v>
      </c>
      <c r="C1847" t="s">
        <v>78</v>
      </c>
      <c r="D1847" t="s">
        <v>1893</v>
      </c>
      <c r="E1847" t="s">
        <v>15</v>
      </c>
      <c r="F1847" t="s">
        <v>14</v>
      </c>
      <c r="G1847" t="s">
        <v>73</v>
      </c>
      <c r="H1847" t="s">
        <v>4489</v>
      </c>
      <c r="J1847">
        <v>3</v>
      </c>
    </row>
    <row r="1848" spans="1:10" x14ac:dyDescent="0.35">
      <c r="A1848">
        <v>6001135009450</v>
      </c>
      <c r="B1848" t="s">
        <v>2153</v>
      </c>
      <c r="C1848" t="s">
        <v>253</v>
      </c>
      <c r="D1848" t="s">
        <v>2154</v>
      </c>
      <c r="E1848" t="s">
        <v>15</v>
      </c>
      <c r="F1848" t="s">
        <v>2155</v>
      </c>
      <c r="G1848" t="s">
        <v>34</v>
      </c>
      <c r="H1848" t="s">
        <v>4763</v>
      </c>
      <c r="J1848">
        <v>1</v>
      </c>
    </row>
    <row r="1849" spans="1:10" x14ac:dyDescent="0.35">
      <c r="A1849">
        <v>6001135009450</v>
      </c>
      <c r="B1849" t="s">
        <v>2153</v>
      </c>
      <c r="C1849" t="s">
        <v>253</v>
      </c>
      <c r="D1849" t="s">
        <v>2154</v>
      </c>
      <c r="E1849" t="s">
        <v>15</v>
      </c>
      <c r="F1849" t="s">
        <v>2155</v>
      </c>
      <c r="G1849" t="s">
        <v>61</v>
      </c>
      <c r="H1849" t="s">
        <v>4763</v>
      </c>
      <c r="J1849">
        <v>1</v>
      </c>
    </row>
    <row r="1850" spans="1:10" x14ac:dyDescent="0.35">
      <c r="A1850">
        <v>6001135009450</v>
      </c>
      <c r="B1850" t="s">
        <v>2153</v>
      </c>
      <c r="C1850" t="s">
        <v>253</v>
      </c>
      <c r="D1850" t="s">
        <v>2154</v>
      </c>
      <c r="E1850" t="s">
        <v>15</v>
      </c>
      <c r="F1850" t="s">
        <v>2155</v>
      </c>
      <c r="G1850" t="s">
        <v>73</v>
      </c>
      <c r="H1850" t="s">
        <v>4763</v>
      </c>
      <c r="J1850">
        <v>1</v>
      </c>
    </row>
    <row r="1851" spans="1:10" x14ac:dyDescent="0.35">
      <c r="A1851">
        <v>6001137101398</v>
      </c>
      <c r="B1851" t="s">
        <v>2156</v>
      </c>
      <c r="C1851" t="s">
        <v>1115</v>
      </c>
      <c r="D1851" t="s">
        <v>2154</v>
      </c>
      <c r="E1851" t="s">
        <v>15</v>
      </c>
      <c r="F1851" t="s">
        <v>2155</v>
      </c>
      <c r="G1851" t="s">
        <v>73</v>
      </c>
      <c r="H1851" t="s">
        <v>4763</v>
      </c>
      <c r="J1851">
        <v>1</v>
      </c>
    </row>
    <row r="1852" spans="1:10" x14ac:dyDescent="0.35">
      <c r="A1852">
        <v>6001240100073</v>
      </c>
      <c r="B1852" t="s">
        <v>349</v>
      </c>
      <c r="C1852" t="s">
        <v>81</v>
      </c>
      <c r="D1852" t="s">
        <v>2157</v>
      </c>
      <c r="E1852" t="s">
        <v>73</v>
      </c>
      <c r="F1852" t="s">
        <v>2085</v>
      </c>
      <c r="G1852" t="s">
        <v>41</v>
      </c>
      <c r="H1852" t="s">
        <v>4758</v>
      </c>
      <c r="J1852">
        <v>165</v>
      </c>
    </row>
    <row r="1853" spans="1:10" x14ac:dyDescent="0.35">
      <c r="A1853">
        <v>6001240100660</v>
      </c>
      <c r="B1853" t="s">
        <v>2158</v>
      </c>
      <c r="C1853" t="s">
        <v>81</v>
      </c>
      <c r="D1853" t="s">
        <v>2157</v>
      </c>
      <c r="E1853" t="s">
        <v>73</v>
      </c>
      <c r="F1853" t="s">
        <v>2085</v>
      </c>
      <c r="G1853" t="s">
        <v>34</v>
      </c>
      <c r="H1853" t="s">
        <v>4758</v>
      </c>
      <c r="J1853">
        <v>1</v>
      </c>
    </row>
    <row r="1854" spans="1:10" x14ac:dyDescent="0.35">
      <c r="A1854">
        <v>6001240100714</v>
      </c>
      <c r="B1854" t="s">
        <v>2159</v>
      </c>
      <c r="C1854" t="s">
        <v>81</v>
      </c>
      <c r="D1854" t="s">
        <v>2157</v>
      </c>
      <c r="E1854" t="s">
        <v>73</v>
      </c>
      <c r="F1854" t="s">
        <v>2085</v>
      </c>
      <c r="G1854" t="s">
        <v>33</v>
      </c>
      <c r="H1854" t="s">
        <v>4758</v>
      </c>
      <c r="J1854">
        <v>7</v>
      </c>
    </row>
    <row r="1855" spans="1:10" x14ac:dyDescent="0.35">
      <c r="A1855">
        <v>6001240100714</v>
      </c>
      <c r="B1855" t="s">
        <v>2159</v>
      </c>
      <c r="C1855" t="s">
        <v>81</v>
      </c>
      <c r="D1855" t="s">
        <v>2157</v>
      </c>
      <c r="E1855" t="s">
        <v>73</v>
      </c>
      <c r="F1855" t="s">
        <v>2085</v>
      </c>
      <c r="G1855" t="s">
        <v>34</v>
      </c>
      <c r="H1855" t="s">
        <v>4758</v>
      </c>
      <c r="J1855">
        <v>3</v>
      </c>
    </row>
    <row r="1856" spans="1:10" x14ac:dyDescent="0.35">
      <c r="A1856">
        <v>6001240200018</v>
      </c>
      <c r="B1856" t="s">
        <v>196</v>
      </c>
      <c r="C1856" t="s">
        <v>36</v>
      </c>
      <c r="D1856" t="s">
        <v>2157</v>
      </c>
      <c r="E1856" t="s">
        <v>73</v>
      </c>
      <c r="F1856" t="s">
        <v>2085</v>
      </c>
      <c r="G1856" t="s">
        <v>34</v>
      </c>
      <c r="H1856" t="s">
        <v>4758</v>
      </c>
      <c r="J1856">
        <v>1</v>
      </c>
    </row>
    <row r="1857" spans="1:10" x14ac:dyDescent="0.35">
      <c r="A1857">
        <v>6001240229927</v>
      </c>
      <c r="B1857" t="s">
        <v>2160</v>
      </c>
      <c r="C1857" t="s">
        <v>192</v>
      </c>
      <c r="D1857" t="s">
        <v>1302</v>
      </c>
      <c r="E1857" t="s">
        <v>22</v>
      </c>
      <c r="F1857" t="s">
        <v>361</v>
      </c>
      <c r="G1857" t="s">
        <v>34</v>
      </c>
      <c r="H1857" t="s">
        <v>4539</v>
      </c>
      <c r="J1857">
        <v>1</v>
      </c>
    </row>
    <row r="1858" spans="1:10" x14ac:dyDescent="0.35">
      <c r="A1858">
        <v>6001240229927</v>
      </c>
      <c r="B1858" t="s">
        <v>2160</v>
      </c>
      <c r="C1858" t="s">
        <v>192</v>
      </c>
      <c r="D1858" t="s">
        <v>1302</v>
      </c>
      <c r="E1858" t="s">
        <v>22</v>
      </c>
      <c r="F1858" t="s">
        <v>361</v>
      </c>
      <c r="G1858" t="s">
        <v>73</v>
      </c>
      <c r="H1858" t="s">
        <v>4539</v>
      </c>
      <c r="J1858">
        <v>1</v>
      </c>
    </row>
    <row r="1859" spans="1:10" x14ac:dyDescent="0.35">
      <c r="A1859">
        <v>6001240229941</v>
      </c>
      <c r="B1859" t="s">
        <v>2161</v>
      </c>
      <c r="C1859" t="s">
        <v>192</v>
      </c>
      <c r="D1859" t="s">
        <v>1302</v>
      </c>
      <c r="E1859" t="s">
        <v>22</v>
      </c>
      <c r="F1859" t="s">
        <v>361</v>
      </c>
      <c r="G1859" t="s">
        <v>34</v>
      </c>
      <c r="H1859" t="s">
        <v>4539</v>
      </c>
      <c r="J1859">
        <v>3</v>
      </c>
    </row>
    <row r="1860" spans="1:10" x14ac:dyDescent="0.35">
      <c r="A1860">
        <v>6001240240960</v>
      </c>
      <c r="B1860" t="s">
        <v>2162</v>
      </c>
      <c r="C1860" t="s">
        <v>110</v>
      </c>
      <c r="D1860" t="s">
        <v>2157</v>
      </c>
      <c r="E1860" t="s">
        <v>73</v>
      </c>
      <c r="F1860" t="s">
        <v>2085</v>
      </c>
      <c r="G1860" t="s">
        <v>34</v>
      </c>
      <c r="H1860" t="s">
        <v>4758</v>
      </c>
      <c r="J1860">
        <v>1</v>
      </c>
    </row>
    <row r="1861" spans="1:10" x14ac:dyDescent="0.35">
      <c r="A1861">
        <v>6001285007122</v>
      </c>
      <c r="B1861" t="s">
        <v>2163</v>
      </c>
      <c r="C1861" t="s">
        <v>81</v>
      </c>
      <c r="D1861" t="s">
        <v>2157</v>
      </c>
      <c r="E1861" t="s">
        <v>73</v>
      </c>
      <c r="F1861" t="s">
        <v>2085</v>
      </c>
      <c r="G1861" t="s">
        <v>34</v>
      </c>
      <c r="H1861" t="s">
        <v>4758</v>
      </c>
      <c r="J1861">
        <v>2</v>
      </c>
    </row>
    <row r="1862" spans="1:10" x14ac:dyDescent="0.35">
      <c r="A1862">
        <v>6001285007146</v>
      </c>
      <c r="B1862" t="s">
        <v>2164</v>
      </c>
      <c r="C1862" t="s">
        <v>81</v>
      </c>
      <c r="D1862" t="s">
        <v>2157</v>
      </c>
      <c r="E1862" t="s">
        <v>73</v>
      </c>
      <c r="F1862" t="s">
        <v>2085</v>
      </c>
      <c r="G1862" t="s">
        <v>34</v>
      </c>
      <c r="H1862" t="s">
        <v>4758</v>
      </c>
      <c r="J1862">
        <v>1</v>
      </c>
    </row>
    <row r="1863" spans="1:10" x14ac:dyDescent="0.35">
      <c r="A1863">
        <v>6001285007160</v>
      </c>
      <c r="B1863" t="s">
        <v>2165</v>
      </c>
      <c r="C1863" t="s">
        <v>81</v>
      </c>
      <c r="D1863" t="s">
        <v>2157</v>
      </c>
      <c r="E1863" t="s">
        <v>73</v>
      </c>
      <c r="F1863" t="s">
        <v>2085</v>
      </c>
      <c r="G1863" t="s">
        <v>34</v>
      </c>
      <c r="H1863" t="s">
        <v>4758</v>
      </c>
      <c r="J1863">
        <v>5</v>
      </c>
    </row>
    <row r="1864" spans="1:10" x14ac:dyDescent="0.35">
      <c r="A1864">
        <v>6001298043605</v>
      </c>
      <c r="B1864" t="s">
        <v>2166</v>
      </c>
      <c r="C1864" t="s">
        <v>9</v>
      </c>
      <c r="D1864" t="s">
        <v>2167</v>
      </c>
      <c r="E1864" t="s">
        <v>15</v>
      </c>
      <c r="F1864" t="s">
        <v>1831</v>
      </c>
      <c r="G1864" t="s">
        <v>73</v>
      </c>
      <c r="H1864" t="s">
        <v>4735</v>
      </c>
      <c r="J1864">
        <v>4</v>
      </c>
    </row>
    <row r="1865" spans="1:10" x14ac:dyDescent="0.35">
      <c r="A1865">
        <v>6001299000270</v>
      </c>
      <c r="B1865" t="s">
        <v>2168</v>
      </c>
      <c r="C1865" t="s">
        <v>78</v>
      </c>
      <c r="D1865" t="s">
        <v>1245</v>
      </c>
      <c r="E1865" t="s">
        <v>73</v>
      </c>
      <c r="F1865" t="s">
        <v>1246</v>
      </c>
      <c r="G1865" t="s">
        <v>73</v>
      </c>
      <c r="H1865" t="s">
        <v>4673</v>
      </c>
      <c r="J1865">
        <v>5</v>
      </c>
    </row>
    <row r="1866" spans="1:10" x14ac:dyDescent="0.35">
      <c r="A1866">
        <v>6001299003325</v>
      </c>
      <c r="B1866" t="s">
        <v>2169</v>
      </c>
      <c r="C1866" t="s">
        <v>43</v>
      </c>
      <c r="D1866" t="s">
        <v>1245</v>
      </c>
      <c r="E1866" t="s">
        <v>73</v>
      </c>
      <c r="F1866" t="s">
        <v>1246</v>
      </c>
      <c r="G1866" t="s">
        <v>34</v>
      </c>
      <c r="H1866" t="s">
        <v>4673</v>
      </c>
      <c r="J1866">
        <v>2</v>
      </c>
    </row>
    <row r="1867" spans="1:10" x14ac:dyDescent="0.35">
      <c r="A1867">
        <v>6001299003325</v>
      </c>
      <c r="B1867" t="s">
        <v>2169</v>
      </c>
      <c r="C1867" t="s">
        <v>43</v>
      </c>
      <c r="D1867" t="s">
        <v>1245</v>
      </c>
      <c r="E1867" t="s">
        <v>73</v>
      </c>
      <c r="F1867" t="s">
        <v>1246</v>
      </c>
      <c r="G1867" t="s">
        <v>150</v>
      </c>
      <c r="H1867" t="s">
        <v>4673</v>
      </c>
      <c r="J1867">
        <v>6</v>
      </c>
    </row>
    <row r="1868" spans="1:10" x14ac:dyDescent="0.35">
      <c r="A1868">
        <v>6001299007972</v>
      </c>
      <c r="B1868" t="s">
        <v>2170</v>
      </c>
      <c r="C1868" t="s">
        <v>253</v>
      </c>
      <c r="D1868" t="s">
        <v>1245</v>
      </c>
      <c r="E1868" t="s">
        <v>73</v>
      </c>
      <c r="F1868" t="s">
        <v>1246</v>
      </c>
      <c r="G1868" t="s">
        <v>34</v>
      </c>
      <c r="H1868" t="s">
        <v>4673</v>
      </c>
      <c r="J1868">
        <v>1</v>
      </c>
    </row>
    <row r="1869" spans="1:10" x14ac:dyDescent="0.35">
      <c r="A1869">
        <v>6001299008061</v>
      </c>
      <c r="B1869" t="s">
        <v>167</v>
      </c>
      <c r="C1869" t="s">
        <v>78</v>
      </c>
      <c r="D1869" t="s">
        <v>2170</v>
      </c>
      <c r="E1869" t="s">
        <v>308</v>
      </c>
      <c r="F1869" t="s">
        <v>309</v>
      </c>
      <c r="G1869" t="s">
        <v>34</v>
      </c>
      <c r="H1869" t="s">
        <v>4529</v>
      </c>
      <c r="J1869">
        <v>2</v>
      </c>
    </row>
    <row r="1870" spans="1:10" x14ac:dyDescent="0.35">
      <c r="A1870">
        <v>6001299008122</v>
      </c>
      <c r="B1870" t="s">
        <v>2171</v>
      </c>
      <c r="C1870" t="s">
        <v>78</v>
      </c>
      <c r="D1870" t="s">
        <v>2170</v>
      </c>
      <c r="E1870" t="s">
        <v>308</v>
      </c>
      <c r="F1870" t="s">
        <v>309</v>
      </c>
      <c r="G1870" t="s">
        <v>34</v>
      </c>
      <c r="H1870" t="s">
        <v>4529</v>
      </c>
      <c r="J1870">
        <v>2</v>
      </c>
    </row>
    <row r="1871" spans="1:10" x14ac:dyDescent="0.35">
      <c r="A1871">
        <v>6001299016608</v>
      </c>
      <c r="B1871" t="s">
        <v>2172</v>
      </c>
      <c r="C1871" t="s">
        <v>81</v>
      </c>
      <c r="D1871" t="s">
        <v>1245</v>
      </c>
      <c r="E1871" t="s">
        <v>73</v>
      </c>
      <c r="F1871" t="s">
        <v>1246</v>
      </c>
      <c r="G1871" t="s">
        <v>33</v>
      </c>
      <c r="H1871" t="s">
        <v>4673</v>
      </c>
      <c r="J1871">
        <v>50</v>
      </c>
    </row>
    <row r="1872" spans="1:10" x14ac:dyDescent="0.35">
      <c r="A1872">
        <v>6001299016608</v>
      </c>
      <c r="B1872" t="s">
        <v>2172</v>
      </c>
      <c r="C1872" t="s">
        <v>81</v>
      </c>
      <c r="D1872" t="s">
        <v>1245</v>
      </c>
      <c r="E1872" t="s">
        <v>73</v>
      </c>
      <c r="F1872" t="s">
        <v>1246</v>
      </c>
      <c r="G1872" t="s">
        <v>34</v>
      </c>
      <c r="H1872" t="s">
        <v>4673</v>
      </c>
      <c r="J1872">
        <v>50</v>
      </c>
    </row>
    <row r="1873" spans="1:10" x14ac:dyDescent="0.35">
      <c r="A1873">
        <v>6001299019678</v>
      </c>
      <c r="B1873" t="s">
        <v>2173</v>
      </c>
      <c r="C1873" t="s">
        <v>110</v>
      </c>
      <c r="D1873" t="s">
        <v>1245</v>
      </c>
      <c r="E1873" t="s">
        <v>73</v>
      </c>
      <c r="F1873" t="s">
        <v>1246</v>
      </c>
      <c r="G1873" t="s">
        <v>34</v>
      </c>
      <c r="H1873" t="s">
        <v>4673</v>
      </c>
      <c r="J1873">
        <v>2</v>
      </c>
    </row>
    <row r="1874" spans="1:10" x14ac:dyDescent="0.35">
      <c r="A1874">
        <v>6001299024931</v>
      </c>
      <c r="B1874" t="s">
        <v>2174</v>
      </c>
      <c r="C1874" t="s">
        <v>38</v>
      </c>
      <c r="D1874" t="s">
        <v>1245</v>
      </c>
      <c r="E1874" t="s">
        <v>73</v>
      </c>
      <c r="F1874" t="s">
        <v>1246</v>
      </c>
      <c r="G1874" t="s">
        <v>73</v>
      </c>
      <c r="H1874" t="s">
        <v>4673</v>
      </c>
      <c r="J1874">
        <v>25</v>
      </c>
    </row>
    <row r="1875" spans="1:10" x14ac:dyDescent="0.35">
      <c r="A1875">
        <v>6001299025402</v>
      </c>
      <c r="B1875" t="s">
        <v>2175</v>
      </c>
      <c r="C1875" t="s">
        <v>81</v>
      </c>
      <c r="D1875" t="s">
        <v>1245</v>
      </c>
      <c r="E1875" t="s">
        <v>73</v>
      </c>
      <c r="F1875" t="s">
        <v>1246</v>
      </c>
      <c r="G1875" t="s">
        <v>73</v>
      </c>
      <c r="H1875" t="s">
        <v>4673</v>
      </c>
      <c r="J1875">
        <v>1</v>
      </c>
    </row>
    <row r="1876" spans="1:10" x14ac:dyDescent="0.35">
      <c r="A1876">
        <v>6001299026973</v>
      </c>
      <c r="B1876" t="s">
        <v>2176</v>
      </c>
      <c r="C1876" t="s">
        <v>81</v>
      </c>
      <c r="D1876" t="s">
        <v>1245</v>
      </c>
      <c r="E1876" t="s">
        <v>73</v>
      </c>
      <c r="F1876" t="s">
        <v>1246</v>
      </c>
      <c r="G1876" t="s">
        <v>34</v>
      </c>
      <c r="H1876" t="s">
        <v>4673</v>
      </c>
      <c r="J1876">
        <v>4</v>
      </c>
    </row>
    <row r="1877" spans="1:10" x14ac:dyDescent="0.35">
      <c r="A1877">
        <v>6001299027284</v>
      </c>
      <c r="B1877" t="s">
        <v>2177</v>
      </c>
      <c r="C1877" t="s">
        <v>2089</v>
      </c>
      <c r="D1877" t="s">
        <v>1245</v>
      </c>
      <c r="E1877" t="s">
        <v>73</v>
      </c>
      <c r="F1877" t="s">
        <v>1246</v>
      </c>
      <c r="G1877" t="s">
        <v>34</v>
      </c>
      <c r="H1877" t="s">
        <v>4673</v>
      </c>
      <c r="J1877">
        <v>1</v>
      </c>
    </row>
    <row r="1878" spans="1:10" x14ac:dyDescent="0.35">
      <c r="A1878">
        <v>6001299033667</v>
      </c>
      <c r="B1878" t="s">
        <v>2178</v>
      </c>
      <c r="C1878" t="s">
        <v>2179</v>
      </c>
      <c r="D1878" t="s">
        <v>1245</v>
      </c>
      <c r="E1878" t="s">
        <v>73</v>
      </c>
      <c r="F1878" t="s">
        <v>1246</v>
      </c>
      <c r="G1878" t="s">
        <v>73</v>
      </c>
      <c r="H1878" t="s">
        <v>4673</v>
      </c>
      <c r="J1878">
        <v>1</v>
      </c>
    </row>
    <row r="1879" spans="1:10" x14ac:dyDescent="0.35">
      <c r="A1879">
        <v>6001299033674</v>
      </c>
      <c r="B1879" t="s">
        <v>2180</v>
      </c>
      <c r="C1879" t="s">
        <v>2179</v>
      </c>
      <c r="D1879" t="s">
        <v>1245</v>
      </c>
      <c r="E1879" t="s">
        <v>73</v>
      </c>
      <c r="F1879" t="s">
        <v>1246</v>
      </c>
      <c r="G1879" t="s">
        <v>73</v>
      </c>
      <c r="H1879" t="s">
        <v>4673</v>
      </c>
      <c r="J1879">
        <v>1</v>
      </c>
    </row>
    <row r="1880" spans="1:10" x14ac:dyDescent="0.35">
      <c r="A1880">
        <v>6001299034763</v>
      </c>
      <c r="B1880" t="s">
        <v>2181</v>
      </c>
      <c r="C1880" t="s">
        <v>94</v>
      </c>
      <c r="D1880" t="s">
        <v>1245</v>
      </c>
      <c r="E1880" t="s">
        <v>73</v>
      </c>
      <c r="F1880" t="s">
        <v>1246</v>
      </c>
      <c r="G1880" t="s">
        <v>34</v>
      </c>
      <c r="H1880" t="s">
        <v>4673</v>
      </c>
      <c r="J1880">
        <v>1</v>
      </c>
    </row>
    <row r="1881" spans="1:10" x14ac:dyDescent="0.35">
      <c r="A1881">
        <v>6001299043574</v>
      </c>
      <c r="B1881" t="s">
        <v>2182</v>
      </c>
      <c r="C1881" t="s">
        <v>9</v>
      </c>
      <c r="D1881" t="s">
        <v>1245</v>
      </c>
      <c r="E1881" t="s">
        <v>73</v>
      </c>
      <c r="F1881" t="s">
        <v>1246</v>
      </c>
      <c r="G1881" t="s">
        <v>34</v>
      </c>
      <c r="H1881" t="s">
        <v>4673</v>
      </c>
      <c r="J1881">
        <v>5</v>
      </c>
    </row>
    <row r="1882" spans="1:10" x14ac:dyDescent="0.35">
      <c r="A1882">
        <v>6001299043574</v>
      </c>
      <c r="B1882" t="s">
        <v>2182</v>
      </c>
      <c r="C1882" t="s">
        <v>9</v>
      </c>
      <c r="D1882" t="s">
        <v>1245</v>
      </c>
      <c r="E1882" t="s">
        <v>73</v>
      </c>
      <c r="F1882" t="s">
        <v>1246</v>
      </c>
      <c r="G1882" t="s">
        <v>150</v>
      </c>
      <c r="H1882" t="s">
        <v>4673</v>
      </c>
      <c r="J1882">
        <v>1</v>
      </c>
    </row>
    <row r="1883" spans="1:10" x14ac:dyDescent="0.35">
      <c r="A1883">
        <v>6001299044601</v>
      </c>
      <c r="B1883" t="s">
        <v>2183</v>
      </c>
      <c r="C1883" t="s">
        <v>38</v>
      </c>
      <c r="D1883" t="s">
        <v>1245</v>
      </c>
      <c r="E1883" t="s">
        <v>73</v>
      </c>
      <c r="F1883" t="s">
        <v>1246</v>
      </c>
      <c r="G1883" t="s">
        <v>33</v>
      </c>
      <c r="H1883" t="s">
        <v>4673</v>
      </c>
      <c r="J1883">
        <v>38</v>
      </c>
    </row>
    <row r="1884" spans="1:10" x14ac:dyDescent="0.35">
      <c r="A1884">
        <v>6001299044601</v>
      </c>
      <c r="B1884" t="s">
        <v>2183</v>
      </c>
      <c r="C1884" t="s">
        <v>38</v>
      </c>
      <c r="D1884" t="s">
        <v>1245</v>
      </c>
      <c r="E1884" t="s">
        <v>73</v>
      </c>
      <c r="F1884" t="s">
        <v>1246</v>
      </c>
      <c r="G1884" t="s">
        <v>34</v>
      </c>
      <c r="H1884" t="s">
        <v>4673</v>
      </c>
      <c r="J1884">
        <v>8</v>
      </c>
    </row>
    <row r="1885" spans="1:10" x14ac:dyDescent="0.35">
      <c r="A1885">
        <v>6001299044601</v>
      </c>
      <c r="B1885" t="s">
        <v>2183</v>
      </c>
      <c r="C1885" t="s">
        <v>38</v>
      </c>
      <c r="D1885" t="s">
        <v>1245</v>
      </c>
      <c r="E1885" t="s">
        <v>73</v>
      </c>
      <c r="F1885" t="s">
        <v>1246</v>
      </c>
      <c r="G1885" t="s">
        <v>73</v>
      </c>
      <c r="H1885" t="s">
        <v>4673</v>
      </c>
      <c r="J1885">
        <v>1</v>
      </c>
    </row>
    <row r="1886" spans="1:10" x14ac:dyDescent="0.35">
      <c r="A1886">
        <v>6001299049668</v>
      </c>
      <c r="B1886" t="s">
        <v>2184</v>
      </c>
      <c r="C1886" t="s">
        <v>253</v>
      </c>
      <c r="D1886" t="s">
        <v>1245</v>
      </c>
      <c r="E1886" t="s">
        <v>73</v>
      </c>
      <c r="F1886" t="s">
        <v>1246</v>
      </c>
      <c r="G1886" t="s">
        <v>34</v>
      </c>
      <c r="H1886" t="s">
        <v>4673</v>
      </c>
      <c r="J1886">
        <v>1</v>
      </c>
    </row>
    <row r="1887" spans="1:10" x14ac:dyDescent="0.35">
      <c r="A1887">
        <v>6001299620140</v>
      </c>
      <c r="B1887" t="s">
        <v>2185</v>
      </c>
      <c r="C1887" t="s">
        <v>2186</v>
      </c>
      <c r="D1887" t="s">
        <v>1245</v>
      </c>
      <c r="E1887" t="s">
        <v>73</v>
      </c>
      <c r="F1887" t="s">
        <v>1246</v>
      </c>
      <c r="G1887" t="s">
        <v>34</v>
      </c>
      <c r="H1887" t="s">
        <v>4673</v>
      </c>
      <c r="J1887">
        <v>4</v>
      </c>
    </row>
    <row r="1888" spans="1:10" x14ac:dyDescent="0.35">
      <c r="A1888">
        <v>6001299695216</v>
      </c>
      <c r="B1888" t="s">
        <v>2187</v>
      </c>
      <c r="C1888" t="s">
        <v>419</v>
      </c>
      <c r="D1888" t="s">
        <v>1245</v>
      </c>
      <c r="E1888" t="s">
        <v>73</v>
      </c>
      <c r="F1888" t="s">
        <v>1246</v>
      </c>
      <c r="G1888" t="s">
        <v>34</v>
      </c>
      <c r="H1888" t="s">
        <v>4673</v>
      </c>
      <c r="J1888">
        <v>1</v>
      </c>
    </row>
    <row r="1889" spans="1:10" x14ac:dyDescent="0.35">
      <c r="A1889">
        <v>6001299695216</v>
      </c>
      <c r="B1889" t="s">
        <v>2187</v>
      </c>
      <c r="C1889" t="s">
        <v>419</v>
      </c>
      <c r="D1889" t="s">
        <v>1245</v>
      </c>
      <c r="E1889" t="s">
        <v>73</v>
      </c>
      <c r="F1889" t="s">
        <v>1246</v>
      </c>
      <c r="G1889" t="s">
        <v>73</v>
      </c>
      <c r="H1889" t="s">
        <v>4673</v>
      </c>
      <c r="J1889">
        <v>1</v>
      </c>
    </row>
    <row r="1890" spans="1:10" x14ac:dyDescent="0.35">
      <c r="A1890">
        <v>6001299810312</v>
      </c>
      <c r="B1890" t="s">
        <v>2188</v>
      </c>
      <c r="C1890" t="s">
        <v>43</v>
      </c>
      <c r="D1890" t="s">
        <v>1245</v>
      </c>
      <c r="E1890" t="s">
        <v>73</v>
      </c>
      <c r="F1890" t="s">
        <v>1246</v>
      </c>
      <c r="G1890" t="s">
        <v>31</v>
      </c>
      <c r="H1890" t="s">
        <v>4673</v>
      </c>
      <c r="J1890">
        <v>1</v>
      </c>
    </row>
    <row r="1891" spans="1:10" x14ac:dyDescent="0.35">
      <c r="A1891">
        <v>6001299810312</v>
      </c>
      <c r="B1891" t="s">
        <v>2188</v>
      </c>
      <c r="C1891" t="s">
        <v>43</v>
      </c>
      <c r="D1891" t="s">
        <v>1245</v>
      </c>
      <c r="E1891" t="s">
        <v>73</v>
      </c>
      <c r="F1891" t="s">
        <v>1246</v>
      </c>
      <c r="G1891" t="s">
        <v>73</v>
      </c>
      <c r="H1891" t="s">
        <v>4673</v>
      </c>
      <c r="J1891">
        <v>8</v>
      </c>
    </row>
    <row r="1892" spans="1:10" x14ac:dyDescent="0.35">
      <c r="A1892">
        <v>6001324011172</v>
      </c>
      <c r="B1892" t="s">
        <v>2189</v>
      </c>
      <c r="C1892" t="s">
        <v>78</v>
      </c>
      <c r="D1892" t="s">
        <v>2190</v>
      </c>
      <c r="E1892" t="s">
        <v>73</v>
      </c>
      <c r="F1892" t="s">
        <v>2103</v>
      </c>
      <c r="G1892" t="s">
        <v>34</v>
      </c>
      <c r="H1892" t="s">
        <v>4760</v>
      </c>
      <c r="J1892">
        <v>43</v>
      </c>
    </row>
    <row r="1893" spans="1:10" x14ac:dyDescent="0.35">
      <c r="A1893">
        <v>6001324011172</v>
      </c>
      <c r="B1893" t="s">
        <v>2189</v>
      </c>
      <c r="C1893" t="s">
        <v>78</v>
      </c>
      <c r="D1893" t="s">
        <v>2190</v>
      </c>
      <c r="E1893" t="s">
        <v>73</v>
      </c>
      <c r="F1893" t="s">
        <v>2103</v>
      </c>
      <c r="G1893" t="s">
        <v>73</v>
      </c>
      <c r="H1893" t="s">
        <v>4760</v>
      </c>
      <c r="J1893">
        <v>2</v>
      </c>
    </row>
    <row r="1894" spans="1:10" x14ac:dyDescent="0.35">
      <c r="A1894">
        <v>6001324011202</v>
      </c>
      <c r="B1894" t="s">
        <v>2189</v>
      </c>
      <c r="C1894" t="s">
        <v>81</v>
      </c>
      <c r="D1894" t="s">
        <v>2190</v>
      </c>
      <c r="E1894" t="s">
        <v>73</v>
      </c>
      <c r="F1894" t="s">
        <v>2103</v>
      </c>
      <c r="G1894" t="s">
        <v>34</v>
      </c>
      <c r="H1894" t="s">
        <v>4760</v>
      </c>
      <c r="J1894">
        <v>12</v>
      </c>
    </row>
    <row r="1895" spans="1:10" x14ac:dyDescent="0.35">
      <c r="A1895">
        <v>6001324217253</v>
      </c>
      <c r="B1895" t="s">
        <v>2191</v>
      </c>
      <c r="C1895" t="s">
        <v>9</v>
      </c>
      <c r="D1895" t="s">
        <v>2192</v>
      </c>
      <c r="E1895" t="s">
        <v>73</v>
      </c>
      <c r="F1895" t="s">
        <v>2103</v>
      </c>
      <c r="G1895" t="s">
        <v>34</v>
      </c>
      <c r="H1895" t="s">
        <v>4760</v>
      </c>
      <c r="J1895">
        <v>42</v>
      </c>
    </row>
    <row r="1896" spans="1:10" x14ac:dyDescent="0.35">
      <c r="A1896">
        <v>6001324238173</v>
      </c>
      <c r="B1896" t="s">
        <v>2193</v>
      </c>
      <c r="C1896" t="s">
        <v>9</v>
      </c>
      <c r="D1896" t="s">
        <v>2192</v>
      </c>
      <c r="E1896" t="s">
        <v>73</v>
      </c>
      <c r="F1896" t="s">
        <v>2103</v>
      </c>
      <c r="G1896" t="s">
        <v>34</v>
      </c>
      <c r="H1896" t="s">
        <v>4760</v>
      </c>
      <c r="J1896">
        <v>1</v>
      </c>
    </row>
    <row r="1897" spans="1:10" x14ac:dyDescent="0.35">
      <c r="A1897">
        <v>6001324238173</v>
      </c>
      <c r="B1897" t="s">
        <v>2193</v>
      </c>
      <c r="C1897" t="s">
        <v>9</v>
      </c>
      <c r="D1897" t="s">
        <v>2192</v>
      </c>
      <c r="E1897" t="s">
        <v>73</v>
      </c>
      <c r="F1897" t="s">
        <v>2103</v>
      </c>
      <c r="G1897" t="s">
        <v>73</v>
      </c>
      <c r="H1897" t="s">
        <v>4760</v>
      </c>
      <c r="J1897">
        <v>3</v>
      </c>
    </row>
    <row r="1898" spans="1:10" x14ac:dyDescent="0.35">
      <c r="A1898">
        <v>6001324254371</v>
      </c>
      <c r="B1898" t="s">
        <v>2194</v>
      </c>
      <c r="C1898" t="s">
        <v>9</v>
      </c>
      <c r="D1898" t="s">
        <v>2192</v>
      </c>
      <c r="E1898" t="s">
        <v>73</v>
      </c>
      <c r="F1898" t="s">
        <v>2103</v>
      </c>
      <c r="G1898" t="s">
        <v>73</v>
      </c>
      <c r="H1898" t="s">
        <v>4760</v>
      </c>
      <c r="J1898">
        <v>4</v>
      </c>
    </row>
    <row r="1899" spans="1:10" x14ac:dyDescent="0.35">
      <c r="A1899">
        <v>6001324299556</v>
      </c>
      <c r="B1899" t="s">
        <v>2195</v>
      </c>
      <c r="C1899" t="s">
        <v>9</v>
      </c>
      <c r="D1899" t="s">
        <v>2192</v>
      </c>
      <c r="E1899" t="s">
        <v>73</v>
      </c>
      <c r="F1899" t="s">
        <v>2103</v>
      </c>
      <c r="G1899" t="s">
        <v>34</v>
      </c>
      <c r="H1899" t="s">
        <v>4760</v>
      </c>
      <c r="J1899">
        <v>1</v>
      </c>
    </row>
    <row r="1900" spans="1:10" x14ac:dyDescent="0.35">
      <c r="A1900">
        <v>6001351000521</v>
      </c>
      <c r="B1900" t="s">
        <v>2196</v>
      </c>
      <c r="C1900" t="s">
        <v>173</v>
      </c>
      <c r="D1900" t="s">
        <v>2197</v>
      </c>
      <c r="E1900" t="s">
        <v>22</v>
      </c>
      <c r="F1900" t="s">
        <v>2198</v>
      </c>
      <c r="G1900" t="s">
        <v>34</v>
      </c>
      <c r="H1900" t="s">
        <v>4764</v>
      </c>
      <c r="J1900">
        <v>3</v>
      </c>
    </row>
    <row r="1901" spans="1:10" x14ac:dyDescent="0.35">
      <c r="A1901">
        <v>6001351000521</v>
      </c>
      <c r="B1901" t="s">
        <v>2196</v>
      </c>
      <c r="C1901" t="s">
        <v>173</v>
      </c>
      <c r="D1901" t="s">
        <v>2197</v>
      </c>
      <c r="E1901" t="s">
        <v>22</v>
      </c>
      <c r="F1901" t="s">
        <v>2198</v>
      </c>
      <c r="G1901" t="s">
        <v>150</v>
      </c>
      <c r="H1901" t="s">
        <v>4764</v>
      </c>
      <c r="J1901">
        <v>5</v>
      </c>
    </row>
    <row r="1902" spans="1:10" x14ac:dyDescent="0.35">
      <c r="A1902">
        <v>6001351000521</v>
      </c>
      <c r="B1902" t="s">
        <v>2196</v>
      </c>
      <c r="C1902" t="s">
        <v>173</v>
      </c>
      <c r="D1902" t="s">
        <v>2197</v>
      </c>
      <c r="E1902" t="s">
        <v>22</v>
      </c>
      <c r="F1902" t="s">
        <v>2198</v>
      </c>
      <c r="G1902" t="s">
        <v>31</v>
      </c>
      <c r="H1902" t="s">
        <v>4764</v>
      </c>
      <c r="J1902">
        <v>1</v>
      </c>
    </row>
    <row r="1903" spans="1:10" x14ac:dyDescent="0.35">
      <c r="A1903">
        <v>6001351000606</v>
      </c>
      <c r="B1903" t="s">
        <v>2199</v>
      </c>
      <c r="C1903" t="s">
        <v>9</v>
      </c>
      <c r="D1903" t="s">
        <v>2197</v>
      </c>
      <c r="E1903" t="s">
        <v>22</v>
      </c>
      <c r="F1903" t="s">
        <v>2198</v>
      </c>
      <c r="G1903" t="s">
        <v>33</v>
      </c>
      <c r="H1903" t="s">
        <v>4764</v>
      </c>
      <c r="J1903">
        <v>5</v>
      </c>
    </row>
    <row r="1904" spans="1:10" x14ac:dyDescent="0.35">
      <c r="A1904">
        <v>6001374013331</v>
      </c>
      <c r="B1904" t="s">
        <v>2200</v>
      </c>
      <c r="C1904" t="s">
        <v>78</v>
      </c>
      <c r="D1904" t="s">
        <v>2201</v>
      </c>
      <c r="E1904" t="s">
        <v>73</v>
      </c>
      <c r="F1904" t="s">
        <v>2202</v>
      </c>
      <c r="G1904" t="s">
        <v>34</v>
      </c>
      <c r="H1904" t="s">
        <v>4765</v>
      </c>
      <c r="I1904">
        <v>115</v>
      </c>
      <c r="J1904">
        <v>2</v>
      </c>
    </row>
    <row r="1905" spans="1:10" x14ac:dyDescent="0.35">
      <c r="A1905">
        <v>6001374081033</v>
      </c>
      <c r="B1905" t="s">
        <v>2203</v>
      </c>
      <c r="C1905" t="s">
        <v>253</v>
      </c>
      <c r="D1905" t="s">
        <v>2204</v>
      </c>
      <c r="E1905" t="s">
        <v>73</v>
      </c>
      <c r="F1905" t="s">
        <v>2202</v>
      </c>
      <c r="G1905" t="s">
        <v>73</v>
      </c>
      <c r="H1905" t="s">
        <v>4765</v>
      </c>
      <c r="J1905">
        <v>1</v>
      </c>
    </row>
    <row r="1906" spans="1:10" x14ac:dyDescent="0.35">
      <c r="A1906">
        <v>6001374081491</v>
      </c>
      <c r="B1906" t="s">
        <v>2205</v>
      </c>
      <c r="C1906" t="s">
        <v>909</v>
      </c>
      <c r="D1906" t="s">
        <v>2204</v>
      </c>
      <c r="E1906" t="s">
        <v>73</v>
      </c>
      <c r="F1906" t="s">
        <v>2202</v>
      </c>
      <c r="G1906" t="s">
        <v>73</v>
      </c>
      <c r="H1906" t="s">
        <v>4765</v>
      </c>
      <c r="J1906">
        <v>1</v>
      </c>
    </row>
    <row r="1907" spans="1:10" x14ac:dyDescent="0.35">
      <c r="A1907">
        <v>6001374082245</v>
      </c>
      <c r="B1907" t="s">
        <v>2206</v>
      </c>
      <c r="C1907" t="s">
        <v>758</v>
      </c>
      <c r="D1907" t="s">
        <v>2204</v>
      </c>
      <c r="E1907" t="s">
        <v>73</v>
      </c>
      <c r="F1907" t="s">
        <v>2202</v>
      </c>
      <c r="G1907" t="s">
        <v>33</v>
      </c>
      <c r="H1907" t="s">
        <v>4765</v>
      </c>
      <c r="J1907">
        <v>50</v>
      </c>
    </row>
    <row r="1908" spans="1:10" x14ac:dyDescent="0.35">
      <c r="A1908">
        <v>6001374082245</v>
      </c>
      <c r="B1908" t="s">
        <v>2206</v>
      </c>
      <c r="C1908" t="s">
        <v>758</v>
      </c>
      <c r="D1908" t="s">
        <v>2204</v>
      </c>
      <c r="E1908" t="s">
        <v>73</v>
      </c>
      <c r="F1908" t="s">
        <v>2202</v>
      </c>
      <c r="G1908" t="s">
        <v>34</v>
      </c>
      <c r="H1908" t="s">
        <v>4765</v>
      </c>
      <c r="J1908">
        <v>1</v>
      </c>
    </row>
    <row r="1909" spans="1:10" x14ac:dyDescent="0.35">
      <c r="A1909">
        <v>6001461786056</v>
      </c>
      <c r="B1909" t="s">
        <v>1463</v>
      </c>
      <c r="C1909" t="s">
        <v>75</v>
      </c>
      <c r="D1909" t="s">
        <v>2207</v>
      </c>
      <c r="E1909" t="s">
        <v>73</v>
      </c>
      <c r="F1909" t="s">
        <v>2208</v>
      </c>
      <c r="G1909" t="s">
        <v>34</v>
      </c>
      <c r="H1909" t="s">
        <v>4766</v>
      </c>
      <c r="J1909">
        <v>24</v>
      </c>
    </row>
    <row r="1910" spans="1:10" x14ac:dyDescent="0.35">
      <c r="A1910">
        <v>6001495200146</v>
      </c>
      <c r="B1910" t="s">
        <v>2209</v>
      </c>
      <c r="C1910" t="s">
        <v>128</v>
      </c>
      <c r="D1910" t="s">
        <v>2209</v>
      </c>
      <c r="E1910" t="s">
        <v>1201</v>
      </c>
      <c r="F1910" t="s">
        <v>1202</v>
      </c>
      <c r="G1910" t="s">
        <v>61</v>
      </c>
      <c r="H1910" t="s">
        <v>4663</v>
      </c>
      <c r="J1910">
        <v>6</v>
      </c>
    </row>
    <row r="1911" spans="1:10" x14ac:dyDescent="0.35">
      <c r="A1911">
        <v>6001495203055</v>
      </c>
      <c r="B1911" t="s">
        <v>2210</v>
      </c>
      <c r="C1911" t="s">
        <v>326</v>
      </c>
      <c r="D1911" t="s">
        <v>2209</v>
      </c>
      <c r="E1911" t="s">
        <v>1201</v>
      </c>
      <c r="F1911" t="s">
        <v>1202</v>
      </c>
      <c r="G1911" t="s">
        <v>61</v>
      </c>
      <c r="H1911" t="s">
        <v>4663</v>
      </c>
      <c r="J1911">
        <v>9</v>
      </c>
    </row>
    <row r="1912" spans="1:10" x14ac:dyDescent="0.35">
      <c r="A1912">
        <v>6001526050047</v>
      </c>
      <c r="B1912" t="s">
        <v>2211</v>
      </c>
      <c r="C1912" t="s">
        <v>81</v>
      </c>
      <c r="D1912" t="s">
        <v>2212</v>
      </c>
      <c r="E1912" t="s">
        <v>22</v>
      </c>
      <c r="F1912" t="s">
        <v>2213</v>
      </c>
      <c r="G1912" t="s">
        <v>34</v>
      </c>
      <c r="H1912" t="s">
        <v>4767</v>
      </c>
      <c r="J1912">
        <v>1</v>
      </c>
    </row>
    <row r="1913" spans="1:10" x14ac:dyDescent="0.35">
      <c r="A1913">
        <v>6001526050047</v>
      </c>
      <c r="B1913" t="s">
        <v>2211</v>
      </c>
      <c r="C1913" t="s">
        <v>81</v>
      </c>
      <c r="D1913" t="s">
        <v>2212</v>
      </c>
      <c r="E1913" t="s">
        <v>22</v>
      </c>
      <c r="F1913" t="s">
        <v>2213</v>
      </c>
      <c r="G1913" t="s">
        <v>31</v>
      </c>
      <c r="H1913" t="s">
        <v>4767</v>
      </c>
      <c r="J1913">
        <v>1</v>
      </c>
    </row>
    <row r="1914" spans="1:10" x14ac:dyDescent="0.35">
      <c r="A1914">
        <v>6001526052041</v>
      </c>
      <c r="B1914" t="s">
        <v>2214</v>
      </c>
      <c r="C1914" t="s">
        <v>1580</v>
      </c>
      <c r="D1914" t="s">
        <v>2212</v>
      </c>
      <c r="E1914" t="s">
        <v>22</v>
      </c>
      <c r="F1914" t="s">
        <v>2213</v>
      </c>
      <c r="G1914" t="s">
        <v>73</v>
      </c>
      <c r="H1914" t="s">
        <v>4767</v>
      </c>
      <c r="J1914">
        <v>1</v>
      </c>
    </row>
    <row r="1915" spans="1:10" x14ac:dyDescent="0.35">
      <c r="A1915">
        <v>6001565009020</v>
      </c>
      <c r="B1915" t="s">
        <v>2215</v>
      </c>
      <c r="C1915" t="s">
        <v>610</v>
      </c>
      <c r="D1915" t="s">
        <v>2216</v>
      </c>
      <c r="E1915" t="s">
        <v>578</v>
      </c>
      <c r="F1915" t="s">
        <v>2217</v>
      </c>
      <c r="G1915" t="s">
        <v>578</v>
      </c>
      <c r="H1915" t="s">
        <v>4768</v>
      </c>
      <c r="J1915">
        <v>1</v>
      </c>
    </row>
    <row r="1916" spans="1:10" x14ac:dyDescent="0.35">
      <c r="A1916">
        <v>6001565009037</v>
      </c>
      <c r="B1916" t="s">
        <v>2215</v>
      </c>
      <c r="C1916" t="s">
        <v>2218</v>
      </c>
      <c r="D1916" t="s">
        <v>2216</v>
      </c>
      <c r="E1916" t="s">
        <v>578</v>
      </c>
      <c r="F1916" t="s">
        <v>2217</v>
      </c>
      <c r="G1916" t="s">
        <v>33</v>
      </c>
      <c r="H1916" t="s">
        <v>4768</v>
      </c>
      <c r="J1916">
        <v>3</v>
      </c>
    </row>
    <row r="1917" spans="1:10" x14ac:dyDescent="0.35">
      <c r="A1917">
        <v>6001565009037</v>
      </c>
      <c r="B1917" t="s">
        <v>2215</v>
      </c>
      <c r="C1917" t="s">
        <v>2218</v>
      </c>
      <c r="D1917" t="s">
        <v>2216</v>
      </c>
      <c r="E1917" t="s">
        <v>578</v>
      </c>
      <c r="F1917" t="s">
        <v>2217</v>
      </c>
      <c r="G1917" t="s">
        <v>34</v>
      </c>
      <c r="H1917" t="s">
        <v>4768</v>
      </c>
      <c r="J1917">
        <v>1</v>
      </c>
    </row>
    <row r="1918" spans="1:10" x14ac:dyDescent="0.35">
      <c r="A1918">
        <v>6001565009037</v>
      </c>
      <c r="B1918" t="s">
        <v>2215</v>
      </c>
      <c r="C1918" t="s">
        <v>2218</v>
      </c>
      <c r="D1918" t="s">
        <v>2216</v>
      </c>
      <c r="E1918" t="s">
        <v>578</v>
      </c>
      <c r="F1918" t="s">
        <v>2217</v>
      </c>
      <c r="G1918" t="s">
        <v>578</v>
      </c>
      <c r="H1918" t="s">
        <v>4768</v>
      </c>
      <c r="J1918">
        <v>1</v>
      </c>
    </row>
    <row r="1919" spans="1:10" x14ac:dyDescent="0.35">
      <c r="A1919">
        <v>6001565009044</v>
      </c>
      <c r="B1919" t="s">
        <v>2215</v>
      </c>
      <c r="C1919" t="s">
        <v>2219</v>
      </c>
      <c r="D1919" t="s">
        <v>2216</v>
      </c>
      <c r="E1919" t="s">
        <v>578</v>
      </c>
      <c r="F1919" t="s">
        <v>2217</v>
      </c>
      <c r="G1919" t="s">
        <v>34</v>
      </c>
      <c r="H1919" t="s">
        <v>4768</v>
      </c>
      <c r="J1919">
        <v>1</v>
      </c>
    </row>
    <row r="1920" spans="1:10" x14ac:dyDescent="0.35">
      <c r="A1920">
        <v>6001565023835</v>
      </c>
      <c r="B1920" t="s">
        <v>2220</v>
      </c>
      <c r="C1920" t="s">
        <v>78</v>
      </c>
      <c r="D1920" t="s">
        <v>2221</v>
      </c>
      <c r="E1920" t="s">
        <v>308</v>
      </c>
      <c r="F1920" t="s">
        <v>309</v>
      </c>
      <c r="G1920" t="s">
        <v>34</v>
      </c>
      <c r="H1920" t="s">
        <v>4529</v>
      </c>
      <c r="J1920">
        <v>59</v>
      </c>
    </row>
    <row r="1921" spans="1:10" x14ac:dyDescent="0.35">
      <c r="A1921">
        <v>6001565023842</v>
      </c>
      <c r="B1921" t="s">
        <v>2215</v>
      </c>
      <c r="C1921" t="s">
        <v>75</v>
      </c>
      <c r="D1921" t="s">
        <v>2221</v>
      </c>
      <c r="E1921" t="s">
        <v>308</v>
      </c>
      <c r="F1921" t="s">
        <v>309</v>
      </c>
      <c r="G1921" t="s">
        <v>34</v>
      </c>
      <c r="H1921" t="s">
        <v>4529</v>
      </c>
      <c r="J1921">
        <v>21</v>
      </c>
    </row>
    <row r="1922" spans="1:10" x14ac:dyDescent="0.35">
      <c r="A1922">
        <v>6001572991318</v>
      </c>
      <c r="B1922" t="s">
        <v>2222</v>
      </c>
      <c r="C1922" t="s">
        <v>9</v>
      </c>
      <c r="D1922" t="s">
        <v>2223</v>
      </c>
      <c r="E1922" t="s">
        <v>22</v>
      </c>
      <c r="F1922" t="s">
        <v>2224</v>
      </c>
      <c r="G1922" t="s">
        <v>34</v>
      </c>
      <c r="H1922" t="s">
        <v>4769</v>
      </c>
      <c r="J1922">
        <v>1</v>
      </c>
    </row>
    <row r="1923" spans="1:10" x14ac:dyDescent="0.35">
      <c r="A1923">
        <v>6001582051095</v>
      </c>
      <c r="B1923" t="s">
        <v>2225</v>
      </c>
      <c r="C1923" t="s">
        <v>75</v>
      </c>
      <c r="D1923" t="s">
        <v>2226</v>
      </c>
      <c r="E1923" t="s">
        <v>2227</v>
      </c>
      <c r="F1923" t="s">
        <v>2228</v>
      </c>
      <c r="G1923" t="s">
        <v>34</v>
      </c>
      <c r="H1923" t="s">
        <v>4770</v>
      </c>
      <c r="J1923">
        <v>6</v>
      </c>
    </row>
    <row r="1924" spans="1:10" x14ac:dyDescent="0.35">
      <c r="A1924">
        <v>6001582051132</v>
      </c>
      <c r="B1924" t="s">
        <v>2229</v>
      </c>
      <c r="C1924" t="s">
        <v>78</v>
      </c>
      <c r="D1924" t="s">
        <v>2226</v>
      </c>
      <c r="E1924" t="s">
        <v>2227</v>
      </c>
      <c r="F1924" t="s">
        <v>2228</v>
      </c>
      <c r="G1924" t="s">
        <v>34</v>
      </c>
      <c r="H1924" t="s">
        <v>4770</v>
      </c>
      <c r="J1924">
        <v>4</v>
      </c>
    </row>
    <row r="1925" spans="1:10" x14ac:dyDescent="0.35">
      <c r="A1925">
        <v>6001651065497</v>
      </c>
      <c r="B1925" t="s">
        <v>2230</v>
      </c>
      <c r="C1925" t="s">
        <v>9</v>
      </c>
      <c r="D1925" t="s">
        <v>2231</v>
      </c>
      <c r="E1925" t="s">
        <v>150</v>
      </c>
      <c r="F1925" t="s">
        <v>2232</v>
      </c>
      <c r="G1925" t="s">
        <v>150</v>
      </c>
      <c r="H1925" t="s">
        <v>4771</v>
      </c>
      <c r="J1925">
        <v>13</v>
      </c>
    </row>
    <row r="1926" spans="1:10" x14ac:dyDescent="0.35">
      <c r="A1926">
        <v>6001663003067</v>
      </c>
      <c r="B1926" t="s">
        <v>2067</v>
      </c>
      <c r="C1926" t="s">
        <v>610</v>
      </c>
      <c r="D1926" t="s">
        <v>2233</v>
      </c>
      <c r="E1926" t="s">
        <v>73</v>
      </c>
      <c r="F1926" t="s">
        <v>2234</v>
      </c>
      <c r="G1926" t="s">
        <v>34</v>
      </c>
      <c r="H1926" t="s">
        <v>4772</v>
      </c>
      <c r="J1926">
        <v>3</v>
      </c>
    </row>
    <row r="1927" spans="1:10" x14ac:dyDescent="0.35">
      <c r="A1927">
        <v>6001663003630</v>
      </c>
      <c r="B1927" t="s">
        <v>2235</v>
      </c>
      <c r="C1927" t="s">
        <v>78</v>
      </c>
      <c r="D1927" t="s">
        <v>2233</v>
      </c>
      <c r="E1927" t="s">
        <v>73</v>
      </c>
      <c r="F1927" t="s">
        <v>2234</v>
      </c>
      <c r="G1927" t="s">
        <v>34</v>
      </c>
      <c r="H1927" t="s">
        <v>4772</v>
      </c>
      <c r="J1927">
        <v>1</v>
      </c>
    </row>
    <row r="1928" spans="1:10" x14ac:dyDescent="0.35">
      <c r="A1928">
        <v>6001663008055</v>
      </c>
      <c r="B1928" t="s">
        <v>2236</v>
      </c>
      <c r="C1928" t="s">
        <v>43</v>
      </c>
      <c r="D1928" t="s">
        <v>2233</v>
      </c>
      <c r="E1928" t="s">
        <v>73</v>
      </c>
      <c r="F1928" t="s">
        <v>2234</v>
      </c>
      <c r="G1928" t="s">
        <v>34</v>
      </c>
      <c r="H1928" t="s">
        <v>4772</v>
      </c>
      <c r="J1928">
        <v>1</v>
      </c>
    </row>
    <row r="1929" spans="1:10" x14ac:dyDescent="0.35">
      <c r="A1929">
        <v>60016973</v>
      </c>
      <c r="B1929" t="s">
        <v>2237</v>
      </c>
      <c r="C1929" t="s">
        <v>2238</v>
      </c>
      <c r="D1929" t="s">
        <v>2087</v>
      </c>
      <c r="E1929" t="s">
        <v>22</v>
      </c>
      <c r="F1929" t="s">
        <v>361</v>
      </c>
      <c r="G1929" t="s">
        <v>34</v>
      </c>
      <c r="H1929" t="s">
        <v>4539</v>
      </c>
      <c r="J1929">
        <v>1</v>
      </c>
    </row>
    <row r="1930" spans="1:10" x14ac:dyDescent="0.35">
      <c r="A1930">
        <v>60017512</v>
      </c>
      <c r="B1930" t="s">
        <v>2239</v>
      </c>
      <c r="C1930" t="s">
        <v>66</v>
      </c>
      <c r="D1930" t="s">
        <v>1523</v>
      </c>
      <c r="E1930" t="s">
        <v>22</v>
      </c>
      <c r="F1930" t="s">
        <v>361</v>
      </c>
      <c r="G1930" t="s">
        <v>41</v>
      </c>
      <c r="H1930" t="s">
        <v>4539</v>
      </c>
      <c r="J1930">
        <v>1</v>
      </c>
    </row>
    <row r="1931" spans="1:10" x14ac:dyDescent="0.35">
      <c r="A1931">
        <v>6001760005490</v>
      </c>
      <c r="B1931" t="s">
        <v>2240</v>
      </c>
      <c r="C1931" t="s">
        <v>603</v>
      </c>
      <c r="D1931" t="s">
        <v>2241</v>
      </c>
      <c r="E1931" t="s">
        <v>952</v>
      </c>
      <c r="F1931" t="s">
        <v>2242</v>
      </c>
      <c r="G1931" t="s">
        <v>61</v>
      </c>
      <c r="H1931" t="s">
        <v>4773</v>
      </c>
      <c r="J1931">
        <v>15</v>
      </c>
    </row>
    <row r="1932" spans="1:10" x14ac:dyDescent="0.35">
      <c r="A1932">
        <v>6001878004033</v>
      </c>
      <c r="B1932" t="s">
        <v>2243</v>
      </c>
      <c r="C1932" t="s">
        <v>2244</v>
      </c>
      <c r="D1932" t="s">
        <v>2245</v>
      </c>
      <c r="E1932" t="s">
        <v>73</v>
      </c>
      <c r="F1932" t="s">
        <v>2246</v>
      </c>
      <c r="G1932" t="s">
        <v>34</v>
      </c>
      <c r="H1932" t="s">
        <v>4774</v>
      </c>
      <c r="I1932">
        <v>0</v>
      </c>
      <c r="J1932">
        <v>1</v>
      </c>
    </row>
    <row r="1933" spans="1:10" x14ac:dyDescent="0.35">
      <c r="A1933">
        <v>60019066</v>
      </c>
      <c r="B1933" t="s">
        <v>2247</v>
      </c>
      <c r="C1933" t="s">
        <v>758</v>
      </c>
      <c r="D1933" t="s">
        <v>2123</v>
      </c>
      <c r="E1933" t="s">
        <v>22</v>
      </c>
      <c r="F1933" t="s">
        <v>361</v>
      </c>
      <c r="G1933" t="s">
        <v>117</v>
      </c>
      <c r="H1933" t="s">
        <v>4539</v>
      </c>
      <c r="J1933">
        <v>1</v>
      </c>
    </row>
    <row r="1934" spans="1:10" x14ac:dyDescent="0.35">
      <c r="A1934">
        <v>60019066</v>
      </c>
      <c r="B1934" t="s">
        <v>2247</v>
      </c>
      <c r="C1934" t="s">
        <v>758</v>
      </c>
      <c r="D1934" t="s">
        <v>2123</v>
      </c>
      <c r="E1934" t="s">
        <v>22</v>
      </c>
      <c r="F1934" t="s">
        <v>361</v>
      </c>
      <c r="G1934" t="s">
        <v>33</v>
      </c>
      <c r="H1934" t="s">
        <v>4539</v>
      </c>
      <c r="J1934">
        <v>1</v>
      </c>
    </row>
    <row r="1935" spans="1:10" x14ac:dyDescent="0.35">
      <c r="A1935">
        <v>6001983110797</v>
      </c>
      <c r="B1935" t="s">
        <v>2248</v>
      </c>
      <c r="C1935" t="s">
        <v>603</v>
      </c>
      <c r="D1935" t="s">
        <v>2249</v>
      </c>
      <c r="E1935" t="s">
        <v>578</v>
      </c>
      <c r="F1935" t="s">
        <v>2250</v>
      </c>
      <c r="G1935" t="s">
        <v>33</v>
      </c>
      <c r="H1935" t="s">
        <v>4775</v>
      </c>
      <c r="J1935">
        <v>22</v>
      </c>
    </row>
    <row r="1936" spans="1:10" x14ac:dyDescent="0.35">
      <c r="A1936">
        <v>6002004001360</v>
      </c>
      <c r="B1936" t="s">
        <v>2251</v>
      </c>
      <c r="C1936" t="s">
        <v>69</v>
      </c>
      <c r="D1936" t="s">
        <v>2252</v>
      </c>
      <c r="E1936" t="s">
        <v>130</v>
      </c>
      <c r="F1936" t="s">
        <v>220</v>
      </c>
      <c r="G1936" t="s">
        <v>34</v>
      </c>
      <c r="H1936" t="s">
        <v>4520</v>
      </c>
      <c r="J1936">
        <v>17</v>
      </c>
    </row>
    <row r="1937" spans="1:10" x14ac:dyDescent="0.35">
      <c r="A1937">
        <v>60024947</v>
      </c>
      <c r="B1937" t="s">
        <v>2253</v>
      </c>
      <c r="C1937" t="s">
        <v>66</v>
      </c>
      <c r="D1937" t="s">
        <v>360</v>
      </c>
      <c r="E1937" t="s">
        <v>22</v>
      </c>
      <c r="F1937" t="s">
        <v>361</v>
      </c>
      <c r="G1937" t="s">
        <v>33</v>
      </c>
      <c r="H1937" t="s">
        <v>4539</v>
      </c>
      <c r="J1937">
        <v>100</v>
      </c>
    </row>
    <row r="1938" spans="1:10" x14ac:dyDescent="0.35">
      <c r="A1938">
        <v>6002570550958</v>
      </c>
      <c r="B1938" t="s">
        <v>2254</v>
      </c>
      <c r="C1938" t="s">
        <v>562</v>
      </c>
      <c r="D1938" t="s">
        <v>2255</v>
      </c>
      <c r="E1938" t="s">
        <v>308</v>
      </c>
      <c r="F1938" t="s">
        <v>309</v>
      </c>
      <c r="G1938" t="s">
        <v>34</v>
      </c>
      <c r="H1938" t="s">
        <v>4529</v>
      </c>
      <c r="J1938">
        <v>1</v>
      </c>
    </row>
    <row r="1939" spans="1:10" x14ac:dyDescent="0.35">
      <c r="A1939">
        <v>6002651043553</v>
      </c>
      <c r="B1939" t="s">
        <v>684</v>
      </c>
      <c r="C1939" t="s">
        <v>2021</v>
      </c>
      <c r="D1939" t="s">
        <v>2256</v>
      </c>
      <c r="E1939" t="s">
        <v>33</v>
      </c>
      <c r="F1939" t="s">
        <v>2257</v>
      </c>
      <c r="G1939" t="s">
        <v>33</v>
      </c>
      <c r="H1939" t="s">
        <v>4776</v>
      </c>
      <c r="J1939">
        <v>399</v>
      </c>
    </row>
    <row r="1940" spans="1:10" x14ac:dyDescent="0.35">
      <c r="A1940">
        <v>6002742994436</v>
      </c>
      <c r="B1940" t="s">
        <v>2258</v>
      </c>
      <c r="C1940" t="s">
        <v>78</v>
      </c>
      <c r="D1940" t="s">
        <v>2259</v>
      </c>
      <c r="E1940" t="s">
        <v>73</v>
      </c>
      <c r="F1940" t="s">
        <v>2260</v>
      </c>
      <c r="G1940" t="s">
        <v>73</v>
      </c>
      <c r="H1940" t="s">
        <v>4777</v>
      </c>
      <c r="J1940">
        <v>1</v>
      </c>
    </row>
    <row r="1941" spans="1:10" x14ac:dyDescent="0.35">
      <c r="A1941">
        <v>60028000767138</v>
      </c>
      <c r="B1941" t="s">
        <v>778</v>
      </c>
      <c r="C1941" t="s">
        <v>472</v>
      </c>
      <c r="D1941" t="s">
        <v>2261</v>
      </c>
      <c r="E1941" t="s">
        <v>34</v>
      </c>
      <c r="F1941" t="s">
        <v>2262</v>
      </c>
      <c r="G1941" t="s">
        <v>33</v>
      </c>
      <c r="H1941" t="s">
        <v>4778</v>
      </c>
      <c r="J1941">
        <v>50</v>
      </c>
    </row>
    <row r="1942" spans="1:10" x14ac:dyDescent="0.35">
      <c r="A1942">
        <v>6002833000336</v>
      </c>
      <c r="B1942" t="s">
        <v>2263</v>
      </c>
      <c r="C1942" t="s">
        <v>326</v>
      </c>
      <c r="D1942" t="s">
        <v>2264</v>
      </c>
      <c r="E1942" t="s">
        <v>776</v>
      </c>
      <c r="F1942" t="s">
        <v>2265</v>
      </c>
      <c r="G1942" t="s">
        <v>34</v>
      </c>
      <c r="H1942" t="s">
        <v>4779</v>
      </c>
      <c r="J1942">
        <v>17</v>
      </c>
    </row>
    <row r="1943" spans="1:10" x14ac:dyDescent="0.35">
      <c r="A1943">
        <v>6002833000336</v>
      </c>
      <c r="B1943" t="s">
        <v>2263</v>
      </c>
      <c r="C1943" t="s">
        <v>326</v>
      </c>
      <c r="D1943" t="s">
        <v>2264</v>
      </c>
      <c r="E1943" t="s">
        <v>776</v>
      </c>
      <c r="F1943" t="s">
        <v>2265</v>
      </c>
      <c r="G1943" t="s">
        <v>31</v>
      </c>
      <c r="H1943" t="s">
        <v>4779</v>
      </c>
      <c r="J1943">
        <v>1</v>
      </c>
    </row>
    <row r="1944" spans="1:10" x14ac:dyDescent="0.35">
      <c r="A1944">
        <v>600283300110</v>
      </c>
      <c r="B1944" t="s">
        <v>2235</v>
      </c>
      <c r="C1944" t="s">
        <v>2266</v>
      </c>
      <c r="D1944" t="s">
        <v>1062</v>
      </c>
      <c r="E1944" t="s">
        <v>130</v>
      </c>
      <c r="F1944" t="s">
        <v>424</v>
      </c>
      <c r="G1944" t="s">
        <v>34</v>
      </c>
      <c r="H1944" t="s">
        <v>4550</v>
      </c>
      <c r="J1944">
        <v>6</v>
      </c>
    </row>
    <row r="1945" spans="1:10" x14ac:dyDescent="0.35">
      <c r="A1945">
        <v>6002833001104</v>
      </c>
      <c r="B1945" t="s">
        <v>2235</v>
      </c>
      <c r="C1945" t="s">
        <v>78</v>
      </c>
      <c r="D1945" t="s">
        <v>2267</v>
      </c>
      <c r="E1945" t="s">
        <v>73</v>
      </c>
      <c r="F1945" t="s">
        <v>2268</v>
      </c>
      <c r="G1945" t="s">
        <v>34</v>
      </c>
      <c r="H1945" t="s">
        <v>4780</v>
      </c>
      <c r="J1945">
        <v>13</v>
      </c>
    </row>
    <row r="1946" spans="1:10" x14ac:dyDescent="0.35">
      <c r="A1946">
        <v>6002833001111</v>
      </c>
      <c r="B1946" t="s">
        <v>2235</v>
      </c>
      <c r="C1946" t="s">
        <v>9</v>
      </c>
      <c r="D1946" t="s">
        <v>2267</v>
      </c>
      <c r="E1946" t="s">
        <v>73</v>
      </c>
      <c r="F1946" t="s">
        <v>2268</v>
      </c>
      <c r="G1946" t="s">
        <v>34</v>
      </c>
      <c r="H1946" t="s">
        <v>4780</v>
      </c>
      <c r="J1946">
        <v>1</v>
      </c>
    </row>
    <row r="1947" spans="1:10" x14ac:dyDescent="0.35">
      <c r="A1947">
        <v>6002833001128</v>
      </c>
      <c r="B1947" t="s">
        <v>2235</v>
      </c>
      <c r="C1947" t="s">
        <v>1115</v>
      </c>
      <c r="D1947" t="s">
        <v>1062</v>
      </c>
      <c r="E1947" t="s">
        <v>130</v>
      </c>
      <c r="F1947" t="s">
        <v>424</v>
      </c>
      <c r="G1947" t="s">
        <v>34</v>
      </c>
      <c r="H1947" t="s">
        <v>4550</v>
      </c>
      <c r="J1947">
        <v>1</v>
      </c>
    </row>
    <row r="1948" spans="1:10" x14ac:dyDescent="0.35">
      <c r="A1948">
        <v>6003001015596</v>
      </c>
      <c r="B1948" t="s">
        <v>2269</v>
      </c>
      <c r="C1948" t="s">
        <v>253</v>
      </c>
      <c r="D1948" t="s">
        <v>2154</v>
      </c>
      <c r="E1948" t="s">
        <v>15</v>
      </c>
      <c r="F1948" t="s">
        <v>2155</v>
      </c>
      <c r="G1948" t="s">
        <v>61</v>
      </c>
      <c r="H1948" t="s">
        <v>4763</v>
      </c>
      <c r="J1948">
        <v>1</v>
      </c>
    </row>
    <row r="1949" spans="1:10" x14ac:dyDescent="0.35">
      <c r="A1949">
        <v>6004052000319</v>
      </c>
      <c r="B1949" t="s">
        <v>2270</v>
      </c>
      <c r="C1949" t="s">
        <v>78</v>
      </c>
      <c r="D1949" t="s">
        <v>2259</v>
      </c>
      <c r="E1949" t="s">
        <v>73</v>
      </c>
      <c r="F1949" t="s">
        <v>2260</v>
      </c>
      <c r="G1949" t="s">
        <v>73</v>
      </c>
      <c r="H1949" t="s">
        <v>4777</v>
      </c>
      <c r="J1949">
        <v>1</v>
      </c>
    </row>
    <row r="1950" spans="1:10" x14ac:dyDescent="0.35">
      <c r="A1950">
        <v>6004318000602</v>
      </c>
      <c r="B1950" t="s">
        <v>485</v>
      </c>
      <c r="C1950" t="s">
        <v>192</v>
      </c>
      <c r="D1950" t="s">
        <v>222</v>
      </c>
      <c r="E1950" t="s">
        <v>71</v>
      </c>
      <c r="F1950" t="s">
        <v>72</v>
      </c>
      <c r="G1950" t="s">
        <v>34</v>
      </c>
      <c r="H1950" t="s">
        <v>4501</v>
      </c>
      <c r="J1950">
        <v>2</v>
      </c>
    </row>
    <row r="1951" spans="1:10" x14ac:dyDescent="0.35">
      <c r="A1951">
        <v>6005118000311</v>
      </c>
      <c r="B1951" t="s">
        <v>2271</v>
      </c>
      <c r="C1951" t="s">
        <v>2272</v>
      </c>
      <c r="D1951" t="s">
        <v>2273</v>
      </c>
      <c r="E1951" t="s">
        <v>73</v>
      </c>
      <c r="F1951" t="s">
        <v>2274</v>
      </c>
      <c r="G1951" t="s">
        <v>73</v>
      </c>
      <c r="H1951" t="s">
        <v>4781</v>
      </c>
      <c r="J1951">
        <v>9</v>
      </c>
    </row>
    <row r="1952" spans="1:10" x14ac:dyDescent="0.35">
      <c r="A1952">
        <v>6005118001943</v>
      </c>
      <c r="B1952" t="s">
        <v>2275</v>
      </c>
      <c r="C1952" t="s">
        <v>159</v>
      </c>
      <c r="D1952" t="s">
        <v>2273</v>
      </c>
      <c r="E1952" t="s">
        <v>73</v>
      </c>
      <c r="F1952" t="s">
        <v>2274</v>
      </c>
      <c r="G1952" t="s">
        <v>34</v>
      </c>
      <c r="H1952" t="s">
        <v>4781</v>
      </c>
      <c r="J1952">
        <v>1</v>
      </c>
    </row>
    <row r="1953" spans="1:10" x14ac:dyDescent="0.35">
      <c r="A1953">
        <v>6005165000920</v>
      </c>
      <c r="B1953" t="s">
        <v>2276</v>
      </c>
      <c r="C1953" t="s">
        <v>603</v>
      </c>
      <c r="D1953" t="s">
        <v>2277</v>
      </c>
      <c r="E1953" t="s">
        <v>15</v>
      </c>
      <c r="F1953" t="s">
        <v>14</v>
      </c>
      <c r="G1953" t="s">
        <v>33</v>
      </c>
      <c r="H1953" t="s">
        <v>4489</v>
      </c>
      <c r="J1953">
        <v>18</v>
      </c>
    </row>
    <row r="1954" spans="1:10" x14ac:dyDescent="0.35">
      <c r="A1954">
        <v>6005277000016</v>
      </c>
      <c r="B1954" t="s">
        <v>2075</v>
      </c>
      <c r="C1954" t="s">
        <v>81</v>
      </c>
      <c r="D1954" t="s">
        <v>2278</v>
      </c>
      <c r="E1954" t="s">
        <v>73</v>
      </c>
      <c r="F1954" t="s">
        <v>2279</v>
      </c>
      <c r="G1954" t="s">
        <v>73</v>
      </c>
      <c r="H1954" t="s">
        <v>4782</v>
      </c>
      <c r="J1954">
        <v>3</v>
      </c>
    </row>
    <row r="1955" spans="1:10" x14ac:dyDescent="0.35">
      <c r="A1955">
        <v>60059222</v>
      </c>
      <c r="B1955" t="s">
        <v>1916</v>
      </c>
      <c r="C1955" t="s">
        <v>9</v>
      </c>
      <c r="D1955" t="s">
        <v>1893</v>
      </c>
      <c r="E1955" t="s">
        <v>15</v>
      </c>
      <c r="F1955" t="s">
        <v>14</v>
      </c>
      <c r="G1955" t="s">
        <v>73</v>
      </c>
      <c r="H1955" t="s">
        <v>4489</v>
      </c>
      <c r="J1955">
        <v>1</v>
      </c>
    </row>
    <row r="1956" spans="1:10" x14ac:dyDescent="0.35">
      <c r="A1956">
        <v>6006414000623</v>
      </c>
      <c r="B1956" t="s">
        <v>2280</v>
      </c>
      <c r="C1956" t="s">
        <v>610</v>
      </c>
      <c r="D1956" t="s">
        <v>2264</v>
      </c>
      <c r="E1956" t="s">
        <v>776</v>
      </c>
      <c r="F1956" t="s">
        <v>2265</v>
      </c>
      <c r="G1956" t="s">
        <v>34</v>
      </c>
      <c r="H1956" t="s">
        <v>4779</v>
      </c>
      <c r="J1956">
        <v>25</v>
      </c>
    </row>
    <row r="1957" spans="1:10" x14ac:dyDescent="0.35">
      <c r="A1957">
        <v>6006414000623</v>
      </c>
      <c r="B1957" t="s">
        <v>2280</v>
      </c>
      <c r="C1957" t="s">
        <v>610</v>
      </c>
      <c r="D1957" t="s">
        <v>2264</v>
      </c>
      <c r="E1957" t="s">
        <v>776</v>
      </c>
      <c r="F1957" t="s">
        <v>2265</v>
      </c>
      <c r="G1957" t="s">
        <v>150</v>
      </c>
      <c r="H1957" t="s">
        <v>4779</v>
      </c>
      <c r="J1957">
        <v>1</v>
      </c>
    </row>
    <row r="1958" spans="1:10" x14ac:dyDescent="0.35">
      <c r="A1958">
        <v>6006414000630</v>
      </c>
      <c r="B1958" t="s">
        <v>2281</v>
      </c>
      <c r="C1958" t="s">
        <v>78</v>
      </c>
      <c r="D1958" t="s">
        <v>2264</v>
      </c>
      <c r="E1958" t="s">
        <v>776</v>
      </c>
      <c r="F1958" t="s">
        <v>2265</v>
      </c>
      <c r="G1958" t="s">
        <v>34</v>
      </c>
      <c r="H1958" t="s">
        <v>4779</v>
      </c>
      <c r="J1958">
        <v>25</v>
      </c>
    </row>
    <row r="1959" spans="1:10" x14ac:dyDescent="0.35">
      <c r="A1959">
        <v>6006414000739</v>
      </c>
      <c r="B1959" t="s">
        <v>2282</v>
      </c>
      <c r="C1959" t="s">
        <v>2283</v>
      </c>
      <c r="D1959" t="s">
        <v>2267</v>
      </c>
      <c r="E1959" t="s">
        <v>73</v>
      </c>
      <c r="F1959" t="s">
        <v>2268</v>
      </c>
      <c r="G1959" t="s">
        <v>34</v>
      </c>
      <c r="H1959" t="s">
        <v>4780</v>
      </c>
      <c r="J1959">
        <v>2</v>
      </c>
    </row>
    <row r="1960" spans="1:10" x14ac:dyDescent="0.35">
      <c r="A1960">
        <v>6006507004774</v>
      </c>
      <c r="B1960" t="s">
        <v>2284</v>
      </c>
      <c r="C1960" t="s">
        <v>2285</v>
      </c>
      <c r="D1960" t="s">
        <v>2286</v>
      </c>
      <c r="E1960" t="s">
        <v>73</v>
      </c>
      <c r="F1960" t="s">
        <v>2287</v>
      </c>
      <c r="G1960" t="s">
        <v>34</v>
      </c>
      <c r="H1960" t="s">
        <v>4783</v>
      </c>
      <c r="J1960">
        <v>1</v>
      </c>
    </row>
    <row r="1961" spans="1:10" x14ac:dyDescent="0.35">
      <c r="A1961">
        <v>6006507005306</v>
      </c>
      <c r="B1961" t="s">
        <v>2288</v>
      </c>
      <c r="C1961" t="s">
        <v>2289</v>
      </c>
      <c r="D1961" t="s">
        <v>2286</v>
      </c>
      <c r="E1961" t="s">
        <v>73</v>
      </c>
      <c r="F1961" t="s">
        <v>2287</v>
      </c>
      <c r="G1961" t="s">
        <v>34</v>
      </c>
      <c r="H1961" t="s">
        <v>4783</v>
      </c>
      <c r="J1961">
        <v>1</v>
      </c>
    </row>
    <row r="1962" spans="1:10" x14ac:dyDescent="0.35">
      <c r="A1962">
        <v>6006507005313</v>
      </c>
      <c r="B1962" t="s">
        <v>2290</v>
      </c>
      <c r="C1962" t="s">
        <v>967</v>
      </c>
      <c r="D1962" t="s">
        <v>2286</v>
      </c>
      <c r="E1962" t="s">
        <v>73</v>
      </c>
      <c r="F1962" t="s">
        <v>2287</v>
      </c>
      <c r="G1962" t="s">
        <v>34</v>
      </c>
      <c r="H1962" t="s">
        <v>4783</v>
      </c>
      <c r="J1962">
        <v>3</v>
      </c>
    </row>
    <row r="1963" spans="1:10" x14ac:dyDescent="0.35">
      <c r="A1963">
        <v>6006564000030</v>
      </c>
      <c r="B1963" t="s">
        <v>2291</v>
      </c>
      <c r="C1963" t="s">
        <v>36</v>
      </c>
      <c r="D1963" t="s">
        <v>2292</v>
      </c>
      <c r="E1963" t="s">
        <v>2293</v>
      </c>
      <c r="F1963" t="s">
        <v>2294</v>
      </c>
      <c r="G1963" t="s">
        <v>34</v>
      </c>
      <c r="H1963" t="s">
        <v>4784</v>
      </c>
      <c r="J1963">
        <v>23</v>
      </c>
    </row>
    <row r="1964" spans="1:10" x14ac:dyDescent="0.35">
      <c r="A1964">
        <v>6006690040245</v>
      </c>
      <c r="B1964" t="s">
        <v>1151</v>
      </c>
      <c r="C1964" t="s">
        <v>472</v>
      </c>
      <c r="D1964" t="s">
        <v>2295</v>
      </c>
      <c r="E1964" t="s">
        <v>61</v>
      </c>
      <c r="F1964" t="s">
        <v>2296</v>
      </c>
      <c r="G1964" t="s">
        <v>61</v>
      </c>
      <c r="H1964" t="s">
        <v>4785</v>
      </c>
      <c r="J1964">
        <v>53</v>
      </c>
    </row>
    <row r="1965" spans="1:10" x14ac:dyDescent="0.35">
      <c r="A1965">
        <v>60067999</v>
      </c>
      <c r="B1965" t="s">
        <v>2297</v>
      </c>
      <c r="C1965" t="s">
        <v>69</v>
      </c>
      <c r="D1965" t="s">
        <v>1245</v>
      </c>
      <c r="E1965" t="s">
        <v>73</v>
      </c>
      <c r="F1965" t="s">
        <v>1246</v>
      </c>
      <c r="G1965" t="s">
        <v>34</v>
      </c>
      <c r="H1965" t="s">
        <v>4673</v>
      </c>
      <c r="J1965">
        <v>1</v>
      </c>
    </row>
    <row r="1966" spans="1:10" x14ac:dyDescent="0.35">
      <c r="A1966">
        <v>60067999</v>
      </c>
      <c r="B1966" t="s">
        <v>2297</v>
      </c>
      <c r="C1966" t="s">
        <v>69</v>
      </c>
      <c r="D1966" t="s">
        <v>1245</v>
      </c>
      <c r="E1966" t="s">
        <v>73</v>
      </c>
      <c r="F1966" t="s">
        <v>1246</v>
      </c>
      <c r="G1966" t="s">
        <v>73</v>
      </c>
      <c r="H1966" t="s">
        <v>4673</v>
      </c>
      <c r="J1966">
        <v>1</v>
      </c>
    </row>
    <row r="1967" spans="1:10" x14ac:dyDescent="0.35">
      <c r="A1967">
        <v>60068088</v>
      </c>
      <c r="B1967" t="s">
        <v>2298</v>
      </c>
      <c r="C1967" t="s">
        <v>892</v>
      </c>
      <c r="D1967" t="s">
        <v>2204</v>
      </c>
      <c r="E1967" t="s">
        <v>73</v>
      </c>
      <c r="F1967" t="s">
        <v>2202</v>
      </c>
      <c r="G1967" t="s">
        <v>73</v>
      </c>
      <c r="H1967" t="s">
        <v>4765</v>
      </c>
      <c r="J1967">
        <v>2</v>
      </c>
    </row>
    <row r="1968" spans="1:10" x14ac:dyDescent="0.35">
      <c r="A1968">
        <v>6007048002700</v>
      </c>
      <c r="B1968" t="s">
        <v>2299</v>
      </c>
      <c r="C1968" t="s">
        <v>9</v>
      </c>
      <c r="D1968" t="s">
        <v>2300</v>
      </c>
      <c r="E1968" t="s">
        <v>33</v>
      </c>
      <c r="F1968" t="s">
        <v>2301</v>
      </c>
      <c r="G1968" t="s">
        <v>33</v>
      </c>
      <c r="H1968" t="s">
        <v>4786</v>
      </c>
      <c r="J1968">
        <v>2823</v>
      </c>
    </row>
    <row r="1969" spans="1:10" x14ac:dyDescent="0.35">
      <c r="A1969">
        <v>6007048005749</v>
      </c>
      <c r="B1969" t="s">
        <v>1597</v>
      </c>
      <c r="C1969" t="s">
        <v>75</v>
      </c>
      <c r="D1969" t="s">
        <v>2300</v>
      </c>
      <c r="E1969" t="s">
        <v>33</v>
      </c>
      <c r="F1969" t="s">
        <v>2301</v>
      </c>
      <c r="G1969" t="s">
        <v>33</v>
      </c>
      <c r="H1969" t="s">
        <v>4786</v>
      </c>
      <c r="J1969">
        <v>15</v>
      </c>
    </row>
    <row r="1970" spans="1:10" x14ac:dyDescent="0.35">
      <c r="A1970">
        <v>6007048006135</v>
      </c>
      <c r="B1970" t="s">
        <v>895</v>
      </c>
      <c r="C1970" t="s">
        <v>78</v>
      </c>
      <c r="D1970" t="s">
        <v>2300</v>
      </c>
      <c r="E1970" t="s">
        <v>33</v>
      </c>
      <c r="F1970" t="s">
        <v>2301</v>
      </c>
      <c r="G1970" t="s">
        <v>33</v>
      </c>
      <c r="H1970" t="s">
        <v>4786</v>
      </c>
      <c r="J1970">
        <v>63</v>
      </c>
    </row>
    <row r="1971" spans="1:10" x14ac:dyDescent="0.35">
      <c r="A1971">
        <v>6007048006289</v>
      </c>
      <c r="B1971" t="s">
        <v>2302</v>
      </c>
      <c r="C1971" t="s">
        <v>78</v>
      </c>
      <c r="D1971" t="s">
        <v>2300</v>
      </c>
      <c r="E1971" t="s">
        <v>33</v>
      </c>
      <c r="F1971" t="s">
        <v>2301</v>
      </c>
      <c r="G1971" t="s">
        <v>33</v>
      </c>
      <c r="H1971" t="s">
        <v>4786</v>
      </c>
      <c r="J1971">
        <v>234</v>
      </c>
    </row>
    <row r="1972" spans="1:10" x14ac:dyDescent="0.35">
      <c r="A1972">
        <v>6007048006432</v>
      </c>
      <c r="B1972" t="s">
        <v>2189</v>
      </c>
      <c r="C1972" t="s">
        <v>78</v>
      </c>
      <c r="D1972" t="s">
        <v>2303</v>
      </c>
      <c r="E1972" t="s">
        <v>33</v>
      </c>
      <c r="F1972" t="s">
        <v>2301</v>
      </c>
      <c r="G1972" t="s">
        <v>33</v>
      </c>
      <c r="H1972" t="s">
        <v>4786</v>
      </c>
      <c r="J1972">
        <v>58</v>
      </c>
    </row>
    <row r="1973" spans="1:10" x14ac:dyDescent="0.35">
      <c r="A1973">
        <v>6007048006449</v>
      </c>
      <c r="B1973" t="s">
        <v>2189</v>
      </c>
      <c r="C1973" t="s">
        <v>75</v>
      </c>
      <c r="D1973" t="s">
        <v>2303</v>
      </c>
      <c r="E1973" t="s">
        <v>33</v>
      </c>
      <c r="F1973" t="s">
        <v>2301</v>
      </c>
      <c r="G1973" t="s">
        <v>33</v>
      </c>
      <c r="H1973" t="s">
        <v>4786</v>
      </c>
      <c r="J1973">
        <v>17</v>
      </c>
    </row>
    <row r="1974" spans="1:10" x14ac:dyDescent="0.35">
      <c r="A1974">
        <v>6007048006593</v>
      </c>
      <c r="B1974" t="s">
        <v>2304</v>
      </c>
      <c r="C1974" t="s">
        <v>214</v>
      </c>
      <c r="D1974" t="s">
        <v>2304</v>
      </c>
      <c r="E1974" t="s">
        <v>33</v>
      </c>
      <c r="F1974" t="s">
        <v>2301</v>
      </c>
      <c r="G1974" t="s">
        <v>33</v>
      </c>
      <c r="H1974" t="s">
        <v>4786</v>
      </c>
      <c r="J1974">
        <v>25</v>
      </c>
    </row>
    <row r="1975" spans="1:10" x14ac:dyDescent="0.35">
      <c r="A1975">
        <v>6007048006807</v>
      </c>
      <c r="B1975" t="s">
        <v>2164</v>
      </c>
      <c r="C1975" t="s">
        <v>81</v>
      </c>
      <c r="D1975" t="s">
        <v>2305</v>
      </c>
      <c r="E1975" t="s">
        <v>33</v>
      </c>
      <c r="F1975" t="s">
        <v>2301</v>
      </c>
      <c r="G1975" t="s">
        <v>33</v>
      </c>
      <c r="H1975" t="s">
        <v>4786</v>
      </c>
      <c r="J1975">
        <v>94</v>
      </c>
    </row>
    <row r="1976" spans="1:10" x14ac:dyDescent="0.35">
      <c r="A1976">
        <v>6007048006845</v>
      </c>
      <c r="B1976" t="s">
        <v>481</v>
      </c>
      <c r="C1976" t="s">
        <v>81</v>
      </c>
      <c r="D1976" t="s">
        <v>2305</v>
      </c>
      <c r="E1976" t="s">
        <v>33</v>
      </c>
      <c r="F1976" t="s">
        <v>2301</v>
      </c>
      <c r="G1976" t="s">
        <v>33</v>
      </c>
      <c r="H1976" t="s">
        <v>4786</v>
      </c>
      <c r="J1976">
        <v>50</v>
      </c>
    </row>
    <row r="1977" spans="1:10" x14ac:dyDescent="0.35">
      <c r="A1977">
        <v>6007048006975</v>
      </c>
      <c r="B1977" t="s">
        <v>2306</v>
      </c>
      <c r="C1977" t="s">
        <v>78</v>
      </c>
      <c r="D1977" t="s">
        <v>2300</v>
      </c>
      <c r="E1977" t="s">
        <v>33</v>
      </c>
      <c r="F1977" t="s">
        <v>2301</v>
      </c>
      <c r="G1977" t="s">
        <v>33</v>
      </c>
      <c r="H1977" t="s">
        <v>4786</v>
      </c>
      <c r="J1977">
        <v>47</v>
      </c>
    </row>
    <row r="1978" spans="1:10" x14ac:dyDescent="0.35">
      <c r="A1978">
        <v>6007497100798</v>
      </c>
      <c r="B1978" t="s">
        <v>2307</v>
      </c>
      <c r="C1978" t="s">
        <v>43</v>
      </c>
      <c r="D1978" t="s">
        <v>2308</v>
      </c>
      <c r="E1978" t="s">
        <v>2309</v>
      </c>
      <c r="F1978" t="s">
        <v>2310</v>
      </c>
      <c r="G1978" t="s">
        <v>73</v>
      </c>
      <c r="H1978" t="s">
        <v>4787</v>
      </c>
      <c r="J1978">
        <v>4</v>
      </c>
    </row>
    <row r="1979" spans="1:10" x14ac:dyDescent="0.35">
      <c r="A1979">
        <v>6007575000569</v>
      </c>
      <c r="B1979" t="s">
        <v>2311</v>
      </c>
      <c r="C1979" t="s">
        <v>9</v>
      </c>
      <c r="D1979" t="s">
        <v>2312</v>
      </c>
      <c r="E1979" t="s">
        <v>73</v>
      </c>
      <c r="F1979" t="s">
        <v>2312</v>
      </c>
      <c r="G1979" t="s">
        <v>34</v>
      </c>
      <c r="H1979" t="s">
        <v>4788</v>
      </c>
      <c r="J1979">
        <v>6</v>
      </c>
    </row>
    <row r="1980" spans="1:10" x14ac:dyDescent="0.35">
      <c r="A1980">
        <v>6007575000569</v>
      </c>
      <c r="B1980" t="s">
        <v>2311</v>
      </c>
      <c r="C1980" t="s">
        <v>9</v>
      </c>
      <c r="D1980" t="s">
        <v>2312</v>
      </c>
      <c r="E1980" t="s">
        <v>73</v>
      </c>
      <c r="F1980" t="s">
        <v>2312</v>
      </c>
      <c r="G1980" t="s">
        <v>150</v>
      </c>
      <c r="H1980" t="s">
        <v>4788</v>
      </c>
      <c r="J1980">
        <v>1</v>
      </c>
    </row>
    <row r="1981" spans="1:10" x14ac:dyDescent="0.35">
      <c r="A1981">
        <v>6007575000576</v>
      </c>
      <c r="B1981" t="s">
        <v>2313</v>
      </c>
      <c r="C1981" t="s">
        <v>9</v>
      </c>
      <c r="D1981" t="s">
        <v>2312</v>
      </c>
      <c r="E1981" t="s">
        <v>73</v>
      </c>
      <c r="F1981" t="s">
        <v>2312</v>
      </c>
      <c r="G1981" t="s">
        <v>34</v>
      </c>
      <c r="H1981" t="s">
        <v>4788</v>
      </c>
      <c r="J1981">
        <v>1</v>
      </c>
    </row>
    <row r="1982" spans="1:10" x14ac:dyDescent="0.35">
      <c r="A1982">
        <v>6007575000606</v>
      </c>
      <c r="B1982" t="s">
        <v>2314</v>
      </c>
      <c r="C1982" t="s">
        <v>9</v>
      </c>
      <c r="D1982" t="s">
        <v>2312</v>
      </c>
      <c r="E1982" t="s">
        <v>73</v>
      </c>
      <c r="F1982" t="s">
        <v>2312</v>
      </c>
      <c r="G1982" t="s">
        <v>34</v>
      </c>
      <c r="H1982" t="s">
        <v>4788</v>
      </c>
      <c r="J1982">
        <v>7</v>
      </c>
    </row>
    <row r="1983" spans="1:10" x14ac:dyDescent="0.35">
      <c r="A1983">
        <v>6007575003119</v>
      </c>
      <c r="B1983" t="s">
        <v>2315</v>
      </c>
      <c r="C1983" t="s">
        <v>472</v>
      </c>
      <c r="D1983" t="s">
        <v>2312</v>
      </c>
      <c r="E1983" t="s">
        <v>73</v>
      </c>
      <c r="F1983" t="s">
        <v>2312</v>
      </c>
      <c r="G1983" t="s">
        <v>34</v>
      </c>
      <c r="H1983" t="s">
        <v>4788</v>
      </c>
      <c r="J1983">
        <v>1</v>
      </c>
    </row>
    <row r="1984" spans="1:10" x14ac:dyDescent="0.35">
      <c r="A1984">
        <v>6007842701670</v>
      </c>
      <c r="B1984" t="s">
        <v>549</v>
      </c>
      <c r="C1984" t="s">
        <v>9</v>
      </c>
      <c r="D1984" t="s">
        <v>2316</v>
      </c>
      <c r="E1984" t="s">
        <v>33</v>
      </c>
      <c r="F1984" t="s">
        <v>2317</v>
      </c>
      <c r="G1984" t="s">
        <v>33</v>
      </c>
      <c r="H1984" t="s">
        <v>4789</v>
      </c>
      <c r="J1984">
        <v>5</v>
      </c>
    </row>
    <row r="1985" spans="1:10" x14ac:dyDescent="0.35">
      <c r="A1985">
        <v>6007856098414</v>
      </c>
      <c r="B1985" t="s">
        <v>212</v>
      </c>
      <c r="C1985" t="s">
        <v>603</v>
      </c>
      <c r="D1985" t="s">
        <v>2318</v>
      </c>
      <c r="E1985" t="s">
        <v>15</v>
      </c>
      <c r="F1985" t="s">
        <v>2319</v>
      </c>
      <c r="G1985" t="s">
        <v>34</v>
      </c>
      <c r="H1985" t="s">
        <v>4790</v>
      </c>
      <c r="J1985">
        <v>1</v>
      </c>
    </row>
    <row r="1986" spans="1:10" x14ac:dyDescent="0.35">
      <c r="A1986">
        <v>6007875488371</v>
      </c>
      <c r="B1986" t="s">
        <v>2088</v>
      </c>
      <c r="C1986" t="s">
        <v>1123</v>
      </c>
      <c r="D1986" t="s">
        <v>1097</v>
      </c>
      <c r="E1986" t="s">
        <v>73</v>
      </c>
      <c r="F1986" t="s">
        <v>1098</v>
      </c>
      <c r="G1986" t="s">
        <v>34</v>
      </c>
      <c r="H1986" t="s">
        <v>4650</v>
      </c>
      <c r="J1986">
        <v>1</v>
      </c>
    </row>
    <row r="1987" spans="1:10" x14ac:dyDescent="0.35">
      <c r="A1987">
        <v>6008000440813</v>
      </c>
      <c r="B1987" t="s">
        <v>2320</v>
      </c>
      <c r="C1987" t="s">
        <v>2321</v>
      </c>
      <c r="D1987" t="s">
        <v>1097</v>
      </c>
      <c r="E1987" t="s">
        <v>73</v>
      </c>
      <c r="F1987" t="s">
        <v>1098</v>
      </c>
      <c r="G1987" t="s">
        <v>73</v>
      </c>
      <c r="H1987" t="s">
        <v>4650</v>
      </c>
      <c r="J1987">
        <v>1</v>
      </c>
    </row>
    <row r="1988" spans="1:10" x14ac:dyDescent="0.35">
      <c r="A1988">
        <v>6008000555951</v>
      </c>
      <c r="B1988" t="s">
        <v>2322</v>
      </c>
      <c r="C1988" t="s">
        <v>43</v>
      </c>
      <c r="D1988" t="s">
        <v>1097</v>
      </c>
      <c r="E1988" t="s">
        <v>73</v>
      </c>
      <c r="F1988" t="s">
        <v>1098</v>
      </c>
      <c r="G1988" t="s">
        <v>34</v>
      </c>
      <c r="H1988" t="s">
        <v>4650</v>
      </c>
      <c r="J1988">
        <v>2</v>
      </c>
    </row>
    <row r="1989" spans="1:10" x14ac:dyDescent="0.35">
      <c r="A1989">
        <v>6008155002027</v>
      </c>
      <c r="B1989" t="s">
        <v>2323</v>
      </c>
      <c r="C1989" t="s">
        <v>663</v>
      </c>
      <c r="D1989" t="s">
        <v>2324</v>
      </c>
      <c r="E1989" t="s">
        <v>41</v>
      </c>
      <c r="F1989" t="s">
        <v>2325</v>
      </c>
      <c r="G1989" t="s">
        <v>41</v>
      </c>
      <c r="H1989" t="s">
        <v>4791</v>
      </c>
      <c r="J1989">
        <v>381</v>
      </c>
    </row>
    <row r="1990" spans="1:10" x14ac:dyDescent="0.35">
      <c r="A1990">
        <v>6008155002300</v>
      </c>
      <c r="B1990" t="s">
        <v>2326</v>
      </c>
      <c r="C1990" t="s">
        <v>663</v>
      </c>
      <c r="D1990" t="s">
        <v>2324</v>
      </c>
      <c r="E1990" t="s">
        <v>41</v>
      </c>
      <c r="F1990" t="s">
        <v>2325</v>
      </c>
      <c r="G1990" t="s">
        <v>41</v>
      </c>
      <c r="H1990" t="s">
        <v>4791</v>
      </c>
      <c r="J1990">
        <v>56</v>
      </c>
    </row>
    <row r="1991" spans="1:10" x14ac:dyDescent="0.35">
      <c r="A1991">
        <v>6008155004373</v>
      </c>
      <c r="B1991" t="s">
        <v>2327</v>
      </c>
      <c r="C1991" t="s">
        <v>659</v>
      </c>
      <c r="D1991" t="s">
        <v>2324</v>
      </c>
      <c r="E1991" t="s">
        <v>41</v>
      </c>
      <c r="F1991" t="s">
        <v>2325</v>
      </c>
      <c r="G1991" t="s">
        <v>41</v>
      </c>
      <c r="H1991" t="s">
        <v>4791</v>
      </c>
      <c r="J1991">
        <v>3</v>
      </c>
    </row>
    <row r="1992" spans="1:10" x14ac:dyDescent="0.35">
      <c r="A1992">
        <v>6008155007534</v>
      </c>
      <c r="B1992" t="s">
        <v>2328</v>
      </c>
      <c r="C1992" t="s">
        <v>454</v>
      </c>
      <c r="D1992" t="s">
        <v>2329</v>
      </c>
      <c r="E1992" t="s">
        <v>41</v>
      </c>
      <c r="F1992" t="s">
        <v>2325</v>
      </c>
      <c r="G1992" t="s">
        <v>41</v>
      </c>
      <c r="H1992" t="s">
        <v>4791</v>
      </c>
      <c r="J1992">
        <v>33</v>
      </c>
    </row>
    <row r="1993" spans="1:10" x14ac:dyDescent="0.35">
      <c r="A1993">
        <v>6008155008029</v>
      </c>
      <c r="B1993" t="s">
        <v>2330</v>
      </c>
      <c r="C1993" t="s">
        <v>919</v>
      </c>
      <c r="D1993" t="s">
        <v>2331</v>
      </c>
      <c r="E1993" t="s">
        <v>41</v>
      </c>
      <c r="F1993" t="s">
        <v>2325</v>
      </c>
      <c r="G1993" t="s">
        <v>41</v>
      </c>
      <c r="H1993" t="s">
        <v>4791</v>
      </c>
      <c r="J1993">
        <v>39</v>
      </c>
    </row>
    <row r="1994" spans="1:10" x14ac:dyDescent="0.35">
      <c r="A1994">
        <v>6008155011470</v>
      </c>
      <c r="B1994" t="s">
        <v>2332</v>
      </c>
      <c r="C1994" t="s">
        <v>94</v>
      </c>
      <c r="D1994" t="s">
        <v>2324</v>
      </c>
      <c r="E1994" t="s">
        <v>41</v>
      </c>
      <c r="F1994" t="s">
        <v>2325</v>
      </c>
      <c r="G1994" t="s">
        <v>117</v>
      </c>
      <c r="H1994" t="s">
        <v>4791</v>
      </c>
      <c r="J1994">
        <v>58</v>
      </c>
    </row>
    <row r="1995" spans="1:10" x14ac:dyDescent="0.35">
      <c r="A1995">
        <v>6008155015324</v>
      </c>
      <c r="B1995" t="s">
        <v>2333</v>
      </c>
      <c r="C1995" t="s">
        <v>458</v>
      </c>
      <c r="D1995" t="s">
        <v>2331</v>
      </c>
      <c r="E1995" t="s">
        <v>41</v>
      </c>
      <c r="F1995" t="s">
        <v>2325</v>
      </c>
      <c r="G1995" t="s">
        <v>41</v>
      </c>
      <c r="H1995" t="s">
        <v>4791</v>
      </c>
      <c r="J1995">
        <v>25</v>
      </c>
    </row>
    <row r="1996" spans="1:10" x14ac:dyDescent="0.35">
      <c r="A1996">
        <v>6008155018967</v>
      </c>
      <c r="B1996" t="s">
        <v>2334</v>
      </c>
      <c r="C1996" t="s">
        <v>2335</v>
      </c>
      <c r="D1996" t="s">
        <v>2324</v>
      </c>
      <c r="E1996" t="s">
        <v>41</v>
      </c>
      <c r="F1996" t="s">
        <v>2325</v>
      </c>
      <c r="G1996" t="s">
        <v>41</v>
      </c>
      <c r="H1996" t="s">
        <v>4791</v>
      </c>
      <c r="J1996">
        <v>8</v>
      </c>
    </row>
    <row r="1997" spans="1:10" x14ac:dyDescent="0.35">
      <c r="A1997">
        <v>60084590</v>
      </c>
      <c r="B1997" t="s">
        <v>2336</v>
      </c>
      <c r="C1997" t="s">
        <v>472</v>
      </c>
      <c r="D1997" t="s">
        <v>2337</v>
      </c>
      <c r="E1997" t="s">
        <v>11</v>
      </c>
      <c r="F1997" t="s">
        <v>2338</v>
      </c>
      <c r="G1997" t="s">
        <v>11</v>
      </c>
      <c r="H1997" t="s">
        <v>4792</v>
      </c>
      <c r="J1997">
        <v>2</v>
      </c>
    </row>
    <row r="1998" spans="1:10" x14ac:dyDescent="0.35">
      <c r="A1998">
        <v>60084590</v>
      </c>
      <c r="B1998" t="s">
        <v>2336</v>
      </c>
      <c r="C1998" t="s">
        <v>472</v>
      </c>
      <c r="D1998" t="s">
        <v>2337</v>
      </c>
      <c r="E1998" t="s">
        <v>11</v>
      </c>
      <c r="F1998" t="s">
        <v>2338</v>
      </c>
      <c r="G1998" t="s">
        <v>31</v>
      </c>
      <c r="H1998" t="s">
        <v>4792</v>
      </c>
      <c r="J1998">
        <v>1</v>
      </c>
    </row>
    <row r="1999" spans="1:10" x14ac:dyDescent="0.35">
      <c r="A1999">
        <v>6008459000019</v>
      </c>
      <c r="B1999" t="s">
        <v>2339</v>
      </c>
      <c r="C1999" t="s">
        <v>9</v>
      </c>
      <c r="D1999" t="s">
        <v>2340</v>
      </c>
      <c r="E1999" t="s">
        <v>15</v>
      </c>
      <c r="F1999" t="s">
        <v>14</v>
      </c>
      <c r="G1999" t="s">
        <v>11</v>
      </c>
      <c r="H1999" t="s">
        <v>4489</v>
      </c>
      <c r="J1999">
        <v>16</v>
      </c>
    </row>
    <row r="2000" spans="1:10" x14ac:dyDescent="0.35">
      <c r="A2000">
        <v>6008459000033</v>
      </c>
      <c r="B2000" t="s">
        <v>852</v>
      </c>
      <c r="C2000" t="s">
        <v>192</v>
      </c>
      <c r="D2000" t="s">
        <v>2340</v>
      </c>
      <c r="E2000" t="s">
        <v>15</v>
      </c>
      <c r="F2000" t="s">
        <v>14</v>
      </c>
      <c r="G2000" t="s">
        <v>11</v>
      </c>
      <c r="H2000" t="s">
        <v>4489</v>
      </c>
      <c r="J2000">
        <v>3</v>
      </c>
    </row>
    <row r="2001" spans="1:10" x14ac:dyDescent="0.35">
      <c r="A2001">
        <v>6008459000033</v>
      </c>
      <c r="B2001" t="s">
        <v>852</v>
      </c>
      <c r="C2001" t="s">
        <v>192</v>
      </c>
      <c r="D2001" t="s">
        <v>2340</v>
      </c>
      <c r="E2001" t="s">
        <v>15</v>
      </c>
      <c r="F2001" t="s">
        <v>14</v>
      </c>
      <c r="G2001" t="s">
        <v>31</v>
      </c>
      <c r="H2001" t="s">
        <v>4489</v>
      </c>
      <c r="J2001">
        <v>4</v>
      </c>
    </row>
    <row r="2002" spans="1:10" x14ac:dyDescent="0.35">
      <c r="A2002">
        <v>6008459000330</v>
      </c>
      <c r="B2002" t="s">
        <v>2341</v>
      </c>
      <c r="C2002" t="s">
        <v>9</v>
      </c>
      <c r="D2002" t="s">
        <v>2337</v>
      </c>
      <c r="E2002" t="s">
        <v>11</v>
      </c>
      <c r="F2002" t="s">
        <v>2338</v>
      </c>
      <c r="G2002" t="s">
        <v>11</v>
      </c>
      <c r="H2002" t="s">
        <v>4792</v>
      </c>
      <c r="J2002">
        <v>1</v>
      </c>
    </row>
    <row r="2003" spans="1:10" x14ac:dyDescent="0.35">
      <c r="A2003">
        <v>6008459000330</v>
      </c>
      <c r="B2003" t="s">
        <v>2341</v>
      </c>
      <c r="C2003" t="s">
        <v>9</v>
      </c>
      <c r="D2003" t="s">
        <v>2337</v>
      </c>
      <c r="E2003" t="s">
        <v>11</v>
      </c>
      <c r="F2003" t="s">
        <v>2338</v>
      </c>
      <c r="G2003" t="s">
        <v>31</v>
      </c>
      <c r="H2003" t="s">
        <v>4792</v>
      </c>
      <c r="J2003">
        <v>1</v>
      </c>
    </row>
    <row r="2004" spans="1:10" x14ac:dyDescent="0.35">
      <c r="A2004">
        <v>6008459000446</v>
      </c>
      <c r="B2004" t="s">
        <v>2342</v>
      </c>
      <c r="C2004" t="s">
        <v>38</v>
      </c>
      <c r="D2004" t="s">
        <v>2337</v>
      </c>
      <c r="E2004" t="s">
        <v>11</v>
      </c>
      <c r="F2004" t="s">
        <v>2338</v>
      </c>
      <c r="G2004" t="s">
        <v>11</v>
      </c>
      <c r="H2004" t="s">
        <v>4792</v>
      </c>
      <c r="J2004">
        <v>12</v>
      </c>
    </row>
    <row r="2005" spans="1:10" x14ac:dyDescent="0.35">
      <c r="A2005">
        <v>6008459000453</v>
      </c>
      <c r="B2005" t="s">
        <v>2343</v>
      </c>
      <c r="C2005" t="s">
        <v>9</v>
      </c>
      <c r="D2005" t="s">
        <v>2337</v>
      </c>
      <c r="E2005" t="s">
        <v>11</v>
      </c>
      <c r="F2005" t="s">
        <v>2338</v>
      </c>
      <c r="G2005" t="s">
        <v>11</v>
      </c>
      <c r="H2005" t="s">
        <v>4792</v>
      </c>
      <c r="J2005">
        <v>163</v>
      </c>
    </row>
    <row r="2006" spans="1:10" x14ac:dyDescent="0.35">
      <c r="A2006">
        <v>6008459000453</v>
      </c>
      <c r="B2006" t="s">
        <v>2343</v>
      </c>
      <c r="C2006" t="s">
        <v>9</v>
      </c>
      <c r="D2006" t="s">
        <v>2337</v>
      </c>
      <c r="E2006" t="s">
        <v>11</v>
      </c>
      <c r="F2006" t="s">
        <v>2338</v>
      </c>
      <c r="G2006" t="s">
        <v>150</v>
      </c>
      <c r="H2006" t="s">
        <v>4792</v>
      </c>
      <c r="J2006">
        <v>45</v>
      </c>
    </row>
    <row r="2007" spans="1:10" x14ac:dyDescent="0.35">
      <c r="A2007">
        <v>6008459000453</v>
      </c>
      <c r="B2007" t="s">
        <v>2343</v>
      </c>
      <c r="C2007" t="s">
        <v>9</v>
      </c>
      <c r="D2007" t="s">
        <v>2337</v>
      </c>
      <c r="E2007" t="s">
        <v>11</v>
      </c>
      <c r="F2007" t="s">
        <v>2338</v>
      </c>
      <c r="G2007" t="s">
        <v>61</v>
      </c>
      <c r="H2007" t="s">
        <v>4792</v>
      </c>
      <c r="J2007">
        <v>35</v>
      </c>
    </row>
    <row r="2008" spans="1:10" x14ac:dyDescent="0.35">
      <c r="A2008">
        <v>6008459000453</v>
      </c>
      <c r="B2008" t="s">
        <v>2343</v>
      </c>
      <c r="C2008" t="s">
        <v>9</v>
      </c>
      <c r="D2008" t="s">
        <v>2337</v>
      </c>
      <c r="E2008" t="s">
        <v>11</v>
      </c>
      <c r="F2008" t="s">
        <v>2338</v>
      </c>
      <c r="G2008" t="s">
        <v>31</v>
      </c>
      <c r="H2008" t="s">
        <v>4792</v>
      </c>
      <c r="J2008">
        <v>1</v>
      </c>
    </row>
    <row r="2009" spans="1:10" x14ac:dyDescent="0.35">
      <c r="A2009">
        <v>6008459000507</v>
      </c>
      <c r="B2009" t="s">
        <v>1922</v>
      </c>
      <c r="C2009" t="s">
        <v>909</v>
      </c>
      <c r="D2009" t="s">
        <v>366</v>
      </c>
      <c r="E2009" t="s">
        <v>61</v>
      </c>
      <c r="F2009" t="s">
        <v>364</v>
      </c>
      <c r="G2009" t="s">
        <v>11</v>
      </c>
      <c r="H2009" t="s">
        <v>4540</v>
      </c>
      <c r="J2009">
        <v>43</v>
      </c>
    </row>
    <row r="2010" spans="1:10" x14ac:dyDescent="0.35">
      <c r="A2010">
        <v>6008459000507</v>
      </c>
      <c r="B2010" t="s">
        <v>1922</v>
      </c>
      <c r="C2010" t="s">
        <v>909</v>
      </c>
      <c r="D2010" t="s">
        <v>366</v>
      </c>
      <c r="E2010" t="s">
        <v>61</v>
      </c>
      <c r="F2010" t="s">
        <v>364</v>
      </c>
      <c r="G2010" t="s">
        <v>61</v>
      </c>
      <c r="H2010" t="s">
        <v>4540</v>
      </c>
      <c r="J2010">
        <v>5</v>
      </c>
    </row>
    <row r="2011" spans="1:10" x14ac:dyDescent="0.35">
      <c r="A2011">
        <v>6008459000972</v>
      </c>
      <c r="B2011" t="s">
        <v>2344</v>
      </c>
      <c r="C2011" t="s">
        <v>9</v>
      </c>
      <c r="D2011" t="s">
        <v>2337</v>
      </c>
      <c r="E2011" t="s">
        <v>11</v>
      </c>
      <c r="F2011" t="s">
        <v>2338</v>
      </c>
      <c r="G2011" t="s">
        <v>11</v>
      </c>
      <c r="H2011" t="s">
        <v>4792</v>
      </c>
      <c r="J2011">
        <v>9</v>
      </c>
    </row>
    <row r="2012" spans="1:10" x14ac:dyDescent="0.35">
      <c r="A2012">
        <v>6008459000972</v>
      </c>
      <c r="B2012" t="s">
        <v>2344</v>
      </c>
      <c r="C2012" t="s">
        <v>9</v>
      </c>
      <c r="D2012" t="s">
        <v>2337</v>
      </c>
      <c r="E2012" t="s">
        <v>11</v>
      </c>
      <c r="F2012" t="s">
        <v>2338</v>
      </c>
      <c r="G2012" t="s">
        <v>150</v>
      </c>
      <c r="H2012" t="s">
        <v>4792</v>
      </c>
      <c r="J2012">
        <v>1</v>
      </c>
    </row>
    <row r="2013" spans="1:10" x14ac:dyDescent="0.35">
      <c r="A2013">
        <v>6008835001470</v>
      </c>
      <c r="B2013" t="s">
        <v>2345</v>
      </c>
      <c r="C2013" t="s">
        <v>1123</v>
      </c>
      <c r="D2013" t="s">
        <v>2346</v>
      </c>
      <c r="E2013" t="s">
        <v>11</v>
      </c>
      <c r="F2013" t="s">
        <v>2347</v>
      </c>
      <c r="G2013" t="s">
        <v>11</v>
      </c>
      <c r="H2013" t="s">
        <v>4793</v>
      </c>
      <c r="J2013">
        <v>11</v>
      </c>
    </row>
    <row r="2014" spans="1:10" x14ac:dyDescent="0.35">
      <c r="A2014">
        <v>6008835001470</v>
      </c>
      <c r="B2014" t="s">
        <v>2345</v>
      </c>
      <c r="C2014" t="s">
        <v>1123</v>
      </c>
      <c r="D2014" t="s">
        <v>2346</v>
      </c>
      <c r="E2014" t="s">
        <v>11</v>
      </c>
      <c r="F2014" t="s">
        <v>2347</v>
      </c>
      <c r="G2014" t="s">
        <v>61</v>
      </c>
      <c r="H2014" t="s">
        <v>4793</v>
      </c>
      <c r="J2014">
        <v>11</v>
      </c>
    </row>
    <row r="2015" spans="1:10" x14ac:dyDescent="0.35">
      <c r="A2015">
        <v>6008874329030</v>
      </c>
      <c r="B2015" t="s">
        <v>2248</v>
      </c>
      <c r="C2015" t="s">
        <v>603</v>
      </c>
      <c r="D2015" t="s">
        <v>2249</v>
      </c>
      <c r="E2015" t="s">
        <v>578</v>
      </c>
      <c r="F2015" t="s">
        <v>2250</v>
      </c>
      <c r="G2015" t="s">
        <v>33</v>
      </c>
      <c r="H2015" t="s">
        <v>4775</v>
      </c>
      <c r="J2015">
        <v>20</v>
      </c>
    </row>
    <row r="2016" spans="1:10" x14ac:dyDescent="0.35">
      <c r="A2016">
        <v>6009000980026</v>
      </c>
      <c r="B2016" t="s">
        <v>2348</v>
      </c>
      <c r="C2016">
        <v>570</v>
      </c>
      <c r="D2016" t="s">
        <v>2350</v>
      </c>
      <c r="E2016" t="s">
        <v>34</v>
      </c>
      <c r="F2016" t="s">
        <v>2351</v>
      </c>
      <c r="G2016" t="s">
        <v>34</v>
      </c>
      <c r="H2016" t="s">
        <v>4794</v>
      </c>
      <c r="J2016">
        <v>2</v>
      </c>
    </row>
    <row r="2017" spans="1:10" x14ac:dyDescent="0.35">
      <c r="A2017">
        <v>6009000980040</v>
      </c>
      <c r="B2017" t="s">
        <v>2352</v>
      </c>
      <c r="C2017" t="s">
        <v>272</v>
      </c>
      <c r="D2017" t="s">
        <v>2350</v>
      </c>
      <c r="E2017" t="s">
        <v>34</v>
      </c>
      <c r="F2017" t="s">
        <v>2351</v>
      </c>
      <c r="G2017" t="s">
        <v>34</v>
      </c>
      <c r="H2017" t="s">
        <v>4794</v>
      </c>
      <c r="J2017">
        <v>151</v>
      </c>
    </row>
    <row r="2018" spans="1:10" x14ac:dyDescent="0.35">
      <c r="A2018">
        <v>6009000980057</v>
      </c>
      <c r="B2018" t="s">
        <v>589</v>
      </c>
      <c r="C2018" t="s">
        <v>472</v>
      </c>
      <c r="D2018" t="s">
        <v>2350</v>
      </c>
      <c r="E2018" t="s">
        <v>34</v>
      </c>
      <c r="F2018" t="s">
        <v>2351</v>
      </c>
      <c r="G2018" t="s">
        <v>34</v>
      </c>
      <c r="H2018" t="s">
        <v>4794</v>
      </c>
      <c r="J2018">
        <v>51</v>
      </c>
    </row>
    <row r="2019" spans="1:10" x14ac:dyDescent="0.35">
      <c r="A2019">
        <v>6009000980057</v>
      </c>
      <c r="B2019" t="s">
        <v>589</v>
      </c>
      <c r="C2019" t="s">
        <v>472</v>
      </c>
      <c r="D2019" t="s">
        <v>2350</v>
      </c>
      <c r="E2019" t="s">
        <v>34</v>
      </c>
      <c r="F2019" t="s">
        <v>2351</v>
      </c>
      <c r="G2019" t="s">
        <v>31</v>
      </c>
      <c r="H2019" t="s">
        <v>4794</v>
      </c>
      <c r="J2019">
        <v>7</v>
      </c>
    </row>
    <row r="2020" spans="1:10" x14ac:dyDescent="0.35">
      <c r="A2020">
        <v>6009000980071</v>
      </c>
      <c r="B2020" t="s">
        <v>2353</v>
      </c>
      <c r="C2020" t="s">
        <v>603</v>
      </c>
      <c r="D2020" t="s">
        <v>2350</v>
      </c>
      <c r="E2020" t="s">
        <v>34</v>
      </c>
      <c r="F2020" t="s">
        <v>2351</v>
      </c>
      <c r="G2020" t="s">
        <v>34</v>
      </c>
      <c r="H2020" t="s">
        <v>4794</v>
      </c>
      <c r="J2020">
        <v>605</v>
      </c>
    </row>
    <row r="2021" spans="1:10" x14ac:dyDescent="0.35">
      <c r="A2021">
        <v>6009000980088</v>
      </c>
      <c r="B2021" t="s">
        <v>2354</v>
      </c>
      <c r="C2021" t="s">
        <v>472</v>
      </c>
      <c r="D2021" t="s">
        <v>2350</v>
      </c>
      <c r="E2021" t="s">
        <v>34</v>
      </c>
      <c r="F2021" t="s">
        <v>2351</v>
      </c>
      <c r="G2021" t="s">
        <v>34</v>
      </c>
      <c r="H2021" t="s">
        <v>4794</v>
      </c>
      <c r="J2021">
        <v>330</v>
      </c>
    </row>
    <row r="2022" spans="1:10" x14ac:dyDescent="0.35">
      <c r="A2022">
        <v>6009000982211</v>
      </c>
      <c r="B2022" t="s">
        <v>2355</v>
      </c>
      <c r="C2022" t="s">
        <v>9</v>
      </c>
      <c r="D2022" t="s">
        <v>2356</v>
      </c>
      <c r="E2022" t="s">
        <v>34</v>
      </c>
      <c r="F2022" t="s">
        <v>2357</v>
      </c>
      <c r="G2022" t="s">
        <v>34</v>
      </c>
      <c r="H2022" t="s">
        <v>4795</v>
      </c>
      <c r="J2022">
        <v>1</v>
      </c>
    </row>
    <row r="2023" spans="1:10" x14ac:dyDescent="0.35">
      <c r="A2023">
        <v>6009000982259</v>
      </c>
      <c r="B2023" t="s">
        <v>2358</v>
      </c>
      <c r="C2023" t="s">
        <v>9</v>
      </c>
      <c r="D2023" t="s">
        <v>2356</v>
      </c>
      <c r="E2023" t="s">
        <v>34</v>
      </c>
      <c r="F2023" t="s">
        <v>2357</v>
      </c>
      <c r="G2023" t="s">
        <v>34</v>
      </c>
      <c r="H2023" t="s">
        <v>4795</v>
      </c>
      <c r="J2023">
        <v>4</v>
      </c>
    </row>
    <row r="2024" spans="1:10" x14ac:dyDescent="0.35">
      <c r="A2024">
        <v>6009101070824</v>
      </c>
      <c r="B2024" t="s">
        <v>2359</v>
      </c>
      <c r="C2024" t="s">
        <v>443</v>
      </c>
      <c r="D2024" t="s">
        <v>1097</v>
      </c>
      <c r="E2024" t="s">
        <v>73</v>
      </c>
      <c r="F2024" t="s">
        <v>1098</v>
      </c>
      <c r="G2024" t="s">
        <v>73</v>
      </c>
      <c r="H2024" t="s">
        <v>4650</v>
      </c>
      <c r="J2024">
        <v>1</v>
      </c>
    </row>
    <row r="2025" spans="1:10" x14ac:dyDescent="0.35">
      <c r="A2025">
        <v>6009101708574</v>
      </c>
      <c r="B2025" t="s">
        <v>2360</v>
      </c>
      <c r="C2025" t="s">
        <v>1123</v>
      </c>
      <c r="D2025" t="s">
        <v>1097</v>
      </c>
      <c r="E2025" t="s">
        <v>73</v>
      </c>
      <c r="F2025" t="s">
        <v>1098</v>
      </c>
      <c r="G2025" t="s">
        <v>73</v>
      </c>
      <c r="H2025" t="s">
        <v>4650</v>
      </c>
      <c r="J2025">
        <v>1</v>
      </c>
    </row>
    <row r="2026" spans="1:10" x14ac:dyDescent="0.35">
      <c r="A2026">
        <v>6009101961788</v>
      </c>
      <c r="B2026" t="s">
        <v>2263</v>
      </c>
      <c r="C2026" t="s">
        <v>326</v>
      </c>
      <c r="D2026" t="s">
        <v>1097</v>
      </c>
      <c r="E2026" t="s">
        <v>73</v>
      </c>
      <c r="F2026" t="s">
        <v>1098</v>
      </c>
      <c r="G2026" t="s">
        <v>73</v>
      </c>
      <c r="H2026" t="s">
        <v>4650</v>
      </c>
      <c r="J2026">
        <v>1</v>
      </c>
    </row>
    <row r="2027" spans="1:10" x14ac:dyDescent="0.35">
      <c r="A2027">
        <v>6009171831134</v>
      </c>
      <c r="B2027" t="s">
        <v>2361</v>
      </c>
      <c r="C2027" t="s">
        <v>272</v>
      </c>
      <c r="D2027" t="s">
        <v>1097</v>
      </c>
      <c r="E2027" t="s">
        <v>73</v>
      </c>
      <c r="F2027" t="s">
        <v>1098</v>
      </c>
      <c r="G2027" t="s">
        <v>73</v>
      </c>
      <c r="H2027" t="s">
        <v>4650</v>
      </c>
      <c r="J2027">
        <v>1</v>
      </c>
    </row>
    <row r="2028" spans="1:10" x14ac:dyDescent="0.35">
      <c r="A2028">
        <v>6009171929749</v>
      </c>
      <c r="B2028" t="s">
        <v>2362</v>
      </c>
      <c r="C2028" t="s">
        <v>1435</v>
      </c>
      <c r="D2028" t="s">
        <v>1097</v>
      </c>
      <c r="E2028" t="s">
        <v>73</v>
      </c>
      <c r="F2028" t="s">
        <v>1098</v>
      </c>
      <c r="G2028" t="s">
        <v>73</v>
      </c>
      <c r="H2028" t="s">
        <v>4650</v>
      </c>
      <c r="J2028">
        <v>3</v>
      </c>
    </row>
    <row r="2029" spans="1:10" x14ac:dyDescent="0.35">
      <c r="A2029">
        <v>6009173456816</v>
      </c>
      <c r="B2029" t="s">
        <v>2363</v>
      </c>
      <c r="C2029" t="s">
        <v>272</v>
      </c>
      <c r="D2029" t="s">
        <v>1097</v>
      </c>
      <c r="E2029" t="s">
        <v>73</v>
      </c>
      <c r="F2029" t="s">
        <v>1098</v>
      </c>
      <c r="G2029" t="s">
        <v>73</v>
      </c>
      <c r="H2029" t="s">
        <v>4650</v>
      </c>
      <c r="J2029">
        <v>1</v>
      </c>
    </row>
    <row r="2030" spans="1:10" x14ac:dyDescent="0.35">
      <c r="A2030">
        <v>6009173967152</v>
      </c>
      <c r="B2030" t="s">
        <v>2364</v>
      </c>
      <c r="C2030" t="s">
        <v>192</v>
      </c>
      <c r="D2030" t="s">
        <v>1097</v>
      </c>
      <c r="E2030" t="s">
        <v>73</v>
      </c>
      <c r="F2030" t="s">
        <v>1098</v>
      </c>
      <c r="G2030" t="s">
        <v>73</v>
      </c>
      <c r="H2030" t="s">
        <v>4650</v>
      </c>
      <c r="J2030">
        <v>1</v>
      </c>
    </row>
    <row r="2031" spans="1:10" x14ac:dyDescent="0.35">
      <c r="A2031">
        <v>6009175095907</v>
      </c>
      <c r="B2031" t="s">
        <v>2365</v>
      </c>
      <c r="C2031" t="s">
        <v>272</v>
      </c>
      <c r="D2031" t="s">
        <v>1097</v>
      </c>
      <c r="E2031" t="s">
        <v>73</v>
      </c>
      <c r="F2031" t="s">
        <v>1098</v>
      </c>
      <c r="G2031" t="s">
        <v>73</v>
      </c>
      <c r="H2031" t="s">
        <v>4650</v>
      </c>
      <c r="J2031">
        <v>1</v>
      </c>
    </row>
    <row r="2032" spans="1:10" x14ac:dyDescent="0.35">
      <c r="A2032">
        <v>6009175199971</v>
      </c>
      <c r="B2032" t="s">
        <v>2366</v>
      </c>
      <c r="C2032" t="s">
        <v>69</v>
      </c>
      <c r="D2032" t="s">
        <v>1097</v>
      </c>
      <c r="E2032" t="s">
        <v>73</v>
      </c>
      <c r="F2032" t="s">
        <v>1098</v>
      </c>
      <c r="G2032" t="s">
        <v>34</v>
      </c>
      <c r="H2032" t="s">
        <v>4650</v>
      </c>
      <c r="J2032">
        <v>2</v>
      </c>
    </row>
    <row r="2033" spans="1:10" x14ac:dyDescent="0.35">
      <c r="A2033">
        <v>6009175199995</v>
      </c>
      <c r="B2033" t="s">
        <v>2367</v>
      </c>
      <c r="C2033" t="s">
        <v>2368</v>
      </c>
      <c r="D2033" t="s">
        <v>1097</v>
      </c>
      <c r="E2033" t="s">
        <v>73</v>
      </c>
      <c r="F2033" t="s">
        <v>1098</v>
      </c>
      <c r="G2033" t="s">
        <v>34</v>
      </c>
      <c r="H2033" t="s">
        <v>4650</v>
      </c>
      <c r="J2033">
        <v>1</v>
      </c>
    </row>
    <row r="2034" spans="1:10" x14ac:dyDescent="0.35">
      <c r="A2034">
        <v>6009175213356</v>
      </c>
      <c r="B2034" t="s">
        <v>2369</v>
      </c>
      <c r="C2034" t="s">
        <v>43</v>
      </c>
      <c r="D2034" t="s">
        <v>1097</v>
      </c>
      <c r="E2034" t="s">
        <v>73</v>
      </c>
      <c r="F2034" t="s">
        <v>1098</v>
      </c>
      <c r="G2034" t="s">
        <v>73</v>
      </c>
      <c r="H2034" t="s">
        <v>4650</v>
      </c>
      <c r="J2034">
        <v>1</v>
      </c>
    </row>
    <row r="2035" spans="1:10" x14ac:dyDescent="0.35">
      <c r="A2035">
        <v>6009175423854</v>
      </c>
      <c r="B2035" t="s">
        <v>201</v>
      </c>
      <c r="C2035" t="s">
        <v>81</v>
      </c>
      <c r="D2035" t="s">
        <v>1097</v>
      </c>
      <c r="E2035" t="s">
        <v>73</v>
      </c>
      <c r="F2035" t="s">
        <v>1098</v>
      </c>
      <c r="G2035" t="s">
        <v>34</v>
      </c>
      <c r="H2035" t="s">
        <v>4650</v>
      </c>
      <c r="J2035">
        <v>2</v>
      </c>
    </row>
    <row r="2036" spans="1:10" x14ac:dyDescent="0.35">
      <c r="A2036">
        <v>6009178222591</v>
      </c>
      <c r="B2036" t="s">
        <v>2370</v>
      </c>
      <c r="C2036" t="s">
        <v>2371</v>
      </c>
      <c r="D2036" t="s">
        <v>1097</v>
      </c>
      <c r="E2036" t="s">
        <v>73</v>
      </c>
      <c r="F2036" t="s">
        <v>1098</v>
      </c>
      <c r="G2036" t="s">
        <v>34</v>
      </c>
      <c r="H2036" t="s">
        <v>4650</v>
      </c>
      <c r="J2036">
        <v>1</v>
      </c>
    </row>
    <row r="2037" spans="1:10" x14ac:dyDescent="0.35">
      <c r="A2037">
        <v>6009178253977</v>
      </c>
      <c r="B2037" t="s">
        <v>2372</v>
      </c>
      <c r="C2037" t="s">
        <v>1175</v>
      </c>
      <c r="D2037" t="s">
        <v>1097</v>
      </c>
      <c r="E2037" t="s">
        <v>73</v>
      </c>
      <c r="F2037" t="s">
        <v>1098</v>
      </c>
      <c r="G2037" t="s">
        <v>73</v>
      </c>
      <c r="H2037" t="s">
        <v>4650</v>
      </c>
      <c r="J2037">
        <v>6</v>
      </c>
    </row>
    <row r="2038" spans="1:10" x14ac:dyDescent="0.35">
      <c r="A2038">
        <v>6009178930830</v>
      </c>
      <c r="B2038" t="s">
        <v>486</v>
      </c>
      <c r="C2038" t="s">
        <v>78</v>
      </c>
      <c r="D2038" t="s">
        <v>1097</v>
      </c>
      <c r="E2038" t="s">
        <v>73</v>
      </c>
      <c r="F2038" t="s">
        <v>1098</v>
      </c>
      <c r="G2038" t="s">
        <v>73</v>
      </c>
      <c r="H2038" t="s">
        <v>4650</v>
      </c>
      <c r="J2038">
        <v>1</v>
      </c>
    </row>
    <row r="2039" spans="1:10" x14ac:dyDescent="0.35">
      <c r="A2039">
        <v>6009178931394</v>
      </c>
      <c r="B2039" t="s">
        <v>2373</v>
      </c>
      <c r="C2039" t="s">
        <v>78</v>
      </c>
      <c r="D2039" t="s">
        <v>1097</v>
      </c>
      <c r="E2039" t="s">
        <v>73</v>
      </c>
      <c r="F2039" t="s">
        <v>1098</v>
      </c>
      <c r="G2039" t="s">
        <v>73</v>
      </c>
      <c r="H2039" t="s">
        <v>4650</v>
      </c>
      <c r="J2039">
        <v>1</v>
      </c>
    </row>
    <row r="2040" spans="1:10" x14ac:dyDescent="0.35">
      <c r="A2040">
        <v>6009184110455</v>
      </c>
      <c r="B2040" t="s">
        <v>2374</v>
      </c>
      <c r="C2040" t="s">
        <v>912</v>
      </c>
      <c r="D2040" t="s">
        <v>1097</v>
      </c>
      <c r="E2040" t="s">
        <v>73</v>
      </c>
      <c r="F2040" t="s">
        <v>1098</v>
      </c>
      <c r="G2040" t="s">
        <v>34</v>
      </c>
      <c r="H2040" t="s">
        <v>4650</v>
      </c>
      <c r="J2040">
        <v>1</v>
      </c>
    </row>
    <row r="2041" spans="1:10" x14ac:dyDescent="0.35">
      <c r="A2041">
        <v>6009184138763</v>
      </c>
      <c r="B2041" t="s">
        <v>2375</v>
      </c>
      <c r="C2041" t="s">
        <v>919</v>
      </c>
      <c r="D2041" t="s">
        <v>1097</v>
      </c>
      <c r="E2041" t="s">
        <v>73</v>
      </c>
      <c r="F2041" t="s">
        <v>1098</v>
      </c>
      <c r="G2041" t="s">
        <v>73</v>
      </c>
      <c r="H2041" t="s">
        <v>4650</v>
      </c>
      <c r="J2041">
        <v>1</v>
      </c>
    </row>
    <row r="2042" spans="1:10" x14ac:dyDescent="0.35">
      <c r="A2042">
        <v>6009184329970</v>
      </c>
      <c r="B2042" t="s">
        <v>2376</v>
      </c>
      <c r="C2042" t="s">
        <v>919</v>
      </c>
      <c r="D2042" t="s">
        <v>1097</v>
      </c>
      <c r="E2042" t="s">
        <v>73</v>
      </c>
      <c r="F2042" t="s">
        <v>1098</v>
      </c>
      <c r="G2042" t="s">
        <v>34</v>
      </c>
      <c r="H2042" t="s">
        <v>4650</v>
      </c>
      <c r="J2042">
        <v>1</v>
      </c>
    </row>
    <row r="2043" spans="1:10" x14ac:dyDescent="0.35">
      <c r="A2043">
        <v>6009184634388</v>
      </c>
      <c r="B2043" t="s">
        <v>2377</v>
      </c>
      <c r="C2043" t="s">
        <v>1118</v>
      </c>
      <c r="D2043" t="s">
        <v>1097</v>
      </c>
      <c r="E2043" t="s">
        <v>73</v>
      </c>
      <c r="F2043" t="s">
        <v>1098</v>
      </c>
      <c r="G2043" t="s">
        <v>73</v>
      </c>
      <c r="H2043" t="s">
        <v>4650</v>
      </c>
      <c r="J2043">
        <v>1</v>
      </c>
    </row>
    <row r="2044" spans="1:10" x14ac:dyDescent="0.35">
      <c r="A2044">
        <v>6009188002213</v>
      </c>
      <c r="B2044" t="s">
        <v>2378</v>
      </c>
      <c r="C2044" t="s">
        <v>454</v>
      </c>
      <c r="D2044" t="s">
        <v>2379</v>
      </c>
      <c r="E2044" t="s">
        <v>71</v>
      </c>
      <c r="F2044" t="s">
        <v>72</v>
      </c>
      <c r="G2044" t="s">
        <v>34</v>
      </c>
      <c r="H2044" t="s">
        <v>4501</v>
      </c>
      <c r="J2044">
        <v>2</v>
      </c>
    </row>
    <row r="2045" spans="1:10" x14ac:dyDescent="0.35">
      <c r="A2045">
        <v>6009189642401</v>
      </c>
      <c r="B2045" t="s">
        <v>2380</v>
      </c>
      <c r="C2045" t="s">
        <v>1175</v>
      </c>
      <c r="D2045" t="s">
        <v>1097</v>
      </c>
      <c r="E2045" t="s">
        <v>73</v>
      </c>
      <c r="F2045" t="s">
        <v>1098</v>
      </c>
      <c r="G2045" t="s">
        <v>73</v>
      </c>
      <c r="H2045" t="s">
        <v>4650</v>
      </c>
      <c r="J2045">
        <v>9</v>
      </c>
    </row>
    <row r="2046" spans="1:10" x14ac:dyDescent="0.35">
      <c r="A2046">
        <v>6009189862502</v>
      </c>
      <c r="B2046" t="s">
        <v>1128</v>
      </c>
      <c r="C2046" t="s">
        <v>472</v>
      </c>
      <c r="D2046" t="s">
        <v>1097</v>
      </c>
      <c r="E2046" t="s">
        <v>73</v>
      </c>
      <c r="F2046" t="s">
        <v>1098</v>
      </c>
      <c r="G2046" t="s">
        <v>73</v>
      </c>
      <c r="H2046" t="s">
        <v>4650</v>
      </c>
      <c r="J2046">
        <v>1</v>
      </c>
    </row>
    <row r="2047" spans="1:10" x14ac:dyDescent="0.35">
      <c r="A2047">
        <v>6009189862823</v>
      </c>
      <c r="B2047" t="s">
        <v>2381</v>
      </c>
      <c r="C2047" t="s">
        <v>192</v>
      </c>
      <c r="D2047" t="s">
        <v>1097</v>
      </c>
      <c r="E2047" t="s">
        <v>73</v>
      </c>
      <c r="F2047" t="s">
        <v>1098</v>
      </c>
      <c r="G2047" t="s">
        <v>34</v>
      </c>
      <c r="H2047" t="s">
        <v>4650</v>
      </c>
      <c r="J2047">
        <v>1</v>
      </c>
    </row>
    <row r="2048" spans="1:10" x14ac:dyDescent="0.35">
      <c r="A2048">
        <v>6009189914997</v>
      </c>
      <c r="B2048" t="s">
        <v>2382</v>
      </c>
      <c r="C2048" t="s">
        <v>69</v>
      </c>
      <c r="D2048" t="s">
        <v>1097</v>
      </c>
      <c r="E2048" t="s">
        <v>73</v>
      </c>
      <c r="F2048" t="s">
        <v>1098</v>
      </c>
      <c r="G2048" t="s">
        <v>34</v>
      </c>
      <c r="H2048" t="s">
        <v>4650</v>
      </c>
      <c r="J2048">
        <v>1</v>
      </c>
    </row>
    <row r="2049" spans="1:10" x14ac:dyDescent="0.35">
      <c r="A2049">
        <v>6009189919466</v>
      </c>
      <c r="B2049" t="s">
        <v>2383</v>
      </c>
      <c r="C2049" t="s">
        <v>2384</v>
      </c>
      <c r="D2049" t="s">
        <v>1097</v>
      </c>
      <c r="E2049" t="s">
        <v>73</v>
      </c>
      <c r="F2049" t="s">
        <v>1098</v>
      </c>
      <c r="G2049" t="s">
        <v>34</v>
      </c>
      <c r="H2049" t="s">
        <v>4650</v>
      </c>
      <c r="J2049">
        <v>1</v>
      </c>
    </row>
    <row r="2050" spans="1:10" x14ac:dyDescent="0.35">
      <c r="A2050">
        <v>6009195707972</v>
      </c>
      <c r="B2050" t="s">
        <v>2385</v>
      </c>
      <c r="C2050" t="s">
        <v>78</v>
      </c>
      <c r="D2050" t="s">
        <v>1097</v>
      </c>
      <c r="E2050" t="s">
        <v>73</v>
      </c>
      <c r="F2050" t="s">
        <v>1098</v>
      </c>
      <c r="G2050" t="s">
        <v>73</v>
      </c>
      <c r="H2050" t="s">
        <v>4650</v>
      </c>
      <c r="J2050">
        <v>1</v>
      </c>
    </row>
    <row r="2051" spans="1:10" x14ac:dyDescent="0.35">
      <c r="A2051">
        <v>6009207356471</v>
      </c>
      <c r="B2051" t="s">
        <v>2386</v>
      </c>
      <c r="C2051" t="s">
        <v>903</v>
      </c>
      <c r="D2051" t="s">
        <v>1097</v>
      </c>
      <c r="E2051" t="s">
        <v>73</v>
      </c>
      <c r="F2051" t="s">
        <v>1098</v>
      </c>
      <c r="G2051" t="s">
        <v>73</v>
      </c>
      <c r="H2051" t="s">
        <v>4650</v>
      </c>
      <c r="J2051">
        <v>1</v>
      </c>
    </row>
    <row r="2052" spans="1:10" x14ac:dyDescent="0.35">
      <c r="A2052">
        <v>6009207761978</v>
      </c>
      <c r="B2052" t="s">
        <v>2387</v>
      </c>
      <c r="C2052" t="s">
        <v>2388</v>
      </c>
      <c r="D2052" t="s">
        <v>1097</v>
      </c>
      <c r="E2052" t="s">
        <v>73</v>
      </c>
      <c r="F2052" t="s">
        <v>1098</v>
      </c>
      <c r="G2052" t="s">
        <v>73</v>
      </c>
      <c r="H2052" t="s">
        <v>4650</v>
      </c>
      <c r="J2052">
        <v>2</v>
      </c>
    </row>
    <row r="2053" spans="1:10" x14ac:dyDescent="0.35">
      <c r="A2053">
        <v>6009207762050</v>
      </c>
      <c r="B2053" t="s">
        <v>2389</v>
      </c>
      <c r="C2053" t="s">
        <v>1435</v>
      </c>
      <c r="D2053" t="s">
        <v>1097</v>
      </c>
      <c r="E2053" t="s">
        <v>73</v>
      </c>
      <c r="F2053" t="s">
        <v>1098</v>
      </c>
      <c r="G2053" t="s">
        <v>73</v>
      </c>
      <c r="H2053" t="s">
        <v>4650</v>
      </c>
      <c r="J2053">
        <v>2</v>
      </c>
    </row>
    <row r="2054" spans="1:10" x14ac:dyDescent="0.35">
      <c r="A2054">
        <v>6009211118904</v>
      </c>
      <c r="B2054" t="s">
        <v>2390</v>
      </c>
      <c r="C2054" t="s">
        <v>43</v>
      </c>
      <c r="D2054" t="s">
        <v>1097</v>
      </c>
      <c r="E2054" t="s">
        <v>73</v>
      </c>
      <c r="F2054" t="s">
        <v>1098</v>
      </c>
      <c r="G2054" t="s">
        <v>73</v>
      </c>
      <c r="H2054" t="s">
        <v>4650</v>
      </c>
      <c r="J2054">
        <v>1</v>
      </c>
    </row>
    <row r="2055" spans="1:10" x14ac:dyDescent="0.35">
      <c r="A2055">
        <v>6009211171312</v>
      </c>
      <c r="B2055" t="s">
        <v>2391</v>
      </c>
      <c r="C2055" t="s">
        <v>272</v>
      </c>
      <c r="D2055" t="s">
        <v>1097</v>
      </c>
      <c r="E2055" t="s">
        <v>73</v>
      </c>
      <c r="F2055" t="s">
        <v>1098</v>
      </c>
      <c r="G2055" t="s">
        <v>73</v>
      </c>
      <c r="H2055" t="s">
        <v>4650</v>
      </c>
      <c r="J2055">
        <v>3</v>
      </c>
    </row>
    <row r="2056" spans="1:10" x14ac:dyDescent="0.35">
      <c r="A2056">
        <v>6009211635166</v>
      </c>
      <c r="B2056" t="s">
        <v>2392</v>
      </c>
      <c r="C2056" t="s">
        <v>2393</v>
      </c>
      <c r="D2056" t="s">
        <v>1097</v>
      </c>
      <c r="E2056" t="s">
        <v>73</v>
      </c>
      <c r="F2056" t="s">
        <v>1098</v>
      </c>
      <c r="G2056" t="s">
        <v>31</v>
      </c>
      <c r="H2056" t="s">
        <v>4650</v>
      </c>
      <c r="J2056">
        <v>16</v>
      </c>
    </row>
    <row r="2057" spans="1:10" x14ac:dyDescent="0.35">
      <c r="A2057">
        <v>6009211635166</v>
      </c>
      <c r="B2057" t="s">
        <v>2392</v>
      </c>
      <c r="C2057" t="s">
        <v>2393</v>
      </c>
      <c r="D2057" t="s">
        <v>1097</v>
      </c>
      <c r="E2057" t="s">
        <v>73</v>
      </c>
      <c r="F2057" t="s">
        <v>1098</v>
      </c>
      <c r="G2057" t="s">
        <v>73</v>
      </c>
      <c r="H2057" t="s">
        <v>4650</v>
      </c>
      <c r="J2057">
        <v>1</v>
      </c>
    </row>
    <row r="2058" spans="1:10" x14ac:dyDescent="0.35">
      <c r="A2058">
        <v>6009217216369</v>
      </c>
      <c r="B2058" t="s">
        <v>2394</v>
      </c>
      <c r="C2058" t="s">
        <v>1123</v>
      </c>
      <c r="D2058" t="s">
        <v>1097</v>
      </c>
      <c r="E2058" t="s">
        <v>73</v>
      </c>
      <c r="F2058" t="s">
        <v>1098</v>
      </c>
      <c r="G2058" t="s">
        <v>73</v>
      </c>
      <c r="H2058" t="s">
        <v>4650</v>
      </c>
      <c r="J2058">
        <v>1</v>
      </c>
    </row>
    <row r="2059" spans="1:10" x14ac:dyDescent="0.35">
      <c r="A2059">
        <v>6009223529415</v>
      </c>
      <c r="B2059" t="s">
        <v>2395</v>
      </c>
      <c r="C2059" t="s">
        <v>1175</v>
      </c>
      <c r="D2059" t="s">
        <v>1097</v>
      </c>
      <c r="E2059" t="s">
        <v>73</v>
      </c>
      <c r="F2059" t="s">
        <v>1098</v>
      </c>
      <c r="G2059" t="s">
        <v>73</v>
      </c>
      <c r="H2059" t="s">
        <v>4650</v>
      </c>
      <c r="J2059">
        <v>1</v>
      </c>
    </row>
    <row r="2060" spans="1:10" x14ac:dyDescent="0.35">
      <c r="A2060">
        <v>6009223535454</v>
      </c>
      <c r="B2060" t="s">
        <v>2396</v>
      </c>
      <c r="C2060" t="s">
        <v>1141</v>
      </c>
      <c r="D2060" t="s">
        <v>1097</v>
      </c>
      <c r="E2060" t="s">
        <v>73</v>
      </c>
      <c r="F2060" t="s">
        <v>1098</v>
      </c>
      <c r="G2060" t="s">
        <v>73</v>
      </c>
      <c r="H2060" t="s">
        <v>4650</v>
      </c>
      <c r="J2060">
        <v>1</v>
      </c>
    </row>
    <row r="2061" spans="1:10" x14ac:dyDescent="0.35">
      <c r="A2061">
        <v>6009223535461</v>
      </c>
      <c r="B2061" t="s">
        <v>2397</v>
      </c>
      <c r="C2061" t="s">
        <v>2062</v>
      </c>
      <c r="D2061" t="s">
        <v>1120</v>
      </c>
      <c r="E2061" t="s">
        <v>73</v>
      </c>
      <c r="F2061" t="s">
        <v>1098</v>
      </c>
      <c r="G2061" t="s">
        <v>73</v>
      </c>
      <c r="H2061" t="s">
        <v>4650</v>
      </c>
      <c r="J2061">
        <v>4</v>
      </c>
    </row>
    <row r="2062" spans="1:10" x14ac:dyDescent="0.35">
      <c r="A2062">
        <v>6009223763321</v>
      </c>
      <c r="B2062" t="s">
        <v>2398</v>
      </c>
      <c r="C2062" t="s">
        <v>43</v>
      </c>
      <c r="D2062" t="s">
        <v>1097</v>
      </c>
      <c r="E2062" t="s">
        <v>73</v>
      </c>
      <c r="F2062" t="s">
        <v>1098</v>
      </c>
      <c r="G2062" t="s">
        <v>73</v>
      </c>
      <c r="H2062" t="s">
        <v>4650</v>
      </c>
      <c r="J2062">
        <v>1</v>
      </c>
    </row>
    <row r="2063" spans="1:10" x14ac:dyDescent="0.35">
      <c r="A2063">
        <v>6009328205221</v>
      </c>
      <c r="B2063" t="s">
        <v>2399</v>
      </c>
      <c r="C2063" t="s">
        <v>2400</v>
      </c>
      <c r="D2063" t="s">
        <v>2401</v>
      </c>
      <c r="E2063" t="s">
        <v>34</v>
      </c>
      <c r="F2063" t="s">
        <v>2402</v>
      </c>
      <c r="G2063" t="s">
        <v>34</v>
      </c>
      <c r="H2063" t="s">
        <v>4796</v>
      </c>
      <c r="J2063">
        <v>431</v>
      </c>
    </row>
    <row r="2064" spans="1:10" x14ac:dyDescent="0.35">
      <c r="A2064">
        <v>6009510804683</v>
      </c>
      <c r="B2064" t="s">
        <v>2403</v>
      </c>
      <c r="C2064" t="s">
        <v>659</v>
      </c>
      <c r="D2064" t="s">
        <v>2404</v>
      </c>
      <c r="E2064" t="s">
        <v>117</v>
      </c>
      <c r="F2064" t="s">
        <v>2405</v>
      </c>
      <c r="G2064" t="s">
        <v>34</v>
      </c>
      <c r="H2064" t="s">
        <v>4797</v>
      </c>
      <c r="J2064">
        <v>2</v>
      </c>
    </row>
    <row r="2065" spans="1:10" x14ac:dyDescent="0.35">
      <c r="A2065">
        <v>6009510805840</v>
      </c>
      <c r="B2065" t="s">
        <v>2406</v>
      </c>
      <c r="C2065" t="s">
        <v>2407</v>
      </c>
      <c r="D2065" t="s">
        <v>563</v>
      </c>
      <c r="E2065" t="s">
        <v>15</v>
      </c>
      <c r="F2065" t="s">
        <v>56</v>
      </c>
      <c r="G2065" t="s">
        <v>117</v>
      </c>
      <c r="H2065" t="s">
        <v>4497</v>
      </c>
      <c r="J2065">
        <v>13</v>
      </c>
    </row>
    <row r="2066" spans="1:10" x14ac:dyDescent="0.35">
      <c r="A2066">
        <v>6009510805840</v>
      </c>
      <c r="B2066" t="s">
        <v>2406</v>
      </c>
      <c r="C2066" t="s">
        <v>2407</v>
      </c>
      <c r="D2066" t="s">
        <v>563</v>
      </c>
      <c r="E2066" t="s">
        <v>15</v>
      </c>
      <c r="F2066" t="s">
        <v>56</v>
      </c>
      <c r="G2066" t="s">
        <v>34</v>
      </c>
      <c r="H2066" t="s">
        <v>4497</v>
      </c>
      <c r="J2066">
        <v>5</v>
      </c>
    </row>
    <row r="2067" spans="1:10" x14ac:dyDescent="0.35">
      <c r="A2067">
        <v>6009510805857</v>
      </c>
      <c r="B2067" t="s">
        <v>2408</v>
      </c>
      <c r="C2067" t="s">
        <v>2407</v>
      </c>
      <c r="D2067" t="s">
        <v>563</v>
      </c>
      <c r="E2067" t="s">
        <v>15</v>
      </c>
      <c r="F2067" t="s">
        <v>56</v>
      </c>
      <c r="G2067" t="s">
        <v>34</v>
      </c>
      <c r="H2067" t="s">
        <v>4497</v>
      </c>
      <c r="J2067">
        <v>2</v>
      </c>
    </row>
    <row r="2068" spans="1:10" x14ac:dyDescent="0.35">
      <c r="A2068">
        <v>6009510805864</v>
      </c>
      <c r="B2068" t="s">
        <v>2409</v>
      </c>
      <c r="C2068" t="s">
        <v>2407</v>
      </c>
      <c r="D2068" t="s">
        <v>563</v>
      </c>
      <c r="E2068" t="s">
        <v>15</v>
      </c>
      <c r="F2068" t="s">
        <v>56</v>
      </c>
      <c r="G2068" t="s">
        <v>34</v>
      </c>
      <c r="H2068" t="s">
        <v>4497</v>
      </c>
      <c r="J2068">
        <v>1</v>
      </c>
    </row>
    <row r="2069" spans="1:10" x14ac:dyDescent="0.35">
      <c r="A2069">
        <v>6009510805888</v>
      </c>
      <c r="B2069" t="s">
        <v>2410</v>
      </c>
      <c r="C2069" t="s">
        <v>967</v>
      </c>
      <c r="D2069" t="s">
        <v>566</v>
      </c>
      <c r="E2069" t="s">
        <v>15</v>
      </c>
      <c r="F2069" t="s">
        <v>56</v>
      </c>
      <c r="G2069" t="s">
        <v>34</v>
      </c>
      <c r="H2069" t="s">
        <v>4497</v>
      </c>
      <c r="J2069">
        <v>2</v>
      </c>
    </row>
    <row r="2070" spans="1:10" x14ac:dyDescent="0.35">
      <c r="A2070">
        <v>6009510805949</v>
      </c>
      <c r="B2070" t="s">
        <v>2411</v>
      </c>
      <c r="C2070" t="s">
        <v>617</v>
      </c>
      <c r="D2070" t="s">
        <v>2412</v>
      </c>
      <c r="E2070" t="s">
        <v>15</v>
      </c>
      <c r="F2070" t="s">
        <v>56</v>
      </c>
      <c r="G2070" t="s">
        <v>34</v>
      </c>
      <c r="H2070" t="s">
        <v>4497</v>
      </c>
      <c r="J2070">
        <v>8</v>
      </c>
    </row>
    <row r="2071" spans="1:10" x14ac:dyDescent="0.35">
      <c r="A2071">
        <v>6009510805956</v>
      </c>
      <c r="B2071" t="s">
        <v>2413</v>
      </c>
      <c r="C2071" t="s">
        <v>617</v>
      </c>
      <c r="D2071" t="s">
        <v>2412</v>
      </c>
      <c r="E2071" t="s">
        <v>15</v>
      </c>
      <c r="F2071" t="s">
        <v>56</v>
      </c>
      <c r="G2071" t="s">
        <v>34</v>
      </c>
      <c r="H2071" t="s">
        <v>4497</v>
      </c>
      <c r="J2071">
        <v>6</v>
      </c>
    </row>
    <row r="2072" spans="1:10" x14ac:dyDescent="0.35">
      <c r="A2072">
        <v>6009510806168</v>
      </c>
      <c r="B2072" t="s">
        <v>2414</v>
      </c>
      <c r="C2072" t="s">
        <v>2415</v>
      </c>
      <c r="D2072" t="s">
        <v>563</v>
      </c>
      <c r="E2072" t="s">
        <v>15</v>
      </c>
      <c r="F2072" t="s">
        <v>56</v>
      </c>
      <c r="G2072" t="s">
        <v>117</v>
      </c>
      <c r="H2072" t="s">
        <v>4497</v>
      </c>
      <c r="J2072">
        <v>1</v>
      </c>
    </row>
    <row r="2073" spans="1:10" x14ac:dyDescent="0.35">
      <c r="A2073">
        <v>6009510806168</v>
      </c>
      <c r="B2073" t="s">
        <v>2414</v>
      </c>
      <c r="C2073" t="s">
        <v>2415</v>
      </c>
      <c r="D2073" t="s">
        <v>563</v>
      </c>
      <c r="E2073" t="s">
        <v>15</v>
      </c>
      <c r="F2073" t="s">
        <v>56</v>
      </c>
      <c r="G2073" t="s">
        <v>34</v>
      </c>
      <c r="H2073" t="s">
        <v>4497</v>
      </c>
      <c r="J2073">
        <v>5</v>
      </c>
    </row>
    <row r="2074" spans="1:10" x14ac:dyDescent="0.35">
      <c r="A2074">
        <v>6009510806861</v>
      </c>
      <c r="B2074" t="s">
        <v>668</v>
      </c>
      <c r="C2074" t="s">
        <v>78</v>
      </c>
      <c r="D2074" t="s">
        <v>273</v>
      </c>
      <c r="E2074" t="s">
        <v>15</v>
      </c>
      <c r="F2074" t="s">
        <v>56</v>
      </c>
      <c r="G2074" t="s">
        <v>16</v>
      </c>
      <c r="H2074" t="s">
        <v>4497</v>
      </c>
      <c r="J2074">
        <v>1</v>
      </c>
    </row>
    <row r="2075" spans="1:10" x14ac:dyDescent="0.35">
      <c r="A2075">
        <v>6009510806861</v>
      </c>
      <c r="B2075" t="s">
        <v>668</v>
      </c>
      <c r="C2075" t="s">
        <v>78</v>
      </c>
      <c r="D2075" t="s">
        <v>273</v>
      </c>
      <c r="E2075" t="s">
        <v>15</v>
      </c>
      <c r="F2075" t="s">
        <v>56</v>
      </c>
      <c r="G2075" t="s">
        <v>22</v>
      </c>
      <c r="H2075" t="s">
        <v>4497</v>
      </c>
      <c r="J2075">
        <v>1</v>
      </c>
    </row>
    <row r="2076" spans="1:10" x14ac:dyDescent="0.35">
      <c r="A2076">
        <v>6009510806861</v>
      </c>
      <c r="B2076" t="s">
        <v>668</v>
      </c>
      <c r="C2076" t="s">
        <v>78</v>
      </c>
      <c r="D2076" t="s">
        <v>273</v>
      </c>
      <c r="E2076" t="s">
        <v>15</v>
      </c>
      <c r="F2076" t="s">
        <v>56</v>
      </c>
      <c r="G2076" t="s">
        <v>34</v>
      </c>
      <c r="H2076" t="s">
        <v>4497</v>
      </c>
      <c r="J2076">
        <v>5</v>
      </c>
    </row>
    <row r="2077" spans="1:10" x14ac:dyDescent="0.35">
      <c r="A2077">
        <v>6009512420218</v>
      </c>
      <c r="B2077" t="s">
        <v>2416</v>
      </c>
      <c r="C2077" t="s">
        <v>110</v>
      </c>
      <c r="D2077" t="s">
        <v>2417</v>
      </c>
      <c r="E2077" t="s">
        <v>34</v>
      </c>
      <c r="F2077" t="s">
        <v>2418</v>
      </c>
      <c r="G2077" t="s">
        <v>34</v>
      </c>
      <c r="H2077" t="s">
        <v>4798</v>
      </c>
      <c r="J2077">
        <v>2</v>
      </c>
    </row>
    <row r="2078" spans="1:10" x14ac:dyDescent="0.35">
      <c r="A2078">
        <v>6009522300609</v>
      </c>
      <c r="B2078" t="s">
        <v>1107</v>
      </c>
      <c r="C2078" t="s">
        <v>445</v>
      </c>
      <c r="D2078" t="s">
        <v>2419</v>
      </c>
      <c r="E2078" t="s">
        <v>73</v>
      </c>
      <c r="F2078" t="s">
        <v>2103</v>
      </c>
      <c r="G2078" t="s">
        <v>73</v>
      </c>
      <c r="H2078" t="s">
        <v>4760</v>
      </c>
      <c r="J2078">
        <v>2</v>
      </c>
    </row>
    <row r="2079" spans="1:10" x14ac:dyDescent="0.35">
      <c r="A2079">
        <v>6009523603235</v>
      </c>
      <c r="B2079" t="s">
        <v>2420</v>
      </c>
      <c r="C2079" t="s">
        <v>9</v>
      </c>
      <c r="D2079" t="s">
        <v>2421</v>
      </c>
      <c r="E2079" t="s">
        <v>73</v>
      </c>
      <c r="F2079" t="s">
        <v>2103</v>
      </c>
      <c r="G2079" t="s">
        <v>33</v>
      </c>
      <c r="H2079" t="s">
        <v>4760</v>
      </c>
      <c r="J2079">
        <v>2</v>
      </c>
    </row>
    <row r="2080" spans="1:10" x14ac:dyDescent="0.35">
      <c r="A2080">
        <v>6009537015758</v>
      </c>
      <c r="B2080" t="s">
        <v>2422</v>
      </c>
      <c r="C2080" t="s">
        <v>1115</v>
      </c>
      <c r="D2080" t="s">
        <v>2423</v>
      </c>
      <c r="E2080" t="s">
        <v>578</v>
      </c>
      <c r="F2080" t="s">
        <v>2424</v>
      </c>
      <c r="G2080" t="s">
        <v>117</v>
      </c>
      <c r="H2080" t="s">
        <v>4799</v>
      </c>
      <c r="J2080">
        <v>54</v>
      </c>
    </row>
    <row r="2081" spans="1:10" x14ac:dyDescent="0.35">
      <c r="A2081">
        <v>6009537015758</v>
      </c>
      <c r="B2081" t="s">
        <v>2422</v>
      </c>
      <c r="C2081" t="s">
        <v>1115</v>
      </c>
      <c r="D2081" t="s">
        <v>2423</v>
      </c>
      <c r="E2081" t="s">
        <v>578</v>
      </c>
      <c r="F2081" t="s">
        <v>2424</v>
      </c>
      <c r="G2081" t="s">
        <v>34</v>
      </c>
      <c r="H2081" t="s">
        <v>4799</v>
      </c>
      <c r="J2081">
        <v>57</v>
      </c>
    </row>
    <row r="2082" spans="1:10" x14ac:dyDescent="0.35">
      <c r="A2082">
        <v>6009537015758</v>
      </c>
      <c r="B2082" t="s">
        <v>2422</v>
      </c>
      <c r="C2082" t="s">
        <v>1115</v>
      </c>
      <c r="D2082" t="s">
        <v>2423</v>
      </c>
      <c r="E2082" t="s">
        <v>578</v>
      </c>
      <c r="F2082" t="s">
        <v>2424</v>
      </c>
      <c r="G2082" t="s">
        <v>578</v>
      </c>
      <c r="H2082" t="s">
        <v>4799</v>
      </c>
      <c r="J2082">
        <v>11</v>
      </c>
    </row>
    <row r="2083" spans="1:10" x14ac:dyDescent="0.35">
      <c r="A2083">
        <v>6009537015765</v>
      </c>
      <c r="B2083" t="s">
        <v>2425</v>
      </c>
      <c r="C2083" t="s">
        <v>9</v>
      </c>
      <c r="D2083" t="s">
        <v>2426</v>
      </c>
      <c r="E2083" t="s">
        <v>578</v>
      </c>
      <c r="F2083" t="s">
        <v>2217</v>
      </c>
      <c r="G2083" t="s">
        <v>117</v>
      </c>
      <c r="H2083" t="s">
        <v>4768</v>
      </c>
      <c r="J2083">
        <v>9</v>
      </c>
    </row>
    <row r="2084" spans="1:10" x14ac:dyDescent="0.35">
      <c r="A2084">
        <v>6009537015765</v>
      </c>
      <c r="B2084" t="s">
        <v>2425</v>
      </c>
      <c r="C2084" t="s">
        <v>9</v>
      </c>
      <c r="D2084" t="s">
        <v>2426</v>
      </c>
      <c r="E2084" t="s">
        <v>578</v>
      </c>
      <c r="F2084" t="s">
        <v>2217</v>
      </c>
      <c r="G2084" t="s">
        <v>33</v>
      </c>
      <c r="H2084" t="s">
        <v>4768</v>
      </c>
      <c r="J2084">
        <v>11</v>
      </c>
    </row>
    <row r="2085" spans="1:10" x14ac:dyDescent="0.35">
      <c r="A2085">
        <v>6009537015765</v>
      </c>
      <c r="B2085" t="s">
        <v>2425</v>
      </c>
      <c r="C2085" t="s">
        <v>9</v>
      </c>
      <c r="D2085" t="s">
        <v>2426</v>
      </c>
      <c r="E2085" t="s">
        <v>578</v>
      </c>
      <c r="F2085" t="s">
        <v>2217</v>
      </c>
      <c r="G2085" t="s">
        <v>34</v>
      </c>
      <c r="H2085" t="s">
        <v>4768</v>
      </c>
      <c r="J2085">
        <v>20</v>
      </c>
    </row>
    <row r="2086" spans="1:10" x14ac:dyDescent="0.35">
      <c r="A2086">
        <v>6009537019435</v>
      </c>
      <c r="B2086" t="s">
        <v>2427</v>
      </c>
      <c r="C2086" t="s">
        <v>2428</v>
      </c>
      <c r="D2086" t="s">
        <v>2429</v>
      </c>
      <c r="E2086" t="s">
        <v>578</v>
      </c>
      <c r="F2086" t="s">
        <v>2217</v>
      </c>
      <c r="G2086" t="s">
        <v>578</v>
      </c>
      <c r="H2086" t="s">
        <v>4768</v>
      </c>
      <c r="J2086">
        <v>13</v>
      </c>
    </row>
    <row r="2087" spans="1:10" x14ac:dyDescent="0.35">
      <c r="A2087">
        <v>6009601541633</v>
      </c>
      <c r="B2087" t="s">
        <v>1834</v>
      </c>
      <c r="C2087" t="s">
        <v>326</v>
      </c>
      <c r="D2087" t="s">
        <v>832</v>
      </c>
      <c r="E2087" t="s">
        <v>11</v>
      </c>
      <c r="F2087" t="s">
        <v>833</v>
      </c>
      <c r="G2087" t="s">
        <v>150</v>
      </c>
      <c r="H2087" t="s">
        <v>4601</v>
      </c>
      <c r="J2087">
        <v>31</v>
      </c>
    </row>
    <row r="2088" spans="1:10" x14ac:dyDescent="0.35">
      <c r="A2088">
        <v>6009601541633</v>
      </c>
      <c r="B2088" t="s">
        <v>1834</v>
      </c>
      <c r="C2088" t="s">
        <v>326</v>
      </c>
      <c r="D2088" t="s">
        <v>832</v>
      </c>
      <c r="E2088" t="s">
        <v>11</v>
      </c>
      <c r="F2088" t="s">
        <v>833</v>
      </c>
      <c r="G2088" t="s">
        <v>31</v>
      </c>
      <c r="H2088" t="s">
        <v>4601</v>
      </c>
      <c r="J2088">
        <v>4</v>
      </c>
    </row>
    <row r="2089" spans="1:10" x14ac:dyDescent="0.35">
      <c r="A2089">
        <v>6009602000009</v>
      </c>
      <c r="B2089" t="s">
        <v>649</v>
      </c>
      <c r="C2089" t="s">
        <v>192</v>
      </c>
      <c r="D2089" t="s">
        <v>2430</v>
      </c>
      <c r="E2089" t="s">
        <v>34</v>
      </c>
      <c r="F2089" t="s">
        <v>2431</v>
      </c>
      <c r="G2089" t="s">
        <v>34</v>
      </c>
      <c r="H2089" t="s">
        <v>4800</v>
      </c>
      <c r="J2089">
        <v>221</v>
      </c>
    </row>
    <row r="2090" spans="1:10" x14ac:dyDescent="0.35">
      <c r="A2090">
        <v>6009602000016</v>
      </c>
      <c r="B2090" t="s">
        <v>1951</v>
      </c>
      <c r="C2090" t="s">
        <v>9</v>
      </c>
      <c r="D2090" t="s">
        <v>2430</v>
      </c>
      <c r="E2090" t="s">
        <v>34</v>
      </c>
      <c r="F2090" t="s">
        <v>2431</v>
      </c>
      <c r="G2090" t="s">
        <v>34</v>
      </c>
      <c r="H2090" t="s">
        <v>4800</v>
      </c>
      <c r="J2090">
        <v>12</v>
      </c>
    </row>
    <row r="2091" spans="1:10" x14ac:dyDescent="0.35">
      <c r="A2091">
        <v>6009602379013</v>
      </c>
      <c r="B2091" t="s">
        <v>649</v>
      </c>
      <c r="C2091" t="s">
        <v>9</v>
      </c>
      <c r="D2091" t="s">
        <v>2432</v>
      </c>
      <c r="E2091" t="s">
        <v>73</v>
      </c>
      <c r="F2091" t="s">
        <v>2433</v>
      </c>
      <c r="G2091" t="s">
        <v>34</v>
      </c>
      <c r="H2091" t="s">
        <v>4801</v>
      </c>
      <c r="J2091">
        <v>115</v>
      </c>
    </row>
    <row r="2092" spans="1:10" x14ac:dyDescent="0.35">
      <c r="A2092">
        <v>6009603570648</v>
      </c>
      <c r="B2092" t="s">
        <v>2434</v>
      </c>
      <c r="C2092" t="s">
        <v>94</v>
      </c>
      <c r="D2092" t="s">
        <v>2435</v>
      </c>
      <c r="E2092" t="s">
        <v>308</v>
      </c>
      <c r="F2092" t="s">
        <v>309</v>
      </c>
      <c r="G2092" t="s">
        <v>34</v>
      </c>
      <c r="H2092" t="s">
        <v>4529</v>
      </c>
      <c r="J2092">
        <v>1</v>
      </c>
    </row>
    <row r="2093" spans="1:10" x14ac:dyDescent="0.35">
      <c r="A2093">
        <v>6009608440274</v>
      </c>
      <c r="B2093" t="s">
        <v>2436</v>
      </c>
      <c r="C2093" t="s">
        <v>336</v>
      </c>
      <c r="D2093" t="s">
        <v>2437</v>
      </c>
      <c r="E2093" t="s">
        <v>308</v>
      </c>
      <c r="F2093" t="s">
        <v>309</v>
      </c>
      <c r="G2093" t="s">
        <v>578</v>
      </c>
      <c r="H2093" t="s">
        <v>4529</v>
      </c>
      <c r="J2093">
        <v>1</v>
      </c>
    </row>
    <row r="2094" spans="1:10" x14ac:dyDescent="0.35">
      <c r="A2094">
        <v>6009610390192</v>
      </c>
      <c r="B2094" t="s">
        <v>2438</v>
      </c>
      <c r="C2094" t="s">
        <v>758</v>
      </c>
      <c r="D2094" t="s">
        <v>2439</v>
      </c>
      <c r="E2094" t="s">
        <v>11</v>
      </c>
      <c r="F2094" t="s">
        <v>2440</v>
      </c>
      <c r="G2094" t="s">
        <v>150</v>
      </c>
      <c r="H2094" t="s">
        <v>4802</v>
      </c>
      <c r="J2094">
        <v>6</v>
      </c>
    </row>
    <row r="2095" spans="1:10" x14ac:dyDescent="0.35">
      <c r="A2095">
        <v>6009612470014</v>
      </c>
      <c r="B2095" t="s">
        <v>1128</v>
      </c>
      <c r="C2095" t="s">
        <v>192</v>
      </c>
      <c r="D2095" t="s">
        <v>2441</v>
      </c>
      <c r="E2095" t="s">
        <v>73</v>
      </c>
      <c r="F2095" t="s">
        <v>2442</v>
      </c>
      <c r="G2095" t="s">
        <v>34</v>
      </c>
      <c r="H2095" t="s">
        <v>4803</v>
      </c>
      <c r="J2095">
        <v>1</v>
      </c>
    </row>
    <row r="2096" spans="1:10" x14ac:dyDescent="0.35">
      <c r="A2096">
        <v>6009612470014</v>
      </c>
      <c r="B2096" t="s">
        <v>1128</v>
      </c>
      <c r="C2096" t="s">
        <v>192</v>
      </c>
      <c r="D2096" t="s">
        <v>2441</v>
      </c>
      <c r="E2096" t="s">
        <v>73</v>
      </c>
      <c r="F2096" t="s">
        <v>2442</v>
      </c>
      <c r="G2096" t="s">
        <v>2443</v>
      </c>
      <c r="H2096" t="s">
        <v>4803</v>
      </c>
      <c r="J2096">
        <v>1</v>
      </c>
    </row>
    <row r="2097" spans="1:10" x14ac:dyDescent="0.35">
      <c r="A2097">
        <v>6009612470045</v>
      </c>
      <c r="B2097" t="s">
        <v>2444</v>
      </c>
      <c r="C2097" t="s">
        <v>9</v>
      </c>
      <c r="D2097" t="s">
        <v>2441</v>
      </c>
      <c r="E2097" t="s">
        <v>73</v>
      </c>
      <c r="F2097" t="s">
        <v>2442</v>
      </c>
      <c r="G2097" t="s">
        <v>34</v>
      </c>
      <c r="H2097" t="s">
        <v>4803</v>
      </c>
      <c r="J2097">
        <v>1</v>
      </c>
    </row>
    <row r="2098" spans="1:10" x14ac:dyDescent="0.35">
      <c r="A2098">
        <v>6009612470045</v>
      </c>
      <c r="B2098" t="s">
        <v>2444</v>
      </c>
      <c r="C2098" t="s">
        <v>9</v>
      </c>
      <c r="D2098" t="s">
        <v>2441</v>
      </c>
      <c r="E2098" t="s">
        <v>73</v>
      </c>
      <c r="F2098" t="s">
        <v>2442</v>
      </c>
      <c r="G2098" t="s">
        <v>73</v>
      </c>
      <c r="H2098" t="s">
        <v>4803</v>
      </c>
      <c r="J2098">
        <v>3</v>
      </c>
    </row>
    <row r="2099" spans="1:10" x14ac:dyDescent="0.35">
      <c r="A2099">
        <v>6009612470083</v>
      </c>
      <c r="B2099" t="s">
        <v>212</v>
      </c>
      <c r="C2099" t="s">
        <v>192</v>
      </c>
      <c r="D2099" t="s">
        <v>2441</v>
      </c>
      <c r="E2099" t="s">
        <v>73</v>
      </c>
      <c r="F2099" t="s">
        <v>2442</v>
      </c>
      <c r="G2099" t="s">
        <v>34</v>
      </c>
      <c r="H2099" t="s">
        <v>4803</v>
      </c>
      <c r="J2099">
        <v>5</v>
      </c>
    </row>
    <row r="2100" spans="1:10" x14ac:dyDescent="0.35">
      <c r="A2100">
        <v>6009612470083</v>
      </c>
      <c r="B2100" t="s">
        <v>212</v>
      </c>
      <c r="C2100" t="s">
        <v>192</v>
      </c>
      <c r="D2100" t="s">
        <v>2441</v>
      </c>
      <c r="E2100" t="s">
        <v>73</v>
      </c>
      <c r="F2100" t="s">
        <v>2442</v>
      </c>
      <c r="G2100" t="s">
        <v>2443</v>
      </c>
      <c r="H2100" t="s">
        <v>4803</v>
      </c>
      <c r="J2100">
        <v>1</v>
      </c>
    </row>
    <row r="2101" spans="1:10" x14ac:dyDescent="0.35">
      <c r="A2101">
        <v>6009612470175</v>
      </c>
      <c r="B2101" t="s">
        <v>2445</v>
      </c>
      <c r="C2101" t="s">
        <v>9</v>
      </c>
      <c r="D2101" t="s">
        <v>2441</v>
      </c>
      <c r="E2101" t="s">
        <v>73</v>
      </c>
      <c r="F2101" t="s">
        <v>2442</v>
      </c>
      <c r="G2101" t="s">
        <v>34</v>
      </c>
      <c r="H2101" t="s">
        <v>4803</v>
      </c>
      <c r="J2101">
        <v>1</v>
      </c>
    </row>
    <row r="2102" spans="1:10" x14ac:dyDescent="0.35">
      <c r="A2102">
        <v>6009612470298</v>
      </c>
      <c r="B2102" t="s">
        <v>2446</v>
      </c>
      <c r="C2102" t="s">
        <v>192</v>
      </c>
      <c r="D2102" t="s">
        <v>2441</v>
      </c>
      <c r="E2102" t="s">
        <v>73</v>
      </c>
      <c r="F2102" t="s">
        <v>2442</v>
      </c>
      <c r="G2102" t="s">
        <v>34</v>
      </c>
      <c r="H2102" t="s">
        <v>4803</v>
      </c>
      <c r="J2102">
        <v>1</v>
      </c>
    </row>
    <row r="2103" spans="1:10" x14ac:dyDescent="0.35">
      <c r="A2103">
        <v>6009612470502</v>
      </c>
      <c r="B2103" t="s">
        <v>2447</v>
      </c>
      <c r="C2103" t="s">
        <v>9</v>
      </c>
      <c r="D2103" t="s">
        <v>2448</v>
      </c>
      <c r="E2103" t="s">
        <v>15</v>
      </c>
      <c r="F2103" t="s">
        <v>2449</v>
      </c>
      <c r="G2103" t="s">
        <v>34</v>
      </c>
      <c r="H2103" t="s">
        <v>4804</v>
      </c>
      <c r="J2103">
        <v>1</v>
      </c>
    </row>
    <row r="2104" spans="1:10" x14ac:dyDescent="0.35">
      <c r="A2104">
        <v>6009612470533</v>
      </c>
      <c r="B2104" t="s">
        <v>2450</v>
      </c>
      <c r="C2104" t="s">
        <v>192</v>
      </c>
      <c r="D2104" t="s">
        <v>2441</v>
      </c>
      <c r="E2104" t="s">
        <v>73</v>
      </c>
      <c r="F2104" t="s">
        <v>2442</v>
      </c>
      <c r="G2104" t="s">
        <v>73</v>
      </c>
      <c r="H2104" t="s">
        <v>4803</v>
      </c>
      <c r="J2104">
        <v>7</v>
      </c>
    </row>
    <row r="2105" spans="1:10" x14ac:dyDescent="0.35">
      <c r="A2105">
        <v>6009612470649</v>
      </c>
      <c r="B2105" t="s">
        <v>2451</v>
      </c>
      <c r="C2105" t="s">
        <v>75</v>
      </c>
      <c r="D2105" t="s">
        <v>2441</v>
      </c>
      <c r="E2105" t="s">
        <v>73</v>
      </c>
      <c r="F2105" t="s">
        <v>2442</v>
      </c>
      <c r="G2105" t="s">
        <v>34</v>
      </c>
      <c r="H2105" t="s">
        <v>4803</v>
      </c>
      <c r="J2105">
        <v>9</v>
      </c>
    </row>
    <row r="2106" spans="1:10" x14ac:dyDescent="0.35">
      <c r="A2106">
        <v>6009612470649</v>
      </c>
      <c r="B2106" t="s">
        <v>2451</v>
      </c>
      <c r="C2106" t="s">
        <v>75</v>
      </c>
      <c r="D2106" t="s">
        <v>2441</v>
      </c>
      <c r="E2106" t="s">
        <v>73</v>
      </c>
      <c r="F2106" t="s">
        <v>2442</v>
      </c>
      <c r="G2106" t="s">
        <v>73</v>
      </c>
      <c r="H2106" t="s">
        <v>4803</v>
      </c>
      <c r="J2106">
        <v>3</v>
      </c>
    </row>
    <row r="2107" spans="1:10" x14ac:dyDescent="0.35">
      <c r="A2107">
        <v>6009612470694</v>
      </c>
      <c r="B2107" t="s">
        <v>485</v>
      </c>
      <c r="C2107" t="s">
        <v>9</v>
      </c>
      <c r="D2107" t="s">
        <v>2441</v>
      </c>
      <c r="E2107" t="s">
        <v>73</v>
      </c>
      <c r="F2107" t="s">
        <v>2442</v>
      </c>
      <c r="G2107" t="s">
        <v>11</v>
      </c>
      <c r="H2107" t="s">
        <v>4803</v>
      </c>
      <c r="J2107">
        <v>1</v>
      </c>
    </row>
    <row r="2108" spans="1:10" x14ac:dyDescent="0.35">
      <c r="A2108">
        <v>6009612470694</v>
      </c>
      <c r="B2108" t="s">
        <v>485</v>
      </c>
      <c r="C2108" t="s">
        <v>9</v>
      </c>
      <c r="D2108" t="s">
        <v>2441</v>
      </c>
      <c r="E2108" t="s">
        <v>73</v>
      </c>
      <c r="F2108" t="s">
        <v>2442</v>
      </c>
      <c r="G2108" t="s">
        <v>34</v>
      </c>
      <c r="H2108" t="s">
        <v>4803</v>
      </c>
      <c r="J2108">
        <v>899</v>
      </c>
    </row>
    <row r="2109" spans="1:10" x14ac:dyDescent="0.35">
      <c r="A2109">
        <v>6009612470717</v>
      </c>
      <c r="B2109" t="s">
        <v>2452</v>
      </c>
      <c r="C2109" t="s">
        <v>192</v>
      </c>
      <c r="D2109" t="s">
        <v>2441</v>
      </c>
      <c r="E2109" t="s">
        <v>73</v>
      </c>
      <c r="F2109" t="s">
        <v>2442</v>
      </c>
      <c r="G2109" t="s">
        <v>34</v>
      </c>
      <c r="H2109" t="s">
        <v>4803</v>
      </c>
      <c r="J2109">
        <v>7</v>
      </c>
    </row>
    <row r="2110" spans="1:10" x14ac:dyDescent="0.35">
      <c r="A2110">
        <v>6009612470717</v>
      </c>
      <c r="B2110" t="s">
        <v>2452</v>
      </c>
      <c r="C2110" t="s">
        <v>192</v>
      </c>
      <c r="D2110" t="s">
        <v>2441</v>
      </c>
      <c r="E2110" t="s">
        <v>73</v>
      </c>
      <c r="F2110" t="s">
        <v>2442</v>
      </c>
      <c r="G2110" t="s">
        <v>73</v>
      </c>
      <c r="H2110" t="s">
        <v>4803</v>
      </c>
      <c r="J2110">
        <v>2</v>
      </c>
    </row>
    <row r="2111" spans="1:10" x14ac:dyDescent="0.35">
      <c r="A2111">
        <v>6009612470878</v>
      </c>
      <c r="B2111" t="s">
        <v>2453</v>
      </c>
      <c r="C2111" t="s">
        <v>9</v>
      </c>
      <c r="D2111" t="s">
        <v>2441</v>
      </c>
      <c r="E2111" t="s">
        <v>73</v>
      </c>
      <c r="F2111" t="s">
        <v>2442</v>
      </c>
      <c r="G2111" t="s">
        <v>34</v>
      </c>
      <c r="H2111" t="s">
        <v>4803</v>
      </c>
      <c r="J2111">
        <v>1</v>
      </c>
    </row>
    <row r="2112" spans="1:10" x14ac:dyDescent="0.35">
      <c r="A2112">
        <v>6009612471523</v>
      </c>
      <c r="B2112" t="s">
        <v>2454</v>
      </c>
      <c r="C2112" t="s">
        <v>9</v>
      </c>
      <c r="D2112" t="s">
        <v>2441</v>
      </c>
      <c r="E2112" t="s">
        <v>73</v>
      </c>
      <c r="F2112" t="s">
        <v>2442</v>
      </c>
      <c r="G2112" t="s">
        <v>34</v>
      </c>
      <c r="H2112" t="s">
        <v>4803</v>
      </c>
      <c r="J2112">
        <v>1</v>
      </c>
    </row>
    <row r="2113" spans="1:10" x14ac:dyDescent="0.35">
      <c r="A2113">
        <v>6009612471707</v>
      </c>
      <c r="B2113" t="s">
        <v>2455</v>
      </c>
      <c r="C2113" t="s">
        <v>114</v>
      </c>
      <c r="D2113" t="s">
        <v>2441</v>
      </c>
      <c r="E2113" t="s">
        <v>73</v>
      </c>
      <c r="F2113" t="s">
        <v>2442</v>
      </c>
      <c r="G2113" t="s">
        <v>34</v>
      </c>
      <c r="H2113" t="s">
        <v>4803</v>
      </c>
      <c r="J2113">
        <v>1</v>
      </c>
    </row>
    <row r="2114" spans="1:10" x14ac:dyDescent="0.35">
      <c r="A2114">
        <v>6009614733902</v>
      </c>
      <c r="B2114" t="s">
        <v>2456</v>
      </c>
      <c r="C2114" t="s">
        <v>253</v>
      </c>
      <c r="D2114" t="s">
        <v>2457</v>
      </c>
      <c r="E2114" t="s">
        <v>73</v>
      </c>
      <c r="F2114" t="s">
        <v>2458</v>
      </c>
      <c r="G2114" t="s">
        <v>34</v>
      </c>
      <c r="H2114" t="s">
        <v>4805</v>
      </c>
      <c r="J2114">
        <v>22</v>
      </c>
    </row>
    <row r="2115" spans="1:10" x14ac:dyDescent="0.35">
      <c r="A2115">
        <v>6009616040558</v>
      </c>
      <c r="B2115" t="s">
        <v>2088</v>
      </c>
      <c r="C2115" t="s">
        <v>81</v>
      </c>
      <c r="D2115" t="s">
        <v>2459</v>
      </c>
      <c r="E2115" t="s">
        <v>130</v>
      </c>
      <c r="F2115" t="s">
        <v>220</v>
      </c>
      <c r="G2115" t="s">
        <v>34</v>
      </c>
      <c r="H2115" t="s">
        <v>4520</v>
      </c>
      <c r="J2115">
        <v>6</v>
      </c>
    </row>
    <row r="2116" spans="1:10" x14ac:dyDescent="0.35">
      <c r="A2116">
        <v>6009616040558</v>
      </c>
      <c r="B2116" t="s">
        <v>2088</v>
      </c>
      <c r="C2116" t="s">
        <v>81</v>
      </c>
      <c r="D2116" t="s">
        <v>2459</v>
      </c>
      <c r="E2116" t="s">
        <v>130</v>
      </c>
      <c r="F2116" t="s">
        <v>220</v>
      </c>
      <c r="G2116" t="s">
        <v>150</v>
      </c>
      <c r="H2116" t="s">
        <v>4520</v>
      </c>
      <c r="J2116">
        <v>20</v>
      </c>
    </row>
    <row r="2117" spans="1:10" x14ac:dyDescent="0.35">
      <c r="A2117">
        <v>6009616047533</v>
      </c>
      <c r="B2117" t="s">
        <v>2460</v>
      </c>
      <c r="C2117" t="s">
        <v>1123</v>
      </c>
      <c r="D2117" t="s">
        <v>2459</v>
      </c>
      <c r="E2117" t="s">
        <v>130</v>
      </c>
      <c r="F2117" t="s">
        <v>220</v>
      </c>
      <c r="G2117" t="s">
        <v>34</v>
      </c>
      <c r="H2117" t="s">
        <v>4520</v>
      </c>
      <c r="J2117">
        <v>1</v>
      </c>
    </row>
    <row r="2118" spans="1:10" x14ac:dyDescent="0.35">
      <c r="A2118">
        <v>6009616049322</v>
      </c>
      <c r="B2118" t="s">
        <v>2461</v>
      </c>
      <c r="C2118" t="s">
        <v>2179</v>
      </c>
      <c r="D2118" t="s">
        <v>2252</v>
      </c>
      <c r="E2118" t="s">
        <v>130</v>
      </c>
      <c r="F2118" t="s">
        <v>220</v>
      </c>
      <c r="G2118" t="s">
        <v>22</v>
      </c>
      <c r="H2118" t="s">
        <v>4520</v>
      </c>
      <c r="J2118">
        <v>1</v>
      </c>
    </row>
    <row r="2119" spans="1:10" x14ac:dyDescent="0.35">
      <c r="A2119">
        <v>6009616049322</v>
      </c>
      <c r="B2119" t="s">
        <v>2461</v>
      </c>
      <c r="C2119" t="s">
        <v>2179</v>
      </c>
      <c r="D2119" t="s">
        <v>2252</v>
      </c>
      <c r="E2119" t="s">
        <v>130</v>
      </c>
      <c r="F2119" t="s">
        <v>220</v>
      </c>
      <c r="G2119" t="s">
        <v>73</v>
      </c>
      <c r="H2119" t="s">
        <v>4520</v>
      </c>
      <c r="J2119">
        <v>1</v>
      </c>
    </row>
    <row r="2120" spans="1:10" x14ac:dyDescent="0.35">
      <c r="A2120">
        <v>6009617221628</v>
      </c>
      <c r="B2120" t="s">
        <v>2088</v>
      </c>
      <c r="C2120" t="s">
        <v>1123</v>
      </c>
      <c r="D2120" t="s">
        <v>2462</v>
      </c>
      <c r="E2120" t="s">
        <v>73</v>
      </c>
      <c r="F2120" t="s">
        <v>2287</v>
      </c>
      <c r="G2120" t="s">
        <v>34</v>
      </c>
      <c r="H2120" t="s">
        <v>4783</v>
      </c>
      <c r="J2120">
        <v>1</v>
      </c>
    </row>
    <row r="2121" spans="1:10" x14ac:dyDescent="0.35">
      <c r="A2121">
        <v>6009619870046</v>
      </c>
      <c r="B2121" t="s">
        <v>2463</v>
      </c>
      <c r="C2121" t="s">
        <v>78</v>
      </c>
      <c r="D2121" t="s">
        <v>2464</v>
      </c>
      <c r="E2121" t="s">
        <v>11</v>
      </c>
      <c r="F2121" t="s">
        <v>2465</v>
      </c>
      <c r="G2121" t="s">
        <v>11</v>
      </c>
      <c r="H2121" t="s">
        <v>4806</v>
      </c>
      <c r="J2121">
        <v>13</v>
      </c>
    </row>
    <row r="2122" spans="1:10" x14ac:dyDescent="0.35">
      <c r="A2122">
        <v>6009622620003</v>
      </c>
      <c r="B2122" t="s">
        <v>485</v>
      </c>
      <c r="C2122" t="s">
        <v>192</v>
      </c>
      <c r="D2122" t="s">
        <v>1933</v>
      </c>
      <c r="E2122" t="s">
        <v>15</v>
      </c>
      <c r="F2122" t="s">
        <v>14</v>
      </c>
      <c r="G2122" t="s">
        <v>130</v>
      </c>
      <c r="H2122" t="s">
        <v>4489</v>
      </c>
      <c r="J2122">
        <v>2</v>
      </c>
    </row>
    <row r="2123" spans="1:10" x14ac:dyDescent="0.35">
      <c r="A2123">
        <v>6009622620003</v>
      </c>
      <c r="B2123" t="s">
        <v>485</v>
      </c>
      <c r="C2123" t="s">
        <v>192</v>
      </c>
      <c r="D2123" t="s">
        <v>1933</v>
      </c>
      <c r="E2123" t="s">
        <v>15</v>
      </c>
      <c r="F2123" t="s">
        <v>14</v>
      </c>
      <c r="G2123" t="s">
        <v>31</v>
      </c>
      <c r="H2123" t="s">
        <v>4489</v>
      </c>
      <c r="J2123">
        <v>231</v>
      </c>
    </row>
    <row r="2124" spans="1:10" x14ac:dyDescent="0.35">
      <c r="A2124">
        <v>6009622620027</v>
      </c>
      <c r="B2124" t="s">
        <v>1839</v>
      </c>
      <c r="C2124" t="s">
        <v>9</v>
      </c>
      <c r="D2124" t="s">
        <v>1933</v>
      </c>
      <c r="E2124" t="s">
        <v>15</v>
      </c>
      <c r="F2124" t="s">
        <v>14</v>
      </c>
      <c r="G2124" t="s">
        <v>31</v>
      </c>
      <c r="H2124" t="s">
        <v>4489</v>
      </c>
      <c r="J2124">
        <v>592</v>
      </c>
    </row>
    <row r="2125" spans="1:10" x14ac:dyDescent="0.35">
      <c r="A2125">
        <v>6009622620041</v>
      </c>
      <c r="B2125" t="s">
        <v>2466</v>
      </c>
      <c r="C2125" t="s">
        <v>75</v>
      </c>
      <c r="D2125" t="s">
        <v>1933</v>
      </c>
      <c r="E2125" t="s">
        <v>15</v>
      </c>
      <c r="F2125" t="s">
        <v>14</v>
      </c>
      <c r="G2125" t="s">
        <v>150</v>
      </c>
      <c r="H2125" t="s">
        <v>4489</v>
      </c>
      <c r="J2125">
        <v>1</v>
      </c>
    </row>
    <row r="2126" spans="1:10" x14ac:dyDescent="0.35">
      <c r="A2126">
        <v>6009622620041</v>
      </c>
      <c r="B2126" t="s">
        <v>2466</v>
      </c>
      <c r="C2126" t="s">
        <v>75</v>
      </c>
      <c r="D2126" t="s">
        <v>1933</v>
      </c>
      <c r="E2126" t="s">
        <v>15</v>
      </c>
      <c r="F2126" t="s">
        <v>14</v>
      </c>
      <c r="G2126" t="s">
        <v>31</v>
      </c>
      <c r="H2126" t="s">
        <v>4489</v>
      </c>
      <c r="J2126">
        <v>2</v>
      </c>
    </row>
    <row r="2127" spans="1:10" x14ac:dyDescent="0.35">
      <c r="A2127">
        <v>6009622620096</v>
      </c>
      <c r="B2127" t="s">
        <v>485</v>
      </c>
      <c r="C2127" t="s">
        <v>2467</v>
      </c>
      <c r="D2127" t="s">
        <v>1933</v>
      </c>
      <c r="E2127" t="s">
        <v>15</v>
      </c>
      <c r="F2127" t="s">
        <v>14</v>
      </c>
      <c r="G2127" t="s">
        <v>31</v>
      </c>
      <c r="H2127" t="s">
        <v>4489</v>
      </c>
      <c r="J2127">
        <v>1</v>
      </c>
    </row>
    <row r="2128" spans="1:10" x14ac:dyDescent="0.35">
      <c r="A2128">
        <v>60096226262003</v>
      </c>
      <c r="B2128" t="s">
        <v>485</v>
      </c>
      <c r="C2128" t="s">
        <v>192</v>
      </c>
      <c r="D2128" t="s">
        <v>1933</v>
      </c>
      <c r="E2128" t="s">
        <v>15</v>
      </c>
      <c r="F2128" t="s">
        <v>14</v>
      </c>
      <c r="G2128" t="s">
        <v>31</v>
      </c>
      <c r="H2128" t="s">
        <v>4489</v>
      </c>
      <c r="J2128">
        <v>1</v>
      </c>
    </row>
    <row r="2129" spans="1:10" x14ac:dyDescent="0.35">
      <c r="A2129">
        <v>6009627080246</v>
      </c>
      <c r="B2129" t="s">
        <v>1596</v>
      </c>
      <c r="C2129" t="s">
        <v>81</v>
      </c>
      <c r="D2129" t="s">
        <v>1606</v>
      </c>
      <c r="E2129" t="s">
        <v>15</v>
      </c>
      <c r="F2129" t="s">
        <v>14</v>
      </c>
      <c r="G2129" t="s">
        <v>11</v>
      </c>
      <c r="H2129" t="s">
        <v>4489</v>
      </c>
      <c r="J2129">
        <v>8</v>
      </c>
    </row>
    <row r="2130" spans="1:10" x14ac:dyDescent="0.35">
      <c r="A2130">
        <v>6009627320243</v>
      </c>
      <c r="B2130" t="s">
        <v>2468</v>
      </c>
      <c r="C2130" t="s">
        <v>43</v>
      </c>
      <c r="D2130" t="s">
        <v>2469</v>
      </c>
      <c r="E2130" t="s">
        <v>11</v>
      </c>
      <c r="F2130" t="s">
        <v>2470</v>
      </c>
      <c r="G2130" t="s">
        <v>11</v>
      </c>
      <c r="H2130" t="s">
        <v>4807</v>
      </c>
      <c r="J2130">
        <v>130</v>
      </c>
    </row>
    <row r="2131" spans="1:10" x14ac:dyDescent="0.35">
      <c r="A2131">
        <v>6009627320243</v>
      </c>
      <c r="B2131" t="s">
        <v>2468</v>
      </c>
      <c r="C2131" t="s">
        <v>43</v>
      </c>
      <c r="D2131" t="s">
        <v>2469</v>
      </c>
      <c r="E2131" t="s">
        <v>11</v>
      </c>
      <c r="F2131" t="s">
        <v>2470</v>
      </c>
      <c r="G2131" t="s">
        <v>150</v>
      </c>
      <c r="H2131" t="s">
        <v>4807</v>
      </c>
      <c r="J2131">
        <v>1</v>
      </c>
    </row>
    <row r="2132" spans="1:10" x14ac:dyDescent="0.35">
      <c r="A2132">
        <v>6009633160055</v>
      </c>
      <c r="B2132" t="s">
        <v>2471</v>
      </c>
      <c r="C2132" t="s">
        <v>9</v>
      </c>
      <c r="D2132" t="s">
        <v>2472</v>
      </c>
      <c r="E2132" t="s">
        <v>34</v>
      </c>
      <c r="F2132" t="s">
        <v>2473</v>
      </c>
      <c r="G2132" t="s">
        <v>34</v>
      </c>
      <c r="H2132" t="s">
        <v>4808</v>
      </c>
      <c r="J2132">
        <v>388</v>
      </c>
    </row>
    <row r="2133" spans="1:10" x14ac:dyDescent="0.35">
      <c r="A2133">
        <v>6009633160154</v>
      </c>
      <c r="B2133" t="s">
        <v>790</v>
      </c>
      <c r="C2133" t="s">
        <v>192</v>
      </c>
      <c r="D2133" t="s">
        <v>2472</v>
      </c>
      <c r="E2133" t="s">
        <v>34</v>
      </c>
      <c r="F2133" t="s">
        <v>2473</v>
      </c>
      <c r="G2133" t="s">
        <v>34</v>
      </c>
      <c r="H2133" t="s">
        <v>4808</v>
      </c>
      <c r="I2133">
        <v>20</v>
      </c>
      <c r="J2133">
        <v>548</v>
      </c>
    </row>
    <row r="2134" spans="1:10" x14ac:dyDescent="0.35">
      <c r="A2134">
        <v>6009633160505</v>
      </c>
      <c r="B2134" t="s">
        <v>2474</v>
      </c>
      <c r="C2134" t="s">
        <v>75</v>
      </c>
      <c r="D2134" t="s">
        <v>2472</v>
      </c>
      <c r="E2134" t="s">
        <v>34</v>
      </c>
      <c r="F2134" t="s">
        <v>2473</v>
      </c>
      <c r="G2134" t="s">
        <v>34</v>
      </c>
      <c r="H2134" t="s">
        <v>4808</v>
      </c>
      <c r="J2134">
        <v>58</v>
      </c>
    </row>
    <row r="2135" spans="1:10" x14ac:dyDescent="0.35">
      <c r="A2135">
        <v>6009644540372</v>
      </c>
      <c r="B2135" t="s">
        <v>2475</v>
      </c>
      <c r="C2135" t="s">
        <v>1433</v>
      </c>
      <c r="D2135" t="s">
        <v>1176</v>
      </c>
      <c r="E2135" t="s">
        <v>61</v>
      </c>
      <c r="F2135" t="s">
        <v>1070</v>
      </c>
      <c r="G2135" t="s">
        <v>61</v>
      </c>
      <c r="H2135" t="s">
        <v>4644</v>
      </c>
      <c r="J2135">
        <v>8</v>
      </c>
    </row>
    <row r="2136" spans="1:10" x14ac:dyDescent="0.35">
      <c r="A2136">
        <v>6009644540433</v>
      </c>
      <c r="B2136" t="s">
        <v>2476</v>
      </c>
      <c r="C2136" t="s">
        <v>2477</v>
      </c>
      <c r="D2136" t="s">
        <v>1176</v>
      </c>
      <c r="E2136" t="s">
        <v>61</v>
      </c>
      <c r="F2136" t="s">
        <v>1070</v>
      </c>
      <c r="G2136" t="s">
        <v>61</v>
      </c>
      <c r="H2136" t="s">
        <v>4644</v>
      </c>
      <c r="J2136">
        <v>1</v>
      </c>
    </row>
    <row r="2137" spans="1:10" x14ac:dyDescent="0.35">
      <c r="A2137">
        <v>6009644540440</v>
      </c>
      <c r="B2137" t="s">
        <v>2478</v>
      </c>
      <c r="C2137" t="s">
        <v>2479</v>
      </c>
      <c r="D2137" t="s">
        <v>1176</v>
      </c>
      <c r="E2137" t="s">
        <v>61</v>
      </c>
      <c r="F2137" t="s">
        <v>1070</v>
      </c>
      <c r="G2137" t="s">
        <v>61</v>
      </c>
      <c r="H2137" t="s">
        <v>4644</v>
      </c>
      <c r="J2137">
        <v>3</v>
      </c>
    </row>
    <row r="2138" spans="1:10" x14ac:dyDescent="0.35">
      <c r="A2138">
        <v>6009644540655</v>
      </c>
      <c r="B2138" t="s">
        <v>2480</v>
      </c>
      <c r="C2138" t="s">
        <v>2481</v>
      </c>
      <c r="D2138" t="s">
        <v>1176</v>
      </c>
      <c r="E2138" t="s">
        <v>61</v>
      </c>
      <c r="F2138" t="s">
        <v>1070</v>
      </c>
      <c r="G2138" t="s">
        <v>61</v>
      </c>
      <c r="H2138" t="s">
        <v>4644</v>
      </c>
      <c r="J2138">
        <v>25</v>
      </c>
    </row>
    <row r="2139" spans="1:10" x14ac:dyDescent="0.35">
      <c r="A2139">
        <v>6009644540679</v>
      </c>
      <c r="B2139" t="s">
        <v>2482</v>
      </c>
      <c r="C2139" t="s">
        <v>2483</v>
      </c>
      <c r="D2139" t="s">
        <v>1176</v>
      </c>
      <c r="E2139" t="s">
        <v>61</v>
      </c>
      <c r="F2139" t="s">
        <v>1070</v>
      </c>
      <c r="G2139" t="s">
        <v>61</v>
      </c>
      <c r="H2139" t="s">
        <v>4644</v>
      </c>
      <c r="J2139">
        <v>30</v>
      </c>
    </row>
    <row r="2140" spans="1:10" x14ac:dyDescent="0.35">
      <c r="A2140">
        <v>6009644540808</v>
      </c>
      <c r="B2140" t="s">
        <v>2484</v>
      </c>
      <c r="C2140" t="s">
        <v>2479</v>
      </c>
      <c r="D2140" t="s">
        <v>1176</v>
      </c>
      <c r="E2140" t="s">
        <v>61</v>
      </c>
      <c r="F2140" t="s">
        <v>1070</v>
      </c>
      <c r="G2140" t="s">
        <v>61</v>
      </c>
      <c r="H2140" t="s">
        <v>4644</v>
      </c>
      <c r="J2140">
        <v>456</v>
      </c>
    </row>
    <row r="2141" spans="1:10" x14ac:dyDescent="0.35">
      <c r="A2141">
        <v>6009644541133</v>
      </c>
      <c r="B2141" t="s">
        <v>2485</v>
      </c>
      <c r="C2141" t="s">
        <v>758</v>
      </c>
      <c r="D2141" t="s">
        <v>1176</v>
      </c>
      <c r="E2141" t="s">
        <v>61</v>
      </c>
      <c r="F2141" t="s">
        <v>1070</v>
      </c>
      <c r="G2141" t="s">
        <v>61</v>
      </c>
      <c r="H2141" t="s">
        <v>4644</v>
      </c>
      <c r="J2141">
        <v>3</v>
      </c>
    </row>
    <row r="2142" spans="1:10" x14ac:dyDescent="0.35">
      <c r="A2142">
        <v>6009644541133</v>
      </c>
      <c r="B2142" t="s">
        <v>2485</v>
      </c>
      <c r="C2142" t="s">
        <v>758</v>
      </c>
      <c r="D2142" t="s">
        <v>1176</v>
      </c>
      <c r="E2142" t="s">
        <v>61</v>
      </c>
      <c r="F2142" t="s">
        <v>1070</v>
      </c>
      <c r="G2142" t="s">
        <v>31</v>
      </c>
      <c r="H2142" t="s">
        <v>4644</v>
      </c>
      <c r="J2142">
        <v>2</v>
      </c>
    </row>
    <row r="2143" spans="1:10" x14ac:dyDescent="0.35">
      <c r="A2143">
        <v>6009644546626</v>
      </c>
      <c r="B2143" t="s">
        <v>2486</v>
      </c>
      <c r="C2143" t="s">
        <v>9</v>
      </c>
      <c r="D2143" t="s">
        <v>1176</v>
      </c>
      <c r="E2143" t="s">
        <v>61</v>
      </c>
      <c r="F2143" t="s">
        <v>1070</v>
      </c>
      <c r="G2143" t="s">
        <v>117</v>
      </c>
      <c r="H2143" t="s">
        <v>4644</v>
      </c>
      <c r="J2143">
        <v>56</v>
      </c>
    </row>
    <row r="2144" spans="1:10" x14ac:dyDescent="0.35">
      <c r="A2144">
        <v>6009644546626</v>
      </c>
      <c r="B2144" t="s">
        <v>2486</v>
      </c>
      <c r="C2144" t="s">
        <v>9</v>
      </c>
      <c r="D2144" t="s">
        <v>1176</v>
      </c>
      <c r="E2144" t="s">
        <v>61</v>
      </c>
      <c r="F2144" t="s">
        <v>1070</v>
      </c>
      <c r="G2144" t="s">
        <v>150</v>
      </c>
      <c r="H2144" t="s">
        <v>4644</v>
      </c>
      <c r="J2144">
        <v>865</v>
      </c>
    </row>
    <row r="2145" spans="1:10" x14ac:dyDescent="0.35">
      <c r="A2145">
        <v>6009644546763</v>
      </c>
      <c r="B2145" t="s">
        <v>2487</v>
      </c>
      <c r="C2145" t="s">
        <v>38</v>
      </c>
      <c r="D2145" t="s">
        <v>1176</v>
      </c>
      <c r="E2145" t="s">
        <v>61</v>
      </c>
      <c r="F2145" t="s">
        <v>1070</v>
      </c>
      <c r="G2145" t="s">
        <v>33</v>
      </c>
      <c r="H2145" t="s">
        <v>4644</v>
      </c>
      <c r="J2145">
        <v>1</v>
      </c>
    </row>
    <row r="2146" spans="1:10" x14ac:dyDescent="0.35">
      <c r="A2146">
        <v>6009644546763</v>
      </c>
      <c r="B2146" t="s">
        <v>2487</v>
      </c>
      <c r="C2146" t="s">
        <v>38</v>
      </c>
      <c r="D2146" t="s">
        <v>1176</v>
      </c>
      <c r="E2146" t="s">
        <v>61</v>
      </c>
      <c r="F2146" t="s">
        <v>1070</v>
      </c>
      <c r="G2146" t="s">
        <v>34</v>
      </c>
      <c r="H2146" t="s">
        <v>4644</v>
      </c>
      <c r="J2146">
        <v>9</v>
      </c>
    </row>
    <row r="2147" spans="1:10" x14ac:dyDescent="0.35">
      <c r="A2147">
        <v>6009644546763</v>
      </c>
      <c r="B2147" t="s">
        <v>2487</v>
      </c>
      <c r="C2147" t="s">
        <v>38</v>
      </c>
      <c r="D2147" t="s">
        <v>1176</v>
      </c>
      <c r="E2147" t="s">
        <v>61</v>
      </c>
      <c r="F2147" t="s">
        <v>1070</v>
      </c>
      <c r="G2147" t="s">
        <v>61</v>
      </c>
      <c r="H2147" t="s">
        <v>4644</v>
      </c>
      <c r="J2147">
        <v>74</v>
      </c>
    </row>
    <row r="2148" spans="1:10" x14ac:dyDescent="0.35">
      <c r="A2148">
        <v>60096445469320</v>
      </c>
      <c r="B2148" t="s">
        <v>295</v>
      </c>
      <c r="C2148" t="s">
        <v>38</v>
      </c>
      <c r="D2148" t="s">
        <v>1176</v>
      </c>
      <c r="E2148" t="s">
        <v>61</v>
      </c>
      <c r="F2148" t="s">
        <v>1070</v>
      </c>
      <c r="G2148" t="s">
        <v>33</v>
      </c>
      <c r="H2148" t="s">
        <v>4644</v>
      </c>
      <c r="J2148">
        <v>50</v>
      </c>
    </row>
    <row r="2149" spans="1:10" x14ac:dyDescent="0.35">
      <c r="A2149">
        <v>60096445469320</v>
      </c>
      <c r="B2149" t="s">
        <v>295</v>
      </c>
      <c r="C2149" t="s">
        <v>38</v>
      </c>
      <c r="D2149" t="s">
        <v>1176</v>
      </c>
      <c r="E2149" t="s">
        <v>61</v>
      </c>
      <c r="F2149" t="s">
        <v>1070</v>
      </c>
      <c r="G2149" t="s">
        <v>34</v>
      </c>
      <c r="H2149" t="s">
        <v>4644</v>
      </c>
      <c r="J2149">
        <v>2</v>
      </c>
    </row>
    <row r="2150" spans="1:10" x14ac:dyDescent="0.35">
      <c r="A2150">
        <v>60096445469320</v>
      </c>
      <c r="B2150" t="s">
        <v>295</v>
      </c>
      <c r="C2150" t="s">
        <v>38</v>
      </c>
      <c r="D2150" t="s">
        <v>1176</v>
      </c>
      <c r="E2150" t="s">
        <v>61</v>
      </c>
      <c r="F2150" t="s">
        <v>1070</v>
      </c>
      <c r="G2150" t="s">
        <v>61</v>
      </c>
      <c r="H2150" t="s">
        <v>4644</v>
      </c>
      <c r="J2150">
        <v>52</v>
      </c>
    </row>
    <row r="2151" spans="1:10" x14ac:dyDescent="0.35">
      <c r="A2151">
        <v>60096445469320</v>
      </c>
      <c r="B2151" t="s">
        <v>295</v>
      </c>
      <c r="C2151" t="s">
        <v>38</v>
      </c>
      <c r="D2151" t="s">
        <v>1176</v>
      </c>
      <c r="E2151" t="s">
        <v>61</v>
      </c>
      <c r="F2151" t="s">
        <v>1070</v>
      </c>
      <c r="G2151" t="s">
        <v>31</v>
      </c>
      <c r="H2151" t="s">
        <v>4644</v>
      </c>
      <c r="J2151">
        <v>2</v>
      </c>
    </row>
    <row r="2152" spans="1:10" x14ac:dyDescent="0.35">
      <c r="A2152">
        <v>6009644547166</v>
      </c>
      <c r="B2152" t="s">
        <v>2488</v>
      </c>
      <c r="C2152" t="s">
        <v>2489</v>
      </c>
      <c r="D2152" t="s">
        <v>1176</v>
      </c>
      <c r="E2152" t="s">
        <v>61</v>
      </c>
      <c r="F2152" t="s">
        <v>1070</v>
      </c>
      <c r="G2152" t="s">
        <v>61</v>
      </c>
      <c r="H2152" t="s">
        <v>4644</v>
      </c>
      <c r="J2152">
        <v>7</v>
      </c>
    </row>
    <row r="2153" spans="1:10" x14ac:dyDescent="0.35">
      <c r="A2153">
        <v>6009644547517</v>
      </c>
      <c r="B2153" t="s">
        <v>2490</v>
      </c>
      <c r="C2153" t="s">
        <v>2489</v>
      </c>
      <c r="D2153" t="s">
        <v>1176</v>
      </c>
      <c r="E2153" t="s">
        <v>61</v>
      </c>
      <c r="F2153" t="s">
        <v>1070</v>
      </c>
      <c r="G2153" t="s">
        <v>61</v>
      </c>
      <c r="H2153" t="s">
        <v>4644</v>
      </c>
      <c r="J2153">
        <v>2</v>
      </c>
    </row>
    <row r="2154" spans="1:10" x14ac:dyDescent="0.35">
      <c r="A2154">
        <v>6009644547944</v>
      </c>
      <c r="B2154" t="s">
        <v>2491</v>
      </c>
      <c r="C2154" t="s">
        <v>38</v>
      </c>
      <c r="D2154" t="s">
        <v>1176</v>
      </c>
      <c r="E2154" t="s">
        <v>61</v>
      </c>
      <c r="F2154" t="s">
        <v>1070</v>
      </c>
      <c r="G2154" t="s">
        <v>61</v>
      </c>
      <c r="H2154" t="s">
        <v>4644</v>
      </c>
      <c r="J2154">
        <v>50</v>
      </c>
    </row>
    <row r="2155" spans="1:10" x14ac:dyDescent="0.35">
      <c r="A2155">
        <v>6009644547982</v>
      </c>
      <c r="B2155" t="s">
        <v>2492</v>
      </c>
      <c r="C2155" t="s">
        <v>38</v>
      </c>
      <c r="D2155" t="s">
        <v>2493</v>
      </c>
      <c r="E2155" t="s">
        <v>816</v>
      </c>
      <c r="F2155" t="s">
        <v>817</v>
      </c>
      <c r="G2155" t="s">
        <v>117</v>
      </c>
      <c r="H2155" t="s">
        <v>4598</v>
      </c>
      <c r="J2155">
        <v>18</v>
      </c>
    </row>
    <row r="2156" spans="1:10" x14ac:dyDescent="0.35">
      <c r="A2156">
        <v>6009644547982</v>
      </c>
      <c r="B2156" t="s">
        <v>2492</v>
      </c>
      <c r="C2156" t="s">
        <v>38</v>
      </c>
      <c r="D2156" t="s">
        <v>2493</v>
      </c>
      <c r="E2156" t="s">
        <v>816</v>
      </c>
      <c r="F2156" t="s">
        <v>817</v>
      </c>
      <c r="G2156" t="s">
        <v>33</v>
      </c>
      <c r="H2156" t="s">
        <v>4598</v>
      </c>
      <c r="J2156">
        <v>384</v>
      </c>
    </row>
    <row r="2157" spans="1:10" x14ac:dyDescent="0.35">
      <c r="A2157">
        <v>6009644547982</v>
      </c>
      <c r="B2157" t="s">
        <v>2492</v>
      </c>
      <c r="C2157" t="s">
        <v>38</v>
      </c>
      <c r="D2157" t="s">
        <v>2493</v>
      </c>
      <c r="E2157" t="s">
        <v>816</v>
      </c>
      <c r="F2157" t="s">
        <v>817</v>
      </c>
      <c r="G2157" t="s">
        <v>34</v>
      </c>
      <c r="H2157" t="s">
        <v>4598</v>
      </c>
      <c r="J2157">
        <v>2</v>
      </c>
    </row>
    <row r="2158" spans="1:10" x14ac:dyDescent="0.35">
      <c r="A2158">
        <v>6009644547982</v>
      </c>
      <c r="B2158" t="s">
        <v>2492</v>
      </c>
      <c r="C2158" t="s">
        <v>38</v>
      </c>
      <c r="D2158" t="s">
        <v>2493</v>
      </c>
      <c r="E2158" t="s">
        <v>816</v>
      </c>
      <c r="F2158" t="s">
        <v>817</v>
      </c>
      <c r="G2158" t="s">
        <v>150</v>
      </c>
      <c r="H2158" t="s">
        <v>4598</v>
      </c>
      <c r="J2158">
        <v>17</v>
      </c>
    </row>
    <row r="2159" spans="1:10" x14ac:dyDescent="0.35">
      <c r="A2159">
        <v>6009644547982</v>
      </c>
      <c r="B2159" t="s">
        <v>2492</v>
      </c>
      <c r="C2159" t="s">
        <v>38</v>
      </c>
      <c r="D2159" t="s">
        <v>2493</v>
      </c>
      <c r="E2159" t="s">
        <v>816</v>
      </c>
      <c r="F2159" t="s">
        <v>817</v>
      </c>
      <c r="G2159" t="s">
        <v>61</v>
      </c>
      <c r="H2159" t="s">
        <v>4598</v>
      </c>
      <c r="J2159">
        <v>461</v>
      </c>
    </row>
    <row r="2160" spans="1:10" x14ac:dyDescent="0.35">
      <c r="A2160">
        <v>6009644548361</v>
      </c>
      <c r="B2160" t="s">
        <v>2494</v>
      </c>
      <c r="C2160" t="s">
        <v>909</v>
      </c>
      <c r="D2160" t="s">
        <v>2493</v>
      </c>
      <c r="E2160" t="s">
        <v>816</v>
      </c>
      <c r="F2160" t="s">
        <v>817</v>
      </c>
      <c r="G2160" t="s">
        <v>11</v>
      </c>
      <c r="H2160" t="s">
        <v>4598</v>
      </c>
      <c r="J2160">
        <v>2</v>
      </c>
    </row>
    <row r="2161" spans="1:10" x14ac:dyDescent="0.35">
      <c r="A2161">
        <v>6009644548361</v>
      </c>
      <c r="B2161" t="s">
        <v>2494</v>
      </c>
      <c r="C2161" t="s">
        <v>909</v>
      </c>
      <c r="D2161" t="s">
        <v>2493</v>
      </c>
      <c r="E2161" t="s">
        <v>816</v>
      </c>
      <c r="F2161" t="s">
        <v>817</v>
      </c>
      <c r="G2161" t="s">
        <v>33</v>
      </c>
      <c r="H2161" t="s">
        <v>4598</v>
      </c>
      <c r="J2161">
        <v>121</v>
      </c>
    </row>
    <row r="2162" spans="1:10" x14ac:dyDescent="0.35">
      <c r="A2162">
        <v>6009644548361</v>
      </c>
      <c r="B2162" t="s">
        <v>2494</v>
      </c>
      <c r="C2162" t="s">
        <v>909</v>
      </c>
      <c r="D2162" t="s">
        <v>2493</v>
      </c>
      <c r="E2162" t="s">
        <v>816</v>
      </c>
      <c r="F2162" t="s">
        <v>817</v>
      </c>
      <c r="G2162" t="s">
        <v>34</v>
      </c>
      <c r="H2162" t="s">
        <v>4598</v>
      </c>
      <c r="J2162">
        <v>5</v>
      </c>
    </row>
    <row r="2163" spans="1:10" x14ac:dyDescent="0.35">
      <c r="A2163">
        <v>6009644548361</v>
      </c>
      <c r="B2163" t="s">
        <v>2494</v>
      </c>
      <c r="C2163" t="s">
        <v>909</v>
      </c>
      <c r="D2163" t="s">
        <v>2493</v>
      </c>
      <c r="E2163" t="s">
        <v>816</v>
      </c>
      <c r="F2163" t="s">
        <v>817</v>
      </c>
      <c r="G2163" t="s">
        <v>61</v>
      </c>
      <c r="H2163" t="s">
        <v>4598</v>
      </c>
      <c r="J2163">
        <v>125</v>
      </c>
    </row>
    <row r="2164" spans="1:10" x14ac:dyDescent="0.35">
      <c r="A2164">
        <v>6009644548361</v>
      </c>
      <c r="B2164" t="s">
        <v>2494</v>
      </c>
      <c r="C2164" t="s">
        <v>909</v>
      </c>
      <c r="D2164" t="s">
        <v>2493</v>
      </c>
      <c r="E2164" t="s">
        <v>816</v>
      </c>
      <c r="F2164" t="s">
        <v>817</v>
      </c>
      <c r="G2164" t="s">
        <v>31</v>
      </c>
      <c r="H2164" t="s">
        <v>4598</v>
      </c>
      <c r="J2164">
        <v>1</v>
      </c>
    </row>
    <row r="2165" spans="1:10" x14ac:dyDescent="0.35">
      <c r="A2165">
        <v>6009644548767</v>
      </c>
      <c r="B2165" t="s">
        <v>2495</v>
      </c>
      <c r="C2165" t="s">
        <v>454</v>
      </c>
      <c r="D2165" t="s">
        <v>1176</v>
      </c>
      <c r="E2165" t="s">
        <v>61</v>
      </c>
      <c r="F2165" t="s">
        <v>1070</v>
      </c>
      <c r="G2165" t="s">
        <v>61</v>
      </c>
      <c r="H2165" t="s">
        <v>4644</v>
      </c>
      <c r="J2165">
        <v>13</v>
      </c>
    </row>
    <row r="2166" spans="1:10" x14ac:dyDescent="0.35">
      <c r="A2166">
        <v>6009644548903</v>
      </c>
      <c r="B2166" t="s">
        <v>2496</v>
      </c>
      <c r="C2166" t="s">
        <v>2497</v>
      </c>
      <c r="D2166" t="s">
        <v>1176</v>
      </c>
      <c r="E2166" t="s">
        <v>61</v>
      </c>
      <c r="F2166" t="s">
        <v>1070</v>
      </c>
      <c r="G2166" t="s">
        <v>61</v>
      </c>
      <c r="H2166" t="s">
        <v>4644</v>
      </c>
      <c r="J2166">
        <v>2</v>
      </c>
    </row>
    <row r="2167" spans="1:10" x14ac:dyDescent="0.35">
      <c r="A2167">
        <v>6009644549047</v>
      </c>
      <c r="B2167" t="s">
        <v>2498</v>
      </c>
      <c r="C2167" t="s">
        <v>253</v>
      </c>
      <c r="D2167" t="s">
        <v>2493</v>
      </c>
      <c r="E2167" t="s">
        <v>816</v>
      </c>
      <c r="F2167" t="s">
        <v>817</v>
      </c>
      <c r="G2167" t="s">
        <v>34</v>
      </c>
      <c r="H2167" t="s">
        <v>4598</v>
      </c>
      <c r="J2167">
        <v>1</v>
      </c>
    </row>
    <row r="2168" spans="1:10" x14ac:dyDescent="0.35">
      <c r="A2168">
        <v>6009644549047</v>
      </c>
      <c r="B2168" t="s">
        <v>2498</v>
      </c>
      <c r="C2168" t="s">
        <v>253</v>
      </c>
      <c r="D2168" t="s">
        <v>2493</v>
      </c>
      <c r="E2168" t="s">
        <v>816</v>
      </c>
      <c r="F2168" t="s">
        <v>817</v>
      </c>
      <c r="G2168" t="s">
        <v>150</v>
      </c>
      <c r="H2168" t="s">
        <v>4598</v>
      </c>
      <c r="J2168">
        <v>41</v>
      </c>
    </row>
    <row r="2169" spans="1:10" x14ac:dyDescent="0.35">
      <c r="A2169">
        <v>6009644549047</v>
      </c>
      <c r="B2169" t="s">
        <v>2498</v>
      </c>
      <c r="C2169" t="s">
        <v>253</v>
      </c>
      <c r="D2169" t="s">
        <v>2493</v>
      </c>
      <c r="E2169" t="s">
        <v>816</v>
      </c>
      <c r="F2169" t="s">
        <v>817</v>
      </c>
      <c r="G2169" t="s">
        <v>61</v>
      </c>
      <c r="H2169" t="s">
        <v>4598</v>
      </c>
      <c r="J2169">
        <v>22</v>
      </c>
    </row>
    <row r="2170" spans="1:10" x14ac:dyDescent="0.35">
      <c r="A2170">
        <v>6009644549047</v>
      </c>
      <c r="B2170" t="s">
        <v>2498</v>
      </c>
      <c r="C2170" t="s">
        <v>253</v>
      </c>
      <c r="D2170" t="s">
        <v>2493</v>
      </c>
      <c r="E2170" t="s">
        <v>816</v>
      </c>
      <c r="F2170" t="s">
        <v>817</v>
      </c>
      <c r="G2170" t="s">
        <v>31</v>
      </c>
      <c r="H2170" t="s">
        <v>4598</v>
      </c>
      <c r="J2170">
        <v>6</v>
      </c>
    </row>
    <row r="2171" spans="1:10" x14ac:dyDescent="0.35">
      <c r="A2171">
        <v>6009644549085</v>
      </c>
      <c r="B2171" t="s">
        <v>2499</v>
      </c>
      <c r="C2171" t="s">
        <v>2500</v>
      </c>
      <c r="D2171" t="s">
        <v>1176</v>
      </c>
      <c r="E2171" t="s">
        <v>61</v>
      </c>
      <c r="F2171" t="s">
        <v>1070</v>
      </c>
      <c r="G2171" t="s">
        <v>61</v>
      </c>
      <c r="H2171" t="s">
        <v>4644</v>
      </c>
      <c r="J2171">
        <v>5</v>
      </c>
    </row>
    <row r="2172" spans="1:10" x14ac:dyDescent="0.35">
      <c r="A2172">
        <v>6009644549269</v>
      </c>
      <c r="B2172" t="s">
        <v>2501</v>
      </c>
      <c r="C2172" t="s">
        <v>38</v>
      </c>
      <c r="D2172" t="s">
        <v>2502</v>
      </c>
      <c r="E2172" t="s">
        <v>61</v>
      </c>
      <c r="F2172" t="s">
        <v>1070</v>
      </c>
      <c r="G2172" t="s">
        <v>150</v>
      </c>
      <c r="H2172" t="s">
        <v>4644</v>
      </c>
      <c r="J2172">
        <v>1</v>
      </c>
    </row>
    <row r="2173" spans="1:10" x14ac:dyDescent="0.35">
      <c r="A2173">
        <v>6009644549269</v>
      </c>
      <c r="B2173" t="s">
        <v>2501</v>
      </c>
      <c r="C2173" t="s">
        <v>38</v>
      </c>
      <c r="D2173" t="s">
        <v>2502</v>
      </c>
      <c r="E2173" t="s">
        <v>61</v>
      </c>
      <c r="F2173" t="s">
        <v>1070</v>
      </c>
      <c r="G2173" t="s">
        <v>61</v>
      </c>
      <c r="H2173" t="s">
        <v>4644</v>
      </c>
      <c r="J2173">
        <v>8</v>
      </c>
    </row>
    <row r="2174" spans="1:10" x14ac:dyDescent="0.35">
      <c r="A2174">
        <v>6009644549276</v>
      </c>
      <c r="B2174" t="s">
        <v>2503</v>
      </c>
      <c r="C2174" t="s">
        <v>454</v>
      </c>
      <c r="D2174" t="s">
        <v>1176</v>
      </c>
      <c r="E2174" t="s">
        <v>61</v>
      </c>
      <c r="F2174" t="s">
        <v>1070</v>
      </c>
      <c r="G2174" t="s">
        <v>61</v>
      </c>
      <c r="H2174" t="s">
        <v>4644</v>
      </c>
      <c r="J2174">
        <v>1</v>
      </c>
    </row>
    <row r="2175" spans="1:10" x14ac:dyDescent="0.35">
      <c r="A2175">
        <v>6009644549320</v>
      </c>
      <c r="B2175" t="s">
        <v>853</v>
      </c>
      <c r="C2175" t="s">
        <v>38</v>
      </c>
      <c r="D2175" t="s">
        <v>1176</v>
      </c>
      <c r="E2175" t="s">
        <v>61</v>
      </c>
      <c r="F2175" t="s">
        <v>1070</v>
      </c>
      <c r="G2175" t="s">
        <v>11</v>
      </c>
      <c r="H2175" t="s">
        <v>4644</v>
      </c>
      <c r="I2175">
        <v>24</v>
      </c>
      <c r="J2175">
        <v>668</v>
      </c>
    </row>
    <row r="2176" spans="1:10" x14ac:dyDescent="0.35">
      <c r="A2176">
        <v>6009644549320</v>
      </c>
      <c r="B2176" t="s">
        <v>853</v>
      </c>
      <c r="C2176" t="s">
        <v>38</v>
      </c>
      <c r="D2176" t="s">
        <v>1176</v>
      </c>
      <c r="E2176" t="s">
        <v>61</v>
      </c>
      <c r="F2176" t="s">
        <v>1070</v>
      </c>
      <c r="G2176" t="s">
        <v>33</v>
      </c>
      <c r="H2176" t="s">
        <v>4644</v>
      </c>
      <c r="I2176">
        <v>24</v>
      </c>
      <c r="J2176">
        <v>4246</v>
      </c>
    </row>
    <row r="2177" spans="1:10" x14ac:dyDescent="0.35">
      <c r="A2177">
        <v>6009644549320</v>
      </c>
      <c r="B2177" t="s">
        <v>853</v>
      </c>
      <c r="C2177" t="s">
        <v>38</v>
      </c>
      <c r="D2177" t="s">
        <v>1176</v>
      </c>
      <c r="E2177" t="s">
        <v>61</v>
      </c>
      <c r="F2177" t="s">
        <v>1070</v>
      </c>
      <c r="G2177" t="s">
        <v>34</v>
      </c>
      <c r="H2177" t="s">
        <v>4644</v>
      </c>
      <c r="I2177">
        <v>24</v>
      </c>
      <c r="J2177">
        <v>79</v>
      </c>
    </row>
    <row r="2178" spans="1:10" x14ac:dyDescent="0.35">
      <c r="A2178">
        <v>6009644549320</v>
      </c>
      <c r="B2178" t="s">
        <v>853</v>
      </c>
      <c r="C2178" t="s">
        <v>38</v>
      </c>
      <c r="D2178" t="s">
        <v>1176</v>
      </c>
      <c r="E2178" t="s">
        <v>61</v>
      </c>
      <c r="F2178" t="s">
        <v>1070</v>
      </c>
      <c r="G2178" t="s">
        <v>150</v>
      </c>
      <c r="H2178" t="s">
        <v>4644</v>
      </c>
      <c r="I2178">
        <v>24</v>
      </c>
      <c r="J2178">
        <v>3904</v>
      </c>
    </row>
    <row r="2179" spans="1:10" x14ac:dyDescent="0.35">
      <c r="A2179">
        <v>6009644549320</v>
      </c>
      <c r="B2179" t="s">
        <v>853</v>
      </c>
      <c r="C2179" t="s">
        <v>38</v>
      </c>
      <c r="D2179" t="s">
        <v>1176</v>
      </c>
      <c r="E2179" t="s">
        <v>61</v>
      </c>
      <c r="F2179" t="s">
        <v>1070</v>
      </c>
      <c r="G2179" t="s">
        <v>61</v>
      </c>
      <c r="H2179" t="s">
        <v>4644</v>
      </c>
      <c r="I2179">
        <v>24</v>
      </c>
      <c r="J2179">
        <v>2971</v>
      </c>
    </row>
    <row r="2180" spans="1:10" x14ac:dyDescent="0.35">
      <c r="A2180">
        <v>6009644549320</v>
      </c>
      <c r="B2180" t="s">
        <v>853</v>
      </c>
      <c r="C2180" t="s">
        <v>38</v>
      </c>
      <c r="D2180" t="s">
        <v>1176</v>
      </c>
      <c r="E2180" t="s">
        <v>61</v>
      </c>
      <c r="F2180" t="s">
        <v>1070</v>
      </c>
      <c r="G2180" t="s">
        <v>31</v>
      </c>
      <c r="H2180" t="s">
        <v>4644</v>
      </c>
      <c r="I2180">
        <v>24</v>
      </c>
      <c r="J2180">
        <v>17</v>
      </c>
    </row>
    <row r="2181" spans="1:10" x14ac:dyDescent="0.35">
      <c r="A2181">
        <v>6009644549337</v>
      </c>
      <c r="B2181" t="s">
        <v>2504</v>
      </c>
      <c r="C2181" t="s">
        <v>909</v>
      </c>
      <c r="D2181" t="s">
        <v>1176</v>
      </c>
      <c r="E2181" t="s">
        <v>61</v>
      </c>
      <c r="F2181" t="s">
        <v>1070</v>
      </c>
      <c r="G2181" t="s">
        <v>61</v>
      </c>
      <c r="H2181" t="s">
        <v>4644</v>
      </c>
      <c r="J2181">
        <v>7</v>
      </c>
    </row>
    <row r="2182" spans="1:10" x14ac:dyDescent="0.35">
      <c r="A2182">
        <v>6009644921003</v>
      </c>
      <c r="B2182" t="s">
        <v>2505</v>
      </c>
      <c r="C2182" t="s">
        <v>9</v>
      </c>
      <c r="D2182" t="s">
        <v>577</v>
      </c>
      <c r="E2182" t="s">
        <v>578</v>
      </c>
      <c r="F2182" t="s">
        <v>579</v>
      </c>
      <c r="G2182" t="s">
        <v>578</v>
      </c>
      <c r="H2182" t="s">
        <v>4563</v>
      </c>
      <c r="J2182">
        <v>3</v>
      </c>
    </row>
    <row r="2183" spans="1:10" x14ac:dyDescent="0.35">
      <c r="A2183">
        <v>6009644921140</v>
      </c>
      <c r="B2183" t="s">
        <v>2506</v>
      </c>
      <c r="C2183" t="s">
        <v>9</v>
      </c>
      <c r="D2183" t="s">
        <v>2507</v>
      </c>
      <c r="E2183" t="s">
        <v>816</v>
      </c>
      <c r="F2183" t="s">
        <v>817</v>
      </c>
      <c r="G2183" t="s">
        <v>33</v>
      </c>
      <c r="H2183" t="s">
        <v>4598</v>
      </c>
      <c r="J2183">
        <v>124</v>
      </c>
    </row>
    <row r="2184" spans="1:10" x14ac:dyDescent="0.35">
      <c r="A2184">
        <v>6009644921188</v>
      </c>
      <c r="B2184" t="s">
        <v>2508</v>
      </c>
      <c r="C2184" t="s">
        <v>9</v>
      </c>
      <c r="D2184" t="s">
        <v>2507</v>
      </c>
      <c r="E2184" t="s">
        <v>816</v>
      </c>
      <c r="F2184" t="s">
        <v>817</v>
      </c>
      <c r="G2184" t="s">
        <v>33</v>
      </c>
      <c r="H2184" t="s">
        <v>4598</v>
      </c>
      <c r="J2184">
        <v>171</v>
      </c>
    </row>
    <row r="2185" spans="1:10" x14ac:dyDescent="0.35">
      <c r="A2185">
        <v>6009644921492</v>
      </c>
      <c r="B2185" t="s">
        <v>2509</v>
      </c>
      <c r="C2185" t="s">
        <v>9</v>
      </c>
      <c r="D2185" t="s">
        <v>2510</v>
      </c>
      <c r="E2185" t="s">
        <v>578</v>
      </c>
      <c r="F2185" t="s">
        <v>2217</v>
      </c>
      <c r="G2185" t="s">
        <v>33</v>
      </c>
      <c r="H2185" t="s">
        <v>4768</v>
      </c>
      <c r="J2185">
        <v>52</v>
      </c>
    </row>
    <row r="2186" spans="1:10" x14ac:dyDescent="0.35">
      <c r="A2186">
        <v>6009644921492</v>
      </c>
      <c r="B2186" t="s">
        <v>2509</v>
      </c>
      <c r="C2186" t="s">
        <v>9</v>
      </c>
      <c r="D2186" t="s">
        <v>2510</v>
      </c>
      <c r="E2186" t="s">
        <v>578</v>
      </c>
      <c r="F2186" t="s">
        <v>2217</v>
      </c>
      <c r="G2186" t="s">
        <v>34</v>
      </c>
      <c r="H2186" t="s">
        <v>4768</v>
      </c>
      <c r="J2186">
        <v>49</v>
      </c>
    </row>
    <row r="2187" spans="1:10" x14ac:dyDescent="0.35">
      <c r="A2187">
        <v>6009644921492</v>
      </c>
      <c r="B2187" t="s">
        <v>2509</v>
      </c>
      <c r="C2187" t="s">
        <v>9</v>
      </c>
      <c r="D2187" t="s">
        <v>2510</v>
      </c>
      <c r="E2187" t="s">
        <v>578</v>
      </c>
      <c r="F2187" t="s">
        <v>2217</v>
      </c>
      <c r="G2187" t="s">
        <v>578</v>
      </c>
      <c r="H2187" t="s">
        <v>4768</v>
      </c>
      <c r="J2187">
        <v>9</v>
      </c>
    </row>
    <row r="2188" spans="1:10" x14ac:dyDescent="0.35">
      <c r="A2188">
        <v>6009644925575</v>
      </c>
      <c r="B2188" t="s">
        <v>2511</v>
      </c>
      <c r="C2188" t="s">
        <v>806</v>
      </c>
      <c r="D2188" t="s">
        <v>2512</v>
      </c>
      <c r="E2188" t="s">
        <v>578</v>
      </c>
      <c r="F2188" t="s">
        <v>2217</v>
      </c>
      <c r="G2188" t="s">
        <v>578</v>
      </c>
      <c r="H2188" t="s">
        <v>4768</v>
      </c>
      <c r="J2188">
        <v>1</v>
      </c>
    </row>
    <row r="2189" spans="1:10" x14ac:dyDescent="0.35">
      <c r="A2189">
        <v>6009644925605</v>
      </c>
      <c r="B2189" t="s">
        <v>2513</v>
      </c>
      <c r="C2189" t="s">
        <v>326</v>
      </c>
      <c r="D2189" t="s">
        <v>2512</v>
      </c>
      <c r="E2189" t="s">
        <v>578</v>
      </c>
      <c r="F2189" t="s">
        <v>2217</v>
      </c>
      <c r="G2189" t="s">
        <v>117</v>
      </c>
      <c r="H2189" t="s">
        <v>4768</v>
      </c>
      <c r="J2189">
        <v>2</v>
      </c>
    </row>
    <row r="2190" spans="1:10" x14ac:dyDescent="0.35">
      <c r="A2190">
        <v>6009644925605</v>
      </c>
      <c r="B2190" t="s">
        <v>2513</v>
      </c>
      <c r="C2190" t="s">
        <v>326</v>
      </c>
      <c r="D2190" t="s">
        <v>2512</v>
      </c>
      <c r="E2190" t="s">
        <v>578</v>
      </c>
      <c r="F2190" t="s">
        <v>2217</v>
      </c>
      <c r="G2190" t="s">
        <v>34</v>
      </c>
      <c r="H2190" t="s">
        <v>4768</v>
      </c>
      <c r="J2190">
        <v>1</v>
      </c>
    </row>
    <row r="2191" spans="1:10" x14ac:dyDescent="0.35">
      <c r="A2191">
        <v>6009644991198</v>
      </c>
      <c r="B2191" t="s">
        <v>2514</v>
      </c>
      <c r="C2191" t="s">
        <v>9</v>
      </c>
      <c r="D2191" t="s">
        <v>2515</v>
      </c>
      <c r="E2191" t="s">
        <v>578</v>
      </c>
      <c r="F2191" t="s">
        <v>2217</v>
      </c>
      <c r="G2191" t="s">
        <v>578</v>
      </c>
      <c r="H2191" t="s">
        <v>4768</v>
      </c>
      <c r="J2191">
        <v>21</v>
      </c>
    </row>
    <row r="2192" spans="1:10" x14ac:dyDescent="0.35">
      <c r="A2192">
        <v>6009644991204</v>
      </c>
      <c r="B2192" t="s">
        <v>2514</v>
      </c>
      <c r="C2192" t="s">
        <v>603</v>
      </c>
      <c r="D2192" t="s">
        <v>2515</v>
      </c>
      <c r="E2192" t="s">
        <v>578</v>
      </c>
      <c r="F2192" t="s">
        <v>2217</v>
      </c>
      <c r="G2192" t="s">
        <v>578</v>
      </c>
      <c r="H2192" t="s">
        <v>4768</v>
      </c>
      <c r="J2192">
        <v>3</v>
      </c>
    </row>
    <row r="2193" spans="1:10" x14ac:dyDescent="0.35">
      <c r="A2193">
        <v>6009644991266</v>
      </c>
      <c r="B2193" t="s">
        <v>2516</v>
      </c>
      <c r="C2193" t="s">
        <v>9</v>
      </c>
      <c r="D2193" t="s">
        <v>2517</v>
      </c>
      <c r="E2193" t="s">
        <v>578</v>
      </c>
      <c r="F2193" t="s">
        <v>2217</v>
      </c>
      <c r="G2193" t="s">
        <v>31</v>
      </c>
      <c r="H2193" t="s">
        <v>4768</v>
      </c>
      <c r="J2193">
        <v>1</v>
      </c>
    </row>
    <row r="2194" spans="1:10" x14ac:dyDescent="0.35">
      <c r="A2194">
        <v>6009644991266</v>
      </c>
      <c r="B2194" t="s">
        <v>2516</v>
      </c>
      <c r="C2194" t="s">
        <v>9</v>
      </c>
      <c r="D2194" t="s">
        <v>2517</v>
      </c>
      <c r="E2194" t="s">
        <v>578</v>
      </c>
      <c r="F2194" t="s">
        <v>2217</v>
      </c>
      <c r="G2194" t="s">
        <v>578</v>
      </c>
      <c r="H2194" t="s">
        <v>4768</v>
      </c>
      <c r="J2194">
        <v>8</v>
      </c>
    </row>
    <row r="2195" spans="1:10" x14ac:dyDescent="0.35">
      <c r="A2195">
        <v>6009644991389</v>
      </c>
      <c r="B2195" t="s">
        <v>1834</v>
      </c>
      <c r="C2195" t="s">
        <v>610</v>
      </c>
      <c r="D2195" t="s">
        <v>2518</v>
      </c>
      <c r="E2195" t="s">
        <v>578</v>
      </c>
      <c r="F2195" t="s">
        <v>2217</v>
      </c>
      <c r="G2195" t="s">
        <v>578</v>
      </c>
      <c r="H2195" t="s">
        <v>4768</v>
      </c>
      <c r="J2195">
        <v>1</v>
      </c>
    </row>
    <row r="2196" spans="1:10" x14ac:dyDescent="0.35">
      <c r="A2196">
        <v>6009644991778</v>
      </c>
      <c r="B2196" t="s">
        <v>2519</v>
      </c>
      <c r="C2196" t="s">
        <v>9</v>
      </c>
      <c r="D2196" t="s">
        <v>2515</v>
      </c>
      <c r="E2196" t="s">
        <v>578</v>
      </c>
      <c r="F2196" t="s">
        <v>2217</v>
      </c>
      <c r="G2196" t="s">
        <v>34</v>
      </c>
      <c r="H2196" t="s">
        <v>4768</v>
      </c>
      <c r="J2196">
        <v>35</v>
      </c>
    </row>
    <row r="2197" spans="1:10" x14ac:dyDescent="0.35">
      <c r="A2197">
        <v>6009644991778</v>
      </c>
      <c r="B2197" t="s">
        <v>2519</v>
      </c>
      <c r="C2197" t="s">
        <v>9</v>
      </c>
      <c r="D2197" t="s">
        <v>2515</v>
      </c>
      <c r="E2197" t="s">
        <v>578</v>
      </c>
      <c r="F2197" t="s">
        <v>2217</v>
      </c>
      <c r="G2197" t="s">
        <v>578</v>
      </c>
      <c r="H2197" t="s">
        <v>4768</v>
      </c>
      <c r="J2197">
        <v>23</v>
      </c>
    </row>
    <row r="2198" spans="1:10" x14ac:dyDescent="0.35">
      <c r="A2198">
        <v>6009644993284</v>
      </c>
      <c r="B2198" t="s">
        <v>2520</v>
      </c>
      <c r="C2198" t="s">
        <v>9</v>
      </c>
      <c r="D2198" t="s">
        <v>2515</v>
      </c>
      <c r="E2198" t="s">
        <v>578</v>
      </c>
      <c r="F2198" t="s">
        <v>2217</v>
      </c>
      <c r="G2198" t="s">
        <v>578</v>
      </c>
      <c r="H2198" t="s">
        <v>4768</v>
      </c>
      <c r="J2198">
        <v>9</v>
      </c>
    </row>
    <row r="2199" spans="1:10" x14ac:dyDescent="0.35">
      <c r="A2199">
        <v>6009644993628</v>
      </c>
      <c r="B2199" t="s">
        <v>2521</v>
      </c>
      <c r="C2199" t="s">
        <v>83</v>
      </c>
      <c r="D2199" t="s">
        <v>2522</v>
      </c>
      <c r="E2199" t="s">
        <v>578</v>
      </c>
      <c r="F2199" t="s">
        <v>2217</v>
      </c>
      <c r="G2199" t="s">
        <v>33</v>
      </c>
      <c r="H2199" t="s">
        <v>4768</v>
      </c>
      <c r="J2199">
        <v>3</v>
      </c>
    </row>
    <row r="2200" spans="1:10" x14ac:dyDescent="0.35">
      <c r="A2200">
        <v>6009644993628</v>
      </c>
      <c r="B2200" t="s">
        <v>2521</v>
      </c>
      <c r="C2200" t="s">
        <v>83</v>
      </c>
      <c r="D2200" t="s">
        <v>2522</v>
      </c>
      <c r="E2200" t="s">
        <v>578</v>
      </c>
      <c r="F2200" t="s">
        <v>2217</v>
      </c>
      <c r="G2200" t="s">
        <v>578</v>
      </c>
      <c r="H2200" t="s">
        <v>4768</v>
      </c>
      <c r="J2200">
        <v>1</v>
      </c>
    </row>
    <row r="2201" spans="1:10" x14ac:dyDescent="0.35">
      <c r="A2201">
        <v>6009644993772</v>
      </c>
      <c r="B2201" t="s">
        <v>2523</v>
      </c>
      <c r="C2201" t="s">
        <v>253</v>
      </c>
      <c r="D2201" t="s">
        <v>609</v>
      </c>
      <c r="E2201" t="s">
        <v>578</v>
      </c>
      <c r="F2201" t="s">
        <v>2217</v>
      </c>
      <c r="G2201" t="s">
        <v>117</v>
      </c>
      <c r="H2201" t="s">
        <v>4768</v>
      </c>
      <c r="J2201">
        <v>16</v>
      </c>
    </row>
    <row r="2202" spans="1:10" x14ac:dyDescent="0.35">
      <c r="A2202">
        <v>6009644993772</v>
      </c>
      <c r="B2202" t="s">
        <v>2523</v>
      </c>
      <c r="C2202" t="s">
        <v>253</v>
      </c>
      <c r="D2202" t="s">
        <v>609</v>
      </c>
      <c r="E2202" t="s">
        <v>578</v>
      </c>
      <c r="F2202" t="s">
        <v>2217</v>
      </c>
      <c r="G2202" t="s">
        <v>578</v>
      </c>
      <c r="H2202" t="s">
        <v>4768</v>
      </c>
      <c r="J2202">
        <v>29</v>
      </c>
    </row>
    <row r="2203" spans="1:10" x14ac:dyDescent="0.35">
      <c r="A2203">
        <v>6009644995790</v>
      </c>
      <c r="B2203" t="s">
        <v>668</v>
      </c>
      <c r="C2203" t="s">
        <v>603</v>
      </c>
      <c r="D2203" t="s">
        <v>2524</v>
      </c>
      <c r="E2203" t="s">
        <v>578</v>
      </c>
      <c r="F2203" t="s">
        <v>2217</v>
      </c>
      <c r="G2203" t="s">
        <v>117</v>
      </c>
      <c r="H2203" t="s">
        <v>4768</v>
      </c>
      <c r="J2203">
        <v>6</v>
      </c>
    </row>
    <row r="2204" spans="1:10" x14ac:dyDescent="0.35">
      <c r="A2204">
        <v>6009644995806</v>
      </c>
      <c r="B2204" t="s">
        <v>2525</v>
      </c>
      <c r="C2204" t="s">
        <v>1199</v>
      </c>
      <c r="D2204" t="s">
        <v>2515</v>
      </c>
      <c r="E2204" t="s">
        <v>578</v>
      </c>
      <c r="F2204" t="s">
        <v>2217</v>
      </c>
      <c r="G2204" t="s">
        <v>117</v>
      </c>
      <c r="H2204" t="s">
        <v>4768</v>
      </c>
      <c r="J2204">
        <v>15</v>
      </c>
    </row>
    <row r="2205" spans="1:10" x14ac:dyDescent="0.35">
      <c r="A2205">
        <v>6009644995806</v>
      </c>
      <c r="B2205" t="s">
        <v>2525</v>
      </c>
      <c r="C2205" t="s">
        <v>1199</v>
      </c>
      <c r="D2205" t="s">
        <v>2515</v>
      </c>
      <c r="E2205" t="s">
        <v>578</v>
      </c>
      <c r="F2205" t="s">
        <v>2217</v>
      </c>
      <c r="G2205" t="s">
        <v>578</v>
      </c>
      <c r="H2205" t="s">
        <v>4768</v>
      </c>
      <c r="J2205">
        <v>13</v>
      </c>
    </row>
    <row r="2206" spans="1:10" x14ac:dyDescent="0.35">
      <c r="A2206">
        <v>6009644995820</v>
      </c>
      <c r="B2206" t="s">
        <v>675</v>
      </c>
      <c r="C2206" t="s">
        <v>603</v>
      </c>
      <c r="D2206" t="s">
        <v>2524</v>
      </c>
      <c r="E2206" t="s">
        <v>578</v>
      </c>
      <c r="F2206" t="s">
        <v>2217</v>
      </c>
      <c r="G2206" t="s">
        <v>117</v>
      </c>
      <c r="H2206" t="s">
        <v>4768</v>
      </c>
      <c r="J2206">
        <v>5</v>
      </c>
    </row>
    <row r="2207" spans="1:10" x14ac:dyDescent="0.35">
      <c r="A2207">
        <v>6009644996186</v>
      </c>
      <c r="B2207" t="s">
        <v>2526</v>
      </c>
      <c r="C2207" t="s">
        <v>1199</v>
      </c>
      <c r="D2207" t="s">
        <v>2515</v>
      </c>
      <c r="E2207" t="s">
        <v>578</v>
      </c>
      <c r="F2207" t="s">
        <v>2217</v>
      </c>
      <c r="G2207" t="s">
        <v>34</v>
      </c>
      <c r="H2207" t="s">
        <v>4768</v>
      </c>
      <c r="J2207">
        <v>1</v>
      </c>
    </row>
    <row r="2208" spans="1:10" x14ac:dyDescent="0.35">
      <c r="A2208">
        <v>6009644996186</v>
      </c>
      <c r="B2208" t="s">
        <v>2526</v>
      </c>
      <c r="C2208" t="s">
        <v>1199</v>
      </c>
      <c r="D2208" t="s">
        <v>2515</v>
      </c>
      <c r="E2208" t="s">
        <v>578</v>
      </c>
      <c r="F2208" t="s">
        <v>2217</v>
      </c>
      <c r="G2208" t="s">
        <v>578</v>
      </c>
      <c r="H2208" t="s">
        <v>4768</v>
      </c>
      <c r="J2208">
        <v>15</v>
      </c>
    </row>
    <row r="2209" spans="1:10" x14ac:dyDescent="0.35">
      <c r="A2209">
        <v>6009644996995</v>
      </c>
      <c r="B2209" t="s">
        <v>2527</v>
      </c>
      <c r="C2209" t="s">
        <v>9</v>
      </c>
      <c r="D2209" t="s">
        <v>2515</v>
      </c>
      <c r="E2209" t="s">
        <v>578</v>
      </c>
      <c r="F2209" t="s">
        <v>2217</v>
      </c>
      <c r="G2209" t="s">
        <v>578</v>
      </c>
      <c r="H2209" t="s">
        <v>4768</v>
      </c>
      <c r="J2209">
        <v>25</v>
      </c>
    </row>
    <row r="2210" spans="1:10" x14ac:dyDescent="0.35">
      <c r="A2210">
        <v>6009645820145</v>
      </c>
      <c r="B2210" t="s">
        <v>485</v>
      </c>
      <c r="C2210" t="s">
        <v>610</v>
      </c>
      <c r="D2210" t="s">
        <v>2528</v>
      </c>
      <c r="E2210" t="s">
        <v>34</v>
      </c>
      <c r="F2210" t="s">
        <v>2529</v>
      </c>
      <c r="G2210" t="s">
        <v>578</v>
      </c>
      <c r="H2210" t="s">
        <v>4809</v>
      </c>
      <c r="J2210">
        <v>2</v>
      </c>
    </row>
    <row r="2211" spans="1:10" x14ac:dyDescent="0.35">
      <c r="A2211">
        <v>6009646580512</v>
      </c>
      <c r="B2211" t="s">
        <v>2530</v>
      </c>
      <c r="C2211" t="s">
        <v>472</v>
      </c>
      <c r="D2211" t="s">
        <v>2531</v>
      </c>
      <c r="E2211" t="s">
        <v>2227</v>
      </c>
      <c r="F2211" t="s">
        <v>2532</v>
      </c>
      <c r="G2211" t="s">
        <v>34</v>
      </c>
      <c r="H2211" t="s">
        <v>4810</v>
      </c>
      <c r="J2211">
        <v>9</v>
      </c>
    </row>
    <row r="2212" spans="1:10" x14ac:dyDescent="0.35">
      <c r="A2212">
        <v>6009646580536</v>
      </c>
      <c r="B2212" t="s">
        <v>2533</v>
      </c>
      <c r="C2212" t="s">
        <v>81</v>
      </c>
      <c r="D2212" t="s">
        <v>2531</v>
      </c>
      <c r="E2212" t="s">
        <v>2227</v>
      </c>
      <c r="F2212" t="s">
        <v>2532</v>
      </c>
      <c r="G2212" t="s">
        <v>34</v>
      </c>
      <c r="H2212" t="s">
        <v>4810</v>
      </c>
      <c r="J2212">
        <v>1</v>
      </c>
    </row>
    <row r="2213" spans="1:10" x14ac:dyDescent="0.35">
      <c r="A2213">
        <v>6009646580611</v>
      </c>
      <c r="B2213" t="s">
        <v>2533</v>
      </c>
      <c r="C2213" t="s">
        <v>75</v>
      </c>
      <c r="D2213" t="s">
        <v>2531</v>
      </c>
      <c r="E2213" t="s">
        <v>2227</v>
      </c>
      <c r="F2213" t="s">
        <v>2532</v>
      </c>
      <c r="G2213" t="s">
        <v>34</v>
      </c>
      <c r="H2213" t="s">
        <v>4810</v>
      </c>
      <c r="J2213">
        <v>37</v>
      </c>
    </row>
    <row r="2214" spans="1:10" x14ac:dyDescent="0.35">
      <c r="A2214">
        <v>6009646580703</v>
      </c>
      <c r="B2214" t="s">
        <v>2534</v>
      </c>
      <c r="C2214" t="s">
        <v>78</v>
      </c>
      <c r="D2214" t="s">
        <v>2531</v>
      </c>
      <c r="E2214" t="s">
        <v>2227</v>
      </c>
      <c r="F2214" t="s">
        <v>2532</v>
      </c>
      <c r="G2214" t="s">
        <v>34</v>
      </c>
      <c r="H2214" t="s">
        <v>4810</v>
      </c>
      <c r="J2214">
        <v>13</v>
      </c>
    </row>
    <row r="2215" spans="1:10" x14ac:dyDescent="0.35">
      <c r="A2215">
        <v>6009646580857</v>
      </c>
      <c r="B2215" t="s">
        <v>2207</v>
      </c>
      <c r="C2215" t="s">
        <v>78</v>
      </c>
      <c r="D2215" t="s">
        <v>2535</v>
      </c>
      <c r="E2215" t="s">
        <v>34</v>
      </c>
      <c r="F2215" t="s">
        <v>2536</v>
      </c>
      <c r="G2215" t="s">
        <v>34</v>
      </c>
      <c r="H2215" t="s">
        <v>4811</v>
      </c>
      <c r="J2215">
        <v>17</v>
      </c>
    </row>
    <row r="2216" spans="1:10" x14ac:dyDescent="0.35">
      <c r="A2216">
        <v>6009646580864</v>
      </c>
      <c r="B2216" t="s">
        <v>2537</v>
      </c>
      <c r="C2216" t="s">
        <v>75</v>
      </c>
      <c r="D2216" t="s">
        <v>2207</v>
      </c>
      <c r="E2216" t="s">
        <v>73</v>
      </c>
      <c r="F2216" t="s">
        <v>2208</v>
      </c>
      <c r="G2216" t="s">
        <v>34</v>
      </c>
      <c r="H2216" t="s">
        <v>4766</v>
      </c>
      <c r="J2216">
        <v>261</v>
      </c>
    </row>
    <row r="2217" spans="1:10" x14ac:dyDescent="0.35">
      <c r="A2217">
        <v>6009646580864</v>
      </c>
      <c r="B2217" t="s">
        <v>2537</v>
      </c>
      <c r="C2217" t="s">
        <v>75</v>
      </c>
      <c r="D2217" t="s">
        <v>2207</v>
      </c>
      <c r="E2217" t="s">
        <v>73</v>
      </c>
      <c r="F2217" t="s">
        <v>2208</v>
      </c>
      <c r="G2217" t="s">
        <v>150</v>
      </c>
      <c r="H2217" t="s">
        <v>4766</v>
      </c>
      <c r="J2217">
        <v>20</v>
      </c>
    </row>
    <row r="2218" spans="1:10" x14ac:dyDescent="0.35">
      <c r="A2218">
        <v>6009646581007</v>
      </c>
      <c r="B2218" t="s">
        <v>485</v>
      </c>
      <c r="C2218" t="s">
        <v>192</v>
      </c>
      <c r="D2218" t="s">
        <v>2538</v>
      </c>
      <c r="E2218" t="s">
        <v>34</v>
      </c>
      <c r="F2218" t="s">
        <v>2539</v>
      </c>
      <c r="G2218" t="s">
        <v>34</v>
      </c>
      <c r="H2218" t="s">
        <v>4812</v>
      </c>
      <c r="I2218">
        <v>33</v>
      </c>
      <c r="J2218">
        <v>7776</v>
      </c>
    </row>
    <row r="2219" spans="1:10" x14ac:dyDescent="0.35">
      <c r="A2219">
        <v>6009646581014</v>
      </c>
      <c r="B2219" t="s">
        <v>2540</v>
      </c>
      <c r="C2219" t="s">
        <v>253</v>
      </c>
      <c r="D2219" t="s">
        <v>2538</v>
      </c>
      <c r="E2219" t="s">
        <v>34</v>
      </c>
      <c r="F2219" t="s">
        <v>2539</v>
      </c>
      <c r="G2219" t="s">
        <v>34</v>
      </c>
      <c r="H2219" t="s">
        <v>4812</v>
      </c>
      <c r="J2219">
        <v>13707</v>
      </c>
    </row>
    <row r="2220" spans="1:10" x14ac:dyDescent="0.35">
      <c r="A2220">
        <v>6009646581014</v>
      </c>
      <c r="B2220" t="s">
        <v>2540</v>
      </c>
      <c r="C2220" t="s">
        <v>253</v>
      </c>
      <c r="D2220" t="s">
        <v>2538</v>
      </c>
      <c r="E2220" t="s">
        <v>34</v>
      </c>
      <c r="F2220" t="s">
        <v>2539</v>
      </c>
      <c r="G2220" t="s">
        <v>61</v>
      </c>
      <c r="H2220" t="s">
        <v>4812</v>
      </c>
      <c r="J2220">
        <v>1</v>
      </c>
    </row>
    <row r="2221" spans="1:10" x14ac:dyDescent="0.35">
      <c r="A2221">
        <v>6009652782757</v>
      </c>
      <c r="B2221" t="s">
        <v>2541</v>
      </c>
      <c r="C2221" t="s">
        <v>253</v>
      </c>
      <c r="D2221" t="s">
        <v>2542</v>
      </c>
      <c r="E2221" t="s">
        <v>578</v>
      </c>
      <c r="F2221" t="s">
        <v>2543</v>
      </c>
      <c r="G2221" t="s">
        <v>578</v>
      </c>
      <c r="H2221" t="s">
        <v>4813</v>
      </c>
      <c r="J2221">
        <v>31</v>
      </c>
    </row>
    <row r="2222" spans="1:10" x14ac:dyDescent="0.35">
      <c r="A2222">
        <v>6009652782955</v>
      </c>
      <c r="B2222" t="s">
        <v>2544</v>
      </c>
      <c r="C2222" t="s">
        <v>472</v>
      </c>
      <c r="D2222" t="s">
        <v>2542</v>
      </c>
      <c r="E2222" t="s">
        <v>578</v>
      </c>
      <c r="F2222" t="s">
        <v>2543</v>
      </c>
      <c r="G2222" t="s">
        <v>578</v>
      </c>
      <c r="H2222" t="s">
        <v>4813</v>
      </c>
      <c r="J2222">
        <v>11</v>
      </c>
    </row>
    <row r="2223" spans="1:10" x14ac:dyDescent="0.35">
      <c r="A2223">
        <v>6009652782962</v>
      </c>
      <c r="B2223" t="s">
        <v>2303</v>
      </c>
      <c r="C2223" t="s">
        <v>472</v>
      </c>
      <c r="D2223" t="s">
        <v>2542</v>
      </c>
      <c r="E2223" t="s">
        <v>578</v>
      </c>
      <c r="F2223" t="s">
        <v>2543</v>
      </c>
      <c r="G2223" t="s">
        <v>34</v>
      </c>
      <c r="H2223" t="s">
        <v>4813</v>
      </c>
      <c r="J2223">
        <v>50</v>
      </c>
    </row>
    <row r="2224" spans="1:10" x14ac:dyDescent="0.35">
      <c r="A2224">
        <v>6009652782962</v>
      </c>
      <c r="B2224" t="s">
        <v>2303</v>
      </c>
      <c r="C2224" t="s">
        <v>472</v>
      </c>
      <c r="D2224" t="s">
        <v>2542</v>
      </c>
      <c r="E2224" t="s">
        <v>578</v>
      </c>
      <c r="F2224" t="s">
        <v>2543</v>
      </c>
      <c r="G2224" t="s">
        <v>578</v>
      </c>
      <c r="H2224" t="s">
        <v>4813</v>
      </c>
      <c r="J2224">
        <v>21</v>
      </c>
    </row>
    <row r="2225" spans="1:10" x14ac:dyDescent="0.35">
      <c r="A2225">
        <v>6009655973381</v>
      </c>
      <c r="B2225" t="s">
        <v>2545</v>
      </c>
      <c r="C2225" t="s">
        <v>81</v>
      </c>
      <c r="D2225" t="s">
        <v>2546</v>
      </c>
      <c r="E2225" t="s">
        <v>73</v>
      </c>
      <c r="F2225" t="s">
        <v>2547</v>
      </c>
      <c r="G2225" t="s">
        <v>34</v>
      </c>
      <c r="H2225" t="s">
        <v>4814</v>
      </c>
      <c r="J2225">
        <v>11</v>
      </c>
    </row>
    <row r="2226" spans="1:10" x14ac:dyDescent="0.35">
      <c r="A2226">
        <v>6009655974272</v>
      </c>
      <c r="B2226" t="s">
        <v>2163</v>
      </c>
      <c r="C2226" t="s">
        <v>81</v>
      </c>
      <c r="D2226" t="s">
        <v>2546</v>
      </c>
      <c r="E2226" t="s">
        <v>73</v>
      </c>
      <c r="F2226" t="s">
        <v>2547</v>
      </c>
      <c r="G2226" t="s">
        <v>34</v>
      </c>
      <c r="H2226" t="s">
        <v>4814</v>
      </c>
      <c r="J2226">
        <v>19</v>
      </c>
    </row>
    <row r="2227" spans="1:10" x14ac:dyDescent="0.35">
      <c r="A2227">
        <v>6009660040214</v>
      </c>
      <c r="B2227" t="s">
        <v>544</v>
      </c>
      <c r="C2227" t="s">
        <v>192</v>
      </c>
      <c r="D2227" t="s">
        <v>2548</v>
      </c>
      <c r="E2227" t="s">
        <v>61</v>
      </c>
      <c r="F2227" t="s">
        <v>2296</v>
      </c>
      <c r="G2227" t="s">
        <v>11</v>
      </c>
      <c r="H2227" t="s">
        <v>4785</v>
      </c>
      <c r="J2227">
        <v>1</v>
      </c>
    </row>
    <row r="2228" spans="1:10" x14ac:dyDescent="0.35">
      <c r="A2228">
        <v>6009660040214</v>
      </c>
      <c r="B2228" t="s">
        <v>544</v>
      </c>
      <c r="C2228" t="s">
        <v>192</v>
      </c>
      <c r="D2228" t="s">
        <v>2548</v>
      </c>
      <c r="E2228" t="s">
        <v>61</v>
      </c>
      <c r="F2228" t="s">
        <v>2296</v>
      </c>
      <c r="G2228" t="s">
        <v>34</v>
      </c>
      <c r="H2228" t="s">
        <v>4785</v>
      </c>
      <c r="J2228">
        <v>47</v>
      </c>
    </row>
    <row r="2229" spans="1:10" x14ac:dyDescent="0.35">
      <c r="A2229">
        <v>6009660040214</v>
      </c>
      <c r="B2229" t="s">
        <v>544</v>
      </c>
      <c r="C2229" t="s">
        <v>192</v>
      </c>
      <c r="D2229" t="s">
        <v>2548</v>
      </c>
      <c r="E2229" t="s">
        <v>61</v>
      </c>
      <c r="F2229" t="s">
        <v>2296</v>
      </c>
      <c r="G2229" t="s">
        <v>61</v>
      </c>
      <c r="H2229" t="s">
        <v>4785</v>
      </c>
      <c r="J2229">
        <v>147</v>
      </c>
    </row>
    <row r="2230" spans="1:10" x14ac:dyDescent="0.35">
      <c r="A2230">
        <v>6009660040221</v>
      </c>
      <c r="B2230" t="s">
        <v>544</v>
      </c>
      <c r="C2230" t="s">
        <v>9</v>
      </c>
      <c r="D2230" t="s">
        <v>2548</v>
      </c>
      <c r="E2230" t="s">
        <v>61</v>
      </c>
      <c r="F2230" t="s">
        <v>2296</v>
      </c>
      <c r="G2230" t="s">
        <v>61</v>
      </c>
      <c r="H2230" t="s">
        <v>4785</v>
      </c>
      <c r="J2230">
        <v>437</v>
      </c>
    </row>
    <row r="2231" spans="1:10" x14ac:dyDescent="0.35">
      <c r="A2231">
        <v>6009660040238</v>
      </c>
      <c r="B2231" t="s">
        <v>2549</v>
      </c>
      <c r="C2231" t="s">
        <v>81</v>
      </c>
      <c r="D2231" t="s">
        <v>2548</v>
      </c>
      <c r="E2231" t="s">
        <v>61</v>
      </c>
      <c r="F2231" t="s">
        <v>2296</v>
      </c>
      <c r="G2231" t="s">
        <v>61</v>
      </c>
      <c r="H2231" t="s">
        <v>4785</v>
      </c>
      <c r="J2231">
        <v>145</v>
      </c>
    </row>
    <row r="2232" spans="1:10" x14ac:dyDescent="0.35">
      <c r="A2232">
        <v>6009660040245</v>
      </c>
      <c r="B2232" t="s">
        <v>1151</v>
      </c>
      <c r="C2232" t="s">
        <v>472</v>
      </c>
      <c r="D2232" t="s">
        <v>2295</v>
      </c>
      <c r="E2232" t="s">
        <v>61</v>
      </c>
      <c r="F2232" t="s">
        <v>2296</v>
      </c>
      <c r="G2232" t="s">
        <v>61</v>
      </c>
      <c r="H2232" t="s">
        <v>4785</v>
      </c>
      <c r="J2232">
        <v>812</v>
      </c>
    </row>
    <row r="2233" spans="1:10" x14ac:dyDescent="0.35">
      <c r="A2233">
        <v>6009660040269</v>
      </c>
      <c r="B2233" t="s">
        <v>544</v>
      </c>
      <c r="C2233" t="s">
        <v>192</v>
      </c>
      <c r="D2233" t="s">
        <v>2548</v>
      </c>
      <c r="E2233" t="s">
        <v>61</v>
      </c>
      <c r="F2233" t="s">
        <v>2296</v>
      </c>
      <c r="G2233" t="s">
        <v>61</v>
      </c>
      <c r="H2233" t="s">
        <v>4785</v>
      </c>
      <c r="J2233">
        <v>3</v>
      </c>
    </row>
    <row r="2234" spans="1:10" x14ac:dyDescent="0.35">
      <c r="A2234">
        <v>6009660903724</v>
      </c>
      <c r="B2234" t="s">
        <v>642</v>
      </c>
      <c r="C2234" t="s">
        <v>36</v>
      </c>
      <c r="D2234" t="s">
        <v>2550</v>
      </c>
      <c r="E2234" t="s">
        <v>73</v>
      </c>
      <c r="F2234" t="s">
        <v>2551</v>
      </c>
      <c r="G2234" t="s">
        <v>61</v>
      </c>
      <c r="H2234" t="s">
        <v>4815</v>
      </c>
      <c r="J2234">
        <v>7</v>
      </c>
    </row>
    <row r="2235" spans="1:10" x14ac:dyDescent="0.35">
      <c r="A2235">
        <v>6009660903816</v>
      </c>
      <c r="B2235" t="s">
        <v>2552</v>
      </c>
      <c r="C2235" t="s">
        <v>173</v>
      </c>
      <c r="D2235" t="s">
        <v>2550</v>
      </c>
      <c r="E2235" t="s">
        <v>73</v>
      </c>
      <c r="F2235" t="s">
        <v>2551</v>
      </c>
      <c r="G2235" t="s">
        <v>61</v>
      </c>
      <c r="H2235" t="s">
        <v>4815</v>
      </c>
      <c r="J2235">
        <v>8</v>
      </c>
    </row>
    <row r="2236" spans="1:10" x14ac:dyDescent="0.35">
      <c r="A2236">
        <v>6009661170118</v>
      </c>
      <c r="B2236" t="s">
        <v>2399</v>
      </c>
      <c r="C2236" t="s">
        <v>192</v>
      </c>
      <c r="D2236" t="s">
        <v>900</v>
      </c>
      <c r="E2236" t="s">
        <v>15</v>
      </c>
      <c r="F2236" t="s">
        <v>901</v>
      </c>
      <c r="G2236" t="s">
        <v>34</v>
      </c>
      <c r="H2236" t="s">
        <v>4617</v>
      </c>
      <c r="J2236">
        <v>64</v>
      </c>
    </row>
    <row r="2237" spans="1:10" x14ac:dyDescent="0.35">
      <c r="A2237">
        <v>6009661170118</v>
      </c>
      <c r="B2237" t="s">
        <v>2399</v>
      </c>
      <c r="C2237" t="s">
        <v>192</v>
      </c>
      <c r="D2237" t="s">
        <v>900</v>
      </c>
      <c r="E2237" t="s">
        <v>15</v>
      </c>
      <c r="F2237" t="s">
        <v>901</v>
      </c>
      <c r="G2237" t="s">
        <v>150</v>
      </c>
      <c r="H2237" t="s">
        <v>4617</v>
      </c>
      <c r="J2237">
        <v>6</v>
      </c>
    </row>
    <row r="2238" spans="1:10" x14ac:dyDescent="0.35">
      <c r="A2238">
        <v>6009661170125</v>
      </c>
      <c r="B2238" t="s">
        <v>2399</v>
      </c>
      <c r="C2238" t="s">
        <v>9</v>
      </c>
      <c r="D2238" t="s">
        <v>900</v>
      </c>
      <c r="E2238" t="s">
        <v>15</v>
      </c>
      <c r="F2238" t="s">
        <v>901</v>
      </c>
      <c r="G2238" t="s">
        <v>34</v>
      </c>
      <c r="H2238" t="s">
        <v>4617</v>
      </c>
      <c r="J2238">
        <v>91</v>
      </c>
    </row>
    <row r="2239" spans="1:10" x14ac:dyDescent="0.35">
      <c r="A2239">
        <v>6009661170125</v>
      </c>
      <c r="B2239" t="s">
        <v>2399</v>
      </c>
      <c r="C2239" t="s">
        <v>9</v>
      </c>
      <c r="D2239" t="s">
        <v>900</v>
      </c>
      <c r="E2239" t="s">
        <v>15</v>
      </c>
      <c r="F2239" t="s">
        <v>901</v>
      </c>
      <c r="G2239" t="s">
        <v>150</v>
      </c>
      <c r="H2239" t="s">
        <v>4617</v>
      </c>
      <c r="J2239">
        <v>43</v>
      </c>
    </row>
    <row r="2240" spans="1:10" x14ac:dyDescent="0.35">
      <c r="A2240">
        <v>6009661170255</v>
      </c>
      <c r="B2240" t="s">
        <v>606</v>
      </c>
      <c r="C2240" t="s">
        <v>253</v>
      </c>
      <c r="D2240" t="s">
        <v>607</v>
      </c>
      <c r="E2240" t="s">
        <v>22</v>
      </c>
      <c r="F2240" t="s">
        <v>608</v>
      </c>
      <c r="G2240" t="s">
        <v>34</v>
      </c>
      <c r="H2240" t="s">
        <v>4568</v>
      </c>
      <c r="J2240">
        <v>163</v>
      </c>
    </row>
    <row r="2241" spans="1:10" x14ac:dyDescent="0.35">
      <c r="A2241">
        <v>6009661170262</v>
      </c>
      <c r="B2241" t="s">
        <v>698</v>
      </c>
      <c r="C2241" t="s">
        <v>78</v>
      </c>
      <c r="D2241" t="s">
        <v>698</v>
      </c>
      <c r="E2241" t="s">
        <v>34</v>
      </c>
      <c r="F2241" t="s">
        <v>699</v>
      </c>
      <c r="G2241" t="s">
        <v>34</v>
      </c>
      <c r="H2241" t="s">
        <v>4583</v>
      </c>
      <c r="J2241">
        <v>70</v>
      </c>
    </row>
    <row r="2242" spans="1:10" x14ac:dyDescent="0.35">
      <c r="A2242">
        <v>6009661170279</v>
      </c>
      <c r="B2242" t="s">
        <v>1515</v>
      </c>
      <c r="C2242" t="s">
        <v>9</v>
      </c>
      <c r="D2242" t="s">
        <v>698</v>
      </c>
      <c r="E2242" t="s">
        <v>34</v>
      </c>
      <c r="F2242" t="s">
        <v>699</v>
      </c>
      <c r="G2242" t="s">
        <v>34</v>
      </c>
      <c r="H2242" t="s">
        <v>4583</v>
      </c>
      <c r="I2242">
        <v>26</v>
      </c>
      <c r="J2242">
        <v>309</v>
      </c>
    </row>
    <row r="2243" spans="1:10" x14ac:dyDescent="0.35">
      <c r="A2243">
        <v>6009661170279</v>
      </c>
      <c r="B2243" t="s">
        <v>1515</v>
      </c>
      <c r="C2243" t="s">
        <v>9</v>
      </c>
      <c r="D2243" t="s">
        <v>698</v>
      </c>
      <c r="E2243" t="s">
        <v>34</v>
      </c>
      <c r="F2243" t="s">
        <v>699</v>
      </c>
      <c r="G2243" t="s">
        <v>31</v>
      </c>
      <c r="H2243" t="s">
        <v>4583</v>
      </c>
      <c r="I2243">
        <v>26</v>
      </c>
      <c r="J2243">
        <v>2</v>
      </c>
    </row>
    <row r="2244" spans="1:10" x14ac:dyDescent="0.35">
      <c r="A2244">
        <v>6009661170309</v>
      </c>
      <c r="B2244" t="s">
        <v>2553</v>
      </c>
      <c r="C2244" t="s">
        <v>78</v>
      </c>
      <c r="D2244" t="s">
        <v>698</v>
      </c>
      <c r="E2244" t="s">
        <v>34</v>
      </c>
      <c r="F2244" t="s">
        <v>699</v>
      </c>
      <c r="G2244" t="s">
        <v>34</v>
      </c>
      <c r="H2244" t="s">
        <v>4583</v>
      </c>
      <c r="J2244">
        <v>50</v>
      </c>
    </row>
    <row r="2245" spans="1:10" x14ac:dyDescent="0.35">
      <c r="A2245">
        <v>6009661170323</v>
      </c>
      <c r="B2245" t="s">
        <v>698</v>
      </c>
      <c r="C2245" t="s">
        <v>78</v>
      </c>
      <c r="D2245" t="s">
        <v>698</v>
      </c>
      <c r="E2245" t="s">
        <v>34</v>
      </c>
      <c r="F2245" t="s">
        <v>699</v>
      </c>
      <c r="G2245" t="s">
        <v>34</v>
      </c>
      <c r="H2245" t="s">
        <v>4583</v>
      </c>
      <c r="J2245">
        <v>138</v>
      </c>
    </row>
    <row r="2246" spans="1:10" x14ac:dyDescent="0.35">
      <c r="A2246">
        <v>6009661170330</v>
      </c>
      <c r="B2246" t="s">
        <v>2554</v>
      </c>
      <c r="C2246" t="s">
        <v>9</v>
      </c>
      <c r="D2246" t="s">
        <v>698</v>
      </c>
      <c r="E2246" t="s">
        <v>34</v>
      </c>
      <c r="F2246" t="s">
        <v>699</v>
      </c>
      <c r="G2246" t="s">
        <v>34</v>
      </c>
      <c r="H2246" t="s">
        <v>4583</v>
      </c>
      <c r="I2246">
        <v>26</v>
      </c>
      <c r="J2246">
        <v>1547</v>
      </c>
    </row>
    <row r="2247" spans="1:10" x14ac:dyDescent="0.35">
      <c r="A2247">
        <v>6009661170330</v>
      </c>
      <c r="B2247" t="s">
        <v>2554</v>
      </c>
      <c r="C2247" t="s">
        <v>9</v>
      </c>
      <c r="D2247" t="s">
        <v>698</v>
      </c>
      <c r="E2247" t="s">
        <v>34</v>
      </c>
      <c r="F2247" t="s">
        <v>699</v>
      </c>
      <c r="G2247" t="s">
        <v>31</v>
      </c>
      <c r="H2247" t="s">
        <v>4583</v>
      </c>
      <c r="I2247">
        <v>26</v>
      </c>
      <c r="J2247">
        <v>10</v>
      </c>
    </row>
    <row r="2248" spans="1:10" x14ac:dyDescent="0.35">
      <c r="A2248">
        <v>6009661170347</v>
      </c>
      <c r="B2248" t="s">
        <v>698</v>
      </c>
      <c r="C2248" t="s">
        <v>78</v>
      </c>
      <c r="D2248" t="s">
        <v>698</v>
      </c>
      <c r="E2248" t="s">
        <v>34</v>
      </c>
      <c r="F2248" t="s">
        <v>699</v>
      </c>
      <c r="G2248" t="s">
        <v>34</v>
      </c>
      <c r="H2248" t="s">
        <v>4583</v>
      </c>
      <c r="J2248">
        <v>146</v>
      </c>
    </row>
    <row r="2249" spans="1:10" x14ac:dyDescent="0.35">
      <c r="A2249">
        <v>6009661170354</v>
      </c>
      <c r="B2249" t="s">
        <v>2555</v>
      </c>
      <c r="C2249" t="s">
        <v>9</v>
      </c>
      <c r="D2249" t="s">
        <v>698</v>
      </c>
      <c r="E2249" t="s">
        <v>34</v>
      </c>
      <c r="F2249" t="s">
        <v>699</v>
      </c>
      <c r="G2249" t="s">
        <v>34</v>
      </c>
      <c r="H2249" t="s">
        <v>4583</v>
      </c>
      <c r="I2249">
        <v>26</v>
      </c>
      <c r="J2249">
        <v>2033</v>
      </c>
    </row>
    <row r="2250" spans="1:10" x14ac:dyDescent="0.35">
      <c r="A2250">
        <v>6009661170354</v>
      </c>
      <c r="B2250" t="s">
        <v>2555</v>
      </c>
      <c r="C2250" t="s">
        <v>9</v>
      </c>
      <c r="D2250" t="s">
        <v>698</v>
      </c>
      <c r="E2250" t="s">
        <v>34</v>
      </c>
      <c r="F2250" t="s">
        <v>699</v>
      </c>
      <c r="G2250" t="s">
        <v>150</v>
      </c>
      <c r="H2250" t="s">
        <v>4583</v>
      </c>
      <c r="I2250">
        <v>26</v>
      </c>
      <c r="J2250">
        <v>11</v>
      </c>
    </row>
    <row r="2251" spans="1:10" x14ac:dyDescent="0.35">
      <c r="A2251">
        <v>6009661170361</v>
      </c>
      <c r="B2251" t="s">
        <v>698</v>
      </c>
      <c r="C2251" t="s">
        <v>78</v>
      </c>
      <c r="D2251" t="s">
        <v>698</v>
      </c>
      <c r="E2251" t="s">
        <v>34</v>
      </c>
      <c r="F2251" t="s">
        <v>699</v>
      </c>
      <c r="G2251" t="s">
        <v>34</v>
      </c>
      <c r="H2251" t="s">
        <v>4583</v>
      </c>
      <c r="J2251">
        <v>45</v>
      </c>
    </row>
    <row r="2252" spans="1:10" x14ac:dyDescent="0.35">
      <c r="A2252">
        <v>6009661170378</v>
      </c>
      <c r="B2252" t="s">
        <v>2556</v>
      </c>
      <c r="C2252" t="s">
        <v>9</v>
      </c>
      <c r="D2252" t="s">
        <v>698</v>
      </c>
      <c r="E2252" t="s">
        <v>34</v>
      </c>
      <c r="F2252" t="s">
        <v>699</v>
      </c>
      <c r="G2252" t="s">
        <v>34</v>
      </c>
      <c r="H2252" t="s">
        <v>4583</v>
      </c>
      <c r="I2252">
        <v>26</v>
      </c>
      <c r="J2252">
        <v>699</v>
      </c>
    </row>
    <row r="2253" spans="1:10" x14ac:dyDescent="0.35">
      <c r="A2253">
        <v>6009661219039</v>
      </c>
      <c r="B2253" t="s">
        <v>2557</v>
      </c>
      <c r="C2253" t="s">
        <v>38</v>
      </c>
      <c r="D2253" t="s">
        <v>1249</v>
      </c>
      <c r="E2253" t="s">
        <v>20</v>
      </c>
      <c r="F2253" t="s">
        <v>1250</v>
      </c>
      <c r="G2253" t="s">
        <v>73</v>
      </c>
      <c r="H2253" t="s">
        <v>4674</v>
      </c>
      <c r="J2253">
        <v>2</v>
      </c>
    </row>
    <row r="2254" spans="1:10" x14ac:dyDescent="0.35">
      <c r="A2254">
        <v>6009661602848</v>
      </c>
      <c r="B2254" t="s">
        <v>2558</v>
      </c>
      <c r="C2254" t="s">
        <v>336</v>
      </c>
      <c r="D2254" t="s">
        <v>2559</v>
      </c>
      <c r="E2254" t="s">
        <v>117</v>
      </c>
      <c r="F2254" t="s">
        <v>2560</v>
      </c>
      <c r="G2254" t="s">
        <v>117</v>
      </c>
      <c r="H2254" t="s">
        <v>4816</v>
      </c>
      <c r="J2254">
        <v>1</v>
      </c>
    </row>
    <row r="2255" spans="1:10" x14ac:dyDescent="0.35">
      <c r="A2255">
        <v>600966200003</v>
      </c>
      <c r="B2255" t="s">
        <v>2558</v>
      </c>
      <c r="C2255" t="s">
        <v>1141</v>
      </c>
      <c r="D2255" t="s">
        <v>2559</v>
      </c>
      <c r="E2255" t="s">
        <v>117</v>
      </c>
      <c r="F2255" t="s">
        <v>2560</v>
      </c>
      <c r="G2255" t="s">
        <v>117</v>
      </c>
      <c r="H2255" t="s">
        <v>4816</v>
      </c>
      <c r="J2255">
        <v>3</v>
      </c>
    </row>
    <row r="2256" spans="1:10" x14ac:dyDescent="0.35">
      <c r="A2256">
        <v>6009664104646</v>
      </c>
      <c r="B2256" t="s">
        <v>581</v>
      </c>
      <c r="C2256" t="s">
        <v>253</v>
      </c>
      <c r="D2256" t="s">
        <v>2561</v>
      </c>
      <c r="E2256" t="s">
        <v>117</v>
      </c>
      <c r="F2256" t="s">
        <v>2562</v>
      </c>
      <c r="G2256" t="s">
        <v>117</v>
      </c>
      <c r="H2256" t="s">
        <v>4817</v>
      </c>
      <c r="J2256">
        <v>1</v>
      </c>
    </row>
    <row r="2257" spans="1:10" x14ac:dyDescent="0.35">
      <c r="A2257">
        <v>6009667480150</v>
      </c>
      <c r="B2257" t="s">
        <v>2563</v>
      </c>
      <c r="C2257" t="s">
        <v>43</v>
      </c>
      <c r="D2257" t="s">
        <v>2564</v>
      </c>
      <c r="E2257" t="s">
        <v>578</v>
      </c>
      <c r="F2257" t="s">
        <v>2564</v>
      </c>
      <c r="G2257" t="s">
        <v>33</v>
      </c>
      <c r="H2257" t="s">
        <v>4818</v>
      </c>
      <c r="J2257">
        <v>21</v>
      </c>
    </row>
    <row r="2258" spans="1:10" x14ac:dyDescent="0.35">
      <c r="A2258">
        <v>6009670370004</v>
      </c>
      <c r="B2258" t="s">
        <v>485</v>
      </c>
      <c r="C2258" t="s">
        <v>192</v>
      </c>
      <c r="D2258" t="s">
        <v>1149</v>
      </c>
      <c r="E2258" t="s">
        <v>34</v>
      </c>
      <c r="F2258" t="s">
        <v>1150</v>
      </c>
      <c r="G2258" t="s">
        <v>34</v>
      </c>
      <c r="H2258" t="s">
        <v>4656</v>
      </c>
      <c r="I2258">
        <v>47.5</v>
      </c>
      <c r="J2258">
        <v>11373</v>
      </c>
    </row>
    <row r="2259" spans="1:10" x14ac:dyDescent="0.35">
      <c r="A2259">
        <v>6009670370011</v>
      </c>
      <c r="B2259" t="s">
        <v>2565</v>
      </c>
      <c r="C2259" t="s">
        <v>2008</v>
      </c>
      <c r="D2259" t="s">
        <v>1149</v>
      </c>
      <c r="E2259" t="s">
        <v>34</v>
      </c>
      <c r="F2259" t="s">
        <v>1150</v>
      </c>
      <c r="G2259" t="s">
        <v>34</v>
      </c>
      <c r="H2259" t="s">
        <v>4656</v>
      </c>
      <c r="J2259">
        <v>353</v>
      </c>
    </row>
    <row r="2260" spans="1:10" x14ac:dyDescent="0.35">
      <c r="A2260">
        <v>6009670370028</v>
      </c>
      <c r="B2260" t="s">
        <v>2566</v>
      </c>
      <c r="C2260" t="s">
        <v>9</v>
      </c>
      <c r="D2260" t="s">
        <v>1149</v>
      </c>
      <c r="E2260" t="s">
        <v>34</v>
      </c>
      <c r="F2260" t="s">
        <v>1150</v>
      </c>
      <c r="G2260" t="s">
        <v>34</v>
      </c>
      <c r="H2260" t="s">
        <v>4656</v>
      </c>
      <c r="I2260">
        <v>17</v>
      </c>
      <c r="J2260">
        <v>28132</v>
      </c>
    </row>
    <row r="2261" spans="1:10" x14ac:dyDescent="0.35">
      <c r="A2261">
        <v>600967037004</v>
      </c>
      <c r="B2261" t="s">
        <v>1999</v>
      </c>
      <c r="C2261" t="s">
        <v>192</v>
      </c>
      <c r="D2261" t="s">
        <v>1149</v>
      </c>
      <c r="E2261" t="s">
        <v>34</v>
      </c>
      <c r="F2261" t="s">
        <v>1150</v>
      </c>
      <c r="G2261" t="s">
        <v>34</v>
      </c>
      <c r="H2261" t="s">
        <v>4656</v>
      </c>
      <c r="J2261">
        <v>55</v>
      </c>
    </row>
    <row r="2262" spans="1:10" x14ac:dyDescent="0.35">
      <c r="A2262">
        <v>6009670370042</v>
      </c>
      <c r="B2262" t="s">
        <v>461</v>
      </c>
      <c r="C2262" t="s">
        <v>1863</v>
      </c>
      <c r="D2262" t="s">
        <v>1149</v>
      </c>
      <c r="E2262" t="s">
        <v>34</v>
      </c>
      <c r="F2262" t="s">
        <v>1150</v>
      </c>
      <c r="G2262" t="s">
        <v>34</v>
      </c>
      <c r="H2262" t="s">
        <v>4656</v>
      </c>
      <c r="J2262">
        <v>23</v>
      </c>
    </row>
    <row r="2263" spans="1:10" x14ac:dyDescent="0.35">
      <c r="A2263">
        <v>6009670370509</v>
      </c>
      <c r="B2263" t="s">
        <v>485</v>
      </c>
      <c r="C2263" t="s">
        <v>75</v>
      </c>
      <c r="D2263" t="s">
        <v>1152</v>
      </c>
      <c r="E2263" t="s">
        <v>34</v>
      </c>
      <c r="F2263" t="s">
        <v>1150</v>
      </c>
      <c r="G2263" t="s">
        <v>34</v>
      </c>
      <c r="H2263" t="s">
        <v>4656</v>
      </c>
      <c r="J2263">
        <v>3032</v>
      </c>
    </row>
    <row r="2264" spans="1:10" x14ac:dyDescent="0.35">
      <c r="A2264">
        <v>6009670370516</v>
      </c>
      <c r="B2264" t="s">
        <v>1999</v>
      </c>
      <c r="C2264" t="s">
        <v>192</v>
      </c>
      <c r="D2264" t="s">
        <v>1152</v>
      </c>
      <c r="E2264" t="s">
        <v>34</v>
      </c>
      <c r="F2264" t="s">
        <v>1150</v>
      </c>
      <c r="G2264" t="s">
        <v>34</v>
      </c>
      <c r="H2264" t="s">
        <v>4656</v>
      </c>
      <c r="J2264">
        <v>517</v>
      </c>
    </row>
    <row r="2265" spans="1:10" x14ac:dyDescent="0.35">
      <c r="A2265">
        <v>6009670370523</v>
      </c>
      <c r="B2265" t="s">
        <v>1158</v>
      </c>
      <c r="C2265" t="s">
        <v>9</v>
      </c>
      <c r="D2265" t="s">
        <v>1152</v>
      </c>
      <c r="E2265" t="s">
        <v>34</v>
      </c>
      <c r="F2265" t="s">
        <v>1150</v>
      </c>
      <c r="G2265" t="s">
        <v>34</v>
      </c>
      <c r="H2265" t="s">
        <v>4656</v>
      </c>
      <c r="J2265">
        <v>2336</v>
      </c>
    </row>
    <row r="2266" spans="1:10" x14ac:dyDescent="0.35">
      <c r="A2266">
        <v>6009670370530</v>
      </c>
      <c r="B2266" t="s">
        <v>461</v>
      </c>
      <c r="C2266" t="s">
        <v>81</v>
      </c>
      <c r="D2266" t="s">
        <v>1152</v>
      </c>
      <c r="E2266" t="s">
        <v>34</v>
      </c>
      <c r="F2266" t="s">
        <v>1150</v>
      </c>
      <c r="G2266" t="s">
        <v>34</v>
      </c>
      <c r="H2266" t="s">
        <v>4656</v>
      </c>
      <c r="J2266">
        <v>90</v>
      </c>
    </row>
    <row r="2267" spans="1:10" x14ac:dyDescent="0.35">
      <c r="A2267">
        <v>6009671260021</v>
      </c>
      <c r="B2267" t="s">
        <v>485</v>
      </c>
      <c r="C2267" t="s">
        <v>9</v>
      </c>
      <c r="D2267" t="s">
        <v>2567</v>
      </c>
      <c r="E2267" t="s">
        <v>578</v>
      </c>
      <c r="F2267" t="s">
        <v>2568</v>
      </c>
      <c r="G2267" t="s">
        <v>578</v>
      </c>
      <c r="H2267" t="s">
        <v>4819</v>
      </c>
      <c r="J2267">
        <v>2</v>
      </c>
    </row>
    <row r="2268" spans="1:10" x14ac:dyDescent="0.35">
      <c r="A2268">
        <v>6009671260038</v>
      </c>
      <c r="B2268" t="s">
        <v>2567</v>
      </c>
      <c r="C2268" t="s">
        <v>326</v>
      </c>
      <c r="D2268" t="s">
        <v>2567</v>
      </c>
      <c r="E2268" t="s">
        <v>578</v>
      </c>
      <c r="F2268" t="s">
        <v>2568</v>
      </c>
      <c r="G2268" t="s">
        <v>578</v>
      </c>
      <c r="H2268" t="s">
        <v>4819</v>
      </c>
      <c r="J2268">
        <v>22</v>
      </c>
    </row>
    <row r="2269" spans="1:10" x14ac:dyDescent="0.35">
      <c r="A2269">
        <v>6009672211664</v>
      </c>
      <c r="B2269" t="s">
        <v>2569</v>
      </c>
      <c r="C2269" t="s">
        <v>253</v>
      </c>
      <c r="D2269" t="s">
        <v>2570</v>
      </c>
      <c r="E2269" t="s">
        <v>578</v>
      </c>
      <c r="F2269" t="s">
        <v>2217</v>
      </c>
      <c r="G2269" t="s">
        <v>150</v>
      </c>
      <c r="H2269" t="s">
        <v>4768</v>
      </c>
      <c r="J2269">
        <v>1</v>
      </c>
    </row>
    <row r="2270" spans="1:10" x14ac:dyDescent="0.35">
      <c r="A2270">
        <v>6009672211664</v>
      </c>
      <c r="B2270" t="s">
        <v>2569</v>
      </c>
      <c r="C2270" t="s">
        <v>253</v>
      </c>
      <c r="D2270" t="s">
        <v>2570</v>
      </c>
      <c r="E2270" t="s">
        <v>578</v>
      </c>
      <c r="F2270" t="s">
        <v>2217</v>
      </c>
      <c r="G2270" t="s">
        <v>578</v>
      </c>
      <c r="H2270" t="s">
        <v>4768</v>
      </c>
      <c r="J2270">
        <v>2</v>
      </c>
    </row>
    <row r="2271" spans="1:10" x14ac:dyDescent="0.35">
      <c r="A2271">
        <v>6009674400172</v>
      </c>
      <c r="B2271" t="s">
        <v>2571</v>
      </c>
      <c r="C2271" t="s">
        <v>192</v>
      </c>
      <c r="D2271" t="s">
        <v>2567</v>
      </c>
      <c r="E2271" t="s">
        <v>578</v>
      </c>
      <c r="F2271" t="s">
        <v>2568</v>
      </c>
      <c r="G2271" t="s">
        <v>34</v>
      </c>
      <c r="H2271" t="s">
        <v>4819</v>
      </c>
      <c r="J2271">
        <v>49</v>
      </c>
    </row>
    <row r="2272" spans="1:10" x14ac:dyDescent="0.35">
      <c r="A2272">
        <v>6009674400189</v>
      </c>
      <c r="B2272" t="s">
        <v>2572</v>
      </c>
      <c r="C2272" t="s">
        <v>9</v>
      </c>
      <c r="D2272" t="s">
        <v>2567</v>
      </c>
      <c r="E2272" t="s">
        <v>578</v>
      </c>
      <c r="F2272" t="s">
        <v>2568</v>
      </c>
      <c r="G2272" t="s">
        <v>34</v>
      </c>
      <c r="H2272" t="s">
        <v>4819</v>
      </c>
      <c r="J2272">
        <v>21</v>
      </c>
    </row>
    <row r="2273" spans="1:10" x14ac:dyDescent="0.35">
      <c r="A2273">
        <v>6009677500053</v>
      </c>
      <c r="B2273" t="s">
        <v>2573</v>
      </c>
      <c r="C2273" t="s">
        <v>192</v>
      </c>
      <c r="D2273" t="s">
        <v>2574</v>
      </c>
      <c r="E2273" t="s">
        <v>308</v>
      </c>
      <c r="F2273" t="s">
        <v>309</v>
      </c>
      <c r="G2273" t="s">
        <v>34</v>
      </c>
      <c r="H2273" t="s">
        <v>4529</v>
      </c>
      <c r="J2273">
        <v>1</v>
      </c>
    </row>
    <row r="2274" spans="1:10" x14ac:dyDescent="0.35">
      <c r="A2274">
        <v>6009677971679</v>
      </c>
      <c r="B2274" t="s">
        <v>2575</v>
      </c>
      <c r="C2274" t="s">
        <v>2576</v>
      </c>
      <c r="D2274" t="s">
        <v>2577</v>
      </c>
      <c r="E2274" t="s">
        <v>15</v>
      </c>
      <c r="F2274" t="s">
        <v>2578</v>
      </c>
      <c r="G2274" t="s">
        <v>73</v>
      </c>
      <c r="H2274" t="s">
        <v>4820</v>
      </c>
      <c r="J2274">
        <v>1</v>
      </c>
    </row>
    <row r="2275" spans="1:10" x14ac:dyDescent="0.35">
      <c r="A2275">
        <v>6009678270450</v>
      </c>
      <c r="B2275" t="s">
        <v>2579</v>
      </c>
      <c r="C2275" t="s">
        <v>9</v>
      </c>
      <c r="D2275" t="s">
        <v>2580</v>
      </c>
      <c r="E2275" t="s">
        <v>33</v>
      </c>
      <c r="F2275" t="s">
        <v>2581</v>
      </c>
      <c r="G2275" t="s">
        <v>33</v>
      </c>
      <c r="H2275" t="s">
        <v>4821</v>
      </c>
      <c r="J2275">
        <v>20</v>
      </c>
    </row>
    <row r="2276" spans="1:10" x14ac:dyDescent="0.35">
      <c r="A2276">
        <v>6009678592316</v>
      </c>
      <c r="B2276" t="s">
        <v>2582</v>
      </c>
      <c r="C2276" t="s">
        <v>9</v>
      </c>
      <c r="D2276" t="s">
        <v>2583</v>
      </c>
      <c r="E2276" t="s">
        <v>33</v>
      </c>
      <c r="F2276" t="s">
        <v>2584</v>
      </c>
      <c r="G2276" t="s">
        <v>33</v>
      </c>
      <c r="H2276" t="s">
        <v>4822</v>
      </c>
      <c r="J2276">
        <v>29</v>
      </c>
    </row>
    <row r="2277" spans="1:10" x14ac:dyDescent="0.35">
      <c r="A2277">
        <v>6009678592408</v>
      </c>
      <c r="B2277" t="s">
        <v>2585</v>
      </c>
      <c r="C2277" t="s">
        <v>9</v>
      </c>
      <c r="D2277" t="s">
        <v>2586</v>
      </c>
      <c r="E2277" t="s">
        <v>33</v>
      </c>
      <c r="F2277" t="s">
        <v>2584</v>
      </c>
      <c r="G2277" t="s">
        <v>33</v>
      </c>
      <c r="H2277" t="s">
        <v>4822</v>
      </c>
      <c r="J2277">
        <v>102</v>
      </c>
    </row>
    <row r="2278" spans="1:10" x14ac:dyDescent="0.35">
      <c r="A2278">
        <v>6009678592415</v>
      </c>
      <c r="B2278" t="s">
        <v>2587</v>
      </c>
      <c r="C2278" t="s">
        <v>9</v>
      </c>
      <c r="D2278" t="s">
        <v>2588</v>
      </c>
      <c r="E2278" t="s">
        <v>33</v>
      </c>
      <c r="F2278" t="s">
        <v>2584</v>
      </c>
      <c r="G2278" t="s">
        <v>33</v>
      </c>
      <c r="H2278" t="s">
        <v>4822</v>
      </c>
      <c r="J2278">
        <v>20</v>
      </c>
    </row>
    <row r="2279" spans="1:10" x14ac:dyDescent="0.35">
      <c r="A2279">
        <v>6009678592798</v>
      </c>
      <c r="B2279" t="s">
        <v>2589</v>
      </c>
      <c r="C2279" t="s">
        <v>9</v>
      </c>
      <c r="D2279" t="s">
        <v>2588</v>
      </c>
      <c r="E2279" t="s">
        <v>33</v>
      </c>
      <c r="F2279" t="s">
        <v>2584</v>
      </c>
      <c r="G2279" t="s">
        <v>33</v>
      </c>
      <c r="H2279" t="s">
        <v>4822</v>
      </c>
      <c r="J2279">
        <v>26</v>
      </c>
    </row>
    <row r="2280" spans="1:10" x14ac:dyDescent="0.35">
      <c r="A2280">
        <v>6009679916906</v>
      </c>
      <c r="B2280" t="s">
        <v>2590</v>
      </c>
      <c r="C2280" t="s">
        <v>919</v>
      </c>
      <c r="D2280" t="s">
        <v>2591</v>
      </c>
      <c r="E2280" t="s">
        <v>308</v>
      </c>
      <c r="F2280" t="s">
        <v>309</v>
      </c>
      <c r="G2280" t="s">
        <v>34</v>
      </c>
      <c r="H2280" t="s">
        <v>4529</v>
      </c>
      <c r="J2280">
        <v>2</v>
      </c>
    </row>
    <row r="2281" spans="1:10" x14ac:dyDescent="0.35">
      <c r="A2281">
        <v>6009681152330</v>
      </c>
      <c r="B2281" t="s">
        <v>2592</v>
      </c>
      <c r="C2281" t="s">
        <v>9</v>
      </c>
      <c r="D2281" t="s">
        <v>1554</v>
      </c>
      <c r="E2281" t="s">
        <v>33</v>
      </c>
      <c r="F2281" t="s">
        <v>2593</v>
      </c>
      <c r="G2281" t="s">
        <v>33</v>
      </c>
      <c r="H2281" t="s">
        <v>4823</v>
      </c>
      <c r="J2281">
        <v>359</v>
      </c>
    </row>
    <row r="2282" spans="1:10" x14ac:dyDescent="0.35">
      <c r="A2282">
        <v>6009681152385</v>
      </c>
      <c r="B2282" t="s">
        <v>2594</v>
      </c>
      <c r="C2282" t="s">
        <v>472</v>
      </c>
      <c r="D2282" t="s">
        <v>2595</v>
      </c>
      <c r="E2282" t="s">
        <v>33</v>
      </c>
      <c r="F2282" t="s">
        <v>2593</v>
      </c>
      <c r="G2282" t="s">
        <v>33</v>
      </c>
      <c r="H2282" t="s">
        <v>4823</v>
      </c>
      <c r="J2282">
        <v>695</v>
      </c>
    </row>
    <row r="2283" spans="1:10" x14ac:dyDescent="0.35">
      <c r="A2283">
        <v>6009681152408</v>
      </c>
      <c r="B2283" t="s">
        <v>2596</v>
      </c>
      <c r="C2283" t="s">
        <v>576</v>
      </c>
      <c r="D2283" t="s">
        <v>2595</v>
      </c>
      <c r="E2283" t="s">
        <v>33</v>
      </c>
      <c r="F2283" t="s">
        <v>2593</v>
      </c>
      <c r="G2283" t="s">
        <v>33</v>
      </c>
      <c r="H2283" t="s">
        <v>4823</v>
      </c>
      <c r="J2283">
        <v>1</v>
      </c>
    </row>
    <row r="2284" spans="1:10" x14ac:dyDescent="0.35">
      <c r="A2284">
        <v>6009681152446</v>
      </c>
      <c r="B2284" t="s">
        <v>703</v>
      </c>
      <c r="C2284" t="s">
        <v>472</v>
      </c>
      <c r="D2284" t="s">
        <v>2595</v>
      </c>
      <c r="E2284" t="s">
        <v>33</v>
      </c>
      <c r="F2284" t="s">
        <v>2593</v>
      </c>
      <c r="G2284" t="s">
        <v>33</v>
      </c>
      <c r="H2284" t="s">
        <v>4823</v>
      </c>
      <c r="J2284">
        <v>181</v>
      </c>
    </row>
    <row r="2285" spans="1:10" x14ac:dyDescent="0.35">
      <c r="A2285">
        <v>6009681152453</v>
      </c>
      <c r="B2285" t="s">
        <v>139</v>
      </c>
      <c r="C2285" t="s">
        <v>472</v>
      </c>
      <c r="D2285" t="s">
        <v>2595</v>
      </c>
      <c r="E2285" t="s">
        <v>33</v>
      </c>
      <c r="F2285" t="s">
        <v>2593</v>
      </c>
      <c r="G2285" t="s">
        <v>33</v>
      </c>
      <c r="H2285" t="s">
        <v>4823</v>
      </c>
      <c r="J2285">
        <v>7</v>
      </c>
    </row>
    <row r="2286" spans="1:10" x14ac:dyDescent="0.35">
      <c r="A2286">
        <v>6009681152569</v>
      </c>
      <c r="B2286" t="s">
        <v>2597</v>
      </c>
      <c r="C2286" t="s">
        <v>472</v>
      </c>
      <c r="D2286" t="s">
        <v>2595</v>
      </c>
      <c r="E2286" t="s">
        <v>33</v>
      </c>
      <c r="F2286" t="s">
        <v>2593</v>
      </c>
      <c r="G2286" t="s">
        <v>33</v>
      </c>
      <c r="H2286" t="s">
        <v>4823</v>
      </c>
      <c r="J2286">
        <v>209</v>
      </c>
    </row>
    <row r="2287" spans="1:10" x14ac:dyDescent="0.35">
      <c r="A2287">
        <v>6009681152583</v>
      </c>
      <c r="B2287" t="s">
        <v>2598</v>
      </c>
      <c r="C2287" t="s">
        <v>472</v>
      </c>
      <c r="D2287" t="s">
        <v>2595</v>
      </c>
      <c r="E2287" t="s">
        <v>33</v>
      </c>
      <c r="F2287" t="s">
        <v>2593</v>
      </c>
      <c r="G2287" t="s">
        <v>33</v>
      </c>
      <c r="H2287" t="s">
        <v>4823</v>
      </c>
      <c r="J2287">
        <v>212</v>
      </c>
    </row>
    <row r="2288" spans="1:10" x14ac:dyDescent="0.35">
      <c r="A2288">
        <v>6009681260196</v>
      </c>
      <c r="B2288" t="s">
        <v>273</v>
      </c>
      <c r="C2288" t="s">
        <v>114</v>
      </c>
      <c r="D2288" t="s">
        <v>273</v>
      </c>
      <c r="E2288" t="s">
        <v>15</v>
      </c>
      <c r="F2288" t="s">
        <v>56</v>
      </c>
      <c r="G2288" t="s">
        <v>578</v>
      </c>
      <c r="H2288" t="s">
        <v>4497</v>
      </c>
      <c r="J2288">
        <v>13</v>
      </c>
    </row>
    <row r="2289" spans="1:10" x14ac:dyDescent="0.35">
      <c r="A2289">
        <v>6009681260929</v>
      </c>
      <c r="B2289" t="s">
        <v>2599</v>
      </c>
      <c r="C2289" t="s">
        <v>214</v>
      </c>
      <c r="D2289" t="s">
        <v>1044</v>
      </c>
      <c r="E2289" t="s">
        <v>15</v>
      </c>
      <c r="F2289" t="s">
        <v>56</v>
      </c>
      <c r="G2289" t="s">
        <v>117</v>
      </c>
      <c r="H2289" t="s">
        <v>4497</v>
      </c>
      <c r="J2289">
        <v>1</v>
      </c>
    </row>
    <row r="2290" spans="1:10" x14ac:dyDescent="0.35">
      <c r="A2290">
        <v>6009681261209</v>
      </c>
      <c r="B2290" t="s">
        <v>2600</v>
      </c>
      <c r="C2290" t="s">
        <v>114</v>
      </c>
      <c r="D2290" t="s">
        <v>1044</v>
      </c>
      <c r="E2290" t="s">
        <v>15</v>
      </c>
      <c r="F2290" t="s">
        <v>56</v>
      </c>
      <c r="G2290" t="s">
        <v>61</v>
      </c>
      <c r="H2290" t="s">
        <v>4497</v>
      </c>
      <c r="J2290">
        <v>63</v>
      </c>
    </row>
    <row r="2291" spans="1:10" x14ac:dyDescent="0.35">
      <c r="A2291">
        <v>6009681261209</v>
      </c>
      <c r="B2291" t="s">
        <v>2600</v>
      </c>
      <c r="C2291" t="s">
        <v>114</v>
      </c>
      <c r="D2291" t="s">
        <v>1044</v>
      </c>
      <c r="E2291" t="s">
        <v>15</v>
      </c>
      <c r="F2291" t="s">
        <v>56</v>
      </c>
      <c r="G2291" t="s">
        <v>578</v>
      </c>
      <c r="H2291" t="s">
        <v>4497</v>
      </c>
      <c r="J2291">
        <v>7</v>
      </c>
    </row>
    <row r="2292" spans="1:10" x14ac:dyDescent="0.35">
      <c r="A2292">
        <v>6009681261285</v>
      </c>
      <c r="B2292" t="s">
        <v>2601</v>
      </c>
      <c r="C2292" t="s">
        <v>114</v>
      </c>
      <c r="D2292" t="s">
        <v>1044</v>
      </c>
      <c r="E2292" t="s">
        <v>15</v>
      </c>
      <c r="F2292" t="s">
        <v>56</v>
      </c>
      <c r="G2292" t="s">
        <v>578</v>
      </c>
      <c r="H2292" t="s">
        <v>4497</v>
      </c>
      <c r="J2292">
        <v>6</v>
      </c>
    </row>
    <row r="2293" spans="1:10" x14ac:dyDescent="0.35">
      <c r="A2293">
        <v>6009681267102</v>
      </c>
      <c r="B2293" t="s">
        <v>2602</v>
      </c>
      <c r="C2293" t="s">
        <v>603</v>
      </c>
      <c r="D2293" t="s">
        <v>24</v>
      </c>
      <c r="E2293" t="s">
        <v>15</v>
      </c>
      <c r="F2293" t="s">
        <v>25</v>
      </c>
      <c r="G2293" t="s">
        <v>33</v>
      </c>
      <c r="H2293" t="s">
        <v>4491</v>
      </c>
      <c r="J2293">
        <v>23</v>
      </c>
    </row>
    <row r="2294" spans="1:10" x14ac:dyDescent="0.35">
      <c r="A2294">
        <v>6009681267102</v>
      </c>
      <c r="B2294" t="s">
        <v>2602</v>
      </c>
      <c r="C2294" t="s">
        <v>603</v>
      </c>
      <c r="D2294" t="s">
        <v>24</v>
      </c>
      <c r="E2294" t="s">
        <v>15</v>
      </c>
      <c r="F2294" t="s">
        <v>25</v>
      </c>
      <c r="G2294" t="s">
        <v>578</v>
      </c>
      <c r="H2294" t="s">
        <v>4491</v>
      </c>
      <c r="J2294">
        <v>1</v>
      </c>
    </row>
    <row r="2295" spans="1:10" x14ac:dyDescent="0.35">
      <c r="A2295">
        <v>6009681510093</v>
      </c>
      <c r="B2295" t="s">
        <v>1597</v>
      </c>
      <c r="C2295" t="s">
        <v>9</v>
      </c>
      <c r="D2295" t="s">
        <v>2603</v>
      </c>
      <c r="E2295" t="s">
        <v>73</v>
      </c>
      <c r="F2295" t="s">
        <v>2603</v>
      </c>
      <c r="G2295" t="s">
        <v>73</v>
      </c>
      <c r="H2295" t="s">
        <v>4824</v>
      </c>
      <c r="J2295">
        <v>4</v>
      </c>
    </row>
    <row r="2296" spans="1:10" x14ac:dyDescent="0.35">
      <c r="A2296">
        <v>6009681511854</v>
      </c>
      <c r="B2296" t="s">
        <v>1151</v>
      </c>
      <c r="C2296" t="s">
        <v>272</v>
      </c>
      <c r="D2296" t="s">
        <v>2603</v>
      </c>
      <c r="E2296" t="s">
        <v>73</v>
      </c>
      <c r="F2296" t="s">
        <v>2603</v>
      </c>
      <c r="G2296" t="s">
        <v>71</v>
      </c>
      <c r="H2296" t="s">
        <v>4824</v>
      </c>
      <c r="J2296">
        <v>1</v>
      </c>
    </row>
    <row r="2297" spans="1:10" x14ac:dyDescent="0.35">
      <c r="A2297">
        <v>6009681511854</v>
      </c>
      <c r="B2297" t="s">
        <v>1151</v>
      </c>
      <c r="C2297" t="s">
        <v>272</v>
      </c>
      <c r="D2297" t="s">
        <v>2603</v>
      </c>
      <c r="E2297" t="s">
        <v>73</v>
      </c>
      <c r="F2297" t="s">
        <v>2603</v>
      </c>
      <c r="G2297" t="s">
        <v>34</v>
      </c>
      <c r="H2297" t="s">
        <v>4824</v>
      </c>
      <c r="J2297">
        <v>103</v>
      </c>
    </row>
    <row r="2298" spans="1:10" x14ac:dyDescent="0.35">
      <c r="A2298">
        <v>6009681511854</v>
      </c>
      <c r="B2298" t="s">
        <v>1151</v>
      </c>
      <c r="C2298" t="s">
        <v>272</v>
      </c>
      <c r="D2298" t="s">
        <v>2603</v>
      </c>
      <c r="E2298" t="s">
        <v>73</v>
      </c>
      <c r="F2298" t="s">
        <v>2603</v>
      </c>
      <c r="G2298" t="s">
        <v>2604</v>
      </c>
      <c r="H2298" t="s">
        <v>4824</v>
      </c>
      <c r="J2298">
        <v>2</v>
      </c>
    </row>
    <row r="2299" spans="1:10" x14ac:dyDescent="0.35">
      <c r="A2299">
        <v>6009683330040</v>
      </c>
      <c r="B2299" t="s">
        <v>2299</v>
      </c>
      <c r="C2299" t="s">
        <v>9</v>
      </c>
      <c r="D2299" t="s">
        <v>2605</v>
      </c>
      <c r="E2299" t="s">
        <v>2001</v>
      </c>
      <c r="F2299" t="s">
        <v>2002</v>
      </c>
      <c r="G2299" t="s">
        <v>33</v>
      </c>
      <c r="H2299" t="s">
        <v>4746</v>
      </c>
      <c r="J2299">
        <v>21</v>
      </c>
    </row>
    <row r="2300" spans="1:10" x14ac:dyDescent="0.35">
      <c r="A2300">
        <v>6009683330989</v>
      </c>
      <c r="B2300" t="s">
        <v>2606</v>
      </c>
      <c r="C2300" t="s">
        <v>78</v>
      </c>
      <c r="D2300" t="s">
        <v>2607</v>
      </c>
      <c r="E2300" t="s">
        <v>15</v>
      </c>
      <c r="F2300" t="s">
        <v>14</v>
      </c>
      <c r="G2300" t="s">
        <v>33</v>
      </c>
      <c r="H2300" t="s">
        <v>4489</v>
      </c>
      <c r="J2300">
        <v>45</v>
      </c>
    </row>
    <row r="2301" spans="1:10" x14ac:dyDescent="0.35">
      <c r="A2301">
        <v>6009688130591</v>
      </c>
      <c r="B2301" t="s">
        <v>2608</v>
      </c>
      <c r="C2301" t="s">
        <v>69</v>
      </c>
      <c r="D2301" t="s">
        <v>2609</v>
      </c>
      <c r="E2301" t="s">
        <v>61</v>
      </c>
      <c r="F2301" t="s">
        <v>1216</v>
      </c>
      <c r="G2301" t="s">
        <v>61</v>
      </c>
      <c r="H2301" t="s">
        <v>4666</v>
      </c>
      <c r="J2301">
        <v>6</v>
      </c>
    </row>
    <row r="2302" spans="1:10" x14ac:dyDescent="0.35">
      <c r="A2302">
        <v>6009689440149</v>
      </c>
      <c r="B2302" t="s">
        <v>2610</v>
      </c>
      <c r="C2302" t="s">
        <v>943</v>
      </c>
      <c r="D2302" t="s">
        <v>2611</v>
      </c>
      <c r="E2302" t="s">
        <v>33</v>
      </c>
      <c r="F2302" t="s">
        <v>2612</v>
      </c>
      <c r="G2302" t="s">
        <v>33</v>
      </c>
      <c r="H2302" t="s">
        <v>4825</v>
      </c>
      <c r="J2302">
        <v>92</v>
      </c>
    </row>
    <row r="2303" spans="1:10" x14ac:dyDescent="0.35">
      <c r="A2303">
        <v>6009690380038</v>
      </c>
      <c r="B2303" t="s">
        <v>2613</v>
      </c>
      <c r="C2303" t="s">
        <v>9</v>
      </c>
      <c r="D2303" t="s">
        <v>2614</v>
      </c>
      <c r="E2303" t="s">
        <v>73</v>
      </c>
      <c r="F2303" t="s">
        <v>2615</v>
      </c>
      <c r="G2303" t="s">
        <v>34</v>
      </c>
      <c r="H2303" t="s">
        <v>4826</v>
      </c>
      <c r="J2303">
        <v>616</v>
      </c>
    </row>
    <row r="2304" spans="1:10" x14ac:dyDescent="0.35">
      <c r="A2304">
        <v>6009691350092</v>
      </c>
      <c r="B2304" t="s">
        <v>2616</v>
      </c>
      <c r="C2304" t="s">
        <v>78</v>
      </c>
      <c r="D2304" t="s">
        <v>2617</v>
      </c>
      <c r="E2304" t="s">
        <v>73</v>
      </c>
      <c r="F2304" t="s">
        <v>2260</v>
      </c>
      <c r="G2304" t="s">
        <v>31</v>
      </c>
      <c r="H2304" t="s">
        <v>4777</v>
      </c>
      <c r="J2304">
        <v>1</v>
      </c>
    </row>
    <row r="2305" spans="1:10" x14ac:dyDescent="0.35">
      <c r="A2305">
        <v>6009691350092</v>
      </c>
      <c r="B2305" t="s">
        <v>2616</v>
      </c>
      <c r="C2305" t="s">
        <v>78</v>
      </c>
      <c r="D2305" t="s">
        <v>2617</v>
      </c>
      <c r="E2305" t="s">
        <v>73</v>
      </c>
      <c r="F2305" t="s">
        <v>2260</v>
      </c>
      <c r="G2305" t="s">
        <v>73</v>
      </c>
      <c r="H2305" t="s">
        <v>4777</v>
      </c>
      <c r="J2305">
        <v>16</v>
      </c>
    </row>
    <row r="2306" spans="1:10" x14ac:dyDescent="0.35">
      <c r="A2306">
        <v>6009691350115</v>
      </c>
      <c r="B2306" t="s">
        <v>2618</v>
      </c>
      <c r="C2306" t="s">
        <v>78</v>
      </c>
      <c r="D2306" t="s">
        <v>2617</v>
      </c>
      <c r="E2306" t="s">
        <v>73</v>
      </c>
      <c r="F2306" t="s">
        <v>2260</v>
      </c>
      <c r="G2306" t="s">
        <v>31</v>
      </c>
      <c r="H2306" t="s">
        <v>4777</v>
      </c>
      <c r="J2306">
        <v>1</v>
      </c>
    </row>
    <row r="2307" spans="1:10" x14ac:dyDescent="0.35">
      <c r="A2307">
        <v>6009691350115</v>
      </c>
      <c r="B2307" t="s">
        <v>2618</v>
      </c>
      <c r="C2307" t="s">
        <v>78</v>
      </c>
      <c r="D2307" t="s">
        <v>2617</v>
      </c>
      <c r="E2307" t="s">
        <v>73</v>
      </c>
      <c r="F2307" t="s">
        <v>2260</v>
      </c>
      <c r="G2307" t="s">
        <v>73</v>
      </c>
      <c r="H2307" t="s">
        <v>4777</v>
      </c>
      <c r="J2307">
        <v>1</v>
      </c>
    </row>
    <row r="2308" spans="1:10" x14ac:dyDescent="0.35">
      <c r="A2308">
        <v>6009691350894</v>
      </c>
      <c r="B2308" t="s">
        <v>2619</v>
      </c>
      <c r="C2308" t="s">
        <v>192</v>
      </c>
      <c r="D2308" t="s">
        <v>2617</v>
      </c>
      <c r="E2308" t="s">
        <v>73</v>
      </c>
      <c r="F2308" t="s">
        <v>2260</v>
      </c>
      <c r="G2308" t="s">
        <v>33</v>
      </c>
      <c r="H2308" t="s">
        <v>4777</v>
      </c>
      <c r="J2308">
        <v>1</v>
      </c>
    </row>
    <row r="2309" spans="1:10" x14ac:dyDescent="0.35">
      <c r="A2309">
        <v>6009691350900</v>
      </c>
      <c r="B2309" t="s">
        <v>2620</v>
      </c>
      <c r="C2309" t="s">
        <v>1374</v>
      </c>
      <c r="D2309" t="s">
        <v>2617</v>
      </c>
      <c r="E2309" t="s">
        <v>73</v>
      </c>
      <c r="F2309" t="s">
        <v>2260</v>
      </c>
      <c r="G2309" t="s">
        <v>34</v>
      </c>
      <c r="H2309" t="s">
        <v>4777</v>
      </c>
      <c r="J2309">
        <v>1</v>
      </c>
    </row>
    <row r="2310" spans="1:10" x14ac:dyDescent="0.35">
      <c r="A2310">
        <v>6009691350924</v>
      </c>
      <c r="B2310" t="s">
        <v>2621</v>
      </c>
      <c r="C2310" t="s">
        <v>192</v>
      </c>
      <c r="D2310" t="s">
        <v>2617</v>
      </c>
      <c r="E2310" t="s">
        <v>73</v>
      </c>
      <c r="F2310" t="s">
        <v>2260</v>
      </c>
      <c r="G2310" t="s">
        <v>34</v>
      </c>
      <c r="H2310" t="s">
        <v>4777</v>
      </c>
      <c r="J2310">
        <v>4</v>
      </c>
    </row>
    <row r="2311" spans="1:10" x14ac:dyDescent="0.35">
      <c r="A2311">
        <v>6009691353901</v>
      </c>
      <c r="B2311" t="s">
        <v>2622</v>
      </c>
      <c r="C2311" t="s">
        <v>192</v>
      </c>
      <c r="D2311" t="s">
        <v>2617</v>
      </c>
      <c r="E2311" t="s">
        <v>73</v>
      </c>
      <c r="F2311" t="s">
        <v>2260</v>
      </c>
      <c r="G2311" t="s">
        <v>34</v>
      </c>
      <c r="H2311" t="s">
        <v>4777</v>
      </c>
      <c r="J2311">
        <v>1</v>
      </c>
    </row>
    <row r="2312" spans="1:10" x14ac:dyDescent="0.35">
      <c r="A2312">
        <v>6009691358203</v>
      </c>
      <c r="B2312" t="s">
        <v>2623</v>
      </c>
      <c r="C2312" t="s">
        <v>192</v>
      </c>
      <c r="D2312" t="s">
        <v>2617</v>
      </c>
      <c r="E2312" t="s">
        <v>73</v>
      </c>
      <c r="F2312" t="s">
        <v>2260</v>
      </c>
      <c r="G2312" t="s">
        <v>34</v>
      </c>
      <c r="H2312" t="s">
        <v>4777</v>
      </c>
      <c r="J2312">
        <v>1</v>
      </c>
    </row>
    <row r="2313" spans="1:10" x14ac:dyDescent="0.35">
      <c r="A2313">
        <v>6009691800092</v>
      </c>
      <c r="B2313" t="s">
        <v>2624</v>
      </c>
      <c r="C2313" t="s">
        <v>326</v>
      </c>
      <c r="D2313" t="s">
        <v>2625</v>
      </c>
      <c r="E2313" t="s">
        <v>308</v>
      </c>
      <c r="F2313" t="s">
        <v>309</v>
      </c>
      <c r="G2313" t="s">
        <v>34</v>
      </c>
      <c r="H2313" t="s">
        <v>4529</v>
      </c>
      <c r="J2313">
        <v>35</v>
      </c>
    </row>
    <row r="2314" spans="1:10" x14ac:dyDescent="0.35">
      <c r="A2314">
        <v>6009691800115</v>
      </c>
      <c r="B2314" t="s">
        <v>2626</v>
      </c>
      <c r="C2314" t="s">
        <v>472</v>
      </c>
      <c r="D2314" t="s">
        <v>2625</v>
      </c>
      <c r="E2314" t="s">
        <v>308</v>
      </c>
      <c r="F2314" t="s">
        <v>309</v>
      </c>
      <c r="G2314" t="s">
        <v>34</v>
      </c>
      <c r="H2314" t="s">
        <v>4529</v>
      </c>
      <c r="J2314">
        <v>28</v>
      </c>
    </row>
    <row r="2315" spans="1:10" x14ac:dyDescent="0.35">
      <c r="A2315">
        <v>6009691800153</v>
      </c>
      <c r="B2315" t="s">
        <v>2627</v>
      </c>
      <c r="C2315" t="s">
        <v>9</v>
      </c>
      <c r="D2315" t="s">
        <v>546</v>
      </c>
      <c r="E2315" t="s">
        <v>547</v>
      </c>
      <c r="F2315" t="s">
        <v>548</v>
      </c>
      <c r="G2315" t="s">
        <v>34</v>
      </c>
      <c r="H2315" t="s">
        <v>4561</v>
      </c>
      <c r="J2315">
        <v>1</v>
      </c>
    </row>
    <row r="2316" spans="1:10" x14ac:dyDescent="0.35">
      <c r="A2316">
        <v>6009691800887</v>
      </c>
      <c r="B2316" t="s">
        <v>2399</v>
      </c>
      <c r="C2316" t="s">
        <v>192</v>
      </c>
      <c r="D2316" t="s">
        <v>546</v>
      </c>
      <c r="E2316" t="s">
        <v>547</v>
      </c>
      <c r="F2316" t="s">
        <v>548</v>
      </c>
      <c r="G2316" t="s">
        <v>34</v>
      </c>
      <c r="H2316" t="s">
        <v>4561</v>
      </c>
      <c r="J2316">
        <v>4</v>
      </c>
    </row>
    <row r="2317" spans="1:10" x14ac:dyDescent="0.35">
      <c r="A2317">
        <v>6009691800917</v>
      </c>
      <c r="B2317" t="s">
        <v>2628</v>
      </c>
      <c r="C2317" t="s">
        <v>681</v>
      </c>
      <c r="D2317" t="s">
        <v>2629</v>
      </c>
      <c r="E2317" t="s">
        <v>547</v>
      </c>
      <c r="F2317" t="s">
        <v>548</v>
      </c>
      <c r="G2317" t="s">
        <v>34</v>
      </c>
      <c r="H2317" t="s">
        <v>4561</v>
      </c>
      <c r="J2317">
        <v>1</v>
      </c>
    </row>
    <row r="2318" spans="1:10" x14ac:dyDescent="0.35">
      <c r="A2318">
        <v>6009694630559</v>
      </c>
      <c r="B2318" t="s">
        <v>2630</v>
      </c>
      <c r="C2318" t="s">
        <v>9</v>
      </c>
      <c r="D2318" t="s">
        <v>2631</v>
      </c>
      <c r="E2318" t="s">
        <v>73</v>
      </c>
      <c r="F2318" t="s">
        <v>2632</v>
      </c>
      <c r="G2318" t="s">
        <v>34</v>
      </c>
      <c r="H2318" t="s">
        <v>4827</v>
      </c>
      <c r="J2318">
        <v>3</v>
      </c>
    </row>
    <row r="2319" spans="1:10" x14ac:dyDescent="0.35">
      <c r="A2319">
        <v>6009694630733</v>
      </c>
      <c r="B2319" t="s">
        <v>2633</v>
      </c>
      <c r="C2319" t="s">
        <v>78</v>
      </c>
      <c r="D2319" t="s">
        <v>2631</v>
      </c>
      <c r="E2319" t="s">
        <v>73</v>
      </c>
      <c r="F2319" t="s">
        <v>2632</v>
      </c>
      <c r="G2319" t="s">
        <v>34</v>
      </c>
      <c r="H2319" t="s">
        <v>4827</v>
      </c>
      <c r="J2319">
        <v>13</v>
      </c>
    </row>
    <row r="2320" spans="1:10" x14ac:dyDescent="0.35">
      <c r="A2320">
        <v>6009694632140</v>
      </c>
      <c r="B2320" t="s">
        <v>2634</v>
      </c>
      <c r="C2320" t="s">
        <v>192</v>
      </c>
      <c r="D2320" t="s">
        <v>2631</v>
      </c>
      <c r="E2320" t="s">
        <v>73</v>
      </c>
      <c r="F2320" t="s">
        <v>2632</v>
      </c>
      <c r="G2320" t="s">
        <v>34</v>
      </c>
      <c r="H2320" t="s">
        <v>4827</v>
      </c>
      <c r="J2320">
        <v>1</v>
      </c>
    </row>
    <row r="2321" spans="1:10" x14ac:dyDescent="0.35">
      <c r="A2321">
        <v>6009694633147</v>
      </c>
      <c r="B2321" t="s">
        <v>2635</v>
      </c>
      <c r="C2321" t="s">
        <v>214</v>
      </c>
      <c r="D2321" t="s">
        <v>2631</v>
      </c>
      <c r="E2321" t="s">
        <v>73</v>
      </c>
      <c r="F2321" t="s">
        <v>2632</v>
      </c>
      <c r="G2321" t="s">
        <v>34</v>
      </c>
      <c r="H2321" t="s">
        <v>4827</v>
      </c>
      <c r="J2321">
        <v>1</v>
      </c>
    </row>
    <row r="2322" spans="1:10" x14ac:dyDescent="0.35">
      <c r="A2322">
        <v>6009694634045</v>
      </c>
      <c r="B2322" t="s">
        <v>1903</v>
      </c>
      <c r="C2322" t="s">
        <v>1296</v>
      </c>
      <c r="D2322" t="s">
        <v>2631</v>
      </c>
      <c r="E2322" t="s">
        <v>73</v>
      </c>
      <c r="F2322" t="s">
        <v>2632</v>
      </c>
      <c r="G2322" t="s">
        <v>34</v>
      </c>
      <c r="H2322" t="s">
        <v>4827</v>
      </c>
      <c r="J2322">
        <v>1</v>
      </c>
    </row>
    <row r="2323" spans="1:10" x14ac:dyDescent="0.35">
      <c r="A2323">
        <v>6009698930129</v>
      </c>
      <c r="B2323" t="s">
        <v>2636</v>
      </c>
      <c r="C2323" t="s">
        <v>272</v>
      </c>
      <c r="D2323" t="s">
        <v>2637</v>
      </c>
      <c r="E2323" t="s">
        <v>33</v>
      </c>
      <c r="F2323" t="s">
        <v>2638</v>
      </c>
      <c r="G2323" t="s">
        <v>33</v>
      </c>
      <c r="H2323" t="s">
        <v>4828</v>
      </c>
      <c r="J2323">
        <v>45</v>
      </c>
    </row>
    <row r="2324" spans="1:10" x14ac:dyDescent="0.35">
      <c r="A2324">
        <v>6009698930273</v>
      </c>
      <c r="B2324" t="s">
        <v>2639</v>
      </c>
      <c r="C2324" t="s">
        <v>272</v>
      </c>
      <c r="D2324" t="s">
        <v>2637</v>
      </c>
      <c r="E2324" t="s">
        <v>33</v>
      </c>
      <c r="F2324" t="s">
        <v>2638</v>
      </c>
      <c r="G2324" t="s">
        <v>33</v>
      </c>
      <c r="H2324" t="s">
        <v>4828</v>
      </c>
      <c r="J2324">
        <v>20</v>
      </c>
    </row>
    <row r="2325" spans="1:10" x14ac:dyDescent="0.35">
      <c r="A2325">
        <v>6009700620291</v>
      </c>
      <c r="B2325" t="s">
        <v>2640</v>
      </c>
      <c r="C2325" t="s">
        <v>2641</v>
      </c>
      <c r="D2325" t="s">
        <v>2642</v>
      </c>
      <c r="E2325" t="s">
        <v>117</v>
      </c>
      <c r="F2325" t="s">
        <v>1234</v>
      </c>
      <c r="G2325" t="s">
        <v>117</v>
      </c>
      <c r="H2325" t="s">
        <v>4670</v>
      </c>
      <c r="J2325">
        <v>11</v>
      </c>
    </row>
    <row r="2326" spans="1:10" x14ac:dyDescent="0.35">
      <c r="A2326">
        <v>6009700620864</v>
      </c>
      <c r="B2326" t="s">
        <v>2643</v>
      </c>
      <c r="C2326" t="s">
        <v>2368</v>
      </c>
      <c r="D2326" t="s">
        <v>2644</v>
      </c>
      <c r="E2326" t="s">
        <v>117</v>
      </c>
      <c r="F2326" t="s">
        <v>1234</v>
      </c>
      <c r="G2326" t="s">
        <v>117</v>
      </c>
      <c r="H2326" t="s">
        <v>4670</v>
      </c>
      <c r="J2326">
        <v>53</v>
      </c>
    </row>
    <row r="2327" spans="1:10" x14ac:dyDescent="0.35">
      <c r="A2327">
        <v>6009700621205</v>
      </c>
      <c r="B2327" t="s">
        <v>2645</v>
      </c>
      <c r="C2327" t="s">
        <v>1184</v>
      </c>
      <c r="D2327" t="s">
        <v>2646</v>
      </c>
      <c r="E2327" t="s">
        <v>117</v>
      </c>
      <c r="F2327" t="s">
        <v>1234</v>
      </c>
      <c r="G2327" t="s">
        <v>117</v>
      </c>
      <c r="H2327" t="s">
        <v>4670</v>
      </c>
      <c r="J2327">
        <v>1</v>
      </c>
    </row>
    <row r="2328" spans="1:10" x14ac:dyDescent="0.35">
      <c r="A2328">
        <v>6009700621274</v>
      </c>
      <c r="B2328" t="s">
        <v>2647</v>
      </c>
      <c r="C2328" t="s">
        <v>2147</v>
      </c>
      <c r="D2328" t="s">
        <v>2648</v>
      </c>
      <c r="E2328" t="s">
        <v>117</v>
      </c>
      <c r="F2328" t="s">
        <v>1234</v>
      </c>
      <c r="G2328" t="s">
        <v>117</v>
      </c>
      <c r="H2328" t="s">
        <v>4670</v>
      </c>
      <c r="J2328">
        <v>3</v>
      </c>
    </row>
    <row r="2329" spans="1:10" x14ac:dyDescent="0.35">
      <c r="A2329">
        <v>6009700621564</v>
      </c>
      <c r="B2329" t="s">
        <v>1091</v>
      </c>
      <c r="C2329" t="s">
        <v>9</v>
      </c>
      <c r="D2329" t="s">
        <v>2649</v>
      </c>
      <c r="E2329" t="s">
        <v>117</v>
      </c>
      <c r="F2329" t="s">
        <v>1234</v>
      </c>
      <c r="G2329" t="s">
        <v>117</v>
      </c>
      <c r="H2329" t="s">
        <v>4670</v>
      </c>
      <c r="J2329">
        <v>1</v>
      </c>
    </row>
    <row r="2330" spans="1:10" x14ac:dyDescent="0.35">
      <c r="A2330">
        <v>6009701816631</v>
      </c>
      <c r="B2330" t="s">
        <v>2650</v>
      </c>
      <c r="C2330" t="s">
        <v>603</v>
      </c>
      <c r="D2330" t="s">
        <v>2515</v>
      </c>
      <c r="E2330" t="s">
        <v>578</v>
      </c>
      <c r="F2330" t="s">
        <v>2217</v>
      </c>
      <c r="G2330" t="s">
        <v>33</v>
      </c>
      <c r="H2330" t="s">
        <v>4768</v>
      </c>
      <c r="J2330">
        <v>32</v>
      </c>
    </row>
    <row r="2331" spans="1:10" x14ac:dyDescent="0.35">
      <c r="A2331">
        <v>6009701816631</v>
      </c>
      <c r="B2331" t="s">
        <v>2650</v>
      </c>
      <c r="C2331" t="s">
        <v>603</v>
      </c>
      <c r="D2331" t="s">
        <v>2515</v>
      </c>
      <c r="E2331" t="s">
        <v>578</v>
      </c>
      <c r="F2331" t="s">
        <v>2217</v>
      </c>
      <c r="G2331" t="s">
        <v>578</v>
      </c>
      <c r="H2331" t="s">
        <v>4768</v>
      </c>
      <c r="J2331">
        <v>1</v>
      </c>
    </row>
    <row r="2332" spans="1:10" x14ac:dyDescent="0.35">
      <c r="A2332">
        <v>6009702440996</v>
      </c>
      <c r="B2332" t="s">
        <v>2651</v>
      </c>
      <c r="C2332" t="s">
        <v>2576</v>
      </c>
      <c r="D2332" t="s">
        <v>2652</v>
      </c>
      <c r="E2332" t="s">
        <v>73</v>
      </c>
      <c r="F2332" t="s">
        <v>2653</v>
      </c>
      <c r="G2332" t="s">
        <v>34</v>
      </c>
      <c r="H2332" t="s">
        <v>4829</v>
      </c>
      <c r="J2332">
        <v>1</v>
      </c>
    </row>
    <row r="2333" spans="1:10" x14ac:dyDescent="0.35">
      <c r="A2333">
        <v>6009702811178</v>
      </c>
      <c r="B2333" t="s">
        <v>2654</v>
      </c>
      <c r="C2333" t="s">
        <v>2655</v>
      </c>
      <c r="D2333" t="s">
        <v>2656</v>
      </c>
      <c r="E2333" t="s">
        <v>308</v>
      </c>
      <c r="F2333" t="s">
        <v>309</v>
      </c>
      <c r="G2333" t="s">
        <v>61</v>
      </c>
      <c r="H2333" t="s">
        <v>4529</v>
      </c>
      <c r="J2333">
        <v>1</v>
      </c>
    </row>
    <row r="2334" spans="1:10" x14ac:dyDescent="0.35">
      <c r="A2334">
        <v>6009702811178</v>
      </c>
      <c r="B2334" t="s">
        <v>2654</v>
      </c>
      <c r="C2334" t="s">
        <v>2655</v>
      </c>
      <c r="D2334" t="s">
        <v>2656</v>
      </c>
      <c r="E2334" t="s">
        <v>308</v>
      </c>
      <c r="F2334" t="s">
        <v>309</v>
      </c>
      <c r="G2334" t="s">
        <v>31</v>
      </c>
      <c r="H2334" t="s">
        <v>4529</v>
      </c>
      <c r="J2334">
        <v>1</v>
      </c>
    </row>
    <row r="2335" spans="1:10" x14ac:dyDescent="0.35">
      <c r="A2335">
        <v>6009704170860</v>
      </c>
      <c r="B2335" t="s">
        <v>2657</v>
      </c>
      <c r="C2335" t="s">
        <v>919</v>
      </c>
      <c r="D2335" t="s">
        <v>2100</v>
      </c>
      <c r="E2335" t="s">
        <v>308</v>
      </c>
      <c r="F2335" t="s">
        <v>309</v>
      </c>
      <c r="G2335" t="s">
        <v>34</v>
      </c>
      <c r="H2335" t="s">
        <v>4529</v>
      </c>
      <c r="J2335">
        <v>1</v>
      </c>
    </row>
    <row r="2336" spans="1:10" x14ac:dyDescent="0.35">
      <c r="A2336">
        <v>6009704171454</v>
      </c>
      <c r="B2336" t="s">
        <v>2658</v>
      </c>
      <c r="C2336" t="s">
        <v>2368</v>
      </c>
      <c r="D2336" t="s">
        <v>2100</v>
      </c>
      <c r="E2336" t="s">
        <v>308</v>
      </c>
      <c r="F2336" t="s">
        <v>309</v>
      </c>
      <c r="G2336" t="s">
        <v>34</v>
      </c>
      <c r="H2336" t="s">
        <v>4529</v>
      </c>
      <c r="J2336">
        <v>2</v>
      </c>
    </row>
    <row r="2337" spans="1:10" x14ac:dyDescent="0.35">
      <c r="A2337">
        <v>6009705290130</v>
      </c>
      <c r="B2337" t="s">
        <v>2461</v>
      </c>
      <c r="C2337" t="s">
        <v>2368</v>
      </c>
      <c r="D2337" t="s">
        <v>2252</v>
      </c>
      <c r="E2337" t="s">
        <v>130</v>
      </c>
      <c r="F2337" t="s">
        <v>220</v>
      </c>
      <c r="G2337" t="s">
        <v>73</v>
      </c>
      <c r="H2337" t="s">
        <v>4520</v>
      </c>
      <c r="J2337">
        <v>1</v>
      </c>
    </row>
    <row r="2338" spans="1:10" x14ac:dyDescent="0.35">
      <c r="A2338">
        <v>6009706160494</v>
      </c>
      <c r="B2338" t="s">
        <v>2215</v>
      </c>
      <c r="C2338" t="s">
        <v>610</v>
      </c>
      <c r="D2338" t="s">
        <v>2659</v>
      </c>
      <c r="E2338" t="s">
        <v>2309</v>
      </c>
      <c r="F2338" t="s">
        <v>2660</v>
      </c>
      <c r="G2338" t="s">
        <v>578</v>
      </c>
      <c r="H2338" t="s">
        <v>4830</v>
      </c>
      <c r="J2338">
        <v>23</v>
      </c>
    </row>
    <row r="2339" spans="1:10" x14ac:dyDescent="0.35">
      <c r="A2339">
        <v>6009706160937</v>
      </c>
      <c r="B2339" t="s">
        <v>2661</v>
      </c>
      <c r="C2339" t="s">
        <v>9</v>
      </c>
      <c r="D2339" t="s">
        <v>2659</v>
      </c>
      <c r="E2339" t="s">
        <v>2309</v>
      </c>
      <c r="F2339" t="s">
        <v>2660</v>
      </c>
      <c r="G2339" t="s">
        <v>578</v>
      </c>
      <c r="H2339" t="s">
        <v>4830</v>
      </c>
      <c r="J2339">
        <v>6</v>
      </c>
    </row>
    <row r="2340" spans="1:10" x14ac:dyDescent="0.35">
      <c r="A2340">
        <v>6009706161149</v>
      </c>
      <c r="B2340" t="s">
        <v>2662</v>
      </c>
      <c r="C2340" t="s">
        <v>78</v>
      </c>
      <c r="D2340" t="s">
        <v>2663</v>
      </c>
      <c r="E2340" t="s">
        <v>2309</v>
      </c>
      <c r="F2340" t="s">
        <v>2660</v>
      </c>
      <c r="G2340" t="s">
        <v>33</v>
      </c>
      <c r="H2340" t="s">
        <v>4830</v>
      </c>
      <c r="J2340">
        <v>32</v>
      </c>
    </row>
    <row r="2341" spans="1:10" x14ac:dyDescent="0.35">
      <c r="A2341">
        <v>6009707170775</v>
      </c>
      <c r="B2341" t="s">
        <v>2664</v>
      </c>
      <c r="C2341" t="s">
        <v>253</v>
      </c>
      <c r="D2341" t="s">
        <v>2665</v>
      </c>
      <c r="E2341" t="s">
        <v>308</v>
      </c>
      <c r="F2341" t="s">
        <v>309</v>
      </c>
      <c r="G2341" t="s">
        <v>34</v>
      </c>
      <c r="H2341" t="s">
        <v>4529</v>
      </c>
      <c r="J2341">
        <v>1</v>
      </c>
    </row>
    <row r="2342" spans="1:10" x14ac:dyDescent="0.35">
      <c r="A2342">
        <v>6009707171482</v>
      </c>
      <c r="B2342" t="s">
        <v>2666</v>
      </c>
      <c r="C2342" t="s">
        <v>81</v>
      </c>
      <c r="D2342" t="s">
        <v>2665</v>
      </c>
      <c r="E2342" t="s">
        <v>308</v>
      </c>
      <c r="F2342" t="s">
        <v>309</v>
      </c>
      <c r="G2342" t="s">
        <v>34</v>
      </c>
      <c r="H2342" t="s">
        <v>4529</v>
      </c>
      <c r="J2342">
        <v>1</v>
      </c>
    </row>
    <row r="2343" spans="1:10" x14ac:dyDescent="0.35">
      <c r="A2343">
        <v>6009708461131</v>
      </c>
      <c r="B2343" t="s">
        <v>1109</v>
      </c>
      <c r="C2343" t="s">
        <v>1394</v>
      </c>
      <c r="D2343" t="s">
        <v>2459</v>
      </c>
      <c r="E2343" t="s">
        <v>130</v>
      </c>
      <c r="F2343" t="s">
        <v>220</v>
      </c>
      <c r="G2343" t="s">
        <v>34</v>
      </c>
      <c r="H2343" t="s">
        <v>4520</v>
      </c>
      <c r="J2343">
        <v>3</v>
      </c>
    </row>
    <row r="2344" spans="1:10" x14ac:dyDescent="0.35">
      <c r="A2344">
        <v>6009708461131</v>
      </c>
      <c r="B2344" t="s">
        <v>1109</v>
      </c>
      <c r="C2344" t="s">
        <v>1394</v>
      </c>
      <c r="D2344" t="s">
        <v>2459</v>
      </c>
      <c r="E2344" t="s">
        <v>130</v>
      </c>
      <c r="F2344" t="s">
        <v>220</v>
      </c>
      <c r="G2344" t="s">
        <v>150</v>
      </c>
      <c r="H2344" t="s">
        <v>4520</v>
      </c>
      <c r="J2344">
        <v>1</v>
      </c>
    </row>
    <row r="2345" spans="1:10" x14ac:dyDescent="0.35">
      <c r="A2345">
        <v>6009708461131</v>
      </c>
      <c r="B2345" t="s">
        <v>1109</v>
      </c>
      <c r="C2345" t="s">
        <v>1394</v>
      </c>
      <c r="D2345" t="s">
        <v>2459</v>
      </c>
      <c r="E2345" t="s">
        <v>130</v>
      </c>
      <c r="F2345" t="s">
        <v>220</v>
      </c>
      <c r="G2345" t="s">
        <v>73</v>
      </c>
      <c r="H2345" t="s">
        <v>4520</v>
      </c>
      <c r="J2345">
        <v>1</v>
      </c>
    </row>
    <row r="2346" spans="1:10" x14ac:dyDescent="0.35">
      <c r="A2346">
        <v>6009708461360</v>
      </c>
      <c r="B2346" t="s">
        <v>2667</v>
      </c>
      <c r="C2346" t="s">
        <v>1394</v>
      </c>
      <c r="D2346" t="s">
        <v>2459</v>
      </c>
      <c r="E2346" t="s">
        <v>130</v>
      </c>
      <c r="F2346" t="s">
        <v>220</v>
      </c>
      <c r="G2346" t="s">
        <v>34</v>
      </c>
      <c r="H2346" t="s">
        <v>4520</v>
      </c>
      <c r="J2346">
        <v>1</v>
      </c>
    </row>
    <row r="2347" spans="1:10" x14ac:dyDescent="0.35">
      <c r="A2347">
        <v>6009708841810</v>
      </c>
      <c r="B2347" t="s">
        <v>2668</v>
      </c>
      <c r="C2347" t="s">
        <v>110</v>
      </c>
      <c r="D2347" t="s">
        <v>2669</v>
      </c>
      <c r="E2347" t="s">
        <v>117</v>
      </c>
      <c r="F2347" t="s">
        <v>2670</v>
      </c>
      <c r="G2347" t="s">
        <v>117</v>
      </c>
      <c r="H2347" t="s">
        <v>4831</v>
      </c>
      <c r="J2347">
        <v>1</v>
      </c>
    </row>
    <row r="2348" spans="1:10" x14ac:dyDescent="0.35">
      <c r="A2348">
        <v>6009709570252</v>
      </c>
      <c r="B2348" t="s">
        <v>2671</v>
      </c>
      <c r="C2348" t="s">
        <v>385</v>
      </c>
      <c r="D2348" t="s">
        <v>2672</v>
      </c>
      <c r="E2348" t="s">
        <v>22</v>
      </c>
      <c r="F2348" t="s">
        <v>2673</v>
      </c>
      <c r="G2348" t="s">
        <v>73</v>
      </c>
      <c r="H2348" t="s">
        <v>4832</v>
      </c>
      <c r="J2348">
        <v>3</v>
      </c>
    </row>
    <row r="2349" spans="1:10" x14ac:dyDescent="0.35">
      <c r="A2349">
        <v>6009709822443</v>
      </c>
      <c r="B2349" t="s">
        <v>2674</v>
      </c>
      <c r="C2349" t="s">
        <v>9</v>
      </c>
      <c r="D2349" t="s">
        <v>2515</v>
      </c>
      <c r="E2349" t="s">
        <v>578</v>
      </c>
      <c r="F2349" t="s">
        <v>2217</v>
      </c>
      <c r="G2349" t="s">
        <v>34</v>
      </c>
      <c r="H2349" t="s">
        <v>4768</v>
      </c>
      <c r="J2349">
        <v>6</v>
      </c>
    </row>
    <row r="2350" spans="1:10" x14ac:dyDescent="0.35">
      <c r="A2350">
        <v>6009709822443</v>
      </c>
      <c r="B2350" t="s">
        <v>2674</v>
      </c>
      <c r="C2350" t="s">
        <v>9</v>
      </c>
      <c r="D2350" t="s">
        <v>2515</v>
      </c>
      <c r="E2350" t="s">
        <v>578</v>
      </c>
      <c r="F2350" t="s">
        <v>2217</v>
      </c>
      <c r="G2350" t="s">
        <v>578</v>
      </c>
      <c r="H2350" t="s">
        <v>4768</v>
      </c>
      <c r="J2350">
        <v>6</v>
      </c>
    </row>
    <row r="2351" spans="1:10" x14ac:dyDescent="0.35">
      <c r="A2351">
        <v>6009709823303</v>
      </c>
      <c r="B2351" t="s">
        <v>2675</v>
      </c>
      <c r="C2351" t="s">
        <v>2676</v>
      </c>
      <c r="D2351" t="s">
        <v>2677</v>
      </c>
      <c r="E2351" t="s">
        <v>578</v>
      </c>
      <c r="F2351" t="s">
        <v>2217</v>
      </c>
      <c r="G2351" t="s">
        <v>117</v>
      </c>
      <c r="H2351" t="s">
        <v>4768</v>
      </c>
      <c r="J2351">
        <v>50</v>
      </c>
    </row>
    <row r="2352" spans="1:10" x14ac:dyDescent="0.35">
      <c r="A2352">
        <v>6009709823525</v>
      </c>
      <c r="B2352" t="s">
        <v>2678</v>
      </c>
      <c r="C2352" t="s">
        <v>2679</v>
      </c>
      <c r="D2352" t="s">
        <v>2680</v>
      </c>
      <c r="E2352" t="s">
        <v>578</v>
      </c>
      <c r="F2352" t="s">
        <v>2217</v>
      </c>
      <c r="G2352" t="s">
        <v>34</v>
      </c>
      <c r="H2352" t="s">
        <v>4768</v>
      </c>
      <c r="J2352">
        <v>5</v>
      </c>
    </row>
    <row r="2353" spans="1:10" x14ac:dyDescent="0.35">
      <c r="A2353">
        <v>6009709823525</v>
      </c>
      <c r="B2353" t="s">
        <v>2678</v>
      </c>
      <c r="C2353" t="s">
        <v>2679</v>
      </c>
      <c r="D2353" t="s">
        <v>2680</v>
      </c>
      <c r="E2353" t="s">
        <v>578</v>
      </c>
      <c r="F2353" t="s">
        <v>2217</v>
      </c>
      <c r="G2353" t="s">
        <v>578</v>
      </c>
      <c r="H2353" t="s">
        <v>4768</v>
      </c>
      <c r="J2353">
        <v>14</v>
      </c>
    </row>
    <row r="2354" spans="1:10" x14ac:dyDescent="0.35">
      <c r="A2354">
        <v>6009709823549</v>
      </c>
      <c r="B2354" t="s">
        <v>2681</v>
      </c>
      <c r="C2354" t="s">
        <v>2682</v>
      </c>
      <c r="D2354" t="s">
        <v>2515</v>
      </c>
      <c r="E2354" t="s">
        <v>578</v>
      </c>
      <c r="F2354" t="s">
        <v>2217</v>
      </c>
      <c r="G2354" t="s">
        <v>578</v>
      </c>
      <c r="H2354" t="s">
        <v>4768</v>
      </c>
      <c r="J2354">
        <v>4</v>
      </c>
    </row>
    <row r="2355" spans="1:10" x14ac:dyDescent="0.35">
      <c r="A2355">
        <v>6009709823556</v>
      </c>
      <c r="B2355" t="s">
        <v>2683</v>
      </c>
      <c r="C2355" t="s">
        <v>2679</v>
      </c>
      <c r="D2355" t="s">
        <v>2515</v>
      </c>
      <c r="E2355" t="s">
        <v>578</v>
      </c>
      <c r="F2355" t="s">
        <v>2217</v>
      </c>
      <c r="G2355" t="s">
        <v>117</v>
      </c>
      <c r="H2355" t="s">
        <v>4768</v>
      </c>
      <c r="J2355">
        <v>1</v>
      </c>
    </row>
    <row r="2356" spans="1:10" x14ac:dyDescent="0.35">
      <c r="A2356">
        <v>6009709823556</v>
      </c>
      <c r="B2356" t="s">
        <v>2683</v>
      </c>
      <c r="C2356" t="s">
        <v>2679</v>
      </c>
      <c r="D2356" t="s">
        <v>2515</v>
      </c>
      <c r="E2356" t="s">
        <v>578</v>
      </c>
      <c r="F2356" t="s">
        <v>2217</v>
      </c>
      <c r="G2356" t="s">
        <v>578</v>
      </c>
      <c r="H2356" t="s">
        <v>4768</v>
      </c>
      <c r="J2356">
        <v>46</v>
      </c>
    </row>
    <row r="2357" spans="1:10" x14ac:dyDescent="0.35">
      <c r="A2357">
        <v>6009709824348</v>
      </c>
      <c r="B2357" t="s">
        <v>485</v>
      </c>
      <c r="C2357" t="s">
        <v>253</v>
      </c>
      <c r="D2357" t="s">
        <v>2684</v>
      </c>
      <c r="E2357" t="s">
        <v>578</v>
      </c>
      <c r="F2357" t="s">
        <v>2217</v>
      </c>
      <c r="G2357" t="s">
        <v>578</v>
      </c>
      <c r="H2357" t="s">
        <v>4768</v>
      </c>
      <c r="J2357">
        <v>62</v>
      </c>
    </row>
    <row r="2358" spans="1:10" x14ac:dyDescent="0.35">
      <c r="A2358">
        <v>6009709824775</v>
      </c>
      <c r="B2358" t="s">
        <v>997</v>
      </c>
      <c r="C2358">
        <v>330</v>
      </c>
      <c r="D2358" t="s">
        <v>2524</v>
      </c>
      <c r="E2358" t="s">
        <v>578</v>
      </c>
      <c r="F2358" t="s">
        <v>2217</v>
      </c>
      <c r="G2358" t="s">
        <v>117</v>
      </c>
      <c r="H2358" t="s">
        <v>4768</v>
      </c>
      <c r="J2358">
        <v>2</v>
      </c>
    </row>
    <row r="2359" spans="1:10" x14ac:dyDescent="0.35">
      <c r="A2359">
        <v>6009709824775</v>
      </c>
      <c r="B2359" t="s">
        <v>997</v>
      </c>
      <c r="C2359">
        <v>330</v>
      </c>
      <c r="D2359" t="s">
        <v>2524</v>
      </c>
      <c r="E2359" t="s">
        <v>578</v>
      </c>
      <c r="F2359" t="s">
        <v>2217</v>
      </c>
      <c r="G2359" t="s">
        <v>33</v>
      </c>
      <c r="H2359" t="s">
        <v>4768</v>
      </c>
      <c r="J2359">
        <v>2</v>
      </c>
    </row>
    <row r="2360" spans="1:10" x14ac:dyDescent="0.35">
      <c r="A2360">
        <v>6009709824775</v>
      </c>
      <c r="B2360" t="s">
        <v>997</v>
      </c>
      <c r="C2360">
        <v>330</v>
      </c>
      <c r="D2360" t="s">
        <v>2524</v>
      </c>
      <c r="E2360" t="s">
        <v>578</v>
      </c>
      <c r="F2360" t="s">
        <v>2217</v>
      </c>
      <c r="G2360" t="s">
        <v>34</v>
      </c>
      <c r="H2360" t="s">
        <v>4768</v>
      </c>
      <c r="J2360">
        <v>2</v>
      </c>
    </row>
    <row r="2361" spans="1:10" x14ac:dyDescent="0.35">
      <c r="A2361">
        <v>6009709824812</v>
      </c>
      <c r="B2361" t="s">
        <v>2686</v>
      </c>
      <c r="C2361" t="s">
        <v>472</v>
      </c>
      <c r="D2361" t="s">
        <v>2686</v>
      </c>
      <c r="E2361" t="s">
        <v>578</v>
      </c>
      <c r="F2361" t="s">
        <v>2217</v>
      </c>
      <c r="G2361" t="s">
        <v>578</v>
      </c>
      <c r="H2361" t="s">
        <v>4768</v>
      </c>
      <c r="J2361">
        <v>7</v>
      </c>
    </row>
    <row r="2362" spans="1:10" x14ac:dyDescent="0.35">
      <c r="A2362">
        <v>6009709825031</v>
      </c>
      <c r="B2362" t="s">
        <v>2687</v>
      </c>
      <c r="C2362" t="s">
        <v>9</v>
      </c>
      <c r="D2362" t="s">
        <v>2688</v>
      </c>
      <c r="E2362" t="s">
        <v>578</v>
      </c>
      <c r="F2362" t="s">
        <v>2217</v>
      </c>
      <c r="G2362" t="s">
        <v>578</v>
      </c>
      <c r="H2362" t="s">
        <v>4768</v>
      </c>
      <c r="J2362">
        <v>1</v>
      </c>
    </row>
    <row r="2363" spans="1:10" x14ac:dyDescent="0.35">
      <c r="A2363">
        <v>6009709825215</v>
      </c>
      <c r="B2363" t="s">
        <v>485</v>
      </c>
      <c r="C2363" t="s">
        <v>326</v>
      </c>
      <c r="D2363" t="s">
        <v>2684</v>
      </c>
      <c r="E2363" t="s">
        <v>578</v>
      </c>
      <c r="F2363" t="s">
        <v>2217</v>
      </c>
      <c r="G2363" t="s">
        <v>578</v>
      </c>
      <c r="H2363" t="s">
        <v>4768</v>
      </c>
      <c r="J2363">
        <v>70</v>
      </c>
    </row>
    <row r="2364" spans="1:10" x14ac:dyDescent="0.35">
      <c r="A2364">
        <v>6009709825512</v>
      </c>
      <c r="B2364" t="s">
        <v>2689</v>
      </c>
      <c r="C2364" t="s">
        <v>2679</v>
      </c>
      <c r="D2364" t="s">
        <v>2515</v>
      </c>
      <c r="E2364" t="s">
        <v>578</v>
      </c>
      <c r="F2364" t="s">
        <v>2217</v>
      </c>
      <c r="G2364" t="s">
        <v>33</v>
      </c>
      <c r="H2364" t="s">
        <v>4768</v>
      </c>
      <c r="J2364">
        <v>74</v>
      </c>
    </row>
    <row r="2365" spans="1:10" x14ac:dyDescent="0.35">
      <c r="A2365">
        <v>6009709825512</v>
      </c>
      <c r="B2365" t="s">
        <v>2689</v>
      </c>
      <c r="C2365" t="s">
        <v>2679</v>
      </c>
      <c r="D2365" t="s">
        <v>2515</v>
      </c>
      <c r="E2365" t="s">
        <v>578</v>
      </c>
      <c r="F2365" t="s">
        <v>2217</v>
      </c>
      <c r="G2365" t="s">
        <v>578</v>
      </c>
      <c r="H2365" t="s">
        <v>4768</v>
      </c>
      <c r="J2365">
        <v>20</v>
      </c>
    </row>
    <row r="2366" spans="1:10" x14ac:dyDescent="0.35">
      <c r="A2366">
        <v>6009709826618</v>
      </c>
      <c r="B2366" t="s">
        <v>2690</v>
      </c>
      <c r="C2366" t="s">
        <v>2682</v>
      </c>
      <c r="D2366" t="s">
        <v>2680</v>
      </c>
      <c r="E2366" t="s">
        <v>578</v>
      </c>
      <c r="F2366" t="s">
        <v>2217</v>
      </c>
      <c r="G2366" t="s">
        <v>578</v>
      </c>
      <c r="H2366" t="s">
        <v>4768</v>
      </c>
      <c r="J2366">
        <v>1</v>
      </c>
    </row>
    <row r="2367" spans="1:10" x14ac:dyDescent="0.35">
      <c r="A2367">
        <v>6009709826632</v>
      </c>
      <c r="B2367" t="s">
        <v>2650</v>
      </c>
      <c r="C2367" t="s">
        <v>603</v>
      </c>
      <c r="D2367" t="s">
        <v>2515</v>
      </c>
      <c r="E2367" t="s">
        <v>578</v>
      </c>
      <c r="F2367" t="s">
        <v>2217</v>
      </c>
      <c r="G2367" t="s">
        <v>117</v>
      </c>
      <c r="H2367" t="s">
        <v>4768</v>
      </c>
      <c r="J2367">
        <v>2</v>
      </c>
    </row>
    <row r="2368" spans="1:10" x14ac:dyDescent="0.35">
      <c r="A2368">
        <v>6009709826632</v>
      </c>
      <c r="B2368" t="s">
        <v>2650</v>
      </c>
      <c r="C2368" t="s">
        <v>603</v>
      </c>
      <c r="D2368" t="s">
        <v>2515</v>
      </c>
      <c r="E2368" t="s">
        <v>578</v>
      </c>
      <c r="F2368" t="s">
        <v>2217</v>
      </c>
      <c r="G2368" t="s">
        <v>33</v>
      </c>
      <c r="H2368" t="s">
        <v>4768</v>
      </c>
      <c r="J2368">
        <v>1239</v>
      </c>
    </row>
    <row r="2369" spans="1:10" x14ac:dyDescent="0.35">
      <c r="A2369">
        <v>6009709826632</v>
      </c>
      <c r="B2369" t="s">
        <v>2650</v>
      </c>
      <c r="C2369" t="s">
        <v>603</v>
      </c>
      <c r="D2369" t="s">
        <v>2515</v>
      </c>
      <c r="E2369" t="s">
        <v>578</v>
      </c>
      <c r="F2369" t="s">
        <v>2217</v>
      </c>
      <c r="G2369" t="s">
        <v>61</v>
      </c>
      <c r="H2369" t="s">
        <v>4768</v>
      </c>
      <c r="J2369">
        <v>8</v>
      </c>
    </row>
    <row r="2370" spans="1:10" x14ac:dyDescent="0.35">
      <c r="A2370">
        <v>6009709826632</v>
      </c>
      <c r="B2370" t="s">
        <v>2650</v>
      </c>
      <c r="C2370" t="s">
        <v>603</v>
      </c>
      <c r="D2370" t="s">
        <v>2515</v>
      </c>
      <c r="E2370" t="s">
        <v>578</v>
      </c>
      <c r="F2370" t="s">
        <v>2217</v>
      </c>
      <c r="G2370" t="s">
        <v>31</v>
      </c>
      <c r="H2370" t="s">
        <v>4768</v>
      </c>
      <c r="J2370">
        <v>1</v>
      </c>
    </row>
    <row r="2371" spans="1:10" x14ac:dyDescent="0.35">
      <c r="A2371">
        <v>6009709826632</v>
      </c>
      <c r="B2371" t="s">
        <v>2650</v>
      </c>
      <c r="C2371" t="s">
        <v>603</v>
      </c>
      <c r="D2371" t="s">
        <v>2515</v>
      </c>
      <c r="E2371" t="s">
        <v>578</v>
      </c>
      <c r="F2371" t="s">
        <v>2217</v>
      </c>
      <c r="G2371" t="s">
        <v>578</v>
      </c>
      <c r="H2371" t="s">
        <v>4768</v>
      </c>
      <c r="J2371">
        <v>102</v>
      </c>
    </row>
    <row r="2372" spans="1:10" x14ac:dyDescent="0.35">
      <c r="A2372">
        <v>6009709827141</v>
      </c>
      <c r="B2372" t="s">
        <v>2691</v>
      </c>
      <c r="C2372" t="s">
        <v>9</v>
      </c>
      <c r="D2372" t="s">
        <v>2426</v>
      </c>
      <c r="E2372" t="s">
        <v>578</v>
      </c>
      <c r="F2372" t="s">
        <v>2217</v>
      </c>
      <c r="G2372" t="s">
        <v>578</v>
      </c>
      <c r="H2372" t="s">
        <v>4768</v>
      </c>
      <c r="J2372">
        <v>1</v>
      </c>
    </row>
    <row r="2373" spans="1:10" x14ac:dyDescent="0.35">
      <c r="A2373">
        <v>6009709827899</v>
      </c>
      <c r="B2373" t="s">
        <v>2522</v>
      </c>
      <c r="C2373" t="s">
        <v>2692</v>
      </c>
      <c r="D2373" t="s">
        <v>2693</v>
      </c>
      <c r="E2373" t="s">
        <v>578</v>
      </c>
      <c r="F2373" t="s">
        <v>2217</v>
      </c>
      <c r="G2373" t="s">
        <v>578</v>
      </c>
      <c r="H2373" t="s">
        <v>4768</v>
      </c>
      <c r="J2373">
        <v>13</v>
      </c>
    </row>
    <row r="2374" spans="1:10" x14ac:dyDescent="0.35">
      <c r="A2374">
        <v>6009710390153</v>
      </c>
      <c r="B2374" t="s">
        <v>2694</v>
      </c>
      <c r="C2374" t="s">
        <v>43</v>
      </c>
      <c r="D2374" t="s">
        <v>1464</v>
      </c>
      <c r="E2374" t="s">
        <v>1201</v>
      </c>
      <c r="F2374" t="s">
        <v>1465</v>
      </c>
      <c r="G2374" t="s">
        <v>31</v>
      </c>
      <c r="H2374" t="s">
        <v>4690</v>
      </c>
      <c r="J2374">
        <v>6</v>
      </c>
    </row>
    <row r="2375" spans="1:10" x14ac:dyDescent="0.35">
      <c r="A2375">
        <v>6009710390153</v>
      </c>
      <c r="B2375" t="s">
        <v>2694</v>
      </c>
      <c r="C2375" t="s">
        <v>43</v>
      </c>
      <c r="D2375" t="s">
        <v>1464</v>
      </c>
      <c r="E2375" t="s">
        <v>1201</v>
      </c>
      <c r="F2375" t="s">
        <v>1465</v>
      </c>
      <c r="G2375" t="s">
        <v>73</v>
      </c>
      <c r="H2375" t="s">
        <v>4690</v>
      </c>
      <c r="J2375">
        <v>9</v>
      </c>
    </row>
    <row r="2376" spans="1:10" x14ac:dyDescent="0.35">
      <c r="A2376">
        <v>6009710720318</v>
      </c>
      <c r="B2376" t="s">
        <v>2695</v>
      </c>
      <c r="C2376" t="s">
        <v>2407</v>
      </c>
      <c r="D2376" t="s">
        <v>563</v>
      </c>
      <c r="E2376" t="s">
        <v>15</v>
      </c>
      <c r="F2376" t="s">
        <v>56</v>
      </c>
      <c r="G2376" t="s">
        <v>34</v>
      </c>
      <c r="H2376" t="s">
        <v>4497</v>
      </c>
      <c r="J2376">
        <v>1</v>
      </c>
    </row>
    <row r="2377" spans="1:10" x14ac:dyDescent="0.35">
      <c r="A2377">
        <v>6009710721537</v>
      </c>
      <c r="B2377" t="s">
        <v>2696</v>
      </c>
      <c r="C2377" t="s">
        <v>2388</v>
      </c>
      <c r="D2377" t="s">
        <v>566</v>
      </c>
      <c r="E2377" t="s">
        <v>15</v>
      </c>
      <c r="F2377" t="s">
        <v>56</v>
      </c>
      <c r="G2377" t="s">
        <v>34</v>
      </c>
      <c r="H2377" t="s">
        <v>4497</v>
      </c>
      <c r="J2377">
        <v>2</v>
      </c>
    </row>
    <row r="2378" spans="1:10" x14ac:dyDescent="0.35">
      <c r="A2378">
        <v>6009710723241</v>
      </c>
      <c r="B2378" t="s">
        <v>2697</v>
      </c>
      <c r="C2378" t="s">
        <v>2388</v>
      </c>
      <c r="D2378" t="s">
        <v>566</v>
      </c>
      <c r="E2378" t="s">
        <v>15</v>
      </c>
      <c r="F2378" t="s">
        <v>56</v>
      </c>
      <c r="G2378" t="s">
        <v>34</v>
      </c>
      <c r="H2378" t="s">
        <v>4497</v>
      </c>
      <c r="J2378">
        <v>10</v>
      </c>
    </row>
    <row r="2379" spans="1:10" x14ac:dyDescent="0.35">
      <c r="A2379">
        <v>6009710890127</v>
      </c>
      <c r="B2379" t="s">
        <v>2698</v>
      </c>
      <c r="C2379" t="s">
        <v>2699</v>
      </c>
      <c r="D2379" t="s">
        <v>2700</v>
      </c>
      <c r="E2379" t="s">
        <v>15</v>
      </c>
      <c r="F2379" t="s">
        <v>2701</v>
      </c>
      <c r="G2379" t="s">
        <v>34</v>
      </c>
      <c r="H2379" t="s">
        <v>4833</v>
      </c>
      <c r="J2379">
        <v>1</v>
      </c>
    </row>
    <row r="2380" spans="1:10" x14ac:dyDescent="0.35">
      <c r="A2380">
        <v>6009711323983</v>
      </c>
      <c r="B2380" t="s">
        <v>201</v>
      </c>
      <c r="C2380" t="s">
        <v>253</v>
      </c>
      <c r="D2380" t="s">
        <v>2702</v>
      </c>
      <c r="E2380" t="s">
        <v>578</v>
      </c>
      <c r="F2380" t="s">
        <v>2217</v>
      </c>
      <c r="G2380" t="s">
        <v>578</v>
      </c>
      <c r="H2380" t="s">
        <v>4768</v>
      </c>
      <c r="J2380">
        <v>1</v>
      </c>
    </row>
    <row r="2381" spans="1:10" x14ac:dyDescent="0.35">
      <c r="A2381">
        <v>6009711324089</v>
      </c>
      <c r="B2381" t="s">
        <v>2703</v>
      </c>
      <c r="C2381" t="s">
        <v>603</v>
      </c>
      <c r="D2381" t="s">
        <v>2515</v>
      </c>
      <c r="E2381" t="s">
        <v>578</v>
      </c>
      <c r="F2381" t="s">
        <v>2217</v>
      </c>
      <c r="G2381" t="s">
        <v>33</v>
      </c>
      <c r="H2381" t="s">
        <v>4768</v>
      </c>
      <c r="J2381">
        <v>68</v>
      </c>
    </row>
    <row r="2382" spans="1:10" x14ac:dyDescent="0.35">
      <c r="A2382">
        <v>6009711324416</v>
      </c>
      <c r="B2382" t="s">
        <v>2704</v>
      </c>
      <c r="C2382" t="s">
        <v>576</v>
      </c>
      <c r="D2382" t="s">
        <v>2705</v>
      </c>
      <c r="E2382" t="s">
        <v>578</v>
      </c>
      <c r="F2382" t="s">
        <v>2217</v>
      </c>
      <c r="G2382" t="s">
        <v>117</v>
      </c>
      <c r="H2382" t="s">
        <v>4768</v>
      </c>
      <c r="J2382">
        <v>15</v>
      </c>
    </row>
    <row r="2383" spans="1:10" x14ac:dyDescent="0.35">
      <c r="A2383">
        <v>6009711325154</v>
      </c>
      <c r="B2383" t="s">
        <v>581</v>
      </c>
      <c r="C2383" t="s">
        <v>472</v>
      </c>
      <c r="D2383" t="s">
        <v>2706</v>
      </c>
      <c r="E2383" t="s">
        <v>578</v>
      </c>
      <c r="F2383" t="s">
        <v>2217</v>
      </c>
      <c r="G2383" t="s">
        <v>117</v>
      </c>
      <c r="H2383" t="s">
        <v>4768</v>
      </c>
      <c r="J2383">
        <v>48</v>
      </c>
    </row>
    <row r="2384" spans="1:10" x14ac:dyDescent="0.35">
      <c r="A2384">
        <v>6009711325161</v>
      </c>
      <c r="B2384" t="s">
        <v>581</v>
      </c>
      <c r="C2384" t="s">
        <v>576</v>
      </c>
      <c r="D2384" t="s">
        <v>2707</v>
      </c>
      <c r="E2384" t="s">
        <v>578</v>
      </c>
      <c r="F2384" t="s">
        <v>2217</v>
      </c>
      <c r="G2384" t="s">
        <v>117</v>
      </c>
      <c r="H2384" t="s">
        <v>4768</v>
      </c>
      <c r="J2384">
        <v>5</v>
      </c>
    </row>
    <row r="2385" spans="1:10" x14ac:dyDescent="0.35">
      <c r="A2385">
        <v>6009711325185</v>
      </c>
      <c r="B2385" t="s">
        <v>581</v>
      </c>
      <c r="C2385" t="s">
        <v>576</v>
      </c>
      <c r="D2385" t="s">
        <v>2708</v>
      </c>
      <c r="E2385" t="s">
        <v>578</v>
      </c>
      <c r="F2385" t="s">
        <v>2217</v>
      </c>
      <c r="G2385" t="s">
        <v>117</v>
      </c>
      <c r="H2385" t="s">
        <v>4768</v>
      </c>
      <c r="J2385">
        <v>6</v>
      </c>
    </row>
    <row r="2386" spans="1:10" x14ac:dyDescent="0.35">
      <c r="A2386">
        <v>6009711325192</v>
      </c>
      <c r="B2386" t="s">
        <v>581</v>
      </c>
      <c r="C2386" t="s">
        <v>576</v>
      </c>
      <c r="D2386" t="s">
        <v>2709</v>
      </c>
      <c r="E2386" t="s">
        <v>578</v>
      </c>
      <c r="F2386" t="s">
        <v>2217</v>
      </c>
      <c r="G2386" t="s">
        <v>117</v>
      </c>
      <c r="H2386" t="s">
        <v>4768</v>
      </c>
      <c r="J2386">
        <v>13</v>
      </c>
    </row>
    <row r="2387" spans="1:10" x14ac:dyDescent="0.35">
      <c r="A2387">
        <v>6009711326809</v>
      </c>
      <c r="B2387" t="s">
        <v>2710</v>
      </c>
      <c r="C2387" t="s">
        <v>9</v>
      </c>
      <c r="D2387" t="s">
        <v>2680</v>
      </c>
      <c r="E2387" t="s">
        <v>578</v>
      </c>
      <c r="F2387" t="s">
        <v>2217</v>
      </c>
      <c r="G2387" t="s">
        <v>117</v>
      </c>
      <c r="H2387" t="s">
        <v>4768</v>
      </c>
      <c r="J2387">
        <v>58</v>
      </c>
    </row>
    <row r="2388" spans="1:10" x14ac:dyDescent="0.35">
      <c r="A2388">
        <v>6009711326809</v>
      </c>
      <c r="B2388" t="s">
        <v>2710</v>
      </c>
      <c r="C2388" t="s">
        <v>9</v>
      </c>
      <c r="D2388" t="s">
        <v>2680</v>
      </c>
      <c r="E2388" t="s">
        <v>578</v>
      </c>
      <c r="F2388" t="s">
        <v>2217</v>
      </c>
      <c r="G2388" t="s">
        <v>34</v>
      </c>
      <c r="H2388" t="s">
        <v>4768</v>
      </c>
      <c r="J2388">
        <v>1</v>
      </c>
    </row>
    <row r="2389" spans="1:10" x14ac:dyDescent="0.35">
      <c r="A2389">
        <v>6009713101503</v>
      </c>
      <c r="B2389" t="s">
        <v>2711</v>
      </c>
      <c r="C2389" t="s">
        <v>9</v>
      </c>
      <c r="D2389" t="s">
        <v>2712</v>
      </c>
      <c r="E2389" t="s">
        <v>578</v>
      </c>
      <c r="F2389" t="s">
        <v>2217</v>
      </c>
      <c r="G2389" t="s">
        <v>117</v>
      </c>
      <c r="H2389" t="s">
        <v>4768</v>
      </c>
      <c r="J2389">
        <v>4</v>
      </c>
    </row>
    <row r="2390" spans="1:10" x14ac:dyDescent="0.35">
      <c r="A2390">
        <v>6009713101510</v>
      </c>
      <c r="B2390" t="s">
        <v>2713</v>
      </c>
      <c r="C2390" t="s">
        <v>9</v>
      </c>
      <c r="D2390" t="s">
        <v>2712</v>
      </c>
      <c r="E2390" t="s">
        <v>578</v>
      </c>
      <c r="F2390" t="s">
        <v>2217</v>
      </c>
      <c r="G2390" t="s">
        <v>117</v>
      </c>
      <c r="H2390" t="s">
        <v>4768</v>
      </c>
      <c r="J2390">
        <v>3</v>
      </c>
    </row>
    <row r="2391" spans="1:10" x14ac:dyDescent="0.35">
      <c r="A2391">
        <v>6009713101589</v>
      </c>
      <c r="B2391" t="s">
        <v>2714</v>
      </c>
      <c r="C2391" t="s">
        <v>9</v>
      </c>
      <c r="D2391" t="s">
        <v>2712</v>
      </c>
      <c r="E2391" t="s">
        <v>578</v>
      </c>
      <c r="F2391" t="s">
        <v>2217</v>
      </c>
      <c r="G2391" t="s">
        <v>117</v>
      </c>
      <c r="H2391" t="s">
        <v>4768</v>
      </c>
      <c r="J2391">
        <v>91</v>
      </c>
    </row>
    <row r="2392" spans="1:10" x14ac:dyDescent="0.35">
      <c r="A2392">
        <v>6009713104979</v>
      </c>
      <c r="B2392" t="s">
        <v>2715</v>
      </c>
      <c r="C2392" t="s">
        <v>472</v>
      </c>
      <c r="D2392" t="s">
        <v>2524</v>
      </c>
      <c r="E2392" t="s">
        <v>578</v>
      </c>
      <c r="F2392" t="s">
        <v>2217</v>
      </c>
      <c r="G2392" t="s">
        <v>117</v>
      </c>
      <c r="H2392" t="s">
        <v>4768</v>
      </c>
      <c r="J2392">
        <v>1</v>
      </c>
    </row>
    <row r="2393" spans="1:10" x14ac:dyDescent="0.35">
      <c r="A2393">
        <v>6009713105020</v>
      </c>
      <c r="B2393" t="s">
        <v>2716</v>
      </c>
      <c r="C2393" t="s">
        <v>472</v>
      </c>
      <c r="D2393" t="s">
        <v>2717</v>
      </c>
      <c r="E2393" t="s">
        <v>61</v>
      </c>
      <c r="F2393" t="s">
        <v>2718</v>
      </c>
      <c r="G2393" t="s">
        <v>117</v>
      </c>
      <c r="H2393" t="s">
        <v>4834</v>
      </c>
      <c r="J2393">
        <v>4</v>
      </c>
    </row>
    <row r="2394" spans="1:10" x14ac:dyDescent="0.35">
      <c r="A2394">
        <v>60097880</v>
      </c>
      <c r="B2394" t="s">
        <v>2719</v>
      </c>
      <c r="C2394" t="s">
        <v>66</v>
      </c>
      <c r="D2394" t="s">
        <v>2720</v>
      </c>
      <c r="E2394" t="s">
        <v>22</v>
      </c>
      <c r="F2394" t="s">
        <v>361</v>
      </c>
      <c r="G2394" t="s">
        <v>33</v>
      </c>
      <c r="H2394" t="s">
        <v>4539</v>
      </c>
      <c r="J2394">
        <v>100</v>
      </c>
    </row>
    <row r="2395" spans="1:10" x14ac:dyDescent="0.35">
      <c r="A2395">
        <v>60097880</v>
      </c>
      <c r="B2395" t="s">
        <v>2719</v>
      </c>
      <c r="C2395" t="s">
        <v>66</v>
      </c>
      <c r="D2395" t="s">
        <v>2720</v>
      </c>
      <c r="E2395" t="s">
        <v>22</v>
      </c>
      <c r="F2395" t="s">
        <v>361</v>
      </c>
      <c r="G2395" t="s">
        <v>73</v>
      </c>
      <c r="H2395" t="s">
        <v>4539</v>
      </c>
      <c r="J2395">
        <v>1</v>
      </c>
    </row>
    <row r="2396" spans="1:10" x14ac:dyDescent="0.35">
      <c r="A2396">
        <v>6009800891232</v>
      </c>
      <c r="B2396" t="s">
        <v>2721</v>
      </c>
      <c r="C2396" t="s">
        <v>2428</v>
      </c>
      <c r="D2396" t="s">
        <v>2580</v>
      </c>
      <c r="E2396" t="s">
        <v>33</v>
      </c>
      <c r="F2396" t="s">
        <v>2581</v>
      </c>
      <c r="G2396" t="s">
        <v>33</v>
      </c>
      <c r="H2396" t="s">
        <v>4821</v>
      </c>
      <c r="J2396">
        <v>21</v>
      </c>
    </row>
    <row r="2397" spans="1:10" x14ac:dyDescent="0.35">
      <c r="A2397">
        <v>6009800891393</v>
      </c>
      <c r="B2397" t="s">
        <v>2722</v>
      </c>
      <c r="C2397" t="s">
        <v>9</v>
      </c>
      <c r="D2397" t="s">
        <v>2580</v>
      </c>
      <c r="E2397" t="s">
        <v>33</v>
      </c>
      <c r="F2397" t="s">
        <v>2581</v>
      </c>
      <c r="G2397" t="s">
        <v>33</v>
      </c>
      <c r="H2397" t="s">
        <v>4821</v>
      </c>
      <c r="J2397">
        <v>53</v>
      </c>
    </row>
    <row r="2398" spans="1:10" x14ac:dyDescent="0.35">
      <c r="A2398">
        <v>6009801332055</v>
      </c>
      <c r="B2398" t="s">
        <v>2723</v>
      </c>
      <c r="C2398" t="s">
        <v>75</v>
      </c>
      <c r="D2398" t="s">
        <v>2724</v>
      </c>
      <c r="E2398" t="s">
        <v>73</v>
      </c>
      <c r="F2398" t="s">
        <v>2725</v>
      </c>
      <c r="G2398" t="s">
        <v>34</v>
      </c>
      <c r="H2398" t="s">
        <v>4835</v>
      </c>
      <c r="J2398">
        <v>1</v>
      </c>
    </row>
    <row r="2399" spans="1:10" x14ac:dyDescent="0.35">
      <c r="A2399">
        <v>6009801423043</v>
      </c>
      <c r="B2399" t="s">
        <v>2726</v>
      </c>
      <c r="C2399" t="s">
        <v>253</v>
      </c>
      <c r="D2399" t="s">
        <v>2727</v>
      </c>
      <c r="E2399" t="s">
        <v>578</v>
      </c>
      <c r="F2399" t="s">
        <v>2728</v>
      </c>
      <c r="G2399" t="s">
        <v>578</v>
      </c>
      <c r="H2399" t="s">
        <v>4836</v>
      </c>
      <c r="J2399">
        <v>58</v>
      </c>
    </row>
    <row r="2400" spans="1:10" x14ac:dyDescent="0.35">
      <c r="A2400">
        <v>6009801423050</v>
      </c>
      <c r="B2400" t="s">
        <v>485</v>
      </c>
      <c r="C2400" t="s">
        <v>326</v>
      </c>
      <c r="D2400" t="s">
        <v>2729</v>
      </c>
      <c r="E2400" t="s">
        <v>15</v>
      </c>
      <c r="F2400" t="s">
        <v>14</v>
      </c>
      <c r="G2400" t="s">
        <v>578</v>
      </c>
      <c r="H2400" t="s">
        <v>4489</v>
      </c>
      <c r="I2400">
        <v>10</v>
      </c>
      <c r="J2400">
        <v>15</v>
      </c>
    </row>
    <row r="2401" spans="1:10" x14ac:dyDescent="0.35">
      <c r="A2401">
        <v>6009801699189</v>
      </c>
      <c r="B2401" t="s">
        <v>2626</v>
      </c>
      <c r="C2401" t="s">
        <v>2730</v>
      </c>
      <c r="D2401" t="s">
        <v>2731</v>
      </c>
      <c r="E2401" t="s">
        <v>308</v>
      </c>
      <c r="F2401" t="s">
        <v>309</v>
      </c>
      <c r="G2401" t="s">
        <v>34</v>
      </c>
      <c r="H2401" t="s">
        <v>4529</v>
      </c>
      <c r="J2401">
        <v>23</v>
      </c>
    </row>
    <row r="2402" spans="1:10" x14ac:dyDescent="0.35">
      <c r="A2402">
        <v>6009801699196</v>
      </c>
      <c r="B2402" t="s">
        <v>2626</v>
      </c>
      <c r="C2402" t="s">
        <v>2732</v>
      </c>
      <c r="D2402" t="s">
        <v>2731</v>
      </c>
      <c r="E2402" t="s">
        <v>308</v>
      </c>
      <c r="F2402" t="s">
        <v>309</v>
      </c>
      <c r="G2402" t="s">
        <v>34</v>
      </c>
      <c r="H2402" t="s">
        <v>4529</v>
      </c>
      <c r="J2402">
        <v>5</v>
      </c>
    </row>
    <row r="2403" spans="1:10" x14ac:dyDescent="0.35">
      <c r="A2403">
        <v>6009801699295</v>
      </c>
      <c r="B2403" t="s">
        <v>2733</v>
      </c>
      <c r="C2403" t="s">
        <v>78</v>
      </c>
      <c r="D2403" t="s">
        <v>2734</v>
      </c>
      <c r="E2403" t="s">
        <v>34</v>
      </c>
      <c r="F2403" t="s">
        <v>2735</v>
      </c>
      <c r="G2403" t="s">
        <v>34</v>
      </c>
      <c r="H2403" t="s">
        <v>4837</v>
      </c>
      <c r="J2403">
        <v>26</v>
      </c>
    </row>
    <row r="2404" spans="1:10" x14ac:dyDescent="0.35">
      <c r="A2404">
        <v>6009801699301</v>
      </c>
      <c r="B2404" t="s">
        <v>2733</v>
      </c>
      <c r="C2404" t="s">
        <v>472</v>
      </c>
      <c r="D2404" t="s">
        <v>2734</v>
      </c>
      <c r="E2404" t="s">
        <v>34</v>
      </c>
      <c r="F2404" t="s">
        <v>2735</v>
      </c>
      <c r="G2404" t="s">
        <v>34</v>
      </c>
      <c r="H2404" t="s">
        <v>4837</v>
      </c>
      <c r="J2404">
        <v>1</v>
      </c>
    </row>
    <row r="2405" spans="1:10" x14ac:dyDescent="0.35">
      <c r="A2405">
        <v>6009802033838</v>
      </c>
      <c r="B2405" t="s">
        <v>2736</v>
      </c>
      <c r="C2405" t="s">
        <v>9</v>
      </c>
      <c r="D2405" t="s">
        <v>2737</v>
      </c>
      <c r="E2405" t="s">
        <v>308</v>
      </c>
      <c r="F2405" t="s">
        <v>309</v>
      </c>
      <c r="G2405" t="s">
        <v>34</v>
      </c>
      <c r="H2405" t="s">
        <v>4529</v>
      </c>
      <c r="J2405">
        <v>5</v>
      </c>
    </row>
    <row r="2406" spans="1:10" x14ac:dyDescent="0.35">
      <c r="A2406">
        <v>600980220957</v>
      </c>
      <c r="B2406" t="s">
        <v>2565</v>
      </c>
      <c r="C2406" t="s">
        <v>2008</v>
      </c>
      <c r="D2406" t="s">
        <v>2738</v>
      </c>
      <c r="E2406" t="s">
        <v>34</v>
      </c>
      <c r="F2406" t="s">
        <v>2739</v>
      </c>
      <c r="G2406" t="s">
        <v>34</v>
      </c>
      <c r="H2406" t="s">
        <v>4838</v>
      </c>
      <c r="J2406">
        <v>142</v>
      </c>
    </row>
    <row r="2407" spans="1:10" x14ac:dyDescent="0.35">
      <c r="A2407">
        <v>6009802229019</v>
      </c>
      <c r="B2407" t="s">
        <v>2740</v>
      </c>
      <c r="C2407" t="s">
        <v>253</v>
      </c>
      <c r="D2407" t="s">
        <v>2738</v>
      </c>
      <c r="E2407" t="s">
        <v>34</v>
      </c>
      <c r="F2407" t="s">
        <v>2739</v>
      </c>
      <c r="G2407" t="s">
        <v>34</v>
      </c>
      <c r="H2407" t="s">
        <v>4838</v>
      </c>
      <c r="J2407">
        <v>352</v>
      </c>
    </row>
    <row r="2408" spans="1:10" x14ac:dyDescent="0.35">
      <c r="A2408">
        <v>6009802229033</v>
      </c>
      <c r="B2408" t="s">
        <v>2740</v>
      </c>
      <c r="C2408" t="s">
        <v>903</v>
      </c>
      <c r="D2408" t="s">
        <v>2738</v>
      </c>
      <c r="E2408" t="s">
        <v>34</v>
      </c>
      <c r="F2408" t="s">
        <v>2739</v>
      </c>
      <c r="G2408" t="s">
        <v>34</v>
      </c>
      <c r="H2408" t="s">
        <v>4838</v>
      </c>
      <c r="J2408">
        <v>237</v>
      </c>
    </row>
    <row r="2409" spans="1:10" x14ac:dyDescent="0.35">
      <c r="A2409">
        <v>6009802229057</v>
      </c>
      <c r="B2409" t="s">
        <v>2741</v>
      </c>
      <c r="C2409" t="s">
        <v>2400</v>
      </c>
      <c r="D2409" t="s">
        <v>2738</v>
      </c>
      <c r="E2409" t="s">
        <v>34</v>
      </c>
      <c r="F2409" t="s">
        <v>2739</v>
      </c>
      <c r="G2409" t="s">
        <v>34</v>
      </c>
      <c r="H2409" t="s">
        <v>4838</v>
      </c>
      <c r="J2409">
        <v>80</v>
      </c>
    </row>
    <row r="2410" spans="1:10" x14ac:dyDescent="0.35">
      <c r="A2410">
        <v>6009802229057</v>
      </c>
      <c r="B2410" t="s">
        <v>2741</v>
      </c>
      <c r="C2410" t="s">
        <v>2400</v>
      </c>
      <c r="D2410" t="s">
        <v>2738</v>
      </c>
      <c r="E2410" t="s">
        <v>34</v>
      </c>
      <c r="F2410" t="s">
        <v>2739</v>
      </c>
      <c r="G2410" t="s">
        <v>150</v>
      </c>
      <c r="H2410" t="s">
        <v>4838</v>
      </c>
      <c r="J2410">
        <v>1</v>
      </c>
    </row>
    <row r="2411" spans="1:10" x14ac:dyDescent="0.35">
      <c r="A2411">
        <v>6009802341964</v>
      </c>
      <c r="B2411" t="s">
        <v>2399</v>
      </c>
      <c r="C2411" t="s">
        <v>2742</v>
      </c>
      <c r="D2411" t="s">
        <v>2743</v>
      </c>
      <c r="E2411" t="s">
        <v>34</v>
      </c>
      <c r="F2411" t="s">
        <v>2744</v>
      </c>
      <c r="G2411" t="s">
        <v>34</v>
      </c>
      <c r="H2411" t="s">
        <v>4839</v>
      </c>
      <c r="J2411">
        <v>1</v>
      </c>
    </row>
    <row r="2412" spans="1:10" x14ac:dyDescent="0.35">
      <c r="A2412">
        <v>6009802341971</v>
      </c>
      <c r="B2412" t="s">
        <v>2399</v>
      </c>
      <c r="C2412" t="s">
        <v>2400</v>
      </c>
      <c r="D2412" t="s">
        <v>2743</v>
      </c>
      <c r="E2412" t="s">
        <v>34</v>
      </c>
      <c r="F2412" t="s">
        <v>2744</v>
      </c>
      <c r="G2412" t="s">
        <v>34</v>
      </c>
      <c r="H2412" t="s">
        <v>4839</v>
      </c>
      <c r="J2412">
        <v>873</v>
      </c>
    </row>
    <row r="2413" spans="1:10" x14ac:dyDescent="0.35">
      <c r="A2413">
        <v>6009802341988</v>
      </c>
      <c r="B2413" t="s">
        <v>2745</v>
      </c>
      <c r="C2413" t="s">
        <v>75</v>
      </c>
      <c r="D2413" t="s">
        <v>2538</v>
      </c>
      <c r="E2413" t="s">
        <v>34</v>
      </c>
      <c r="F2413" t="s">
        <v>2539</v>
      </c>
      <c r="G2413" t="s">
        <v>34</v>
      </c>
      <c r="H2413" t="s">
        <v>4812</v>
      </c>
      <c r="J2413">
        <v>1689</v>
      </c>
    </row>
    <row r="2414" spans="1:10" x14ac:dyDescent="0.35">
      <c r="A2414">
        <v>6009802341995</v>
      </c>
      <c r="B2414" t="s">
        <v>2746</v>
      </c>
      <c r="C2414" t="s">
        <v>114</v>
      </c>
      <c r="D2414" t="s">
        <v>2538</v>
      </c>
      <c r="E2414" t="s">
        <v>34</v>
      </c>
      <c r="F2414" t="s">
        <v>2539</v>
      </c>
      <c r="G2414" t="s">
        <v>34</v>
      </c>
      <c r="H2414" t="s">
        <v>4812</v>
      </c>
      <c r="J2414">
        <v>335</v>
      </c>
    </row>
    <row r="2415" spans="1:10" x14ac:dyDescent="0.35">
      <c r="A2415">
        <v>6009802591154</v>
      </c>
      <c r="B2415" t="s">
        <v>2747</v>
      </c>
      <c r="C2415" t="s">
        <v>9</v>
      </c>
      <c r="D2415" t="s">
        <v>2747</v>
      </c>
      <c r="E2415" t="s">
        <v>33</v>
      </c>
      <c r="F2415" t="s">
        <v>2581</v>
      </c>
      <c r="G2415" t="s">
        <v>33</v>
      </c>
      <c r="H2415" t="s">
        <v>4821</v>
      </c>
      <c r="J2415">
        <v>10</v>
      </c>
    </row>
    <row r="2416" spans="1:10" x14ac:dyDescent="0.35">
      <c r="A2416">
        <v>6009802591277</v>
      </c>
      <c r="B2416" t="s">
        <v>2748</v>
      </c>
      <c r="C2416" t="s">
        <v>576</v>
      </c>
      <c r="D2416" t="s">
        <v>2749</v>
      </c>
      <c r="E2416" t="s">
        <v>33</v>
      </c>
      <c r="F2416" t="s">
        <v>2749</v>
      </c>
      <c r="G2416" t="s">
        <v>33</v>
      </c>
      <c r="H2416" t="s">
        <v>4840</v>
      </c>
      <c r="J2416">
        <v>10</v>
      </c>
    </row>
    <row r="2417" spans="1:10" x14ac:dyDescent="0.35">
      <c r="A2417">
        <v>6009802591765</v>
      </c>
      <c r="B2417" t="s">
        <v>2750</v>
      </c>
      <c r="C2417" t="s">
        <v>472</v>
      </c>
      <c r="D2417" t="s">
        <v>2751</v>
      </c>
      <c r="E2417" t="s">
        <v>33</v>
      </c>
      <c r="F2417" t="s">
        <v>2752</v>
      </c>
      <c r="G2417" t="s">
        <v>33</v>
      </c>
      <c r="H2417" t="s">
        <v>4841</v>
      </c>
      <c r="J2417">
        <v>154</v>
      </c>
    </row>
    <row r="2418" spans="1:10" x14ac:dyDescent="0.35">
      <c r="A2418">
        <v>6009802591802</v>
      </c>
      <c r="B2418" t="s">
        <v>2753</v>
      </c>
      <c r="C2418" t="s">
        <v>472</v>
      </c>
      <c r="D2418" t="s">
        <v>2751</v>
      </c>
      <c r="E2418" t="s">
        <v>33</v>
      </c>
      <c r="F2418" t="s">
        <v>2752</v>
      </c>
      <c r="G2418" t="s">
        <v>33</v>
      </c>
      <c r="H2418" t="s">
        <v>4841</v>
      </c>
      <c r="J2418">
        <v>117</v>
      </c>
    </row>
    <row r="2419" spans="1:10" x14ac:dyDescent="0.35">
      <c r="A2419">
        <v>6009802591918</v>
      </c>
      <c r="B2419" t="s">
        <v>2754</v>
      </c>
      <c r="C2419" t="s">
        <v>472</v>
      </c>
      <c r="D2419" t="s">
        <v>2749</v>
      </c>
      <c r="E2419" t="s">
        <v>33</v>
      </c>
      <c r="F2419" t="s">
        <v>2749</v>
      </c>
      <c r="G2419" t="s">
        <v>33</v>
      </c>
      <c r="H2419" t="s">
        <v>4840</v>
      </c>
      <c r="J2419">
        <v>74</v>
      </c>
    </row>
    <row r="2420" spans="1:10" x14ac:dyDescent="0.35">
      <c r="A2420">
        <v>6009802613023</v>
      </c>
      <c r="B2420" t="s">
        <v>793</v>
      </c>
      <c r="C2420" t="s">
        <v>9</v>
      </c>
      <c r="D2420" t="s">
        <v>2755</v>
      </c>
      <c r="E2420" t="s">
        <v>34</v>
      </c>
      <c r="F2420" t="s">
        <v>2756</v>
      </c>
      <c r="G2420" t="s">
        <v>34</v>
      </c>
      <c r="H2420" t="s">
        <v>4842</v>
      </c>
      <c r="J2420">
        <v>42</v>
      </c>
    </row>
    <row r="2421" spans="1:10" x14ac:dyDescent="0.35">
      <c r="A2421">
        <v>6009802613023</v>
      </c>
      <c r="B2421" t="s">
        <v>793</v>
      </c>
      <c r="C2421" t="s">
        <v>9</v>
      </c>
      <c r="D2421" t="s">
        <v>2755</v>
      </c>
      <c r="E2421" t="s">
        <v>34</v>
      </c>
      <c r="F2421" t="s">
        <v>2756</v>
      </c>
      <c r="G2421" t="s">
        <v>150</v>
      </c>
      <c r="H2421" t="s">
        <v>4842</v>
      </c>
      <c r="J2421">
        <v>4</v>
      </c>
    </row>
    <row r="2422" spans="1:10" x14ac:dyDescent="0.35">
      <c r="A2422">
        <v>6009802907016</v>
      </c>
      <c r="B2422" t="s">
        <v>2757</v>
      </c>
      <c r="C2422" t="s">
        <v>81</v>
      </c>
      <c r="D2422" t="s">
        <v>2758</v>
      </c>
      <c r="E2422" t="s">
        <v>308</v>
      </c>
      <c r="F2422" t="s">
        <v>309</v>
      </c>
      <c r="G2422" t="s">
        <v>34</v>
      </c>
      <c r="H2422" t="s">
        <v>4529</v>
      </c>
      <c r="J2422">
        <v>12</v>
      </c>
    </row>
    <row r="2423" spans="1:10" x14ac:dyDescent="0.35">
      <c r="A2423">
        <v>6009802913086</v>
      </c>
      <c r="B2423" t="s">
        <v>2759</v>
      </c>
      <c r="C2423" t="s">
        <v>9</v>
      </c>
      <c r="D2423" t="s">
        <v>2760</v>
      </c>
      <c r="E2423" t="s">
        <v>61</v>
      </c>
      <c r="F2423" t="s">
        <v>2296</v>
      </c>
      <c r="G2423" t="s">
        <v>34</v>
      </c>
      <c r="H2423" t="s">
        <v>4785</v>
      </c>
      <c r="J2423">
        <v>35</v>
      </c>
    </row>
    <row r="2424" spans="1:10" x14ac:dyDescent="0.35">
      <c r="A2424">
        <v>6009802913086</v>
      </c>
      <c r="B2424" t="s">
        <v>2759</v>
      </c>
      <c r="C2424" t="s">
        <v>9</v>
      </c>
      <c r="D2424" t="s">
        <v>2760</v>
      </c>
      <c r="E2424" t="s">
        <v>61</v>
      </c>
      <c r="F2424" t="s">
        <v>2296</v>
      </c>
      <c r="G2424" t="s">
        <v>61</v>
      </c>
      <c r="H2424" t="s">
        <v>4785</v>
      </c>
      <c r="J2424">
        <v>50</v>
      </c>
    </row>
    <row r="2425" spans="1:10" x14ac:dyDescent="0.35">
      <c r="A2425">
        <v>6009802913093</v>
      </c>
      <c r="B2425" t="s">
        <v>2761</v>
      </c>
      <c r="C2425" t="s">
        <v>192</v>
      </c>
      <c r="D2425" t="s">
        <v>2760</v>
      </c>
      <c r="E2425" t="s">
        <v>61</v>
      </c>
      <c r="F2425" t="s">
        <v>2296</v>
      </c>
      <c r="G2425" t="s">
        <v>33</v>
      </c>
      <c r="H2425" t="s">
        <v>4785</v>
      </c>
      <c r="J2425">
        <v>50</v>
      </c>
    </row>
    <row r="2426" spans="1:10" x14ac:dyDescent="0.35">
      <c r="A2426">
        <v>6009802913093</v>
      </c>
      <c r="B2426" t="s">
        <v>2761</v>
      </c>
      <c r="C2426" t="s">
        <v>192</v>
      </c>
      <c r="D2426" t="s">
        <v>2760</v>
      </c>
      <c r="E2426" t="s">
        <v>61</v>
      </c>
      <c r="F2426" t="s">
        <v>2296</v>
      </c>
      <c r="G2426" t="s">
        <v>34</v>
      </c>
      <c r="H2426" t="s">
        <v>4785</v>
      </c>
      <c r="J2426">
        <v>28</v>
      </c>
    </row>
    <row r="2427" spans="1:10" x14ac:dyDescent="0.35">
      <c r="A2427">
        <v>6009803227328</v>
      </c>
      <c r="B2427" t="s">
        <v>262</v>
      </c>
      <c r="C2427" t="s">
        <v>9</v>
      </c>
      <c r="D2427" t="s">
        <v>2762</v>
      </c>
      <c r="E2427" t="s">
        <v>15</v>
      </c>
      <c r="F2427" t="s">
        <v>56</v>
      </c>
      <c r="G2427" t="s">
        <v>578</v>
      </c>
      <c r="H2427" t="s">
        <v>4497</v>
      </c>
      <c r="J2427">
        <v>24</v>
      </c>
    </row>
    <row r="2428" spans="1:10" x14ac:dyDescent="0.35">
      <c r="A2428">
        <v>6009803227342</v>
      </c>
      <c r="B2428" t="s">
        <v>485</v>
      </c>
      <c r="C2428" t="s">
        <v>110</v>
      </c>
      <c r="D2428" t="s">
        <v>2762</v>
      </c>
      <c r="E2428" t="s">
        <v>15</v>
      </c>
      <c r="F2428" t="s">
        <v>56</v>
      </c>
      <c r="G2428" t="s">
        <v>578</v>
      </c>
      <c r="H2428" t="s">
        <v>4497</v>
      </c>
      <c r="J2428">
        <v>1</v>
      </c>
    </row>
    <row r="2429" spans="1:10" x14ac:dyDescent="0.35">
      <c r="A2429">
        <v>6009803612629</v>
      </c>
      <c r="B2429" t="s">
        <v>2763</v>
      </c>
      <c r="C2429" t="s">
        <v>36</v>
      </c>
      <c r="D2429" t="s">
        <v>2764</v>
      </c>
      <c r="E2429" t="s">
        <v>33</v>
      </c>
      <c r="F2429" t="s">
        <v>2764</v>
      </c>
      <c r="G2429" t="s">
        <v>33</v>
      </c>
      <c r="H2429" t="s">
        <v>4843</v>
      </c>
      <c r="J2429">
        <v>56</v>
      </c>
    </row>
    <row r="2430" spans="1:10" x14ac:dyDescent="0.35">
      <c r="A2430">
        <v>6009803612834</v>
      </c>
      <c r="B2430" t="s">
        <v>2765</v>
      </c>
      <c r="C2430" t="s">
        <v>1123</v>
      </c>
      <c r="D2430" t="s">
        <v>2766</v>
      </c>
      <c r="E2430" t="s">
        <v>20</v>
      </c>
      <c r="F2430" t="s">
        <v>1470</v>
      </c>
      <c r="G2430" t="s">
        <v>33</v>
      </c>
      <c r="H2430" t="s">
        <v>4691</v>
      </c>
      <c r="J2430">
        <v>50</v>
      </c>
    </row>
    <row r="2431" spans="1:10" x14ac:dyDescent="0.35">
      <c r="A2431">
        <v>6009803612858</v>
      </c>
      <c r="B2431" t="s">
        <v>2765</v>
      </c>
      <c r="C2431" t="s">
        <v>69</v>
      </c>
      <c r="D2431" t="s">
        <v>2766</v>
      </c>
      <c r="E2431" t="s">
        <v>20</v>
      </c>
      <c r="F2431" t="s">
        <v>1470</v>
      </c>
      <c r="G2431" t="s">
        <v>33</v>
      </c>
      <c r="H2431" t="s">
        <v>4691</v>
      </c>
      <c r="J2431">
        <v>50</v>
      </c>
    </row>
    <row r="2432" spans="1:10" x14ac:dyDescent="0.35">
      <c r="A2432">
        <v>6009803612988</v>
      </c>
      <c r="B2432" t="s">
        <v>904</v>
      </c>
      <c r="C2432" t="s">
        <v>9</v>
      </c>
      <c r="D2432" t="s">
        <v>2767</v>
      </c>
      <c r="E2432" t="s">
        <v>33</v>
      </c>
      <c r="F2432" t="s">
        <v>2767</v>
      </c>
      <c r="G2432" t="s">
        <v>33</v>
      </c>
      <c r="H2432" t="s">
        <v>4844</v>
      </c>
      <c r="J2432">
        <v>16</v>
      </c>
    </row>
    <row r="2433" spans="1:10" x14ac:dyDescent="0.35">
      <c r="A2433">
        <v>6009803672241</v>
      </c>
      <c r="B2433" t="s">
        <v>2768</v>
      </c>
      <c r="C2433" t="s">
        <v>603</v>
      </c>
      <c r="D2433" t="s">
        <v>273</v>
      </c>
      <c r="E2433" t="s">
        <v>15</v>
      </c>
      <c r="F2433" t="s">
        <v>56</v>
      </c>
      <c r="G2433" t="s">
        <v>34</v>
      </c>
      <c r="H2433" t="s">
        <v>4497</v>
      </c>
      <c r="J2433">
        <v>1</v>
      </c>
    </row>
    <row r="2434" spans="1:10" x14ac:dyDescent="0.35">
      <c r="A2434">
        <v>6009803672500</v>
      </c>
      <c r="B2434" t="s">
        <v>2769</v>
      </c>
      <c r="C2434" t="s">
        <v>336</v>
      </c>
      <c r="D2434" t="s">
        <v>2427</v>
      </c>
      <c r="E2434" t="s">
        <v>578</v>
      </c>
      <c r="F2434" t="s">
        <v>2217</v>
      </c>
      <c r="G2434" t="s">
        <v>33</v>
      </c>
      <c r="H2434" t="s">
        <v>4768</v>
      </c>
      <c r="J2434">
        <v>114</v>
      </c>
    </row>
    <row r="2435" spans="1:10" x14ac:dyDescent="0.35">
      <c r="A2435">
        <v>6009803672500</v>
      </c>
      <c r="B2435" t="s">
        <v>2769</v>
      </c>
      <c r="C2435" t="s">
        <v>336</v>
      </c>
      <c r="D2435" t="s">
        <v>2427</v>
      </c>
      <c r="E2435" t="s">
        <v>578</v>
      </c>
      <c r="F2435" t="s">
        <v>2217</v>
      </c>
      <c r="G2435" t="s">
        <v>34</v>
      </c>
      <c r="H2435" t="s">
        <v>4768</v>
      </c>
      <c r="J2435">
        <v>50</v>
      </c>
    </row>
    <row r="2436" spans="1:10" x14ac:dyDescent="0.35">
      <c r="A2436">
        <v>6009803672500</v>
      </c>
      <c r="B2436" t="s">
        <v>2769</v>
      </c>
      <c r="C2436" t="s">
        <v>336</v>
      </c>
      <c r="D2436" t="s">
        <v>2427</v>
      </c>
      <c r="E2436" t="s">
        <v>578</v>
      </c>
      <c r="F2436" t="s">
        <v>2217</v>
      </c>
      <c r="G2436" t="s">
        <v>578</v>
      </c>
      <c r="H2436" t="s">
        <v>4768</v>
      </c>
      <c r="J2436">
        <v>2</v>
      </c>
    </row>
    <row r="2437" spans="1:10" x14ac:dyDescent="0.35">
      <c r="A2437">
        <v>6009803726821</v>
      </c>
      <c r="B2437" t="s">
        <v>2770</v>
      </c>
      <c r="C2437" t="s">
        <v>2771</v>
      </c>
      <c r="D2437" t="s">
        <v>2772</v>
      </c>
      <c r="E2437" t="s">
        <v>2773</v>
      </c>
      <c r="F2437" t="s">
        <v>2774</v>
      </c>
      <c r="G2437" t="s">
        <v>34</v>
      </c>
      <c r="H2437" t="s">
        <v>4845</v>
      </c>
      <c r="J2437">
        <v>1</v>
      </c>
    </row>
    <row r="2438" spans="1:10" x14ac:dyDescent="0.35">
      <c r="A2438">
        <v>6009804011018</v>
      </c>
      <c r="B2438" t="s">
        <v>2775</v>
      </c>
      <c r="C2438" t="s">
        <v>9</v>
      </c>
      <c r="D2438" t="s">
        <v>1044</v>
      </c>
      <c r="E2438" t="s">
        <v>15</v>
      </c>
      <c r="F2438" t="s">
        <v>56</v>
      </c>
      <c r="G2438" t="s">
        <v>117</v>
      </c>
      <c r="H2438" t="s">
        <v>4497</v>
      </c>
      <c r="J2438">
        <v>13</v>
      </c>
    </row>
    <row r="2439" spans="1:10" x14ac:dyDescent="0.35">
      <c r="A2439">
        <v>6009804011056</v>
      </c>
      <c r="B2439" t="s">
        <v>2776</v>
      </c>
      <c r="C2439" t="s">
        <v>9</v>
      </c>
      <c r="D2439" t="s">
        <v>1044</v>
      </c>
      <c r="E2439" t="s">
        <v>15</v>
      </c>
      <c r="F2439" t="s">
        <v>56</v>
      </c>
      <c r="G2439" t="s">
        <v>117</v>
      </c>
      <c r="H2439" t="s">
        <v>4497</v>
      </c>
      <c r="J2439">
        <v>8</v>
      </c>
    </row>
    <row r="2440" spans="1:10" x14ac:dyDescent="0.35">
      <c r="A2440">
        <v>6009804011070</v>
      </c>
      <c r="B2440" t="s">
        <v>2776</v>
      </c>
      <c r="C2440" t="s">
        <v>214</v>
      </c>
      <c r="D2440" t="s">
        <v>1044</v>
      </c>
      <c r="E2440" t="s">
        <v>15</v>
      </c>
      <c r="F2440" t="s">
        <v>56</v>
      </c>
      <c r="G2440" t="s">
        <v>117</v>
      </c>
      <c r="H2440" t="s">
        <v>4497</v>
      </c>
      <c r="J2440">
        <v>1</v>
      </c>
    </row>
    <row r="2441" spans="1:10" x14ac:dyDescent="0.35">
      <c r="A2441">
        <v>6009804011100</v>
      </c>
      <c r="B2441" t="s">
        <v>2713</v>
      </c>
      <c r="C2441" t="s">
        <v>9</v>
      </c>
      <c r="D2441" t="s">
        <v>1044</v>
      </c>
      <c r="E2441" t="s">
        <v>15</v>
      </c>
      <c r="F2441" t="s">
        <v>56</v>
      </c>
      <c r="G2441" t="s">
        <v>117</v>
      </c>
      <c r="H2441" t="s">
        <v>4497</v>
      </c>
      <c r="J2441">
        <v>2</v>
      </c>
    </row>
    <row r="2442" spans="1:10" x14ac:dyDescent="0.35">
      <c r="A2442">
        <v>6009804011148</v>
      </c>
      <c r="B2442" t="s">
        <v>2777</v>
      </c>
      <c r="C2442" t="s">
        <v>9</v>
      </c>
      <c r="D2442" t="s">
        <v>1044</v>
      </c>
      <c r="E2442" t="s">
        <v>15</v>
      </c>
      <c r="F2442" t="s">
        <v>56</v>
      </c>
      <c r="G2442" t="s">
        <v>117</v>
      </c>
      <c r="H2442" t="s">
        <v>4497</v>
      </c>
      <c r="J2442">
        <v>1</v>
      </c>
    </row>
    <row r="2443" spans="1:10" x14ac:dyDescent="0.35">
      <c r="A2443">
        <v>6009804011186</v>
      </c>
      <c r="B2443" t="s">
        <v>2778</v>
      </c>
      <c r="C2443" t="s">
        <v>9</v>
      </c>
      <c r="D2443" t="s">
        <v>1044</v>
      </c>
      <c r="E2443" t="s">
        <v>15</v>
      </c>
      <c r="F2443" t="s">
        <v>56</v>
      </c>
      <c r="G2443" t="s">
        <v>117</v>
      </c>
      <c r="H2443" t="s">
        <v>4497</v>
      </c>
      <c r="J2443">
        <v>9</v>
      </c>
    </row>
    <row r="2444" spans="1:10" x14ac:dyDescent="0.35">
      <c r="A2444">
        <v>6009804011209</v>
      </c>
      <c r="B2444" t="s">
        <v>2778</v>
      </c>
      <c r="C2444" t="s">
        <v>1397</v>
      </c>
      <c r="D2444" t="s">
        <v>1044</v>
      </c>
      <c r="E2444" t="s">
        <v>15</v>
      </c>
      <c r="F2444" t="s">
        <v>56</v>
      </c>
      <c r="G2444" t="s">
        <v>117</v>
      </c>
      <c r="H2444" t="s">
        <v>4497</v>
      </c>
      <c r="J2444">
        <v>1</v>
      </c>
    </row>
    <row r="2445" spans="1:10" x14ac:dyDescent="0.35">
      <c r="A2445">
        <v>6009804011223</v>
      </c>
      <c r="B2445" t="s">
        <v>772</v>
      </c>
      <c r="C2445" t="s">
        <v>9</v>
      </c>
      <c r="D2445" t="s">
        <v>273</v>
      </c>
      <c r="E2445" t="s">
        <v>15</v>
      </c>
      <c r="F2445" t="s">
        <v>56</v>
      </c>
      <c r="G2445" t="s">
        <v>117</v>
      </c>
      <c r="H2445" t="s">
        <v>4497</v>
      </c>
      <c r="J2445">
        <v>70</v>
      </c>
    </row>
    <row r="2446" spans="1:10" x14ac:dyDescent="0.35">
      <c r="A2446">
        <v>6009804011261</v>
      </c>
      <c r="B2446" t="s">
        <v>2779</v>
      </c>
      <c r="C2446" t="s">
        <v>9</v>
      </c>
      <c r="D2446" t="s">
        <v>273</v>
      </c>
      <c r="E2446" t="s">
        <v>15</v>
      </c>
      <c r="F2446" t="s">
        <v>56</v>
      </c>
      <c r="G2446" t="s">
        <v>117</v>
      </c>
      <c r="H2446" t="s">
        <v>4497</v>
      </c>
      <c r="J2446">
        <v>5</v>
      </c>
    </row>
    <row r="2447" spans="1:10" x14ac:dyDescent="0.35">
      <c r="A2447">
        <v>6009804011278</v>
      </c>
      <c r="B2447" t="s">
        <v>2779</v>
      </c>
      <c r="C2447" t="s">
        <v>110</v>
      </c>
      <c r="D2447" t="s">
        <v>273</v>
      </c>
      <c r="E2447" t="s">
        <v>15</v>
      </c>
      <c r="F2447" t="s">
        <v>56</v>
      </c>
      <c r="G2447" t="s">
        <v>117</v>
      </c>
      <c r="H2447" t="s">
        <v>4497</v>
      </c>
      <c r="J2447">
        <v>6</v>
      </c>
    </row>
    <row r="2448" spans="1:10" x14ac:dyDescent="0.35">
      <c r="A2448">
        <v>6009804011346</v>
      </c>
      <c r="B2448" t="s">
        <v>2780</v>
      </c>
      <c r="C2448" t="s">
        <v>9</v>
      </c>
      <c r="D2448" t="s">
        <v>24</v>
      </c>
      <c r="E2448" t="s">
        <v>15</v>
      </c>
      <c r="F2448" t="s">
        <v>25</v>
      </c>
      <c r="G2448" t="s">
        <v>117</v>
      </c>
      <c r="H2448" t="s">
        <v>4491</v>
      </c>
      <c r="J2448">
        <v>8</v>
      </c>
    </row>
    <row r="2449" spans="1:10" x14ac:dyDescent="0.35">
      <c r="A2449">
        <v>6009804011353</v>
      </c>
      <c r="B2449" t="s">
        <v>2780</v>
      </c>
      <c r="C2449" t="s">
        <v>110</v>
      </c>
      <c r="D2449" t="s">
        <v>24</v>
      </c>
      <c r="E2449" t="s">
        <v>15</v>
      </c>
      <c r="F2449" t="s">
        <v>25</v>
      </c>
      <c r="G2449" t="s">
        <v>117</v>
      </c>
      <c r="H2449" t="s">
        <v>4491</v>
      </c>
      <c r="J2449">
        <v>1</v>
      </c>
    </row>
    <row r="2450" spans="1:10" x14ac:dyDescent="0.35">
      <c r="A2450">
        <v>6009804011452</v>
      </c>
      <c r="B2450" t="s">
        <v>295</v>
      </c>
      <c r="C2450" t="s">
        <v>272</v>
      </c>
      <c r="D2450" t="s">
        <v>2781</v>
      </c>
      <c r="E2450" t="s">
        <v>117</v>
      </c>
      <c r="F2450" t="s">
        <v>2782</v>
      </c>
      <c r="G2450" t="s">
        <v>117</v>
      </c>
      <c r="H2450" t="s">
        <v>4846</v>
      </c>
      <c r="J2450">
        <v>3</v>
      </c>
    </row>
    <row r="2451" spans="1:10" x14ac:dyDescent="0.35">
      <c r="A2451">
        <v>6009804011551</v>
      </c>
      <c r="B2451" t="s">
        <v>668</v>
      </c>
      <c r="C2451" t="s">
        <v>83</v>
      </c>
      <c r="D2451" t="s">
        <v>273</v>
      </c>
      <c r="E2451" t="s">
        <v>15</v>
      </c>
      <c r="F2451" t="s">
        <v>56</v>
      </c>
      <c r="G2451" t="s">
        <v>117</v>
      </c>
      <c r="H2451" t="s">
        <v>4497</v>
      </c>
      <c r="J2451">
        <v>14</v>
      </c>
    </row>
    <row r="2452" spans="1:10" x14ac:dyDescent="0.35">
      <c r="A2452">
        <v>6009804011568</v>
      </c>
      <c r="B2452" t="s">
        <v>2779</v>
      </c>
      <c r="C2452" t="s">
        <v>83</v>
      </c>
      <c r="D2452" t="s">
        <v>273</v>
      </c>
      <c r="E2452" t="s">
        <v>15</v>
      </c>
      <c r="F2452" t="s">
        <v>56</v>
      </c>
      <c r="G2452" t="s">
        <v>117</v>
      </c>
      <c r="H2452" t="s">
        <v>4497</v>
      </c>
      <c r="J2452">
        <v>10</v>
      </c>
    </row>
    <row r="2453" spans="1:10" x14ac:dyDescent="0.35">
      <c r="A2453">
        <v>6009804011575</v>
      </c>
      <c r="B2453" t="s">
        <v>2776</v>
      </c>
      <c r="C2453" t="s">
        <v>83</v>
      </c>
      <c r="D2453" t="s">
        <v>1044</v>
      </c>
      <c r="E2453" t="s">
        <v>15</v>
      </c>
      <c r="F2453" t="s">
        <v>56</v>
      </c>
      <c r="G2453" t="s">
        <v>117</v>
      </c>
      <c r="H2453" t="s">
        <v>4497</v>
      </c>
      <c r="J2453">
        <v>5</v>
      </c>
    </row>
    <row r="2454" spans="1:10" x14ac:dyDescent="0.35">
      <c r="A2454">
        <v>6009804011599</v>
      </c>
      <c r="B2454" t="s">
        <v>2713</v>
      </c>
      <c r="C2454" t="s">
        <v>83</v>
      </c>
      <c r="D2454" t="s">
        <v>1044</v>
      </c>
      <c r="E2454" t="s">
        <v>15</v>
      </c>
      <c r="F2454" t="s">
        <v>56</v>
      </c>
      <c r="G2454" t="s">
        <v>117</v>
      </c>
      <c r="H2454" t="s">
        <v>4497</v>
      </c>
      <c r="J2454">
        <v>7</v>
      </c>
    </row>
    <row r="2455" spans="1:10" x14ac:dyDescent="0.35">
      <c r="A2455">
        <v>6009804020072</v>
      </c>
      <c r="B2455" t="s">
        <v>2783</v>
      </c>
      <c r="C2455" t="s">
        <v>214</v>
      </c>
      <c r="D2455" t="s">
        <v>2784</v>
      </c>
      <c r="E2455" t="s">
        <v>308</v>
      </c>
      <c r="F2455" t="s">
        <v>309</v>
      </c>
      <c r="G2455" t="s">
        <v>33</v>
      </c>
      <c r="H2455" t="s">
        <v>4529</v>
      </c>
      <c r="J2455">
        <v>5</v>
      </c>
    </row>
    <row r="2456" spans="1:10" x14ac:dyDescent="0.35">
      <c r="A2456">
        <v>6009804040506</v>
      </c>
      <c r="B2456" t="s">
        <v>1836</v>
      </c>
      <c r="C2456" t="s">
        <v>326</v>
      </c>
      <c r="D2456" t="s">
        <v>1837</v>
      </c>
      <c r="E2456" t="s">
        <v>34</v>
      </c>
      <c r="F2456" t="s">
        <v>1838</v>
      </c>
      <c r="G2456" t="s">
        <v>34</v>
      </c>
      <c r="H2456" t="s">
        <v>4736</v>
      </c>
      <c r="J2456">
        <v>35</v>
      </c>
    </row>
    <row r="2457" spans="1:10" x14ac:dyDescent="0.35">
      <c r="A2457">
        <v>6009804040612</v>
      </c>
      <c r="B2457" t="s">
        <v>920</v>
      </c>
      <c r="C2457" t="s">
        <v>9</v>
      </c>
      <c r="D2457" t="s">
        <v>2785</v>
      </c>
      <c r="E2457" t="s">
        <v>34</v>
      </c>
      <c r="F2457" t="s">
        <v>1838</v>
      </c>
      <c r="G2457" t="s">
        <v>34</v>
      </c>
      <c r="H2457" t="s">
        <v>4736</v>
      </c>
      <c r="J2457">
        <v>1507</v>
      </c>
    </row>
    <row r="2458" spans="1:10" x14ac:dyDescent="0.35">
      <c r="A2458">
        <v>6009804040629</v>
      </c>
      <c r="B2458" t="s">
        <v>920</v>
      </c>
      <c r="C2458" t="s">
        <v>192</v>
      </c>
      <c r="D2458" t="s">
        <v>2785</v>
      </c>
      <c r="E2458" t="s">
        <v>34</v>
      </c>
      <c r="F2458" t="s">
        <v>1838</v>
      </c>
      <c r="G2458" t="s">
        <v>34</v>
      </c>
      <c r="H2458" t="s">
        <v>4736</v>
      </c>
      <c r="J2458">
        <v>1049</v>
      </c>
    </row>
    <row r="2459" spans="1:10" x14ac:dyDescent="0.35">
      <c r="A2459">
        <v>6009804040636</v>
      </c>
      <c r="B2459" t="s">
        <v>2786</v>
      </c>
      <c r="C2459">
        <v>600</v>
      </c>
      <c r="D2459" t="s">
        <v>2785</v>
      </c>
      <c r="E2459" t="s">
        <v>34</v>
      </c>
      <c r="F2459" t="s">
        <v>1838</v>
      </c>
      <c r="G2459" t="s">
        <v>34</v>
      </c>
      <c r="H2459" t="s">
        <v>4736</v>
      </c>
      <c r="J2459">
        <v>1</v>
      </c>
    </row>
    <row r="2460" spans="1:10" x14ac:dyDescent="0.35">
      <c r="A2460">
        <v>6009804040919</v>
      </c>
      <c r="B2460" t="s">
        <v>2788</v>
      </c>
      <c r="C2460" t="s">
        <v>681</v>
      </c>
      <c r="D2460" t="s">
        <v>2785</v>
      </c>
      <c r="E2460" t="s">
        <v>34</v>
      </c>
      <c r="F2460" t="s">
        <v>1838</v>
      </c>
      <c r="G2460" t="s">
        <v>34</v>
      </c>
      <c r="H2460" t="s">
        <v>4736</v>
      </c>
      <c r="J2460">
        <v>85</v>
      </c>
    </row>
    <row r="2461" spans="1:10" x14ac:dyDescent="0.35">
      <c r="A2461">
        <v>6009804040926</v>
      </c>
      <c r="B2461" t="s">
        <v>1839</v>
      </c>
      <c r="C2461" t="s">
        <v>2400</v>
      </c>
      <c r="D2461" t="s">
        <v>2785</v>
      </c>
      <c r="E2461" t="s">
        <v>34</v>
      </c>
      <c r="F2461" t="s">
        <v>1838</v>
      </c>
      <c r="G2461" t="s">
        <v>34</v>
      </c>
      <c r="H2461" t="s">
        <v>4736</v>
      </c>
      <c r="J2461">
        <v>206</v>
      </c>
    </row>
    <row r="2462" spans="1:10" x14ac:dyDescent="0.35">
      <c r="A2462">
        <v>6009804040971</v>
      </c>
      <c r="B2462" t="s">
        <v>485</v>
      </c>
      <c r="C2462" t="s">
        <v>9</v>
      </c>
      <c r="D2462" t="s">
        <v>1837</v>
      </c>
      <c r="E2462" t="s">
        <v>34</v>
      </c>
      <c r="F2462" t="s">
        <v>1838</v>
      </c>
      <c r="G2462" t="s">
        <v>34</v>
      </c>
      <c r="H2462" t="s">
        <v>4736</v>
      </c>
      <c r="I2462">
        <v>19.75</v>
      </c>
      <c r="J2462">
        <v>3831</v>
      </c>
    </row>
    <row r="2463" spans="1:10" x14ac:dyDescent="0.35">
      <c r="A2463">
        <v>6009804040988</v>
      </c>
      <c r="B2463" t="s">
        <v>790</v>
      </c>
      <c r="C2463" t="s">
        <v>192</v>
      </c>
      <c r="D2463" t="s">
        <v>1837</v>
      </c>
      <c r="E2463" t="s">
        <v>34</v>
      </c>
      <c r="F2463" t="s">
        <v>1838</v>
      </c>
      <c r="G2463" t="s">
        <v>34</v>
      </c>
      <c r="H2463" t="s">
        <v>4736</v>
      </c>
      <c r="I2463">
        <v>36</v>
      </c>
      <c r="J2463">
        <v>827</v>
      </c>
    </row>
    <row r="2464" spans="1:10" x14ac:dyDescent="0.35">
      <c r="A2464">
        <v>6009815370005</v>
      </c>
      <c r="B2464" t="s">
        <v>2789</v>
      </c>
      <c r="C2464" t="s">
        <v>2790</v>
      </c>
      <c r="D2464" t="s">
        <v>963</v>
      </c>
      <c r="E2464" t="s">
        <v>964</v>
      </c>
      <c r="F2464" t="s">
        <v>965</v>
      </c>
      <c r="G2464" t="s">
        <v>61</v>
      </c>
      <c r="H2464" t="s">
        <v>4629</v>
      </c>
      <c r="J2464">
        <v>1</v>
      </c>
    </row>
    <row r="2465" spans="1:10" x14ac:dyDescent="0.35">
      <c r="A2465">
        <v>6009816450003</v>
      </c>
      <c r="B2465" t="s">
        <v>2791</v>
      </c>
      <c r="C2465" t="s">
        <v>576</v>
      </c>
      <c r="D2465" t="s">
        <v>2792</v>
      </c>
      <c r="E2465" t="s">
        <v>308</v>
      </c>
      <c r="F2465" t="s">
        <v>309</v>
      </c>
      <c r="G2465" t="s">
        <v>31</v>
      </c>
      <c r="H2465" t="s">
        <v>4529</v>
      </c>
      <c r="J2465">
        <v>15</v>
      </c>
    </row>
    <row r="2466" spans="1:10" x14ac:dyDescent="0.35">
      <c r="A2466">
        <v>6009816450003</v>
      </c>
      <c r="B2466" t="s">
        <v>2791</v>
      </c>
      <c r="C2466" t="s">
        <v>576</v>
      </c>
      <c r="D2466" t="s">
        <v>2792</v>
      </c>
      <c r="E2466" t="s">
        <v>308</v>
      </c>
      <c r="F2466" t="s">
        <v>309</v>
      </c>
      <c r="G2466" t="s">
        <v>578</v>
      </c>
      <c r="H2466" t="s">
        <v>4529</v>
      </c>
      <c r="J2466">
        <v>3</v>
      </c>
    </row>
    <row r="2467" spans="1:10" x14ac:dyDescent="0.35">
      <c r="A2467">
        <v>6009816450102</v>
      </c>
      <c r="B2467" t="s">
        <v>2793</v>
      </c>
      <c r="C2467" t="s">
        <v>576</v>
      </c>
      <c r="D2467" t="s">
        <v>2792</v>
      </c>
      <c r="E2467" t="s">
        <v>308</v>
      </c>
      <c r="F2467" t="s">
        <v>309</v>
      </c>
      <c r="G2467" t="s">
        <v>578</v>
      </c>
      <c r="H2467" t="s">
        <v>4529</v>
      </c>
      <c r="J2467">
        <v>2</v>
      </c>
    </row>
    <row r="2468" spans="1:10" x14ac:dyDescent="0.35">
      <c r="A2468">
        <v>6009816450492</v>
      </c>
      <c r="B2468" t="s">
        <v>2794</v>
      </c>
      <c r="C2468" t="s">
        <v>576</v>
      </c>
      <c r="D2468" t="s">
        <v>2792</v>
      </c>
      <c r="E2468" t="s">
        <v>308</v>
      </c>
      <c r="F2468" t="s">
        <v>309</v>
      </c>
      <c r="G2468" t="s">
        <v>31</v>
      </c>
      <c r="H2468" t="s">
        <v>4529</v>
      </c>
      <c r="J2468">
        <v>1</v>
      </c>
    </row>
    <row r="2469" spans="1:10" x14ac:dyDescent="0.35">
      <c r="A2469">
        <v>6009816450492</v>
      </c>
      <c r="B2469" t="s">
        <v>2794</v>
      </c>
      <c r="C2469" t="s">
        <v>576</v>
      </c>
      <c r="D2469" t="s">
        <v>2792</v>
      </c>
      <c r="E2469" t="s">
        <v>308</v>
      </c>
      <c r="F2469" t="s">
        <v>309</v>
      </c>
      <c r="G2469" t="s">
        <v>578</v>
      </c>
      <c r="H2469" t="s">
        <v>4529</v>
      </c>
      <c r="J2469">
        <v>1</v>
      </c>
    </row>
    <row r="2470" spans="1:10" x14ac:dyDescent="0.35">
      <c r="A2470">
        <v>600981699295</v>
      </c>
      <c r="B2470" t="s">
        <v>2733</v>
      </c>
      <c r="C2470" t="s">
        <v>78</v>
      </c>
      <c r="D2470" t="s">
        <v>2734</v>
      </c>
      <c r="E2470" t="s">
        <v>34</v>
      </c>
      <c r="F2470" t="s">
        <v>2735</v>
      </c>
      <c r="G2470" t="s">
        <v>34</v>
      </c>
      <c r="H2470" t="s">
        <v>4837</v>
      </c>
      <c r="J2470">
        <v>1</v>
      </c>
    </row>
    <row r="2471" spans="1:10" x14ac:dyDescent="0.35">
      <c r="A2471">
        <v>6009817150001</v>
      </c>
      <c r="B2471" t="s">
        <v>2795</v>
      </c>
      <c r="C2471" t="s">
        <v>9</v>
      </c>
      <c r="D2471" t="s">
        <v>2796</v>
      </c>
      <c r="E2471" t="s">
        <v>308</v>
      </c>
      <c r="F2471" t="s">
        <v>309</v>
      </c>
      <c r="G2471" t="s">
        <v>578</v>
      </c>
      <c r="H2471" t="s">
        <v>4529</v>
      </c>
      <c r="J2471">
        <v>1</v>
      </c>
    </row>
    <row r="2472" spans="1:10" x14ac:dyDescent="0.35">
      <c r="A2472">
        <v>6009818350257</v>
      </c>
      <c r="B2472" t="s">
        <v>2797</v>
      </c>
      <c r="C2472" t="s">
        <v>78</v>
      </c>
      <c r="D2472" t="s">
        <v>2798</v>
      </c>
      <c r="E2472" t="s">
        <v>308</v>
      </c>
      <c r="F2472" t="s">
        <v>309</v>
      </c>
      <c r="G2472" t="s">
        <v>34</v>
      </c>
      <c r="H2472" t="s">
        <v>4529</v>
      </c>
      <c r="J2472">
        <v>4</v>
      </c>
    </row>
    <row r="2473" spans="1:10" x14ac:dyDescent="0.35">
      <c r="A2473">
        <v>6009818350257</v>
      </c>
      <c r="B2473" t="s">
        <v>2797</v>
      </c>
      <c r="C2473" t="s">
        <v>78</v>
      </c>
      <c r="D2473" t="s">
        <v>2798</v>
      </c>
      <c r="E2473" t="s">
        <v>308</v>
      </c>
      <c r="F2473" t="s">
        <v>309</v>
      </c>
      <c r="G2473" t="s">
        <v>150</v>
      </c>
      <c r="H2473" t="s">
        <v>4529</v>
      </c>
      <c r="J2473">
        <v>1</v>
      </c>
    </row>
    <row r="2474" spans="1:10" x14ac:dyDescent="0.35">
      <c r="A2474">
        <v>6009818350738</v>
      </c>
      <c r="B2474" t="s">
        <v>2799</v>
      </c>
      <c r="C2474">
        <v>2</v>
      </c>
      <c r="D2474" t="s">
        <v>2798</v>
      </c>
      <c r="E2474" t="s">
        <v>308</v>
      </c>
      <c r="F2474" t="s">
        <v>309</v>
      </c>
      <c r="G2474" t="s">
        <v>34</v>
      </c>
      <c r="H2474" t="s">
        <v>4529</v>
      </c>
      <c r="J2474">
        <v>1</v>
      </c>
    </row>
    <row r="2475" spans="1:10" x14ac:dyDescent="0.35">
      <c r="A2475">
        <v>6009822340954</v>
      </c>
      <c r="B2475" t="s">
        <v>2399</v>
      </c>
      <c r="C2475" t="s">
        <v>75</v>
      </c>
      <c r="D2475" t="s">
        <v>2800</v>
      </c>
      <c r="E2475" t="s">
        <v>34</v>
      </c>
      <c r="F2475" t="s">
        <v>2801</v>
      </c>
      <c r="G2475" t="s">
        <v>34</v>
      </c>
      <c r="H2475" t="s">
        <v>4847</v>
      </c>
      <c r="J2475">
        <v>20</v>
      </c>
    </row>
    <row r="2476" spans="1:10" x14ac:dyDescent="0.35">
      <c r="A2476">
        <v>6009822340961</v>
      </c>
      <c r="B2476" t="s">
        <v>2802</v>
      </c>
      <c r="C2476" t="s">
        <v>1199</v>
      </c>
      <c r="D2476" t="s">
        <v>2800</v>
      </c>
      <c r="E2476" t="s">
        <v>34</v>
      </c>
      <c r="F2476" t="s">
        <v>2801</v>
      </c>
      <c r="G2476" t="s">
        <v>34</v>
      </c>
      <c r="H2476" t="s">
        <v>4847</v>
      </c>
      <c r="J2476">
        <v>440</v>
      </c>
    </row>
    <row r="2477" spans="1:10" x14ac:dyDescent="0.35">
      <c r="A2477">
        <v>6009822340961</v>
      </c>
      <c r="B2477" t="s">
        <v>2802</v>
      </c>
      <c r="C2477" t="s">
        <v>1199</v>
      </c>
      <c r="D2477" t="s">
        <v>2800</v>
      </c>
      <c r="E2477" t="s">
        <v>34</v>
      </c>
      <c r="F2477" t="s">
        <v>2801</v>
      </c>
      <c r="G2477" t="s">
        <v>150</v>
      </c>
      <c r="H2477" t="s">
        <v>4847</v>
      </c>
      <c r="J2477">
        <v>17</v>
      </c>
    </row>
    <row r="2478" spans="1:10" x14ac:dyDescent="0.35">
      <c r="A2478">
        <v>6009822340978</v>
      </c>
      <c r="B2478" t="s">
        <v>2803</v>
      </c>
      <c r="C2478" t="s">
        <v>9</v>
      </c>
      <c r="D2478" t="s">
        <v>2800</v>
      </c>
      <c r="E2478" t="s">
        <v>34</v>
      </c>
      <c r="F2478" t="s">
        <v>2801</v>
      </c>
      <c r="G2478" t="s">
        <v>34</v>
      </c>
      <c r="H2478" t="s">
        <v>4847</v>
      </c>
      <c r="J2478">
        <v>837</v>
      </c>
    </row>
    <row r="2479" spans="1:10" x14ac:dyDescent="0.35">
      <c r="A2479">
        <v>6009822340985</v>
      </c>
      <c r="B2479" t="s">
        <v>793</v>
      </c>
      <c r="C2479" t="s">
        <v>192</v>
      </c>
      <c r="D2479" t="s">
        <v>2800</v>
      </c>
      <c r="E2479" t="s">
        <v>34</v>
      </c>
      <c r="F2479" t="s">
        <v>2801</v>
      </c>
      <c r="G2479" t="s">
        <v>34</v>
      </c>
      <c r="H2479" t="s">
        <v>4847</v>
      </c>
      <c r="J2479">
        <v>359</v>
      </c>
    </row>
    <row r="2480" spans="1:10" x14ac:dyDescent="0.35">
      <c r="A2480">
        <v>6009824524659</v>
      </c>
      <c r="B2480" t="s">
        <v>2804</v>
      </c>
      <c r="C2480" t="s">
        <v>81</v>
      </c>
      <c r="D2480" t="s">
        <v>2767</v>
      </c>
      <c r="E2480" t="s">
        <v>33</v>
      </c>
      <c r="F2480" t="s">
        <v>2767</v>
      </c>
      <c r="G2480" t="s">
        <v>33</v>
      </c>
      <c r="H2480" t="s">
        <v>4844</v>
      </c>
      <c r="J2480">
        <v>5</v>
      </c>
    </row>
    <row r="2481" spans="1:10" x14ac:dyDescent="0.35">
      <c r="A2481">
        <v>6009827410027</v>
      </c>
      <c r="B2481" t="s">
        <v>2661</v>
      </c>
      <c r="C2481" t="s">
        <v>78</v>
      </c>
      <c r="D2481" t="s">
        <v>2805</v>
      </c>
      <c r="E2481" t="s">
        <v>33</v>
      </c>
      <c r="F2481" t="s">
        <v>2806</v>
      </c>
      <c r="G2481" t="s">
        <v>33</v>
      </c>
      <c r="H2481" t="s">
        <v>4848</v>
      </c>
      <c r="J2481">
        <v>124</v>
      </c>
    </row>
    <row r="2482" spans="1:10" x14ac:dyDescent="0.35">
      <c r="A2482">
        <v>6009827410027</v>
      </c>
      <c r="B2482" t="s">
        <v>2661</v>
      </c>
      <c r="C2482" t="s">
        <v>78</v>
      </c>
      <c r="D2482" t="s">
        <v>2805</v>
      </c>
      <c r="E2482" t="s">
        <v>33</v>
      </c>
      <c r="F2482" t="s">
        <v>2806</v>
      </c>
      <c r="G2482" t="s">
        <v>31</v>
      </c>
      <c r="H2482" t="s">
        <v>4848</v>
      </c>
      <c r="J2482">
        <v>13</v>
      </c>
    </row>
    <row r="2483" spans="1:10" x14ac:dyDescent="0.35">
      <c r="A2483">
        <v>6009827410041</v>
      </c>
      <c r="B2483" t="s">
        <v>2661</v>
      </c>
      <c r="C2483" t="s">
        <v>272</v>
      </c>
      <c r="D2483" t="s">
        <v>2805</v>
      </c>
      <c r="E2483" t="s">
        <v>33</v>
      </c>
      <c r="F2483" t="s">
        <v>2806</v>
      </c>
      <c r="G2483" t="s">
        <v>33</v>
      </c>
      <c r="H2483" t="s">
        <v>4848</v>
      </c>
      <c r="J2483">
        <v>79</v>
      </c>
    </row>
    <row r="2484" spans="1:10" x14ac:dyDescent="0.35">
      <c r="A2484">
        <v>6009827410058</v>
      </c>
      <c r="B2484" t="s">
        <v>2661</v>
      </c>
      <c r="C2484" t="s">
        <v>75</v>
      </c>
      <c r="D2484" t="s">
        <v>2805</v>
      </c>
      <c r="E2484" t="s">
        <v>33</v>
      </c>
      <c r="F2484" t="s">
        <v>2806</v>
      </c>
      <c r="G2484" t="s">
        <v>33</v>
      </c>
      <c r="H2484" t="s">
        <v>4848</v>
      </c>
      <c r="J2484">
        <v>10</v>
      </c>
    </row>
    <row r="2485" spans="1:10" x14ac:dyDescent="0.35">
      <c r="A2485">
        <v>6009827410089</v>
      </c>
      <c r="B2485" t="s">
        <v>2661</v>
      </c>
      <c r="C2485" t="s">
        <v>78</v>
      </c>
      <c r="D2485" t="s">
        <v>2805</v>
      </c>
      <c r="E2485" t="s">
        <v>33</v>
      </c>
      <c r="F2485" t="s">
        <v>2806</v>
      </c>
      <c r="G2485" t="s">
        <v>33</v>
      </c>
      <c r="H2485" t="s">
        <v>4848</v>
      </c>
      <c r="J2485">
        <v>23</v>
      </c>
    </row>
    <row r="2486" spans="1:10" x14ac:dyDescent="0.35">
      <c r="A2486">
        <v>600982903223</v>
      </c>
      <c r="B2486" t="s">
        <v>2668</v>
      </c>
      <c r="C2486" t="s">
        <v>9</v>
      </c>
      <c r="D2486" t="s">
        <v>2669</v>
      </c>
      <c r="E2486" t="s">
        <v>117</v>
      </c>
      <c r="F2486" t="s">
        <v>2670</v>
      </c>
      <c r="G2486" t="s">
        <v>117</v>
      </c>
      <c r="H2486" t="s">
        <v>4831</v>
      </c>
      <c r="J2486">
        <v>1</v>
      </c>
    </row>
    <row r="2487" spans="1:10" x14ac:dyDescent="0.35">
      <c r="A2487">
        <v>6009832820019</v>
      </c>
      <c r="B2487" t="s">
        <v>2807</v>
      </c>
      <c r="C2487" t="s">
        <v>472</v>
      </c>
      <c r="D2487" t="s">
        <v>2808</v>
      </c>
      <c r="E2487" t="s">
        <v>34</v>
      </c>
      <c r="F2487" t="s">
        <v>2402</v>
      </c>
      <c r="G2487" t="s">
        <v>34</v>
      </c>
      <c r="H2487" t="s">
        <v>4796</v>
      </c>
      <c r="J2487">
        <v>520</v>
      </c>
    </row>
    <row r="2488" spans="1:10" x14ac:dyDescent="0.35">
      <c r="A2488">
        <v>6009832820033</v>
      </c>
      <c r="B2488" t="s">
        <v>2809</v>
      </c>
      <c r="C2488" t="s">
        <v>472</v>
      </c>
      <c r="D2488" t="s">
        <v>2808</v>
      </c>
      <c r="E2488" t="s">
        <v>34</v>
      </c>
      <c r="F2488" t="s">
        <v>2402</v>
      </c>
      <c r="G2488" t="s">
        <v>34</v>
      </c>
      <c r="H2488" t="s">
        <v>4796</v>
      </c>
      <c r="I2488">
        <v>21.5</v>
      </c>
      <c r="J2488">
        <v>1832</v>
      </c>
    </row>
    <row r="2489" spans="1:10" x14ac:dyDescent="0.35">
      <c r="A2489">
        <v>6009832820033</v>
      </c>
      <c r="B2489" t="s">
        <v>2809</v>
      </c>
      <c r="C2489" t="s">
        <v>472</v>
      </c>
      <c r="D2489" t="s">
        <v>2808</v>
      </c>
      <c r="E2489" t="s">
        <v>34</v>
      </c>
      <c r="F2489" t="s">
        <v>2402</v>
      </c>
      <c r="G2489" t="s">
        <v>61</v>
      </c>
      <c r="H2489" t="s">
        <v>4796</v>
      </c>
      <c r="I2489">
        <v>21.5</v>
      </c>
      <c r="J2489">
        <v>6</v>
      </c>
    </row>
    <row r="2490" spans="1:10" x14ac:dyDescent="0.35">
      <c r="A2490">
        <v>6009832820033</v>
      </c>
      <c r="B2490" t="s">
        <v>2809</v>
      </c>
      <c r="C2490" t="s">
        <v>472</v>
      </c>
      <c r="D2490" t="s">
        <v>2808</v>
      </c>
      <c r="E2490" t="s">
        <v>34</v>
      </c>
      <c r="F2490" t="s">
        <v>2402</v>
      </c>
      <c r="G2490" t="s">
        <v>31</v>
      </c>
      <c r="H2490" t="s">
        <v>4796</v>
      </c>
      <c r="I2490">
        <v>21.5</v>
      </c>
      <c r="J2490">
        <v>23</v>
      </c>
    </row>
    <row r="2491" spans="1:10" x14ac:dyDescent="0.35">
      <c r="A2491">
        <v>6009832820040</v>
      </c>
      <c r="B2491" t="s">
        <v>2810</v>
      </c>
      <c r="C2491" t="s">
        <v>472</v>
      </c>
      <c r="D2491" t="s">
        <v>2808</v>
      </c>
      <c r="E2491" t="s">
        <v>34</v>
      </c>
      <c r="F2491" t="s">
        <v>2402</v>
      </c>
      <c r="G2491" t="s">
        <v>34</v>
      </c>
      <c r="H2491" t="s">
        <v>4796</v>
      </c>
      <c r="I2491">
        <v>21.5</v>
      </c>
      <c r="J2491">
        <v>6706</v>
      </c>
    </row>
    <row r="2492" spans="1:10" x14ac:dyDescent="0.35">
      <c r="A2492">
        <v>6009832820095</v>
      </c>
      <c r="B2492" t="s">
        <v>2808</v>
      </c>
      <c r="C2492" t="s">
        <v>472</v>
      </c>
      <c r="D2492" t="s">
        <v>2808</v>
      </c>
      <c r="E2492" t="s">
        <v>34</v>
      </c>
      <c r="F2492" t="s">
        <v>2402</v>
      </c>
      <c r="G2492" t="s">
        <v>34</v>
      </c>
      <c r="H2492" t="s">
        <v>4796</v>
      </c>
      <c r="I2492">
        <v>21.5</v>
      </c>
      <c r="J2492">
        <v>3620</v>
      </c>
    </row>
    <row r="2493" spans="1:10" x14ac:dyDescent="0.35">
      <c r="A2493">
        <v>6009832820095</v>
      </c>
      <c r="B2493" t="s">
        <v>2808</v>
      </c>
      <c r="C2493" t="s">
        <v>472</v>
      </c>
      <c r="D2493" t="s">
        <v>2808</v>
      </c>
      <c r="E2493" t="s">
        <v>34</v>
      </c>
      <c r="F2493" t="s">
        <v>2402</v>
      </c>
      <c r="G2493" t="s">
        <v>150</v>
      </c>
      <c r="H2493" t="s">
        <v>4796</v>
      </c>
      <c r="I2493">
        <v>21.5</v>
      </c>
      <c r="J2493">
        <v>1</v>
      </c>
    </row>
    <row r="2494" spans="1:10" x14ac:dyDescent="0.35">
      <c r="A2494">
        <v>6009832820132</v>
      </c>
      <c r="B2494" t="s">
        <v>1011</v>
      </c>
      <c r="C2494" t="s">
        <v>472</v>
      </c>
      <c r="D2494" t="s">
        <v>2808</v>
      </c>
      <c r="E2494" t="s">
        <v>34</v>
      </c>
      <c r="F2494" t="s">
        <v>2402</v>
      </c>
      <c r="G2494" t="s">
        <v>34</v>
      </c>
      <c r="H2494" t="s">
        <v>4796</v>
      </c>
      <c r="I2494">
        <v>21.5</v>
      </c>
      <c r="J2494">
        <v>49</v>
      </c>
    </row>
    <row r="2495" spans="1:10" x14ac:dyDescent="0.35">
      <c r="A2495">
        <v>6009832820149</v>
      </c>
      <c r="B2495" t="s">
        <v>2808</v>
      </c>
      <c r="C2495" t="s">
        <v>472</v>
      </c>
      <c r="D2495" t="s">
        <v>2808</v>
      </c>
      <c r="E2495" t="s">
        <v>34</v>
      </c>
      <c r="F2495" t="s">
        <v>2402</v>
      </c>
      <c r="G2495" t="s">
        <v>34</v>
      </c>
      <c r="H2495" t="s">
        <v>4796</v>
      </c>
      <c r="I2495">
        <v>21.5</v>
      </c>
      <c r="J2495">
        <v>18960</v>
      </c>
    </row>
    <row r="2496" spans="1:10" x14ac:dyDescent="0.35">
      <c r="A2496">
        <v>6009832820156</v>
      </c>
      <c r="B2496" t="s">
        <v>485</v>
      </c>
      <c r="C2496" t="s">
        <v>192</v>
      </c>
      <c r="D2496" t="s">
        <v>2401</v>
      </c>
      <c r="E2496" t="s">
        <v>34</v>
      </c>
      <c r="F2496" t="s">
        <v>2402</v>
      </c>
      <c r="G2496" t="s">
        <v>34</v>
      </c>
      <c r="H2496" t="s">
        <v>4796</v>
      </c>
      <c r="J2496">
        <v>441</v>
      </c>
    </row>
    <row r="2497" spans="1:10" x14ac:dyDescent="0.35">
      <c r="A2497">
        <v>6009832820163</v>
      </c>
      <c r="B2497" t="s">
        <v>2808</v>
      </c>
      <c r="C2497" t="s">
        <v>472</v>
      </c>
      <c r="D2497" t="s">
        <v>2808</v>
      </c>
      <c r="E2497" t="s">
        <v>34</v>
      </c>
      <c r="F2497" t="s">
        <v>2402</v>
      </c>
      <c r="G2497" t="s">
        <v>34</v>
      </c>
      <c r="H2497" t="s">
        <v>4796</v>
      </c>
      <c r="I2497">
        <v>21.5</v>
      </c>
      <c r="J2497">
        <v>1601</v>
      </c>
    </row>
    <row r="2498" spans="1:10" x14ac:dyDescent="0.35">
      <c r="A2498">
        <v>6009832820170</v>
      </c>
      <c r="B2498" t="s">
        <v>295</v>
      </c>
      <c r="C2498" t="s">
        <v>472</v>
      </c>
      <c r="D2498" t="s">
        <v>2808</v>
      </c>
      <c r="E2498" t="s">
        <v>34</v>
      </c>
      <c r="F2498" t="s">
        <v>2402</v>
      </c>
      <c r="G2498" t="s">
        <v>34</v>
      </c>
      <c r="H2498" t="s">
        <v>4796</v>
      </c>
      <c r="I2498">
        <v>21.5</v>
      </c>
      <c r="J2498">
        <v>16146</v>
      </c>
    </row>
    <row r="2499" spans="1:10" x14ac:dyDescent="0.35">
      <c r="A2499">
        <v>6009832820170</v>
      </c>
      <c r="B2499" t="s">
        <v>295</v>
      </c>
      <c r="C2499" t="s">
        <v>472</v>
      </c>
      <c r="D2499" t="s">
        <v>2808</v>
      </c>
      <c r="E2499" t="s">
        <v>34</v>
      </c>
      <c r="F2499" t="s">
        <v>2402</v>
      </c>
      <c r="G2499" t="s">
        <v>150</v>
      </c>
      <c r="H2499" t="s">
        <v>4796</v>
      </c>
      <c r="I2499">
        <v>21.5</v>
      </c>
      <c r="J2499">
        <v>150</v>
      </c>
    </row>
    <row r="2500" spans="1:10" x14ac:dyDescent="0.35">
      <c r="A2500">
        <v>6009832820170</v>
      </c>
      <c r="B2500" t="s">
        <v>295</v>
      </c>
      <c r="C2500" t="s">
        <v>472</v>
      </c>
      <c r="D2500" t="s">
        <v>2808</v>
      </c>
      <c r="E2500" t="s">
        <v>34</v>
      </c>
      <c r="F2500" t="s">
        <v>2402</v>
      </c>
      <c r="G2500" t="s">
        <v>61</v>
      </c>
      <c r="H2500" t="s">
        <v>4796</v>
      </c>
      <c r="I2500">
        <v>21.5</v>
      </c>
      <c r="J2500">
        <v>1</v>
      </c>
    </row>
    <row r="2501" spans="1:10" x14ac:dyDescent="0.35">
      <c r="A2501">
        <v>6009832820507</v>
      </c>
      <c r="B2501" t="s">
        <v>485</v>
      </c>
      <c r="C2501" t="s">
        <v>114</v>
      </c>
      <c r="D2501" t="s">
        <v>2401</v>
      </c>
      <c r="E2501" t="s">
        <v>34</v>
      </c>
      <c r="F2501" t="s">
        <v>2402</v>
      </c>
      <c r="G2501" t="s">
        <v>11</v>
      </c>
      <c r="H2501" t="s">
        <v>4796</v>
      </c>
      <c r="I2501">
        <v>25</v>
      </c>
      <c r="J2501">
        <v>1</v>
      </c>
    </row>
    <row r="2502" spans="1:10" x14ac:dyDescent="0.35">
      <c r="A2502">
        <v>6009832820507</v>
      </c>
      <c r="B2502" t="s">
        <v>485</v>
      </c>
      <c r="C2502" t="s">
        <v>114</v>
      </c>
      <c r="D2502" t="s">
        <v>2401</v>
      </c>
      <c r="E2502" t="s">
        <v>34</v>
      </c>
      <c r="F2502" t="s">
        <v>2402</v>
      </c>
      <c r="G2502" t="s">
        <v>34</v>
      </c>
      <c r="H2502" t="s">
        <v>4796</v>
      </c>
      <c r="I2502">
        <v>25</v>
      </c>
      <c r="J2502">
        <v>5009</v>
      </c>
    </row>
    <row r="2503" spans="1:10" x14ac:dyDescent="0.35">
      <c r="A2503">
        <v>6009832820507</v>
      </c>
      <c r="B2503" t="s">
        <v>485</v>
      </c>
      <c r="C2503" t="s">
        <v>114</v>
      </c>
      <c r="D2503" t="s">
        <v>2401</v>
      </c>
      <c r="E2503" t="s">
        <v>34</v>
      </c>
      <c r="F2503" t="s">
        <v>2402</v>
      </c>
      <c r="G2503" t="s">
        <v>61</v>
      </c>
      <c r="H2503" t="s">
        <v>4796</v>
      </c>
      <c r="I2503">
        <v>25</v>
      </c>
      <c r="J2503">
        <v>2</v>
      </c>
    </row>
    <row r="2504" spans="1:10" x14ac:dyDescent="0.35">
      <c r="A2504">
        <v>6009832820521</v>
      </c>
      <c r="B2504" t="s">
        <v>2811</v>
      </c>
      <c r="C2504" t="s">
        <v>2400</v>
      </c>
      <c r="D2504" t="s">
        <v>2401</v>
      </c>
      <c r="E2504" t="s">
        <v>34</v>
      </c>
      <c r="F2504" t="s">
        <v>2402</v>
      </c>
      <c r="G2504" t="s">
        <v>34</v>
      </c>
      <c r="H2504" t="s">
        <v>4796</v>
      </c>
      <c r="J2504">
        <v>4640</v>
      </c>
    </row>
    <row r="2505" spans="1:10" x14ac:dyDescent="0.35">
      <c r="A2505">
        <v>6009832820521</v>
      </c>
      <c r="B2505" t="s">
        <v>2811</v>
      </c>
      <c r="C2505" t="s">
        <v>2400</v>
      </c>
      <c r="D2505" t="s">
        <v>2401</v>
      </c>
      <c r="E2505" t="s">
        <v>34</v>
      </c>
      <c r="F2505" t="s">
        <v>2402</v>
      </c>
      <c r="G2505" t="s">
        <v>31</v>
      </c>
      <c r="H2505" t="s">
        <v>4796</v>
      </c>
      <c r="J2505">
        <v>11</v>
      </c>
    </row>
    <row r="2506" spans="1:10" x14ac:dyDescent="0.35">
      <c r="A2506">
        <v>6009832820576</v>
      </c>
      <c r="B2506" t="s">
        <v>793</v>
      </c>
      <c r="C2506" t="s">
        <v>654</v>
      </c>
      <c r="D2506" t="s">
        <v>2401</v>
      </c>
      <c r="E2506" t="s">
        <v>34</v>
      </c>
      <c r="F2506" t="s">
        <v>2402</v>
      </c>
      <c r="G2506" t="s">
        <v>34</v>
      </c>
      <c r="H2506" t="s">
        <v>4796</v>
      </c>
      <c r="J2506">
        <v>2734</v>
      </c>
    </row>
    <row r="2507" spans="1:10" x14ac:dyDescent="0.35">
      <c r="A2507">
        <v>6009832820644</v>
      </c>
      <c r="B2507" t="s">
        <v>2812</v>
      </c>
      <c r="C2507" t="s">
        <v>472</v>
      </c>
      <c r="D2507" t="s">
        <v>2813</v>
      </c>
      <c r="E2507" t="s">
        <v>34</v>
      </c>
      <c r="F2507" t="s">
        <v>2402</v>
      </c>
      <c r="G2507" t="s">
        <v>34</v>
      </c>
      <c r="H2507" t="s">
        <v>4796</v>
      </c>
      <c r="J2507">
        <v>92</v>
      </c>
    </row>
    <row r="2508" spans="1:10" x14ac:dyDescent="0.35">
      <c r="A2508">
        <v>6009832820651</v>
      </c>
      <c r="B2508" t="s">
        <v>2814</v>
      </c>
      <c r="C2508" t="s">
        <v>472</v>
      </c>
      <c r="D2508" t="s">
        <v>2813</v>
      </c>
      <c r="E2508" t="s">
        <v>34</v>
      </c>
      <c r="F2508" t="s">
        <v>2402</v>
      </c>
      <c r="G2508" t="s">
        <v>34</v>
      </c>
      <c r="H2508" t="s">
        <v>4796</v>
      </c>
      <c r="J2508">
        <v>25</v>
      </c>
    </row>
    <row r="2509" spans="1:10" x14ac:dyDescent="0.35">
      <c r="A2509">
        <v>6009832820668</v>
      </c>
      <c r="B2509" t="s">
        <v>2815</v>
      </c>
      <c r="C2509" t="s">
        <v>472</v>
      </c>
      <c r="D2509" t="s">
        <v>2813</v>
      </c>
      <c r="E2509" t="s">
        <v>34</v>
      </c>
      <c r="F2509" t="s">
        <v>2402</v>
      </c>
      <c r="G2509" t="s">
        <v>34</v>
      </c>
      <c r="H2509" t="s">
        <v>4796</v>
      </c>
      <c r="J2509">
        <v>23</v>
      </c>
    </row>
    <row r="2510" spans="1:10" x14ac:dyDescent="0.35">
      <c r="A2510">
        <v>6009832820675</v>
      </c>
      <c r="B2510" t="s">
        <v>2816</v>
      </c>
      <c r="C2510" t="s">
        <v>472</v>
      </c>
      <c r="D2510" t="s">
        <v>2813</v>
      </c>
      <c r="E2510" t="s">
        <v>34</v>
      </c>
      <c r="F2510" t="s">
        <v>2402</v>
      </c>
      <c r="G2510" t="s">
        <v>34</v>
      </c>
      <c r="H2510" t="s">
        <v>4796</v>
      </c>
      <c r="J2510">
        <v>74</v>
      </c>
    </row>
    <row r="2511" spans="1:10" x14ac:dyDescent="0.35">
      <c r="A2511">
        <v>600983612858</v>
      </c>
      <c r="B2511" t="s">
        <v>2765</v>
      </c>
      <c r="C2511" t="s">
        <v>69</v>
      </c>
      <c r="D2511" t="s">
        <v>2766</v>
      </c>
      <c r="E2511" t="s">
        <v>20</v>
      </c>
      <c r="F2511" t="s">
        <v>1470</v>
      </c>
      <c r="G2511" t="s">
        <v>33</v>
      </c>
      <c r="H2511" t="s">
        <v>4691</v>
      </c>
      <c r="J2511">
        <v>50</v>
      </c>
    </row>
    <row r="2512" spans="1:10" x14ac:dyDescent="0.35">
      <c r="A2512">
        <v>6009879713046</v>
      </c>
      <c r="B2512" t="s">
        <v>2817</v>
      </c>
      <c r="C2512" t="s">
        <v>472</v>
      </c>
      <c r="D2512" t="s">
        <v>2261</v>
      </c>
      <c r="E2512" t="s">
        <v>34</v>
      </c>
      <c r="F2512" t="s">
        <v>2262</v>
      </c>
      <c r="G2512" t="s">
        <v>34</v>
      </c>
      <c r="H2512" t="s">
        <v>4778</v>
      </c>
      <c r="J2512">
        <v>535</v>
      </c>
    </row>
    <row r="2513" spans="1:10" x14ac:dyDescent="0.35">
      <c r="A2513">
        <v>6009879713077</v>
      </c>
      <c r="B2513" t="s">
        <v>2818</v>
      </c>
      <c r="C2513" t="s">
        <v>472</v>
      </c>
      <c r="D2513" t="s">
        <v>2261</v>
      </c>
      <c r="E2513" t="s">
        <v>34</v>
      </c>
      <c r="F2513" t="s">
        <v>2262</v>
      </c>
      <c r="G2513" t="s">
        <v>34</v>
      </c>
      <c r="H2513" t="s">
        <v>4778</v>
      </c>
      <c r="J2513">
        <v>153</v>
      </c>
    </row>
    <row r="2514" spans="1:10" x14ac:dyDescent="0.35">
      <c r="A2514">
        <v>6009879713084</v>
      </c>
      <c r="B2514" t="s">
        <v>668</v>
      </c>
      <c r="C2514" t="s">
        <v>472</v>
      </c>
      <c r="D2514" t="s">
        <v>2261</v>
      </c>
      <c r="E2514" t="s">
        <v>34</v>
      </c>
      <c r="F2514" t="s">
        <v>2262</v>
      </c>
      <c r="G2514" t="s">
        <v>34</v>
      </c>
      <c r="H2514" t="s">
        <v>4778</v>
      </c>
      <c r="J2514">
        <v>2</v>
      </c>
    </row>
    <row r="2515" spans="1:10" x14ac:dyDescent="0.35">
      <c r="A2515">
        <v>6009879713091</v>
      </c>
      <c r="B2515" t="s">
        <v>2261</v>
      </c>
      <c r="C2515" t="s">
        <v>78</v>
      </c>
      <c r="D2515" t="s">
        <v>2261</v>
      </c>
      <c r="E2515" t="s">
        <v>34</v>
      </c>
      <c r="F2515" t="s">
        <v>2262</v>
      </c>
      <c r="G2515" t="s">
        <v>33</v>
      </c>
      <c r="H2515" t="s">
        <v>4778</v>
      </c>
      <c r="J2515">
        <v>34</v>
      </c>
    </row>
    <row r="2516" spans="1:10" x14ac:dyDescent="0.35">
      <c r="A2516">
        <v>6009879713091</v>
      </c>
      <c r="B2516" t="s">
        <v>2261</v>
      </c>
      <c r="C2516" t="s">
        <v>78</v>
      </c>
      <c r="D2516" t="s">
        <v>2261</v>
      </c>
      <c r="E2516" t="s">
        <v>34</v>
      </c>
      <c r="F2516" t="s">
        <v>2262</v>
      </c>
      <c r="G2516" t="s">
        <v>34</v>
      </c>
      <c r="H2516" t="s">
        <v>4778</v>
      </c>
      <c r="J2516">
        <v>621</v>
      </c>
    </row>
    <row r="2517" spans="1:10" x14ac:dyDescent="0.35">
      <c r="A2517">
        <v>6009879713107</v>
      </c>
      <c r="B2517" t="s">
        <v>2261</v>
      </c>
      <c r="C2517" t="s">
        <v>78</v>
      </c>
      <c r="D2517" t="s">
        <v>2261</v>
      </c>
      <c r="E2517" t="s">
        <v>34</v>
      </c>
      <c r="F2517" t="s">
        <v>2262</v>
      </c>
      <c r="G2517" t="s">
        <v>34</v>
      </c>
      <c r="H2517" t="s">
        <v>4778</v>
      </c>
      <c r="J2517">
        <v>264</v>
      </c>
    </row>
    <row r="2518" spans="1:10" x14ac:dyDescent="0.35">
      <c r="A2518">
        <v>6009879713121</v>
      </c>
      <c r="B2518" t="s">
        <v>2819</v>
      </c>
      <c r="C2518" t="s">
        <v>78</v>
      </c>
      <c r="D2518" t="s">
        <v>2261</v>
      </c>
      <c r="E2518" t="s">
        <v>34</v>
      </c>
      <c r="F2518" t="s">
        <v>2262</v>
      </c>
      <c r="G2518" t="s">
        <v>34</v>
      </c>
      <c r="H2518" t="s">
        <v>4778</v>
      </c>
      <c r="J2518">
        <v>1</v>
      </c>
    </row>
    <row r="2519" spans="1:10" x14ac:dyDescent="0.35">
      <c r="A2519">
        <v>6009879713138</v>
      </c>
      <c r="B2519" t="s">
        <v>2820</v>
      </c>
      <c r="C2519" t="s">
        <v>78</v>
      </c>
      <c r="D2519" t="s">
        <v>2261</v>
      </c>
      <c r="E2519" t="s">
        <v>34</v>
      </c>
      <c r="F2519" t="s">
        <v>2262</v>
      </c>
      <c r="G2519" t="s">
        <v>34</v>
      </c>
      <c r="H2519" t="s">
        <v>4778</v>
      </c>
      <c r="J2519">
        <v>24</v>
      </c>
    </row>
    <row r="2520" spans="1:10" x14ac:dyDescent="0.35">
      <c r="A2520">
        <v>6009879713145</v>
      </c>
      <c r="B2520" t="s">
        <v>2818</v>
      </c>
      <c r="C2520" t="s">
        <v>78</v>
      </c>
      <c r="D2520" t="s">
        <v>2261</v>
      </c>
      <c r="E2520" t="s">
        <v>34</v>
      </c>
      <c r="F2520" t="s">
        <v>2262</v>
      </c>
      <c r="G2520" t="s">
        <v>34</v>
      </c>
      <c r="H2520" t="s">
        <v>4778</v>
      </c>
      <c r="J2520">
        <v>3</v>
      </c>
    </row>
    <row r="2521" spans="1:10" x14ac:dyDescent="0.35">
      <c r="A2521">
        <v>6009879713152</v>
      </c>
      <c r="B2521" t="s">
        <v>2261</v>
      </c>
      <c r="C2521" t="s">
        <v>78</v>
      </c>
      <c r="D2521" t="s">
        <v>2261</v>
      </c>
      <c r="E2521" t="s">
        <v>34</v>
      </c>
      <c r="F2521" t="s">
        <v>2262</v>
      </c>
      <c r="G2521" t="s">
        <v>34</v>
      </c>
      <c r="H2521" t="s">
        <v>4778</v>
      </c>
      <c r="J2521">
        <v>56</v>
      </c>
    </row>
    <row r="2522" spans="1:10" x14ac:dyDescent="0.35">
      <c r="A2522">
        <v>6009879794236</v>
      </c>
      <c r="B2522" t="s">
        <v>380</v>
      </c>
      <c r="C2522" t="s">
        <v>326</v>
      </c>
      <c r="D2522" t="s">
        <v>2821</v>
      </c>
      <c r="E2522" t="s">
        <v>117</v>
      </c>
      <c r="F2522" t="s">
        <v>2562</v>
      </c>
      <c r="G2522" t="s">
        <v>117</v>
      </c>
      <c r="H2522" t="s">
        <v>4817</v>
      </c>
      <c r="J2522">
        <v>196</v>
      </c>
    </row>
    <row r="2523" spans="1:10" x14ac:dyDescent="0.35">
      <c r="A2523">
        <v>6009879794250</v>
      </c>
      <c r="B2523" t="s">
        <v>1847</v>
      </c>
      <c r="C2523" t="s">
        <v>576</v>
      </c>
      <c r="D2523" t="s">
        <v>2822</v>
      </c>
      <c r="E2523" t="s">
        <v>117</v>
      </c>
      <c r="F2523" t="s">
        <v>2562</v>
      </c>
      <c r="G2523" t="s">
        <v>117</v>
      </c>
      <c r="H2523" t="s">
        <v>4817</v>
      </c>
      <c r="J2523">
        <v>45</v>
      </c>
    </row>
    <row r="2524" spans="1:10" x14ac:dyDescent="0.35">
      <c r="A2524">
        <v>6009879794434</v>
      </c>
      <c r="B2524" t="s">
        <v>2823</v>
      </c>
      <c r="C2524" t="s">
        <v>472</v>
      </c>
      <c r="D2524" t="s">
        <v>2824</v>
      </c>
      <c r="E2524" t="s">
        <v>117</v>
      </c>
      <c r="F2524" t="s">
        <v>2562</v>
      </c>
      <c r="G2524" t="s">
        <v>117</v>
      </c>
      <c r="H2524" t="s">
        <v>4817</v>
      </c>
      <c r="J2524">
        <v>212</v>
      </c>
    </row>
    <row r="2525" spans="1:10" x14ac:dyDescent="0.35">
      <c r="A2525">
        <v>6009879794441</v>
      </c>
      <c r="B2525" t="s">
        <v>2823</v>
      </c>
      <c r="C2525" t="s">
        <v>81</v>
      </c>
      <c r="D2525" t="s">
        <v>2824</v>
      </c>
      <c r="E2525" t="s">
        <v>117</v>
      </c>
      <c r="F2525" t="s">
        <v>2562</v>
      </c>
      <c r="G2525" t="s">
        <v>117</v>
      </c>
      <c r="H2525" t="s">
        <v>4817</v>
      </c>
      <c r="J2525">
        <v>59</v>
      </c>
    </row>
    <row r="2526" spans="1:10" x14ac:dyDescent="0.35">
      <c r="A2526">
        <v>6009879794441</v>
      </c>
      <c r="B2526" t="s">
        <v>2823</v>
      </c>
      <c r="C2526" t="s">
        <v>81</v>
      </c>
      <c r="D2526" t="s">
        <v>2824</v>
      </c>
      <c r="E2526" t="s">
        <v>117</v>
      </c>
      <c r="F2526" t="s">
        <v>2562</v>
      </c>
      <c r="G2526" t="s">
        <v>31</v>
      </c>
      <c r="H2526" t="s">
        <v>4817</v>
      </c>
      <c r="J2526">
        <v>6</v>
      </c>
    </row>
    <row r="2527" spans="1:10" x14ac:dyDescent="0.35">
      <c r="A2527">
        <v>6009879794519</v>
      </c>
      <c r="B2527" t="s">
        <v>581</v>
      </c>
      <c r="C2527" t="s">
        <v>2825</v>
      </c>
      <c r="D2527" t="s">
        <v>2826</v>
      </c>
      <c r="E2527" t="s">
        <v>117</v>
      </c>
      <c r="F2527" t="s">
        <v>2562</v>
      </c>
      <c r="G2527" t="s">
        <v>117</v>
      </c>
      <c r="H2527" t="s">
        <v>4817</v>
      </c>
      <c r="J2527">
        <v>9</v>
      </c>
    </row>
    <row r="2528" spans="1:10" x14ac:dyDescent="0.35">
      <c r="A2528">
        <v>6009879794526</v>
      </c>
      <c r="B2528" t="s">
        <v>581</v>
      </c>
      <c r="C2528" t="s">
        <v>2825</v>
      </c>
      <c r="D2528" t="s">
        <v>2827</v>
      </c>
      <c r="E2528" t="s">
        <v>117</v>
      </c>
      <c r="F2528" t="s">
        <v>2562</v>
      </c>
      <c r="G2528" t="s">
        <v>117</v>
      </c>
      <c r="H2528" t="s">
        <v>4817</v>
      </c>
      <c r="J2528">
        <v>12</v>
      </c>
    </row>
    <row r="2529" spans="1:10" x14ac:dyDescent="0.35">
      <c r="A2529">
        <v>6009879794533</v>
      </c>
      <c r="B2529" t="s">
        <v>581</v>
      </c>
      <c r="C2529" t="s">
        <v>2828</v>
      </c>
      <c r="D2529" t="s">
        <v>2829</v>
      </c>
      <c r="E2529" t="s">
        <v>117</v>
      </c>
      <c r="F2529" t="s">
        <v>2562</v>
      </c>
      <c r="G2529" t="s">
        <v>117</v>
      </c>
      <c r="H2529" t="s">
        <v>4817</v>
      </c>
      <c r="J2529">
        <v>5</v>
      </c>
    </row>
    <row r="2530" spans="1:10" x14ac:dyDescent="0.35">
      <c r="A2530">
        <v>6009879794540</v>
      </c>
      <c r="B2530" t="s">
        <v>1857</v>
      </c>
      <c r="C2530" t="s">
        <v>2825</v>
      </c>
      <c r="D2530" t="s">
        <v>2561</v>
      </c>
      <c r="E2530" t="s">
        <v>117</v>
      </c>
      <c r="F2530" t="s">
        <v>2562</v>
      </c>
      <c r="G2530" t="s">
        <v>117</v>
      </c>
      <c r="H2530" t="s">
        <v>4817</v>
      </c>
      <c r="J2530">
        <v>27</v>
      </c>
    </row>
    <row r="2531" spans="1:10" x14ac:dyDescent="0.35">
      <c r="A2531">
        <v>6009879794618</v>
      </c>
      <c r="B2531" t="s">
        <v>581</v>
      </c>
      <c r="C2531" t="s">
        <v>9</v>
      </c>
      <c r="D2531" t="s">
        <v>2826</v>
      </c>
      <c r="E2531" t="s">
        <v>117</v>
      </c>
      <c r="F2531" t="s">
        <v>2562</v>
      </c>
      <c r="G2531" t="s">
        <v>117</v>
      </c>
      <c r="H2531" t="s">
        <v>4817</v>
      </c>
      <c r="J2531">
        <v>332</v>
      </c>
    </row>
    <row r="2532" spans="1:10" x14ac:dyDescent="0.35">
      <c r="A2532">
        <v>6009879794632</v>
      </c>
      <c r="B2532" t="s">
        <v>2830</v>
      </c>
      <c r="C2532" t="s">
        <v>9</v>
      </c>
      <c r="D2532" t="s">
        <v>2827</v>
      </c>
      <c r="E2532" t="s">
        <v>117</v>
      </c>
      <c r="F2532" t="s">
        <v>2562</v>
      </c>
      <c r="G2532" t="s">
        <v>117</v>
      </c>
      <c r="H2532" t="s">
        <v>4817</v>
      </c>
      <c r="J2532">
        <v>662</v>
      </c>
    </row>
    <row r="2533" spans="1:10" x14ac:dyDescent="0.35">
      <c r="A2533">
        <v>6009879794649</v>
      </c>
      <c r="B2533" t="s">
        <v>581</v>
      </c>
      <c r="C2533" t="s">
        <v>9</v>
      </c>
      <c r="D2533" t="s">
        <v>2829</v>
      </c>
      <c r="E2533" t="s">
        <v>117</v>
      </c>
      <c r="F2533" t="s">
        <v>2562</v>
      </c>
      <c r="G2533" t="s">
        <v>117</v>
      </c>
      <c r="H2533" t="s">
        <v>4817</v>
      </c>
      <c r="J2533">
        <v>399</v>
      </c>
    </row>
    <row r="2534" spans="1:10" x14ac:dyDescent="0.35">
      <c r="A2534">
        <v>6009879794656</v>
      </c>
      <c r="B2534" t="s">
        <v>581</v>
      </c>
      <c r="C2534" t="s">
        <v>9</v>
      </c>
      <c r="D2534" t="s">
        <v>2561</v>
      </c>
      <c r="E2534" t="s">
        <v>117</v>
      </c>
      <c r="F2534" t="s">
        <v>2562</v>
      </c>
      <c r="G2534" t="s">
        <v>117</v>
      </c>
      <c r="H2534" t="s">
        <v>4817</v>
      </c>
      <c r="J2534">
        <v>503</v>
      </c>
    </row>
    <row r="2535" spans="1:10" x14ac:dyDescent="0.35">
      <c r="A2535">
        <v>6009879794663</v>
      </c>
      <c r="B2535" t="s">
        <v>581</v>
      </c>
      <c r="C2535" t="s">
        <v>9</v>
      </c>
      <c r="D2535" t="s">
        <v>2831</v>
      </c>
      <c r="E2535" t="s">
        <v>117</v>
      </c>
      <c r="F2535" t="s">
        <v>2562</v>
      </c>
      <c r="G2535" t="s">
        <v>117</v>
      </c>
      <c r="H2535" t="s">
        <v>4817</v>
      </c>
      <c r="J2535">
        <v>79</v>
      </c>
    </row>
    <row r="2536" spans="1:10" x14ac:dyDescent="0.35">
      <c r="A2536">
        <v>6009879794663</v>
      </c>
      <c r="B2536" t="s">
        <v>581</v>
      </c>
      <c r="C2536" t="s">
        <v>9</v>
      </c>
      <c r="D2536" t="s">
        <v>2831</v>
      </c>
      <c r="E2536" t="s">
        <v>117</v>
      </c>
      <c r="F2536" t="s">
        <v>2562</v>
      </c>
      <c r="G2536" t="s">
        <v>776</v>
      </c>
      <c r="H2536" t="s">
        <v>4817</v>
      </c>
      <c r="J2536">
        <v>2</v>
      </c>
    </row>
    <row r="2537" spans="1:10" x14ac:dyDescent="0.35">
      <c r="A2537">
        <v>6009879794670</v>
      </c>
      <c r="B2537" t="s">
        <v>2832</v>
      </c>
      <c r="C2537" t="s">
        <v>9</v>
      </c>
      <c r="D2537" t="s">
        <v>2833</v>
      </c>
      <c r="E2537" t="s">
        <v>117</v>
      </c>
      <c r="F2537" t="s">
        <v>2562</v>
      </c>
      <c r="G2537" t="s">
        <v>117</v>
      </c>
      <c r="H2537" t="s">
        <v>4817</v>
      </c>
      <c r="J2537">
        <v>261</v>
      </c>
    </row>
    <row r="2538" spans="1:10" x14ac:dyDescent="0.35">
      <c r="A2538">
        <v>6009879794687</v>
      </c>
      <c r="B2538" t="s">
        <v>2823</v>
      </c>
      <c r="C2538" t="s">
        <v>253</v>
      </c>
      <c r="D2538" t="s">
        <v>2824</v>
      </c>
      <c r="E2538" t="s">
        <v>117</v>
      </c>
      <c r="F2538" t="s">
        <v>2562</v>
      </c>
      <c r="G2538" t="s">
        <v>117</v>
      </c>
      <c r="H2538" t="s">
        <v>4817</v>
      </c>
      <c r="J2538">
        <v>257</v>
      </c>
    </row>
    <row r="2539" spans="1:10" x14ac:dyDescent="0.35">
      <c r="A2539">
        <v>6009879794700</v>
      </c>
      <c r="B2539" t="s">
        <v>2834</v>
      </c>
      <c r="C2539" t="s">
        <v>2825</v>
      </c>
      <c r="D2539" t="s">
        <v>2833</v>
      </c>
      <c r="E2539" t="s">
        <v>117</v>
      </c>
      <c r="F2539" t="s">
        <v>2562</v>
      </c>
      <c r="G2539" t="s">
        <v>117</v>
      </c>
      <c r="H2539" t="s">
        <v>4817</v>
      </c>
      <c r="J2539">
        <v>27</v>
      </c>
    </row>
    <row r="2540" spans="1:10" x14ac:dyDescent="0.35">
      <c r="A2540">
        <v>6009880003037</v>
      </c>
      <c r="B2540" t="s">
        <v>380</v>
      </c>
      <c r="C2540" t="s">
        <v>472</v>
      </c>
      <c r="D2540" t="s">
        <v>811</v>
      </c>
      <c r="E2540" t="s">
        <v>117</v>
      </c>
      <c r="F2540" t="s">
        <v>695</v>
      </c>
      <c r="G2540" t="s">
        <v>117</v>
      </c>
      <c r="H2540" t="s">
        <v>4582</v>
      </c>
      <c r="J2540">
        <v>4</v>
      </c>
    </row>
    <row r="2541" spans="1:10" x14ac:dyDescent="0.35">
      <c r="A2541">
        <v>6009880106011</v>
      </c>
      <c r="B2541" t="s">
        <v>2835</v>
      </c>
      <c r="C2541" t="s">
        <v>542</v>
      </c>
      <c r="D2541" t="s">
        <v>2836</v>
      </c>
      <c r="E2541" t="s">
        <v>34</v>
      </c>
      <c r="F2541" t="s">
        <v>2837</v>
      </c>
      <c r="G2541" t="s">
        <v>34</v>
      </c>
      <c r="H2541" t="s">
        <v>4849</v>
      </c>
      <c r="J2541">
        <v>149</v>
      </c>
    </row>
    <row r="2542" spans="1:10" x14ac:dyDescent="0.35">
      <c r="A2542">
        <v>6009880106035</v>
      </c>
      <c r="B2542" t="s">
        <v>2838</v>
      </c>
      <c r="C2542" t="s">
        <v>542</v>
      </c>
      <c r="D2542" t="s">
        <v>2836</v>
      </c>
      <c r="E2542" t="s">
        <v>34</v>
      </c>
      <c r="F2542" t="s">
        <v>2837</v>
      </c>
      <c r="G2542" t="s">
        <v>34</v>
      </c>
      <c r="H2542" t="s">
        <v>4849</v>
      </c>
      <c r="I2542">
        <v>21</v>
      </c>
      <c r="J2542">
        <v>1379</v>
      </c>
    </row>
    <row r="2543" spans="1:10" x14ac:dyDescent="0.35">
      <c r="A2543">
        <v>6009880106066</v>
      </c>
      <c r="B2543" t="s">
        <v>668</v>
      </c>
      <c r="C2543" t="s">
        <v>542</v>
      </c>
      <c r="D2543" t="s">
        <v>2836</v>
      </c>
      <c r="E2543" t="s">
        <v>34</v>
      </c>
      <c r="F2543" t="s">
        <v>2837</v>
      </c>
      <c r="G2543" t="s">
        <v>34</v>
      </c>
      <c r="H2543" t="s">
        <v>4849</v>
      </c>
      <c r="I2543">
        <v>21</v>
      </c>
      <c r="J2543">
        <v>525</v>
      </c>
    </row>
    <row r="2544" spans="1:10" x14ac:dyDescent="0.35">
      <c r="A2544">
        <v>6009880106073</v>
      </c>
      <c r="B2544" t="s">
        <v>486</v>
      </c>
      <c r="C2544" t="s">
        <v>542</v>
      </c>
      <c r="D2544" t="s">
        <v>2836</v>
      </c>
      <c r="E2544" t="s">
        <v>34</v>
      </c>
      <c r="F2544" t="s">
        <v>2837</v>
      </c>
      <c r="G2544" t="s">
        <v>34</v>
      </c>
      <c r="H2544" t="s">
        <v>4849</v>
      </c>
      <c r="J2544">
        <v>113</v>
      </c>
    </row>
    <row r="2545" spans="1:10" x14ac:dyDescent="0.35">
      <c r="A2545">
        <v>6009880106097</v>
      </c>
      <c r="B2545" t="s">
        <v>2839</v>
      </c>
      <c r="C2545" t="s">
        <v>542</v>
      </c>
      <c r="D2545" t="s">
        <v>2836</v>
      </c>
      <c r="E2545" t="s">
        <v>34</v>
      </c>
      <c r="F2545" t="s">
        <v>2837</v>
      </c>
      <c r="G2545" t="s">
        <v>34</v>
      </c>
      <c r="H2545" t="s">
        <v>4849</v>
      </c>
      <c r="J2545">
        <v>873</v>
      </c>
    </row>
    <row r="2546" spans="1:10" x14ac:dyDescent="0.35">
      <c r="A2546">
        <v>6009880106110</v>
      </c>
      <c r="B2546" t="s">
        <v>2840</v>
      </c>
      <c r="C2546" t="s">
        <v>542</v>
      </c>
      <c r="D2546" t="s">
        <v>2836</v>
      </c>
      <c r="E2546" t="s">
        <v>34</v>
      </c>
      <c r="F2546" t="s">
        <v>2837</v>
      </c>
      <c r="G2546" t="s">
        <v>34</v>
      </c>
      <c r="H2546" t="s">
        <v>4849</v>
      </c>
      <c r="I2546">
        <v>21</v>
      </c>
      <c r="J2546">
        <v>164</v>
      </c>
    </row>
    <row r="2547" spans="1:10" x14ac:dyDescent="0.35">
      <c r="A2547">
        <v>6009880106127</v>
      </c>
      <c r="B2547" t="s">
        <v>2841</v>
      </c>
      <c r="C2547" t="s">
        <v>814</v>
      </c>
      <c r="D2547" t="s">
        <v>2836</v>
      </c>
      <c r="E2547" t="s">
        <v>34</v>
      </c>
      <c r="F2547" t="s">
        <v>2837</v>
      </c>
      <c r="G2547" t="s">
        <v>34</v>
      </c>
      <c r="H2547" t="s">
        <v>4849</v>
      </c>
      <c r="J2547">
        <v>1</v>
      </c>
    </row>
    <row r="2548" spans="1:10" x14ac:dyDescent="0.35">
      <c r="A2548">
        <v>6009880106134</v>
      </c>
      <c r="B2548" t="s">
        <v>2842</v>
      </c>
      <c r="C2548" t="s">
        <v>542</v>
      </c>
      <c r="D2548" t="s">
        <v>2836</v>
      </c>
      <c r="E2548" t="s">
        <v>34</v>
      </c>
      <c r="F2548" t="s">
        <v>2837</v>
      </c>
      <c r="G2548" t="s">
        <v>34</v>
      </c>
      <c r="H2548" t="s">
        <v>4849</v>
      </c>
      <c r="J2548">
        <v>28</v>
      </c>
    </row>
    <row r="2549" spans="1:10" x14ac:dyDescent="0.35">
      <c r="A2549">
        <v>6009880106134</v>
      </c>
      <c r="B2549" t="s">
        <v>2842</v>
      </c>
      <c r="C2549" t="s">
        <v>542</v>
      </c>
      <c r="D2549" t="s">
        <v>2836</v>
      </c>
      <c r="E2549" t="s">
        <v>34</v>
      </c>
      <c r="F2549" t="s">
        <v>2837</v>
      </c>
      <c r="G2549" t="s">
        <v>150</v>
      </c>
      <c r="H2549" t="s">
        <v>4849</v>
      </c>
      <c r="J2549">
        <v>20</v>
      </c>
    </row>
    <row r="2550" spans="1:10" x14ac:dyDescent="0.35">
      <c r="A2550">
        <v>6009880106158</v>
      </c>
      <c r="B2550" t="s">
        <v>2843</v>
      </c>
      <c r="C2550" t="s">
        <v>542</v>
      </c>
      <c r="D2550" t="s">
        <v>2836</v>
      </c>
      <c r="E2550" t="s">
        <v>34</v>
      </c>
      <c r="F2550" t="s">
        <v>2837</v>
      </c>
      <c r="G2550" t="s">
        <v>34</v>
      </c>
      <c r="H2550" t="s">
        <v>4849</v>
      </c>
      <c r="J2550">
        <v>27</v>
      </c>
    </row>
    <row r="2551" spans="1:10" x14ac:dyDescent="0.35">
      <c r="A2551">
        <v>6009880106172</v>
      </c>
      <c r="B2551" t="s">
        <v>2844</v>
      </c>
      <c r="C2551" t="s">
        <v>603</v>
      </c>
      <c r="D2551" t="s">
        <v>2836</v>
      </c>
      <c r="E2551" t="s">
        <v>34</v>
      </c>
      <c r="F2551" t="s">
        <v>2837</v>
      </c>
      <c r="G2551" t="s">
        <v>34</v>
      </c>
      <c r="H2551" t="s">
        <v>4849</v>
      </c>
      <c r="J2551">
        <v>189</v>
      </c>
    </row>
    <row r="2552" spans="1:10" x14ac:dyDescent="0.35">
      <c r="A2552">
        <v>6009880106196</v>
      </c>
      <c r="B2552" t="s">
        <v>2845</v>
      </c>
      <c r="C2552" t="s">
        <v>542</v>
      </c>
      <c r="D2552" t="s">
        <v>2836</v>
      </c>
      <c r="E2552" t="s">
        <v>34</v>
      </c>
      <c r="F2552" t="s">
        <v>2837</v>
      </c>
      <c r="G2552" t="s">
        <v>34</v>
      </c>
      <c r="H2552" t="s">
        <v>4849</v>
      </c>
      <c r="J2552">
        <v>620</v>
      </c>
    </row>
    <row r="2553" spans="1:10" x14ac:dyDescent="0.35">
      <c r="A2553">
        <v>6009880106257</v>
      </c>
      <c r="B2553" t="s">
        <v>2846</v>
      </c>
      <c r="C2553" t="s">
        <v>192</v>
      </c>
      <c r="D2553" t="s">
        <v>2836</v>
      </c>
      <c r="E2553" t="s">
        <v>34</v>
      </c>
      <c r="F2553" t="s">
        <v>2837</v>
      </c>
      <c r="G2553" t="s">
        <v>34</v>
      </c>
      <c r="H2553" t="s">
        <v>4849</v>
      </c>
      <c r="J2553">
        <v>3</v>
      </c>
    </row>
    <row r="2554" spans="1:10" x14ac:dyDescent="0.35">
      <c r="A2554">
        <v>6009880106295</v>
      </c>
      <c r="B2554" t="s">
        <v>406</v>
      </c>
      <c r="C2554" t="s">
        <v>542</v>
      </c>
      <c r="D2554" t="s">
        <v>2836</v>
      </c>
      <c r="E2554" t="s">
        <v>34</v>
      </c>
      <c r="F2554" t="s">
        <v>2837</v>
      </c>
      <c r="G2554" t="s">
        <v>34</v>
      </c>
      <c r="H2554" t="s">
        <v>4849</v>
      </c>
      <c r="J2554">
        <v>209</v>
      </c>
    </row>
    <row r="2555" spans="1:10" x14ac:dyDescent="0.35">
      <c r="A2555">
        <v>6009880243013</v>
      </c>
      <c r="B2555" t="s">
        <v>2451</v>
      </c>
      <c r="C2555" t="s">
        <v>9</v>
      </c>
      <c r="D2555" t="s">
        <v>2847</v>
      </c>
      <c r="E2555" t="s">
        <v>73</v>
      </c>
      <c r="F2555" t="s">
        <v>2848</v>
      </c>
      <c r="G2555" t="s">
        <v>34</v>
      </c>
      <c r="H2555" t="s">
        <v>4850</v>
      </c>
      <c r="J2555">
        <v>1</v>
      </c>
    </row>
    <row r="2556" spans="1:10" x14ac:dyDescent="0.35">
      <c r="A2556">
        <v>6009880243013</v>
      </c>
      <c r="B2556" t="s">
        <v>2451</v>
      </c>
      <c r="C2556" t="s">
        <v>9</v>
      </c>
      <c r="D2556" t="s">
        <v>2847</v>
      </c>
      <c r="E2556" t="s">
        <v>73</v>
      </c>
      <c r="F2556" t="s">
        <v>2848</v>
      </c>
      <c r="G2556" t="s">
        <v>73</v>
      </c>
      <c r="H2556" t="s">
        <v>4850</v>
      </c>
      <c r="J2556">
        <v>1</v>
      </c>
    </row>
    <row r="2557" spans="1:10" x14ac:dyDescent="0.35">
      <c r="A2557">
        <v>6009880243075</v>
      </c>
      <c r="B2557" t="s">
        <v>212</v>
      </c>
      <c r="C2557" t="s">
        <v>603</v>
      </c>
      <c r="D2557" t="s">
        <v>2847</v>
      </c>
      <c r="E2557" t="s">
        <v>73</v>
      </c>
      <c r="F2557" t="s">
        <v>2848</v>
      </c>
      <c r="G2557" t="s">
        <v>34</v>
      </c>
      <c r="H2557" t="s">
        <v>4850</v>
      </c>
      <c r="J2557">
        <v>1</v>
      </c>
    </row>
    <row r="2558" spans="1:10" x14ac:dyDescent="0.35">
      <c r="A2558">
        <v>6009880251582</v>
      </c>
      <c r="B2558" t="s">
        <v>2849</v>
      </c>
      <c r="C2558" t="s">
        <v>801</v>
      </c>
      <c r="D2558" t="s">
        <v>2207</v>
      </c>
      <c r="E2558" t="s">
        <v>73</v>
      </c>
      <c r="F2558" t="s">
        <v>2208</v>
      </c>
      <c r="G2558" t="s">
        <v>33</v>
      </c>
      <c r="H2558" t="s">
        <v>4766</v>
      </c>
      <c r="J2558">
        <v>12</v>
      </c>
    </row>
    <row r="2559" spans="1:10" x14ac:dyDescent="0.35">
      <c r="A2559">
        <v>6009880251599</v>
      </c>
      <c r="B2559" t="s">
        <v>2850</v>
      </c>
      <c r="C2559" t="s">
        <v>78</v>
      </c>
      <c r="D2559" t="s">
        <v>2207</v>
      </c>
      <c r="E2559" t="s">
        <v>73</v>
      </c>
      <c r="F2559" t="s">
        <v>2208</v>
      </c>
      <c r="G2559" t="s">
        <v>33</v>
      </c>
      <c r="H2559" t="s">
        <v>4766</v>
      </c>
      <c r="J2559">
        <v>1</v>
      </c>
    </row>
    <row r="2560" spans="1:10" x14ac:dyDescent="0.35">
      <c r="A2560">
        <v>6009880251599</v>
      </c>
      <c r="B2560" t="s">
        <v>2850</v>
      </c>
      <c r="C2560" t="s">
        <v>78</v>
      </c>
      <c r="D2560" t="s">
        <v>2207</v>
      </c>
      <c r="E2560" t="s">
        <v>73</v>
      </c>
      <c r="F2560" t="s">
        <v>2208</v>
      </c>
      <c r="G2560" t="s">
        <v>34</v>
      </c>
      <c r="H2560" t="s">
        <v>4766</v>
      </c>
      <c r="J2560">
        <v>7</v>
      </c>
    </row>
    <row r="2561" spans="1:10" x14ac:dyDescent="0.35">
      <c r="A2561">
        <v>6009880372799</v>
      </c>
      <c r="B2561" t="s">
        <v>2851</v>
      </c>
      <c r="C2561" t="s">
        <v>431</v>
      </c>
      <c r="D2561" t="s">
        <v>2852</v>
      </c>
      <c r="E2561" t="s">
        <v>308</v>
      </c>
      <c r="F2561" t="s">
        <v>309</v>
      </c>
      <c r="G2561" t="s">
        <v>117</v>
      </c>
      <c r="H2561" t="s">
        <v>4529</v>
      </c>
      <c r="J2561">
        <v>5</v>
      </c>
    </row>
    <row r="2562" spans="1:10" x14ac:dyDescent="0.35">
      <c r="A2562">
        <v>6009880412518</v>
      </c>
      <c r="B2562" t="s">
        <v>668</v>
      </c>
      <c r="C2562" t="s">
        <v>78</v>
      </c>
      <c r="D2562" t="s">
        <v>2853</v>
      </c>
      <c r="E2562" t="s">
        <v>73</v>
      </c>
      <c r="F2562" t="s">
        <v>2853</v>
      </c>
      <c r="G2562" t="s">
        <v>34</v>
      </c>
      <c r="H2562" t="s">
        <v>4851</v>
      </c>
      <c r="J2562">
        <v>23</v>
      </c>
    </row>
    <row r="2563" spans="1:10" x14ac:dyDescent="0.35">
      <c r="A2563">
        <v>6009880442485</v>
      </c>
      <c r="B2563" t="s">
        <v>2602</v>
      </c>
      <c r="C2563" t="s">
        <v>472</v>
      </c>
      <c r="D2563" t="s">
        <v>2854</v>
      </c>
      <c r="E2563" t="s">
        <v>33</v>
      </c>
      <c r="F2563" t="s">
        <v>2855</v>
      </c>
      <c r="G2563" t="s">
        <v>33</v>
      </c>
      <c r="H2563" t="s">
        <v>4852</v>
      </c>
      <c r="J2563">
        <v>1</v>
      </c>
    </row>
    <row r="2564" spans="1:10" x14ac:dyDescent="0.35">
      <c r="A2564">
        <v>6009880442492</v>
      </c>
      <c r="B2564" t="s">
        <v>2602</v>
      </c>
      <c r="C2564" t="s">
        <v>472</v>
      </c>
      <c r="D2564" t="s">
        <v>2854</v>
      </c>
      <c r="E2564" t="s">
        <v>33</v>
      </c>
      <c r="F2564" t="s">
        <v>2855</v>
      </c>
      <c r="G2564" t="s">
        <v>33</v>
      </c>
      <c r="H2564" t="s">
        <v>4852</v>
      </c>
      <c r="J2564">
        <v>158</v>
      </c>
    </row>
    <row r="2565" spans="1:10" x14ac:dyDescent="0.35">
      <c r="A2565">
        <v>6009880442539</v>
      </c>
      <c r="B2565" t="s">
        <v>2856</v>
      </c>
      <c r="C2565" t="s">
        <v>472</v>
      </c>
      <c r="D2565" t="s">
        <v>2854</v>
      </c>
      <c r="E2565" t="s">
        <v>33</v>
      </c>
      <c r="F2565" t="s">
        <v>2855</v>
      </c>
      <c r="G2565" t="s">
        <v>33</v>
      </c>
      <c r="H2565" t="s">
        <v>4852</v>
      </c>
      <c r="J2565">
        <v>79</v>
      </c>
    </row>
    <row r="2566" spans="1:10" x14ac:dyDescent="0.35">
      <c r="A2566">
        <v>6009880442607</v>
      </c>
      <c r="B2566" t="s">
        <v>1151</v>
      </c>
      <c r="C2566" t="s">
        <v>326</v>
      </c>
      <c r="D2566" t="s">
        <v>2857</v>
      </c>
      <c r="E2566" t="s">
        <v>33</v>
      </c>
      <c r="F2566" t="s">
        <v>2855</v>
      </c>
      <c r="G2566" t="s">
        <v>33</v>
      </c>
      <c r="H2566" t="s">
        <v>4852</v>
      </c>
      <c r="J2566">
        <v>4</v>
      </c>
    </row>
    <row r="2567" spans="1:10" x14ac:dyDescent="0.35">
      <c r="A2567">
        <v>6009880442706</v>
      </c>
      <c r="B2567" t="s">
        <v>2858</v>
      </c>
      <c r="C2567" t="s">
        <v>472</v>
      </c>
      <c r="D2567" t="s">
        <v>2854</v>
      </c>
      <c r="E2567" t="s">
        <v>33</v>
      </c>
      <c r="F2567" t="s">
        <v>2855</v>
      </c>
      <c r="G2567" t="s">
        <v>33</v>
      </c>
      <c r="H2567" t="s">
        <v>4852</v>
      </c>
      <c r="J2567">
        <v>15</v>
      </c>
    </row>
    <row r="2568" spans="1:10" x14ac:dyDescent="0.35">
      <c r="A2568">
        <v>6009880652051</v>
      </c>
      <c r="B2568" t="s">
        <v>2722</v>
      </c>
      <c r="C2568" t="s">
        <v>75</v>
      </c>
      <c r="D2568" t="s">
        <v>2580</v>
      </c>
      <c r="E2568" t="s">
        <v>33</v>
      </c>
      <c r="F2568" t="s">
        <v>2581</v>
      </c>
      <c r="G2568" t="s">
        <v>33</v>
      </c>
      <c r="H2568" t="s">
        <v>4821</v>
      </c>
      <c r="J2568">
        <v>18</v>
      </c>
    </row>
    <row r="2569" spans="1:10" x14ac:dyDescent="0.35">
      <c r="A2569">
        <v>6009880652297</v>
      </c>
      <c r="B2569" t="s">
        <v>2859</v>
      </c>
      <c r="C2569" t="s">
        <v>78</v>
      </c>
      <c r="D2569" t="s">
        <v>2580</v>
      </c>
      <c r="E2569" t="s">
        <v>33</v>
      </c>
      <c r="F2569" t="s">
        <v>2581</v>
      </c>
      <c r="G2569" t="s">
        <v>33</v>
      </c>
      <c r="H2569" t="s">
        <v>4821</v>
      </c>
      <c r="J2569">
        <v>106</v>
      </c>
    </row>
    <row r="2570" spans="1:10" x14ac:dyDescent="0.35">
      <c r="A2570">
        <v>6009880792108</v>
      </c>
      <c r="B2570" t="s">
        <v>2860</v>
      </c>
      <c r="C2570" t="s">
        <v>9</v>
      </c>
      <c r="D2570" t="s">
        <v>2861</v>
      </c>
      <c r="E2570" t="s">
        <v>73</v>
      </c>
      <c r="F2570" t="s">
        <v>2862</v>
      </c>
      <c r="G2570" t="s">
        <v>73</v>
      </c>
      <c r="H2570" t="s">
        <v>4853</v>
      </c>
      <c r="J2570">
        <v>1</v>
      </c>
    </row>
    <row r="2571" spans="1:10" x14ac:dyDescent="0.35">
      <c r="A2571">
        <v>6009880792313</v>
      </c>
      <c r="B2571" t="s">
        <v>2863</v>
      </c>
      <c r="C2571" t="s">
        <v>1123</v>
      </c>
      <c r="D2571" t="s">
        <v>2861</v>
      </c>
      <c r="E2571" t="s">
        <v>73</v>
      </c>
      <c r="F2571" t="s">
        <v>2862</v>
      </c>
      <c r="G2571" t="s">
        <v>73</v>
      </c>
      <c r="H2571" t="s">
        <v>4853</v>
      </c>
      <c r="J2571">
        <v>1</v>
      </c>
    </row>
    <row r="2572" spans="1:10" x14ac:dyDescent="0.35">
      <c r="A2572">
        <v>6009880792481</v>
      </c>
      <c r="B2572" t="s">
        <v>2864</v>
      </c>
      <c r="C2572" t="s">
        <v>1123</v>
      </c>
      <c r="D2572" t="s">
        <v>2861</v>
      </c>
      <c r="E2572" t="s">
        <v>73</v>
      </c>
      <c r="F2572" t="s">
        <v>2862</v>
      </c>
      <c r="G2572" t="s">
        <v>73</v>
      </c>
      <c r="H2572" t="s">
        <v>4853</v>
      </c>
      <c r="J2572">
        <v>1</v>
      </c>
    </row>
    <row r="2573" spans="1:10" x14ac:dyDescent="0.35">
      <c r="A2573">
        <v>6009880792603</v>
      </c>
      <c r="B2573" t="s">
        <v>2865</v>
      </c>
      <c r="C2573" t="s">
        <v>253</v>
      </c>
      <c r="D2573" t="s">
        <v>2861</v>
      </c>
      <c r="E2573" t="s">
        <v>73</v>
      </c>
      <c r="F2573" t="s">
        <v>2862</v>
      </c>
      <c r="G2573" t="s">
        <v>73</v>
      </c>
      <c r="H2573" t="s">
        <v>4853</v>
      </c>
      <c r="J2573">
        <v>1</v>
      </c>
    </row>
    <row r="2574" spans="1:10" x14ac:dyDescent="0.35">
      <c r="A2574">
        <v>6009880839100</v>
      </c>
      <c r="B2574" t="s">
        <v>2391</v>
      </c>
      <c r="C2574" t="s">
        <v>2866</v>
      </c>
      <c r="D2574" t="s">
        <v>2278</v>
      </c>
      <c r="E2574" t="s">
        <v>73</v>
      </c>
      <c r="F2574" t="s">
        <v>2279</v>
      </c>
      <c r="G2574" t="s">
        <v>73</v>
      </c>
      <c r="H2574" t="s">
        <v>4782</v>
      </c>
      <c r="J2574">
        <v>1</v>
      </c>
    </row>
    <row r="2575" spans="1:10" x14ac:dyDescent="0.35">
      <c r="A2575">
        <v>6009880916108</v>
      </c>
      <c r="B2575" t="s">
        <v>2867</v>
      </c>
      <c r="C2575" t="s">
        <v>78</v>
      </c>
      <c r="D2575" t="s">
        <v>2868</v>
      </c>
      <c r="E2575" t="s">
        <v>33</v>
      </c>
      <c r="F2575" t="s">
        <v>2869</v>
      </c>
      <c r="G2575" t="s">
        <v>33</v>
      </c>
      <c r="H2575" t="s">
        <v>4854</v>
      </c>
      <c r="J2575">
        <v>29</v>
      </c>
    </row>
    <row r="2576" spans="1:10" x14ac:dyDescent="0.35">
      <c r="A2576">
        <v>6009881099138</v>
      </c>
      <c r="B2576" t="s">
        <v>2870</v>
      </c>
      <c r="C2576" t="s">
        <v>603</v>
      </c>
      <c r="D2576" t="s">
        <v>1074</v>
      </c>
      <c r="E2576" t="s">
        <v>33</v>
      </c>
      <c r="F2576" t="s">
        <v>1075</v>
      </c>
      <c r="G2576" t="s">
        <v>117</v>
      </c>
      <c r="H2576" t="s">
        <v>4645</v>
      </c>
      <c r="J2576">
        <v>1</v>
      </c>
    </row>
    <row r="2577" spans="1:10" x14ac:dyDescent="0.35">
      <c r="A2577">
        <v>6009881099138</v>
      </c>
      <c r="B2577" t="s">
        <v>2870</v>
      </c>
      <c r="C2577" t="s">
        <v>603</v>
      </c>
      <c r="D2577" t="s">
        <v>1074</v>
      </c>
      <c r="E2577" t="s">
        <v>33</v>
      </c>
      <c r="F2577" t="s">
        <v>1075</v>
      </c>
      <c r="G2577" t="s">
        <v>33</v>
      </c>
      <c r="H2577" t="s">
        <v>4645</v>
      </c>
      <c r="J2577">
        <v>725</v>
      </c>
    </row>
    <row r="2578" spans="1:10" x14ac:dyDescent="0.35">
      <c r="A2578">
        <v>6009888701027</v>
      </c>
      <c r="B2578" t="s">
        <v>1291</v>
      </c>
      <c r="C2578" t="s">
        <v>9</v>
      </c>
      <c r="D2578" t="s">
        <v>273</v>
      </c>
      <c r="E2578" t="s">
        <v>15</v>
      </c>
      <c r="F2578" t="s">
        <v>56</v>
      </c>
      <c r="G2578" t="s">
        <v>578</v>
      </c>
      <c r="H2578" t="s">
        <v>4497</v>
      </c>
      <c r="J2578">
        <v>1</v>
      </c>
    </row>
    <row r="2579" spans="1:10" x14ac:dyDescent="0.35">
      <c r="A2579">
        <v>6009900076607</v>
      </c>
      <c r="B2579" t="s">
        <v>1011</v>
      </c>
      <c r="C2579" t="s">
        <v>472</v>
      </c>
      <c r="D2579" t="s">
        <v>2261</v>
      </c>
      <c r="E2579" t="s">
        <v>34</v>
      </c>
      <c r="F2579" t="s">
        <v>2262</v>
      </c>
      <c r="G2579" t="s">
        <v>34</v>
      </c>
      <c r="H2579" t="s">
        <v>4778</v>
      </c>
      <c r="J2579">
        <v>112</v>
      </c>
    </row>
    <row r="2580" spans="1:10" x14ac:dyDescent="0.35">
      <c r="A2580">
        <v>6009900076683</v>
      </c>
      <c r="B2580" t="s">
        <v>2871</v>
      </c>
      <c r="C2580" t="s">
        <v>576</v>
      </c>
      <c r="D2580" t="s">
        <v>2261</v>
      </c>
      <c r="E2580" t="s">
        <v>34</v>
      </c>
      <c r="F2580" t="s">
        <v>2262</v>
      </c>
      <c r="G2580" t="s">
        <v>33</v>
      </c>
      <c r="H2580" t="s">
        <v>4778</v>
      </c>
      <c r="J2580">
        <v>134</v>
      </c>
    </row>
    <row r="2581" spans="1:10" x14ac:dyDescent="0.35">
      <c r="A2581">
        <v>6009900076683</v>
      </c>
      <c r="B2581" t="s">
        <v>2871</v>
      </c>
      <c r="C2581" t="s">
        <v>576</v>
      </c>
      <c r="D2581" t="s">
        <v>2261</v>
      </c>
      <c r="E2581" t="s">
        <v>34</v>
      </c>
      <c r="F2581" t="s">
        <v>2262</v>
      </c>
      <c r="G2581" t="s">
        <v>34</v>
      </c>
      <c r="H2581" t="s">
        <v>4778</v>
      </c>
      <c r="J2581">
        <v>960</v>
      </c>
    </row>
    <row r="2582" spans="1:10" x14ac:dyDescent="0.35">
      <c r="A2582">
        <v>6009900076713</v>
      </c>
      <c r="B2582" t="s">
        <v>2872</v>
      </c>
      <c r="C2582" t="s">
        <v>472</v>
      </c>
      <c r="D2582" t="s">
        <v>2261</v>
      </c>
      <c r="E2582" t="s">
        <v>34</v>
      </c>
      <c r="F2582" t="s">
        <v>2262</v>
      </c>
      <c r="G2582" t="s">
        <v>33</v>
      </c>
      <c r="H2582" t="s">
        <v>4778</v>
      </c>
      <c r="J2582">
        <v>123</v>
      </c>
    </row>
    <row r="2583" spans="1:10" x14ac:dyDescent="0.35">
      <c r="A2583">
        <v>6009900076713</v>
      </c>
      <c r="B2583" t="s">
        <v>2872</v>
      </c>
      <c r="C2583" t="s">
        <v>472</v>
      </c>
      <c r="D2583" t="s">
        <v>2261</v>
      </c>
      <c r="E2583" t="s">
        <v>34</v>
      </c>
      <c r="F2583" t="s">
        <v>2262</v>
      </c>
      <c r="G2583" t="s">
        <v>34</v>
      </c>
      <c r="H2583" t="s">
        <v>4778</v>
      </c>
      <c r="J2583">
        <v>171</v>
      </c>
    </row>
    <row r="2584" spans="1:10" x14ac:dyDescent="0.35">
      <c r="A2584">
        <v>6009900076720</v>
      </c>
      <c r="B2584" t="s">
        <v>2873</v>
      </c>
      <c r="C2584" t="s">
        <v>472</v>
      </c>
      <c r="D2584" t="s">
        <v>2261</v>
      </c>
      <c r="E2584" t="s">
        <v>34</v>
      </c>
      <c r="F2584" t="s">
        <v>2262</v>
      </c>
      <c r="G2584" t="s">
        <v>34</v>
      </c>
      <c r="H2584" t="s">
        <v>4778</v>
      </c>
      <c r="J2584">
        <v>49</v>
      </c>
    </row>
    <row r="2585" spans="1:10" x14ac:dyDescent="0.35">
      <c r="A2585">
        <v>6009900076737</v>
      </c>
      <c r="B2585" t="s">
        <v>2261</v>
      </c>
      <c r="C2585" t="s">
        <v>472</v>
      </c>
      <c r="D2585" t="s">
        <v>2261</v>
      </c>
      <c r="E2585" t="s">
        <v>34</v>
      </c>
      <c r="F2585" t="s">
        <v>2262</v>
      </c>
      <c r="G2585" t="s">
        <v>33</v>
      </c>
      <c r="H2585" t="s">
        <v>4778</v>
      </c>
      <c r="J2585">
        <v>203</v>
      </c>
    </row>
    <row r="2586" spans="1:10" x14ac:dyDescent="0.35">
      <c r="A2586">
        <v>6009900076737</v>
      </c>
      <c r="B2586" t="s">
        <v>2261</v>
      </c>
      <c r="C2586" t="s">
        <v>472</v>
      </c>
      <c r="D2586" t="s">
        <v>2261</v>
      </c>
      <c r="E2586" t="s">
        <v>34</v>
      </c>
      <c r="F2586" t="s">
        <v>2262</v>
      </c>
      <c r="G2586" t="s">
        <v>34</v>
      </c>
      <c r="H2586" t="s">
        <v>4778</v>
      </c>
      <c r="J2586">
        <v>7305</v>
      </c>
    </row>
    <row r="2587" spans="1:10" x14ac:dyDescent="0.35">
      <c r="A2587">
        <v>6009900076744</v>
      </c>
      <c r="B2587" t="s">
        <v>2463</v>
      </c>
      <c r="C2587" t="s">
        <v>472</v>
      </c>
      <c r="D2587" t="s">
        <v>2261</v>
      </c>
      <c r="E2587" t="s">
        <v>34</v>
      </c>
      <c r="F2587" t="s">
        <v>2262</v>
      </c>
      <c r="G2587" t="s">
        <v>33</v>
      </c>
      <c r="H2587" t="s">
        <v>4778</v>
      </c>
      <c r="J2587">
        <v>303</v>
      </c>
    </row>
    <row r="2588" spans="1:10" x14ac:dyDescent="0.35">
      <c r="A2588">
        <v>6009900076744</v>
      </c>
      <c r="B2588" t="s">
        <v>2463</v>
      </c>
      <c r="C2588" t="s">
        <v>472</v>
      </c>
      <c r="D2588" t="s">
        <v>2261</v>
      </c>
      <c r="E2588" t="s">
        <v>34</v>
      </c>
      <c r="F2588" t="s">
        <v>2262</v>
      </c>
      <c r="G2588" t="s">
        <v>34</v>
      </c>
      <c r="H2588" t="s">
        <v>4778</v>
      </c>
      <c r="J2588">
        <v>1703</v>
      </c>
    </row>
    <row r="2589" spans="1:10" x14ac:dyDescent="0.35">
      <c r="A2589">
        <v>6009900076768</v>
      </c>
      <c r="B2589" t="s">
        <v>2261</v>
      </c>
      <c r="C2589" t="s">
        <v>78</v>
      </c>
      <c r="D2589" t="s">
        <v>2261</v>
      </c>
      <c r="E2589" t="s">
        <v>34</v>
      </c>
      <c r="F2589" t="s">
        <v>2262</v>
      </c>
      <c r="G2589" t="s">
        <v>34</v>
      </c>
      <c r="H2589" t="s">
        <v>4778</v>
      </c>
      <c r="J2589">
        <v>2</v>
      </c>
    </row>
    <row r="2590" spans="1:10" x14ac:dyDescent="0.35">
      <c r="A2590">
        <v>6009900076775</v>
      </c>
      <c r="B2590" t="s">
        <v>2874</v>
      </c>
      <c r="C2590" t="s">
        <v>472</v>
      </c>
      <c r="D2590" t="s">
        <v>2261</v>
      </c>
      <c r="E2590" t="s">
        <v>34</v>
      </c>
      <c r="F2590" t="s">
        <v>2262</v>
      </c>
      <c r="G2590" t="s">
        <v>34</v>
      </c>
      <c r="H2590" t="s">
        <v>4778</v>
      </c>
      <c r="J2590">
        <v>4</v>
      </c>
    </row>
    <row r="2591" spans="1:10" x14ac:dyDescent="0.35">
      <c r="A2591">
        <v>6009900262307</v>
      </c>
      <c r="B2591" t="s">
        <v>2875</v>
      </c>
      <c r="C2591" t="s">
        <v>9</v>
      </c>
      <c r="D2591" t="s">
        <v>2857</v>
      </c>
      <c r="E2591" t="s">
        <v>33</v>
      </c>
      <c r="F2591" t="s">
        <v>2855</v>
      </c>
      <c r="G2591" t="s">
        <v>33</v>
      </c>
      <c r="H2591" t="s">
        <v>4852</v>
      </c>
      <c r="J2591">
        <v>174</v>
      </c>
    </row>
    <row r="2592" spans="1:10" x14ac:dyDescent="0.35">
      <c r="A2592">
        <v>6009900262314</v>
      </c>
      <c r="B2592" t="s">
        <v>262</v>
      </c>
      <c r="C2592" t="s">
        <v>81</v>
      </c>
      <c r="D2592" t="s">
        <v>2857</v>
      </c>
      <c r="E2592" t="s">
        <v>33</v>
      </c>
      <c r="F2592" t="s">
        <v>2855</v>
      </c>
      <c r="G2592" t="s">
        <v>33</v>
      </c>
      <c r="H2592" t="s">
        <v>4852</v>
      </c>
      <c r="J2592">
        <v>103</v>
      </c>
    </row>
    <row r="2593" spans="1:10" x14ac:dyDescent="0.35">
      <c r="A2593">
        <v>6009900269061</v>
      </c>
      <c r="B2593" t="s">
        <v>2876</v>
      </c>
      <c r="C2593" t="s">
        <v>603</v>
      </c>
      <c r="D2593" t="s">
        <v>2877</v>
      </c>
      <c r="E2593" t="s">
        <v>117</v>
      </c>
      <c r="F2593" t="s">
        <v>377</v>
      </c>
      <c r="G2593" t="s">
        <v>117</v>
      </c>
      <c r="H2593" t="s">
        <v>4542</v>
      </c>
      <c r="J2593">
        <v>4</v>
      </c>
    </row>
    <row r="2594" spans="1:10" x14ac:dyDescent="0.35">
      <c r="A2594">
        <v>6009900270302</v>
      </c>
      <c r="B2594" t="s">
        <v>2878</v>
      </c>
      <c r="C2594" t="s">
        <v>110</v>
      </c>
      <c r="D2594" t="s">
        <v>1358</v>
      </c>
      <c r="E2594" t="s">
        <v>117</v>
      </c>
      <c r="F2594" t="s">
        <v>1359</v>
      </c>
      <c r="G2594" t="s">
        <v>117</v>
      </c>
      <c r="H2594" t="s">
        <v>4679</v>
      </c>
      <c r="J2594">
        <v>5</v>
      </c>
    </row>
    <row r="2595" spans="1:10" x14ac:dyDescent="0.35">
      <c r="A2595">
        <v>6009900374314</v>
      </c>
      <c r="B2595" t="s">
        <v>446</v>
      </c>
      <c r="C2595" t="s">
        <v>545</v>
      </c>
      <c r="D2595" t="s">
        <v>2879</v>
      </c>
      <c r="E2595" t="s">
        <v>117</v>
      </c>
      <c r="F2595" t="s">
        <v>2880</v>
      </c>
      <c r="G2595" t="s">
        <v>117</v>
      </c>
      <c r="H2595" t="s">
        <v>4855</v>
      </c>
      <c r="J2595">
        <v>1</v>
      </c>
    </row>
    <row r="2596" spans="1:10" x14ac:dyDescent="0.35">
      <c r="A2596">
        <v>6009900374352</v>
      </c>
      <c r="B2596" t="s">
        <v>446</v>
      </c>
      <c r="C2596" t="s">
        <v>2881</v>
      </c>
      <c r="D2596" t="s">
        <v>2879</v>
      </c>
      <c r="E2596" t="s">
        <v>117</v>
      </c>
      <c r="F2596" t="s">
        <v>2880</v>
      </c>
      <c r="G2596" t="s">
        <v>117</v>
      </c>
      <c r="H2596" t="s">
        <v>4855</v>
      </c>
      <c r="J2596">
        <v>191</v>
      </c>
    </row>
    <row r="2597" spans="1:10" x14ac:dyDescent="0.35">
      <c r="A2597">
        <v>6009900502182</v>
      </c>
      <c r="B2597" t="s">
        <v>581</v>
      </c>
      <c r="C2597" t="s">
        <v>253</v>
      </c>
      <c r="D2597" t="s">
        <v>2882</v>
      </c>
      <c r="E2597" t="s">
        <v>117</v>
      </c>
      <c r="F2597" t="s">
        <v>2883</v>
      </c>
      <c r="G2597" t="s">
        <v>117</v>
      </c>
      <c r="H2597" t="s">
        <v>4856</v>
      </c>
      <c r="J2597">
        <v>1</v>
      </c>
    </row>
    <row r="2598" spans="1:10" x14ac:dyDescent="0.35">
      <c r="A2598">
        <v>6009900507354</v>
      </c>
      <c r="B2598" t="s">
        <v>262</v>
      </c>
      <c r="C2598" t="s">
        <v>9</v>
      </c>
      <c r="D2598" t="s">
        <v>2884</v>
      </c>
      <c r="E2598" t="s">
        <v>308</v>
      </c>
      <c r="F2598" t="s">
        <v>309</v>
      </c>
      <c r="G2598" t="s">
        <v>578</v>
      </c>
      <c r="H2598" t="s">
        <v>4529</v>
      </c>
      <c r="J2598">
        <v>4</v>
      </c>
    </row>
    <row r="2599" spans="1:10" x14ac:dyDescent="0.35">
      <c r="A2599">
        <v>6014444972902</v>
      </c>
      <c r="B2599" t="s">
        <v>2626</v>
      </c>
      <c r="C2599" t="s">
        <v>75</v>
      </c>
      <c r="D2599" t="s">
        <v>2731</v>
      </c>
      <c r="E2599" t="s">
        <v>308</v>
      </c>
      <c r="F2599" t="s">
        <v>309</v>
      </c>
      <c r="G2599" t="s">
        <v>34</v>
      </c>
      <c r="H2599" t="s">
        <v>4529</v>
      </c>
      <c r="J2599">
        <v>3</v>
      </c>
    </row>
    <row r="2600" spans="1:10" x14ac:dyDescent="0.35">
      <c r="A2600">
        <v>6017610373428</v>
      </c>
      <c r="B2600" t="s">
        <v>2885</v>
      </c>
      <c r="C2600" t="s">
        <v>192</v>
      </c>
      <c r="D2600" t="s">
        <v>1064</v>
      </c>
      <c r="E2600" t="s">
        <v>130</v>
      </c>
      <c r="F2600" t="s">
        <v>220</v>
      </c>
      <c r="G2600" t="s">
        <v>22</v>
      </c>
      <c r="H2600" t="s">
        <v>4520</v>
      </c>
      <c r="J2600">
        <v>1</v>
      </c>
    </row>
    <row r="2601" spans="1:10" x14ac:dyDescent="0.35">
      <c r="A2601">
        <v>6019879794617</v>
      </c>
      <c r="B2601" t="s">
        <v>2886</v>
      </c>
      <c r="C2601" t="s">
        <v>9</v>
      </c>
      <c r="D2601" t="s">
        <v>2826</v>
      </c>
      <c r="E2601" t="s">
        <v>117</v>
      </c>
      <c r="F2601" t="s">
        <v>2562</v>
      </c>
      <c r="G2601" t="s">
        <v>117</v>
      </c>
      <c r="H2601" t="s">
        <v>4817</v>
      </c>
      <c r="J2601">
        <v>1</v>
      </c>
    </row>
    <row r="2602" spans="1:10" x14ac:dyDescent="0.35">
      <c r="A2602">
        <v>6030057220414</v>
      </c>
      <c r="B2602" t="s">
        <v>2887</v>
      </c>
      <c r="C2602" t="s">
        <v>94</v>
      </c>
      <c r="D2602" t="s">
        <v>2888</v>
      </c>
      <c r="E2602" t="s">
        <v>1041</v>
      </c>
      <c r="F2602" t="s">
        <v>2889</v>
      </c>
      <c r="G2602" t="s">
        <v>41</v>
      </c>
      <c r="H2602" t="s">
        <v>4857</v>
      </c>
      <c r="J2602">
        <v>175</v>
      </c>
    </row>
    <row r="2603" spans="1:10" x14ac:dyDescent="0.35">
      <c r="A2603">
        <v>6030057220988</v>
      </c>
      <c r="B2603" t="s">
        <v>2887</v>
      </c>
      <c r="C2603" t="s">
        <v>919</v>
      </c>
      <c r="D2603" t="s">
        <v>2888</v>
      </c>
      <c r="E2603" t="s">
        <v>1041</v>
      </c>
      <c r="F2603" t="s">
        <v>2889</v>
      </c>
      <c r="G2603" t="s">
        <v>41</v>
      </c>
      <c r="H2603" t="s">
        <v>4857</v>
      </c>
      <c r="J2603">
        <v>22</v>
      </c>
    </row>
    <row r="2604" spans="1:10" x14ac:dyDescent="0.35">
      <c r="A2604">
        <v>6030057221015</v>
      </c>
      <c r="B2604" t="s">
        <v>2887</v>
      </c>
      <c r="C2604" t="s">
        <v>2890</v>
      </c>
      <c r="D2604" t="s">
        <v>2891</v>
      </c>
      <c r="E2604" t="s">
        <v>1041</v>
      </c>
      <c r="F2604" t="s">
        <v>2892</v>
      </c>
      <c r="G2604" t="s">
        <v>41</v>
      </c>
      <c r="H2604" t="s">
        <v>4858</v>
      </c>
      <c r="J2604">
        <v>50</v>
      </c>
    </row>
    <row r="2605" spans="1:10" x14ac:dyDescent="0.35">
      <c r="A2605">
        <v>6033000083159</v>
      </c>
      <c r="B2605" t="s">
        <v>2893</v>
      </c>
      <c r="C2605" t="s">
        <v>919</v>
      </c>
      <c r="D2605" t="s">
        <v>2894</v>
      </c>
      <c r="E2605" t="s">
        <v>71</v>
      </c>
      <c r="F2605" t="s">
        <v>72</v>
      </c>
      <c r="G2605" t="s">
        <v>41</v>
      </c>
      <c r="H2605" t="s">
        <v>4501</v>
      </c>
      <c r="J2605">
        <v>50</v>
      </c>
    </row>
    <row r="2606" spans="1:10" x14ac:dyDescent="0.35">
      <c r="A2606">
        <v>6033000086419</v>
      </c>
      <c r="B2606" t="s">
        <v>2895</v>
      </c>
      <c r="C2606" t="s">
        <v>2335</v>
      </c>
      <c r="D2606" t="s">
        <v>70</v>
      </c>
      <c r="E2606" t="s">
        <v>71</v>
      </c>
      <c r="F2606" t="s">
        <v>72</v>
      </c>
      <c r="G2606" t="s">
        <v>41</v>
      </c>
      <c r="H2606" t="s">
        <v>4501</v>
      </c>
      <c r="J2606">
        <v>128</v>
      </c>
    </row>
    <row r="2607" spans="1:10" x14ac:dyDescent="0.35">
      <c r="A2607">
        <v>603300008662</v>
      </c>
      <c r="B2607" t="s">
        <v>2896</v>
      </c>
      <c r="C2607" t="s">
        <v>1275</v>
      </c>
      <c r="D2607" t="s">
        <v>70</v>
      </c>
      <c r="E2607" t="s">
        <v>71</v>
      </c>
      <c r="F2607" t="s">
        <v>72</v>
      </c>
      <c r="G2607" t="s">
        <v>41</v>
      </c>
      <c r="H2607" t="s">
        <v>4501</v>
      </c>
      <c r="J2607">
        <v>51</v>
      </c>
    </row>
    <row r="2608" spans="1:10" x14ac:dyDescent="0.35">
      <c r="A2608">
        <v>6033000086815</v>
      </c>
      <c r="B2608" t="s">
        <v>2894</v>
      </c>
      <c r="C2608" t="s">
        <v>919</v>
      </c>
      <c r="D2608" t="s">
        <v>70</v>
      </c>
      <c r="E2608" t="s">
        <v>71</v>
      </c>
      <c r="F2608" t="s">
        <v>72</v>
      </c>
      <c r="G2608" t="s">
        <v>41</v>
      </c>
      <c r="H2608" t="s">
        <v>4501</v>
      </c>
      <c r="J2608">
        <v>1</v>
      </c>
    </row>
    <row r="2609" spans="1:10" x14ac:dyDescent="0.35">
      <c r="A2609">
        <v>6033000087256</v>
      </c>
      <c r="B2609" t="s">
        <v>2897</v>
      </c>
      <c r="C2609" t="s">
        <v>663</v>
      </c>
      <c r="D2609" t="s">
        <v>2898</v>
      </c>
      <c r="E2609" t="s">
        <v>71</v>
      </c>
      <c r="F2609" t="s">
        <v>72</v>
      </c>
      <c r="G2609" t="s">
        <v>41</v>
      </c>
      <c r="H2609" t="s">
        <v>4501</v>
      </c>
      <c r="J2609">
        <v>18</v>
      </c>
    </row>
    <row r="2610" spans="1:10" x14ac:dyDescent="0.35">
      <c r="A2610">
        <v>6033000087300</v>
      </c>
      <c r="B2610" t="s">
        <v>2899</v>
      </c>
      <c r="C2610" t="s">
        <v>801</v>
      </c>
      <c r="D2610" t="s">
        <v>70</v>
      </c>
      <c r="E2610" t="s">
        <v>71</v>
      </c>
      <c r="F2610" t="s">
        <v>72</v>
      </c>
      <c r="G2610" t="s">
        <v>41</v>
      </c>
      <c r="H2610" t="s">
        <v>4501</v>
      </c>
      <c r="J2610">
        <v>1</v>
      </c>
    </row>
    <row r="2611" spans="1:10" x14ac:dyDescent="0.35">
      <c r="A2611">
        <v>6033000087973</v>
      </c>
      <c r="B2611" t="s">
        <v>139</v>
      </c>
      <c r="C2611" t="s">
        <v>659</v>
      </c>
      <c r="D2611" t="s">
        <v>2110</v>
      </c>
      <c r="E2611" t="s">
        <v>71</v>
      </c>
      <c r="F2611" t="s">
        <v>72</v>
      </c>
      <c r="G2611" t="s">
        <v>41</v>
      </c>
      <c r="H2611" t="s">
        <v>4501</v>
      </c>
      <c r="J2611">
        <v>91</v>
      </c>
    </row>
    <row r="2612" spans="1:10" x14ac:dyDescent="0.35">
      <c r="A2612">
        <v>6033000088116</v>
      </c>
      <c r="B2612" t="s">
        <v>2900</v>
      </c>
      <c r="C2612" t="s">
        <v>1275</v>
      </c>
      <c r="D2612" t="s">
        <v>70</v>
      </c>
      <c r="E2612" t="s">
        <v>71</v>
      </c>
      <c r="F2612" t="s">
        <v>72</v>
      </c>
      <c r="G2612" t="s">
        <v>41</v>
      </c>
      <c r="H2612" t="s">
        <v>4501</v>
      </c>
      <c r="J2612">
        <v>49</v>
      </c>
    </row>
    <row r="2613" spans="1:10" x14ac:dyDescent="0.35">
      <c r="A2613">
        <v>6033000088246</v>
      </c>
      <c r="B2613" t="s">
        <v>2901</v>
      </c>
      <c r="C2613" t="s">
        <v>2902</v>
      </c>
      <c r="D2613" t="s">
        <v>2110</v>
      </c>
      <c r="E2613" t="s">
        <v>71</v>
      </c>
      <c r="F2613" t="s">
        <v>72</v>
      </c>
      <c r="G2613" t="s">
        <v>41</v>
      </c>
      <c r="H2613" t="s">
        <v>4501</v>
      </c>
      <c r="J2613">
        <v>2</v>
      </c>
    </row>
    <row r="2614" spans="1:10" x14ac:dyDescent="0.35">
      <c r="A2614">
        <v>6033000089274</v>
      </c>
      <c r="B2614" t="s">
        <v>2903</v>
      </c>
      <c r="C2614" t="s">
        <v>2902</v>
      </c>
      <c r="D2614" t="s">
        <v>2110</v>
      </c>
      <c r="E2614" t="s">
        <v>71</v>
      </c>
      <c r="F2614" t="s">
        <v>72</v>
      </c>
      <c r="G2614" t="s">
        <v>41</v>
      </c>
      <c r="H2614" t="s">
        <v>4501</v>
      </c>
      <c r="J2614">
        <v>86</v>
      </c>
    </row>
    <row r="2615" spans="1:10" x14ac:dyDescent="0.35">
      <c r="A2615">
        <v>6033000292469</v>
      </c>
      <c r="B2615" t="s">
        <v>2904</v>
      </c>
      <c r="C2615" t="s">
        <v>69</v>
      </c>
      <c r="D2615" t="s">
        <v>2905</v>
      </c>
      <c r="E2615" t="s">
        <v>22</v>
      </c>
      <c r="F2615" t="s">
        <v>361</v>
      </c>
      <c r="G2615" t="s">
        <v>41</v>
      </c>
      <c r="H2615" t="s">
        <v>4539</v>
      </c>
      <c r="J2615">
        <v>150</v>
      </c>
    </row>
    <row r="2616" spans="1:10" x14ac:dyDescent="0.35">
      <c r="A2616">
        <v>6033000293961</v>
      </c>
      <c r="B2616" t="s">
        <v>2906</v>
      </c>
      <c r="C2616" t="s">
        <v>2907</v>
      </c>
      <c r="D2616" t="s">
        <v>2908</v>
      </c>
      <c r="E2616" t="s">
        <v>22</v>
      </c>
      <c r="F2616" t="s">
        <v>361</v>
      </c>
      <c r="G2616" t="s">
        <v>41</v>
      </c>
      <c r="H2616" t="s">
        <v>4539</v>
      </c>
      <c r="J2616">
        <v>1</v>
      </c>
    </row>
    <row r="2617" spans="1:10" x14ac:dyDescent="0.35">
      <c r="A2617">
        <v>6033000294807</v>
      </c>
      <c r="B2617" t="s">
        <v>2909</v>
      </c>
      <c r="C2617" t="s">
        <v>2576</v>
      </c>
      <c r="D2617" t="s">
        <v>2113</v>
      </c>
      <c r="E2617" t="s">
        <v>22</v>
      </c>
      <c r="F2617" t="s">
        <v>361</v>
      </c>
      <c r="G2617" t="s">
        <v>41</v>
      </c>
      <c r="H2617" t="s">
        <v>4539</v>
      </c>
      <c r="J2617">
        <v>100</v>
      </c>
    </row>
    <row r="2618" spans="1:10" x14ac:dyDescent="0.35">
      <c r="A2618">
        <v>6033000295071</v>
      </c>
      <c r="B2618" t="s">
        <v>2910</v>
      </c>
      <c r="C2618" t="s">
        <v>94</v>
      </c>
      <c r="D2618" t="s">
        <v>2911</v>
      </c>
      <c r="E2618" t="s">
        <v>22</v>
      </c>
      <c r="F2618" t="s">
        <v>361</v>
      </c>
      <c r="G2618" t="s">
        <v>41</v>
      </c>
      <c r="H2618" t="s">
        <v>4539</v>
      </c>
      <c r="J2618">
        <v>100</v>
      </c>
    </row>
    <row r="2619" spans="1:10" x14ac:dyDescent="0.35">
      <c r="A2619">
        <v>6033000299246</v>
      </c>
      <c r="B2619" t="s">
        <v>2912</v>
      </c>
      <c r="C2619" t="s">
        <v>445</v>
      </c>
      <c r="D2619" t="s">
        <v>2905</v>
      </c>
      <c r="E2619" t="s">
        <v>22</v>
      </c>
      <c r="F2619" t="s">
        <v>361</v>
      </c>
      <c r="G2619" t="s">
        <v>41</v>
      </c>
      <c r="H2619" t="s">
        <v>4539</v>
      </c>
      <c r="J2619">
        <v>50</v>
      </c>
    </row>
    <row r="2620" spans="1:10" x14ac:dyDescent="0.35">
      <c r="A2620">
        <v>6033000300140</v>
      </c>
      <c r="B2620" t="s">
        <v>2913</v>
      </c>
      <c r="C2620" t="s">
        <v>94</v>
      </c>
      <c r="D2620" t="s">
        <v>2914</v>
      </c>
      <c r="E2620" t="s">
        <v>2227</v>
      </c>
      <c r="F2620" t="s">
        <v>2532</v>
      </c>
      <c r="G2620" t="s">
        <v>41</v>
      </c>
      <c r="H2620" t="s">
        <v>4810</v>
      </c>
      <c r="J2620">
        <v>493</v>
      </c>
    </row>
    <row r="2621" spans="1:10" x14ac:dyDescent="0.35">
      <c r="A2621">
        <v>6033000300621</v>
      </c>
      <c r="B2621" t="s">
        <v>2915</v>
      </c>
      <c r="C2621" t="s">
        <v>919</v>
      </c>
      <c r="D2621" t="s">
        <v>2916</v>
      </c>
      <c r="E2621" t="s">
        <v>2227</v>
      </c>
      <c r="F2621" t="s">
        <v>2917</v>
      </c>
      <c r="G2621" t="s">
        <v>41</v>
      </c>
      <c r="H2621" t="s">
        <v>4859</v>
      </c>
      <c r="J2621">
        <v>10</v>
      </c>
    </row>
    <row r="2622" spans="1:10" x14ac:dyDescent="0.35">
      <c r="A2622">
        <v>6033000302007</v>
      </c>
      <c r="B2622" t="s">
        <v>2918</v>
      </c>
      <c r="C2622" t="s">
        <v>106</v>
      </c>
      <c r="D2622" t="s">
        <v>2919</v>
      </c>
      <c r="E2622" t="s">
        <v>2227</v>
      </c>
      <c r="F2622" t="s">
        <v>2917</v>
      </c>
      <c r="G2622" t="s">
        <v>41</v>
      </c>
      <c r="H2622" t="s">
        <v>4859</v>
      </c>
      <c r="J2622">
        <v>100</v>
      </c>
    </row>
    <row r="2623" spans="1:10" x14ac:dyDescent="0.35">
      <c r="A2623">
        <v>6033000302397</v>
      </c>
      <c r="B2623" t="s">
        <v>2920</v>
      </c>
      <c r="C2623" t="s">
        <v>967</v>
      </c>
      <c r="D2623" t="s">
        <v>2921</v>
      </c>
      <c r="E2623" t="s">
        <v>2227</v>
      </c>
      <c r="F2623" t="s">
        <v>2917</v>
      </c>
      <c r="G2623" t="s">
        <v>41</v>
      </c>
      <c r="H2623" t="s">
        <v>4859</v>
      </c>
      <c r="J2623">
        <v>100</v>
      </c>
    </row>
    <row r="2624" spans="1:10" x14ac:dyDescent="0.35">
      <c r="A2624">
        <v>6033000302557</v>
      </c>
      <c r="B2624" t="s">
        <v>2922</v>
      </c>
      <c r="C2624" t="s">
        <v>2923</v>
      </c>
      <c r="D2624" t="s">
        <v>2916</v>
      </c>
      <c r="E2624" t="s">
        <v>2227</v>
      </c>
      <c r="F2624" t="s">
        <v>2917</v>
      </c>
      <c r="G2624" t="s">
        <v>41</v>
      </c>
      <c r="H2624" t="s">
        <v>4859</v>
      </c>
      <c r="J2624">
        <v>111</v>
      </c>
    </row>
    <row r="2625" spans="1:10" x14ac:dyDescent="0.35">
      <c r="A2625">
        <v>6033000303974</v>
      </c>
      <c r="B2625" t="s">
        <v>2924</v>
      </c>
      <c r="C2625" t="s">
        <v>94</v>
      </c>
      <c r="D2625" t="s">
        <v>2914</v>
      </c>
      <c r="E2625" t="s">
        <v>2227</v>
      </c>
      <c r="F2625" t="s">
        <v>2532</v>
      </c>
      <c r="G2625" t="s">
        <v>41</v>
      </c>
      <c r="H2625" t="s">
        <v>4810</v>
      </c>
      <c r="J2625">
        <v>86</v>
      </c>
    </row>
    <row r="2626" spans="1:10" x14ac:dyDescent="0.35">
      <c r="A2626">
        <v>6033000303981</v>
      </c>
      <c r="B2626" t="s">
        <v>2924</v>
      </c>
      <c r="C2626" t="s">
        <v>2925</v>
      </c>
      <c r="D2626" t="s">
        <v>2914</v>
      </c>
      <c r="E2626" t="s">
        <v>2227</v>
      </c>
      <c r="F2626" t="s">
        <v>2532</v>
      </c>
      <c r="G2626" t="s">
        <v>41</v>
      </c>
      <c r="H2626" t="s">
        <v>4810</v>
      </c>
      <c r="J2626">
        <v>191</v>
      </c>
    </row>
    <row r="2627" spans="1:10" x14ac:dyDescent="0.35">
      <c r="A2627">
        <v>6033000303998</v>
      </c>
      <c r="B2627" t="s">
        <v>2926</v>
      </c>
      <c r="C2627" t="s">
        <v>94</v>
      </c>
      <c r="D2627" t="s">
        <v>2914</v>
      </c>
      <c r="E2627" t="s">
        <v>2227</v>
      </c>
      <c r="F2627" t="s">
        <v>2532</v>
      </c>
      <c r="G2627" t="s">
        <v>41</v>
      </c>
      <c r="H2627" t="s">
        <v>4810</v>
      </c>
      <c r="J2627">
        <v>94</v>
      </c>
    </row>
    <row r="2628" spans="1:10" x14ac:dyDescent="0.35">
      <c r="A2628">
        <v>6033000340085</v>
      </c>
      <c r="B2628" t="s">
        <v>1769</v>
      </c>
      <c r="C2628" t="s">
        <v>9</v>
      </c>
      <c r="D2628" t="s">
        <v>2927</v>
      </c>
      <c r="E2628" t="s">
        <v>41</v>
      </c>
      <c r="F2628" t="s">
        <v>2928</v>
      </c>
      <c r="G2628" t="s">
        <v>41</v>
      </c>
      <c r="H2628" t="s">
        <v>4860</v>
      </c>
      <c r="J2628">
        <v>1680</v>
      </c>
    </row>
    <row r="2629" spans="1:10" x14ac:dyDescent="0.35">
      <c r="A2629">
        <v>6033000340351</v>
      </c>
      <c r="B2629" t="s">
        <v>2929</v>
      </c>
      <c r="C2629" t="s">
        <v>9</v>
      </c>
      <c r="D2629" t="s">
        <v>2930</v>
      </c>
      <c r="E2629" t="s">
        <v>41</v>
      </c>
      <c r="F2629" t="s">
        <v>2928</v>
      </c>
      <c r="G2629" t="s">
        <v>41</v>
      </c>
      <c r="H2629" t="s">
        <v>4860</v>
      </c>
      <c r="J2629">
        <v>78</v>
      </c>
    </row>
    <row r="2630" spans="1:10" x14ac:dyDescent="0.35">
      <c r="A2630">
        <v>6033000340474</v>
      </c>
      <c r="B2630" t="s">
        <v>2931</v>
      </c>
      <c r="C2630" t="s">
        <v>9</v>
      </c>
      <c r="D2630" t="s">
        <v>2931</v>
      </c>
      <c r="E2630" t="s">
        <v>41</v>
      </c>
      <c r="F2630" t="s">
        <v>2928</v>
      </c>
      <c r="G2630" t="s">
        <v>130</v>
      </c>
      <c r="H2630" t="s">
        <v>4860</v>
      </c>
      <c r="J2630">
        <v>1</v>
      </c>
    </row>
    <row r="2631" spans="1:10" x14ac:dyDescent="0.35">
      <c r="A2631">
        <v>6033000340474</v>
      </c>
      <c r="B2631" t="s">
        <v>2931</v>
      </c>
      <c r="C2631" t="s">
        <v>9</v>
      </c>
      <c r="D2631" t="s">
        <v>2931</v>
      </c>
      <c r="E2631" t="s">
        <v>41</v>
      </c>
      <c r="F2631" t="s">
        <v>2928</v>
      </c>
      <c r="G2631" t="s">
        <v>41</v>
      </c>
      <c r="H2631" t="s">
        <v>4860</v>
      </c>
      <c r="J2631">
        <v>1466</v>
      </c>
    </row>
    <row r="2632" spans="1:10" x14ac:dyDescent="0.35">
      <c r="A2632">
        <v>6033000340733</v>
      </c>
      <c r="B2632" t="s">
        <v>834</v>
      </c>
      <c r="C2632" t="s">
        <v>326</v>
      </c>
      <c r="D2632" t="s">
        <v>2932</v>
      </c>
      <c r="E2632" t="s">
        <v>41</v>
      </c>
      <c r="F2632" t="s">
        <v>2928</v>
      </c>
      <c r="G2632" t="s">
        <v>41</v>
      </c>
      <c r="H2632" t="s">
        <v>4860</v>
      </c>
      <c r="J2632">
        <v>1313</v>
      </c>
    </row>
    <row r="2633" spans="1:10" x14ac:dyDescent="0.35">
      <c r="A2633">
        <v>6033000341143</v>
      </c>
      <c r="B2633" t="s">
        <v>2933</v>
      </c>
      <c r="C2633" t="s">
        <v>272</v>
      </c>
      <c r="D2633" t="s">
        <v>2934</v>
      </c>
      <c r="E2633" t="s">
        <v>41</v>
      </c>
      <c r="F2633" t="s">
        <v>2928</v>
      </c>
      <c r="G2633" t="s">
        <v>41</v>
      </c>
      <c r="H2633" t="s">
        <v>4860</v>
      </c>
      <c r="J2633">
        <v>25</v>
      </c>
    </row>
    <row r="2634" spans="1:10" x14ac:dyDescent="0.35">
      <c r="A2634">
        <v>6033000342010</v>
      </c>
      <c r="B2634" t="s">
        <v>2935</v>
      </c>
      <c r="C2634" t="s">
        <v>472</v>
      </c>
      <c r="D2634" t="s">
        <v>2930</v>
      </c>
      <c r="E2634" t="s">
        <v>41</v>
      </c>
      <c r="F2634" t="s">
        <v>2928</v>
      </c>
      <c r="G2634" t="s">
        <v>41</v>
      </c>
      <c r="H2634" t="s">
        <v>4860</v>
      </c>
      <c r="J2634">
        <v>231</v>
      </c>
    </row>
    <row r="2635" spans="1:10" x14ac:dyDescent="0.35">
      <c r="A2635">
        <v>6033000342027</v>
      </c>
      <c r="B2635" t="s">
        <v>2936</v>
      </c>
      <c r="C2635" t="s">
        <v>472</v>
      </c>
      <c r="D2635" t="s">
        <v>2931</v>
      </c>
      <c r="E2635" t="s">
        <v>41</v>
      </c>
      <c r="F2635" t="s">
        <v>2928</v>
      </c>
      <c r="G2635" t="s">
        <v>41</v>
      </c>
      <c r="H2635" t="s">
        <v>4860</v>
      </c>
      <c r="J2635">
        <v>432</v>
      </c>
    </row>
    <row r="2636" spans="1:10" x14ac:dyDescent="0.35">
      <c r="A2636">
        <v>6033000342034</v>
      </c>
      <c r="B2636" t="s">
        <v>2937</v>
      </c>
      <c r="C2636" t="s">
        <v>472</v>
      </c>
      <c r="D2636" t="s">
        <v>2927</v>
      </c>
      <c r="E2636" t="s">
        <v>41</v>
      </c>
      <c r="F2636" t="s">
        <v>2928</v>
      </c>
      <c r="G2636" t="s">
        <v>41</v>
      </c>
      <c r="H2636" t="s">
        <v>4860</v>
      </c>
      <c r="J2636">
        <v>867</v>
      </c>
    </row>
    <row r="2637" spans="1:10" x14ac:dyDescent="0.35">
      <c r="A2637">
        <v>6033000342348</v>
      </c>
      <c r="B2637" t="s">
        <v>2938</v>
      </c>
      <c r="C2637" t="s">
        <v>66</v>
      </c>
      <c r="D2637" t="s">
        <v>2306</v>
      </c>
      <c r="E2637" t="s">
        <v>41</v>
      </c>
      <c r="F2637" t="s">
        <v>2928</v>
      </c>
      <c r="G2637" t="s">
        <v>41</v>
      </c>
      <c r="H2637" t="s">
        <v>4860</v>
      </c>
      <c r="J2637">
        <v>45</v>
      </c>
    </row>
    <row r="2638" spans="1:10" x14ac:dyDescent="0.35">
      <c r="A2638">
        <v>6033000342362</v>
      </c>
      <c r="B2638" t="s">
        <v>2939</v>
      </c>
      <c r="C2638" t="s">
        <v>66</v>
      </c>
      <c r="D2638" t="s">
        <v>2940</v>
      </c>
      <c r="E2638" t="s">
        <v>41</v>
      </c>
      <c r="F2638" t="s">
        <v>2928</v>
      </c>
      <c r="G2638" t="s">
        <v>41</v>
      </c>
      <c r="H2638" t="s">
        <v>4860</v>
      </c>
      <c r="J2638">
        <v>241</v>
      </c>
    </row>
    <row r="2639" spans="1:10" x14ac:dyDescent="0.35">
      <c r="A2639">
        <v>6033000342775</v>
      </c>
      <c r="B2639" t="s">
        <v>2941</v>
      </c>
      <c r="C2639" t="s">
        <v>472</v>
      </c>
      <c r="D2639" t="s">
        <v>2942</v>
      </c>
      <c r="E2639" t="s">
        <v>41</v>
      </c>
      <c r="F2639" t="s">
        <v>2928</v>
      </c>
      <c r="G2639" t="s">
        <v>41</v>
      </c>
      <c r="H2639" t="s">
        <v>4860</v>
      </c>
      <c r="J2639">
        <v>73</v>
      </c>
    </row>
    <row r="2640" spans="1:10" x14ac:dyDescent="0.35">
      <c r="A2640">
        <v>6033000350398</v>
      </c>
      <c r="B2640" t="s">
        <v>2943</v>
      </c>
      <c r="C2640" t="s">
        <v>385</v>
      </c>
      <c r="D2640" t="s">
        <v>2944</v>
      </c>
      <c r="E2640" t="s">
        <v>41</v>
      </c>
      <c r="F2640" t="s">
        <v>2945</v>
      </c>
      <c r="G2640" t="s">
        <v>41</v>
      </c>
      <c r="H2640" t="s">
        <v>4861</v>
      </c>
      <c r="J2640">
        <v>50</v>
      </c>
    </row>
    <row r="2641" spans="1:10" x14ac:dyDescent="0.35">
      <c r="A2641">
        <v>6033000380081</v>
      </c>
      <c r="B2641" t="s">
        <v>2946</v>
      </c>
      <c r="C2641" t="s">
        <v>2089</v>
      </c>
      <c r="D2641" t="s">
        <v>2946</v>
      </c>
      <c r="E2641" t="s">
        <v>2227</v>
      </c>
      <c r="F2641" t="s">
        <v>2947</v>
      </c>
      <c r="G2641" t="s">
        <v>41</v>
      </c>
      <c r="H2641" t="s">
        <v>4862</v>
      </c>
      <c r="J2641">
        <v>50</v>
      </c>
    </row>
    <row r="2642" spans="1:10" x14ac:dyDescent="0.35">
      <c r="A2642">
        <v>6033000414816</v>
      </c>
      <c r="B2642" t="s">
        <v>2887</v>
      </c>
      <c r="C2642" t="s">
        <v>43</v>
      </c>
      <c r="D2642" t="s">
        <v>1040</v>
      </c>
      <c r="E2642" t="s">
        <v>1041</v>
      </c>
      <c r="F2642" t="s">
        <v>1042</v>
      </c>
      <c r="G2642" t="s">
        <v>41</v>
      </c>
      <c r="H2642" t="s">
        <v>4642</v>
      </c>
      <c r="J2642">
        <v>103</v>
      </c>
    </row>
    <row r="2643" spans="1:10" x14ac:dyDescent="0.35">
      <c r="A2643">
        <v>6033000430373</v>
      </c>
      <c r="B2643" t="s">
        <v>2948</v>
      </c>
      <c r="C2643" t="s">
        <v>2949</v>
      </c>
      <c r="D2643" t="s">
        <v>2950</v>
      </c>
      <c r="E2643" t="s">
        <v>308</v>
      </c>
      <c r="F2643" t="s">
        <v>309</v>
      </c>
      <c r="G2643" t="s">
        <v>41</v>
      </c>
      <c r="H2643" t="s">
        <v>4529</v>
      </c>
      <c r="J2643">
        <v>94</v>
      </c>
    </row>
    <row r="2644" spans="1:10" x14ac:dyDescent="0.35">
      <c r="A2644">
        <v>6033000430861</v>
      </c>
      <c r="B2644" t="s">
        <v>2951</v>
      </c>
      <c r="C2644" t="s">
        <v>164</v>
      </c>
      <c r="D2644" t="s">
        <v>2950</v>
      </c>
      <c r="E2644" t="s">
        <v>308</v>
      </c>
      <c r="F2644" t="s">
        <v>309</v>
      </c>
      <c r="G2644" t="s">
        <v>41</v>
      </c>
      <c r="H2644" t="s">
        <v>4529</v>
      </c>
      <c r="J2644">
        <v>101</v>
      </c>
    </row>
    <row r="2645" spans="1:10" x14ac:dyDescent="0.35">
      <c r="A2645">
        <v>6033000520616</v>
      </c>
      <c r="B2645" t="s">
        <v>2952</v>
      </c>
      <c r="C2645" t="s">
        <v>967</v>
      </c>
      <c r="D2645" t="s">
        <v>455</v>
      </c>
      <c r="E2645" t="s">
        <v>41</v>
      </c>
      <c r="F2645" t="s">
        <v>456</v>
      </c>
      <c r="G2645" t="s">
        <v>41</v>
      </c>
      <c r="H2645" t="s">
        <v>4553</v>
      </c>
      <c r="J2645">
        <v>1</v>
      </c>
    </row>
    <row r="2646" spans="1:10" x14ac:dyDescent="0.35">
      <c r="A2646">
        <v>6033000522146</v>
      </c>
      <c r="B2646" t="s">
        <v>2953</v>
      </c>
      <c r="C2646" t="s">
        <v>94</v>
      </c>
      <c r="D2646" t="s">
        <v>2953</v>
      </c>
      <c r="E2646" t="s">
        <v>41</v>
      </c>
      <c r="F2646" t="s">
        <v>456</v>
      </c>
      <c r="G2646" t="s">
        <v>41</v>
      </c>
      <c r="H2646" t="s">
        <v>4553</v>
      </c>
      <c r="J2646">
        <v>1</v>
      </c>
    </row>
    <row r="2647" spans="1:10" x14ac:dyDescent="0.35">
      <c r="A2647">
        <v>6033000522535</v>
      </c>
      <c r="B2647" t="s">
        <v>2954</v>
      </c>
      <c r="C2647" t="s">
        <v>663</v>
      </c>
      <c r="D2647" t="s">
        <v>455</v>
      </c>
      <c r="E2647" t="s">
        <v>41</v>
      </c>
      <c r="F2647" t="s">
        <v>456</v>
      </c>
      <c r="G2647" t="s">
        <v>41</v>
      </c>
      <c r="H2647" t="s">
        <v>4553</v>
      </c>
      <c r="J2647">
        <v>50</v>
      </c>
    </row>
    <row r="2648" spans="1:10" x14ac:dyDescent="0.35">
      <c r="A2648">
        <v>6033000523532</v>
      </c>
      <c r="B2648" t="s">
        <v>1334</v>
      </c>
      <c r="C2648" t="s">
        <v>472</v>
      </c>
      <c r="D2648" t="s">
        <v>998</v>
      </c>
      <c r="E2648" t="s">
        <v>15</v>
      </c>
      <c r="F2648" t="s">
        <v>901</v>
      </c>
      <c r="G2648" t="s">
        <v>41</v>
      </c>
      <c r="H2648" t="s">
        <v>4617</v>
      </c>
      <c r="J2648">
        <v>21</v>
      </c>
    </row>
    <row r="2649" spans="1:10" x14ac:dyDescent="0.35">
      <c r="A2649">
        <v>6033000523648</v>
      </c>
      <c r="B2649" t="s">
        <v>2955</v>
      </c>
      <c r="C2649" t="s">
        <v>472</v>
      </c>
      <c r="D2649" t="s">
        <v>473</v>
      </c>
      <c r="E2649" t="s">
        <v>41</v>
      </c>
      <c r="F2649" t="s">
        <v>456</v>
      </c>
      <c r="G2649" t="s">
        <v>41</v>
      </c>
      <c r="H2649" t="s">
        <v>4553</v>
      </c>
      <c r="J2649">
        <v>17</v>
      </c>
    </row>
    <row r="2650" spans="1:10" x14ac:dyDescent="0.35">
      <c r="A2650">
        <v>6033000523877</v>
      </c>
      <c r="B2650" t="s">
        <v>2956</v>
      </c>
      <c r="C2650" t="s">
        <v>2957</v>
      </c>
      <c r="D2650" t="s">
        <v>455</v>
      </c>
      <c r="E2650" t="s">
        <v>41</v>
      </c>
      <c r="F2650" t="s">
        <v>456</v>
      </c>
      <c r="G2650" t="s">
        <v>41</v>
      </c>
      <c r="H2650" t="s">
        <v>4553</v>
      </c>
      <c r="J2650">
        <v>100</v>
      </c>
    </row>
    <row r="2651" spans="1:10" x14ac:dyDescent="0.35">
      <c r="A2651">
        <v>6033000524362</v>
      </c>
      <c r="B2651" t="s">
        <v>2958</v>
      </c>
      <c r="C2651" t="s">
        <v>2959</v>
      </c>
      <c r="D2651" t="s">
        <v>455</v>
      </c>
      <c r="E2651" t="s">
        <v>41</v>
      </c>
      <c r="F2651" t="s">
        <v>456</v>
      </c>
      <c r="G2651" t="s">
        <v>41</v>
      </c>
      <c r="H2651" t="s">
        <v>4553</v>
      </c>
      <c r="J2651">
        <v>1</v>
      </c>
    </row>
    <row r="2652" spans="1:10" x14ac:dyDescent="0.35">
      <c r="A2652">
        <v>6033000524577</v>
      </c>
      <c r="B2652" t="s">
        <v>2960</v>
      </c>
      <c r="C2652" t="s">
        <v>472</v>
      </c>
      <c r="D2652" t="s">
        <v>2961</v>
      </c>
      <c r="E2652" t="s">
        <v>41</v>
      </c>
      <c r="F2652" t="s">
        <v>456</v>
      </c>
      <c r="G2652" t="s">
        <v>41</v>
      </c>
      <c r="H2652" t="s">
        <v>4553</v>
      </c>
      <c r="J2652">
        <v>25</v>
      </c>
    </row>
    <row r="2653" spans="1:10" x14ac:dyDescent="0.35">
      <c r="A2653">
        <v>6033000524843</v>
      </c>
      <c r="B2653" t="s">
        <v>2962</v>
      </c>
      <c r="C2653" t="s">
        <v>43</v>
      </c>
      <c r="D2653" t="s">
        <v>455</v>
      </c>
      <c r="E2653" t="s">
        <v>41</v>
      </c>
      <c r="F2653" t="s">
        <v>456</v>
      </c>
      <c r="G2653" t="s">
        <v>41</v>
      </c>
      <c r="H2653" t="s">
        <v>4553</v>
      </c>
      <c r="J2653">
        <v>101</v>
      </c>
    </row>
    <row r="2654" spans="1:10" x14ac:dyDescent="0.35">
      <c r="A2654">
        <v>6033000550231</v>
      </c>
      <c r="B2654" t="s">
        <v>2963</v>
      </c>
      <c r="C2654" t="s">
        <v>603</v>
      </c>
      <c r="D2654" t="s">
        <v>2964</v>
      </c>
      <c r="E2654" t="s">
        <v>41</v>
      </c>
      <c r="F2654" t="s">
        <v>1090</v>
      </c>
      <c r="G2654" t="s">
        <v>41</v>
      </c>
      <c r="H2654" t="s">
        <v>4648</v>
      </c>
      <c r="J2654">
        <v>27</v>
      </c>
    </row>
    <row r="2655" spans="1:10" x14ac:dyDescent="0.35">
      <c r="A2655">
        <v>6033000550255</v>
      </c>
      <c r="B2655" t="s">
        <v>2965</v>
      </c>
      <c r="C2655" t="s">
        <v>472</v>
      </c>
      <c r="D2655" t="s">
        <v>2966</v>
      </c>
      <c r="E2655" t="s">
        <v>41</v>
      </c>
      <c r="F2655" t="s">
        <v>1090</v>
      </c>
      <c r="G2655" t="s">
        <v>41</v>
      </c>
      <c r="H2655" t="s">
        <v>4648</v>
      </c>
      <c r="J2655">
        <v>18</v>
      </c>
    </row>
    <row r="2656" spans="1:10" x14ac:dyDescent="0.35">
      <c r="A2656">
        <v>6033000550408</v>
      </c>
      <c r="B2656" t="s">
        <v>2967</v>
      </c>
      <c r="C2656" t="s">
        <v>603</v>
      </c>
      <c r="D2656" t="s">
        <v>2968</v>
      </c>
      <c r="E2656" t="s">
        <v>41</v>
      </c>
      <c r="F2656" t="s">
        <v>1090</v>
      </c>
      <c r="G2656" t="s">
        <v>41</v>
      </c>
      <c r="H2656" t="s">
        <v>4648</v>
      </c>
      <c r="J2656">
        <v>79</v>
      </c>
    </row>
    <row r="2657" spans="1:10" x14ac:dyDescent="0.35">
      <c r="A2657">
        <v>6033000570109</v>
      </c>
      <c r="B2657" t="s">
        <v>2969</v>
      </c>
      <c r="C2657" t="s">
        <v>2970</v>
      </c>
      <c r="D2657" t="s">
        <v>2969</v>
      </c>
      <c r="E2657" t="s">
        <v>2227</v>
      </c>
      <c r="F2657" t="s">
        <v>2228</v>
      </c>
      <c r="G2657" t="s">
        <v>41</v>
      </c>
      <c r="H2657" t="s">
        <v>4770</v>
      </c>
      <c r="J2657">
        <v>50</v>
      </c>
    </row>
    <row r="2658" spans="1:10" x14ac:dyDescent="0.35">
      <c r="A2658">
        <v>6034000003017</v>
      </c>
      <c r="B2658" t="s">
        <v>2971</v>
      </c>
      <c r="C2658" t="s">
        <v>431</v>
      </c>
      <c r="D2658" t="s">
        <v>2972</v>
      </c>
      <c r="E2658" t="s">
        <v>308</v>
      </c>
      <c r="F2658" t="s">
        <v>309</v>
      </c>
      <c r="G2658" t="s">
        <v>41</v>
      </c>
      <c r="H2658" t="s">
        <v>4529</v>
      </c>
      <c r="J2658">
        <v>12</v>
      </c>
    </row>
    <row r="2659" spans="1:10" x14ac:dyDescent="0.35">
      <c r="A2659">
        <v>6034000004021</v>
      </c>
      <c r="B2659" t="s">
        <v>2973</v>
      </c>
      <c r="C2659" t="s">
        <v>87</v>
      </c>
      <c r="D2659" t="s">
        <v>2974</v>
      </c>
      <c r="E2659" t="s">
        <v>41</v>
      </c>
      <c r="F2659" t="s">
        <v>2975</v>
      </c>
      <c r="G2659" t="s">
        <v>41</v>
      </c>
      <c r="H2659" t="s">
        <v>4863</v>
      </c>
      <c r="J2659">
        <v>280</v>
      </c>
    </row>
    <row r="2660" spans="1:10" x14ac:dyDescent="0.35">
      <c r="A2660">
        <v>6034000004472</v>
      </c>
      <c r="B2660" t="s">
        <v>1011</v>
      </c>
      <c r="C2660" t="s">
        <v>9</v>
      </c>
      <c r="D2660" t="s">
        <v>2976</v>
      </c>
      <c r="E2660" t="s">
        <v>598</v>
      </c>
      <c r="F2660" t="s">
        <v>2977</v>
      </c>
      <c r="G2660" t="s">
        <v>598</v>
      </c>
      <c r="H2660" t="s">
        <v>4864</v>
      </c>
      <c r="J2660">
        <v>1</v>
      </c>
    </row>
    <row r="2661" spans="1:10" x14ac:dyDescent="0.35">
      <c r="A2661">
        <v>6034000005202</v>
      </c>
      <c r="B2661" t="s">
        <v>1011</v>
      </c>
      <c r="C2661" t="s">
        <v>9</v>
      </c>
      <c r="D2661" t="s">
        <v>24</v>
      </c>
      <c r="E2661" t="s">
        <v>15</v>
      </c>
      <c r="F2661" t="s">
        <v>25</v>
      </c>
      <c r="G2661" t="s">
        <v>598</v>
      </c>
      <c r="H2661" t="s">
        <v>4491</v>
      </c>
      <c r="J2661">
        <v>6</v>
      </c>
    </row>
    <row r="2662" spans="1:10" x14ac:dyDescent="0.35">
      <c r="A2662">
        <v>6034000005424</v>
      </c>
      <c r="B2662" t="s">
        <v>262</v>
      </c>
      <c r="C2662" t="s">
        <v>326</v>
      </c>
      <c r="D2662" t="s">
        <v>285</v>
      </c>
      <c r="E2662" t="s">
        <v>15</v>
      </c>
      <c r="F2662" t="s">
        <v>56</v>
      </c>
      <c r="G2662" t="s">
        <v>598</v>
      </c>
      <c r="H2662" t="s">
        <v>4497</v>
      </c>
      <c r="J2662">
        <v>9</v>
      </c>
    </row>
    <row r="2663" spans="1:10" x14ac:dyDescent="0.35">
      <c r="A2663">
        <v>6034000005462</v>
      </c>
      <c r="B2663" t="s">
        <v>1884</v>
      </c>
      <c r="C2663" t="s">
        <v>9</v>
      </c>
      <c r="D2663" t="s">
        <v>2976</v>
      </c>
      <c r="E2663" t="s">
        <v>598</v>
      </c>
      <c r="F2663" t="s">
        <v>2977</v>
      </c>
      <c r="G2663" t="s">
        <v>598</v>
      </c>
      <c r="H2663" t="s">
        <v>4864</v>
      </c>
      <c r="J2663">
        <v>10</v>
      </c>
    </row>
    <row r="2664" spans="1:10" x14ac:dyDescent="0.35">
      <c r="A2664">
        <v>6034000028034</v>
      </c>
      <c r="B2664" t="s">
        <v>2978</v>
      </c>
      <c r="C2664" t="s">
        <v>66</v>
      </c>
      <c r="D2664" t="s">
        <v>2979</v>
      </c>
      <c r="E2664" t="s">
        <v>22</v>
      </c>
      <c r="F2664" t="s">
        <v>2980</v>
      </c>
      <c r="G2664" t="s">
        <v>41</v>
      </c>
      <c r="H2664" t="s">
        <v>4865</v>
      </c>
      <c r="J2664">
        <v>729</v>
      </c>
    </row>
    <row r="2665" spans="1:10" x14ac:dyDescent="0.35">
      <c r="A2665">
        <v>6034000028072</v>
      </c>
      <c r="B2665" t="s">
        <v>2981</v>
      </c>
      <c r="C2665" t="s">
        <v>66</v>
      </c>
      <c r="D2665" t="s">
        <v>2982</v>
      </c>
      <c r="E2665" t="s">
        <v>22</v>
      </c>
      <c r="F2665" t="s">
        <v>2980</v>
      </c>
      <c r="G2665" t="s">
        <v>41</v>
      </c>
      <c r="H2665" t="s">
        <v>4865</v>
      </c>
      <c r="J2665">
        <v>773</v>
      </c>
    </row>
    <row r="2666" spans="1:10" x14ac:dyDescent="0.35">
      <c r="A2666">
        <v>6034000048001</v>
      </c>
      <c r="B2666" t="s">
        <v>1839</v>
      </c>
      <c r="C2666" t="s">
        <v>192</v>
      </c>
      <c r="D2666" t="s">
        <v>2983</v>
      </c>
      <c r="E2666" t="s">
        <v>15</v>
      </c>
      <c r="F2666" t="s">
        <v>14</v>
      </c>
      <c r="G2666" t="s">
        <v>41</v>
      </c>
      <c r="H2666" t="s">
        <v>4489</v>
      </c>
      <c r="J2666">
        <v>198</v>
      </c>
    </row>
    <row r="2667" spans="1:10" x14ac:dyDescent="0.35">
      <c r="A2667">
        <v>6034000048001</v>
      </c>
      <c r="B2667" t="s">
        <v>1839</v>
      </c>
      <c r="C2667" t="s">
        <v>192</v>
      </c>
      <c r="D2667" t="s">
        <v>2983</v>
      </c>
      <c r="E2667" t="s">
        <v>15</v>
      </c>
      <c r="F2667" t="s">
        <v>14</v>
      </c>
      <c r="G2667" t="s">
        <v>2984</v>
      </c>
      <c r="H2667" t="s">
        <v>4489</v>
      </c>
      <c r="J2667">
        <v>1</v>
      </c>
    </row>
    <row r="2668" spans="1:10" x14ac:dyDescent="0.35">
      <c r="A2668">
        <v>6034000048018</v>
      </c>
      <c r="B2668" t="s">
        <v>485</v>
      </c>
      <c r="C2668" t="s">
        <v>326</v>
      </c>
      <c r="D2668" t="s">
        <v>2983</v>
      </c>
      <c r="E2668" t="s">
        <v>15</v>
      </c>
      <c r="F2668" t="s">
        <v>14</v>
      </c>
      <c r="G2668" t="s">
        <v>41</v>
      </c>
      <c r="H2668" t="s">
        <v>4489</v>
      </c>
      <c r="J2668">
        <v>524</v>
      </c>
    </row>
    <row r="2669" spans="1:10" x14ac:dyDescent="0.35">
      <c r="A2669">
        <v>6034000048032</v>
      </c>
      <c r="B2669" t="s">
        <v>485</v>
      </c>
      <c r="C2669" t="s">
        <v>9</v>
      </c>
      <c r="D2669" t="s">
        <v>2983</v>
      </c>
      <c r="E2669" t="s">
        <v>15</v>
      </c>
      <c r="F2669" t="s">
        <v>14</v>
      </c>
      <c r="G2669" t="s">
        <v>41</v>
      </c>
      <c r="H2669" t="s">
        <v>4489</v>
      </c>
      <c r="J2669">
        <v>2873</v>
      </c>
    </row>
    <row r="2670" spans="1:10" x14ac:dyDescent="0.35">
      <c r="A2670">
        <v>60340000510744</v>
      </c>
      <c r="B2670" t="s">
        <v>2985</v>
      </c>
      <c r="C2670" t="s">
        <v>9</v>
      </c>
      <c r="D2670" t="s">
        <v>2986</v>
      </c>
      <c r="E2670" t="s">
        <v>41</v>
      </c>
      <c r="F2670" t="s">
        <v>456</v>
      </c>
      <c r="G2670" t="s">
        <v>41</v>
      </c>
      <c r="H2670" t="s">
        <v>4553</v>
      </c>
      <c r="J2670">
        <v>2</v>
      </c>
    </row>
    <row r="2671" spans="1:10" x14ac:dyDescent="0.35">
      <c r="A2671">
        <v>6034000053609</v>
      </c>
      <c r="B2671" t="s">
        <v>2987</v>
      </c>
      <c r="C2671" t="s">
        <v>2988</v>
      </c>
      <c r="D2671" t="s">
        <v>2989</v>
      </c>
      <c r="E2671" t="s">
        <v>41</v>
      </c>
      <c r="F2671" t="s">
        <v>2990</v>
      </c>
      <c r="G2671" t="s">
        <v>41</v>
      </c>
      <c r="H2671" t="s">
        <v>4866</v>
      </c>
      <c r="J2671">
        <v>150</v>
      </c>
    </row>
    <row r="2672" spans="1:10" x14ac:dyDescent="0.35">
      <c r="A2672">
        <v>6034000083019</v>
      </c>
      <c r="B2672" t="s">
        <v>2991</v>
      </c>
      <c r="C2672" t="s">
        <v>9</v>
      </c>
      <c r="D2672" t="s">
        <v>2991</v>
      </c>
      <c r="E2672" t="s">
        <v>41</v>
      </c>
      <c r="F2672" t="s">
        <v>2928</v>
      </c>
      <c r="G2672" t="s">
        <v>41</v>
      </c>
      <c r="H2672" t="s">
        <v>4860</v>
      </c>
      <c r="J2672">
        <v>13</v>
      </c>
    </row>
    <row r="2673" spans="1:10" x14ac:dyDescent="0.35">
      <c r="A2673">
        <v>6034000083026</v>
      </c>
      <c r="B2673" t="s">
        <v>2992</v>
      </c>
      <c r="C2673" t="s">
        <v>36</v>
      </c>
      <c r="D2673" t="s">
        <v>2993</v>
      </c>
      <c r="E2673" t="s">
        <v>41</v>
      </c>
      <c r="F2673" t="s">
        <v>2928</v>
      </c>
      <c r="G2673" t="s">
        <v>41</v>
      </c>
      <c r="H2673" t="s">
        <v>4860</v>
      </c>
      <c r="J2673">
        <v>61</v>
      </c>
    </row>
    <row r="2674" spans="1:10" x14ac:dyDescent="0.35">
      <c r="A2674">
        <v>6034000083026</v>
      </c>
      <c r="B2674" t="s">
        <v>2992</v>
      </c>
      <c r="C2674" t="s">
        <v>36</v>
      </c>
      <c r="D2674" t="s">
        <v>2993</v>
      </c>
      <c r="E2674" t="s">
        <v>41</v>
      </c>
      <c r="F2674" t="s">
        <v>2928</v>
      </c>
      <c r="G2674" t="s">
        <v>34</v>
      </c>
      <c r="H2674" t="s">
        <v>4860</v>
      </c>
      <c r="J2674">
        <v>1</v>
      </c>
    </row>
    <row r="2675" spans="1:10" x14ac:dyDescent="0.35">
      <c r="A2675">
        <v>6034000083101</v>
      </c>
      <c r="B2675" t="s">
        <v>2994</v>
      </c>
      <c r="C2675" t="s">
        <v>2995</v>
      </c>
      <c r="D2675" t="s">
        <v>2996</v>
      </c>
      <c r="E2675" t="s">
        <v>41</v>
      </c>
      <c r="F2675" t="s">
        <v>2928</v>
      </c>
      <c r="G2675" t="s">
        <v>41</v>
      </c>
      <c r="H2675" t="s">
        <v>4860</v>
      </c>
      <c r="J2675">
        <v>1221</v>
      </c>
    </row>
    <row r="2676" spans="1:10" x14ac:dyDescent="0.35">
      <c r="A2676">
        <v>6034000083545</v>
      </c>
      <c r="B2676" t="s">
        <v>834</v>
      </c>
      <c r="C2676" t="s">
        <v>9</v>
      </c>
      <c r="D2676" t="s">
        <v>2932</v>
      </c>
      <c r="E2676" t="s">
        <v>41</v>
      </c>
      <c r="F2676" t="s">
        <v>2928</v>
      </c>
      <c r="G2676" t="s">
        <v>41</v>
      </c>
      <c r="H2676" t="s">
        <v>4860</v>
      </c>
      <c r="J2676">
        <v>506</v>
      </c>
    </row>
    <row r="2677" spans="1:10" x14ac:dyDescent="0.35">
      <c r="A2677">
        <v>6034000106404</v>
      </c>
      <c r="B2677" t="s">
        <v>2997</v>
      </c>
      <c r="C2677" t="s">
        <v>326</v>
      </c>
      <c r="D2677" t="s">
        <v>2997</v>
      </c>
      <c r="E2677" t="s">
        <v>22</v>
      </c>
      <c r="F2677" t="s">
        <v>328</v>
      </c>
      <c r="G2677" t="s">
        <v>41</v>
      </c>
      <c r="H2677" t="s">
        <v>4533</v>
      </c>
      <c r="J2677">
        <v>27</v>
      </c>
    </row>
    <row r="2678" spans="1:10" x14ac:dyDescent="0.35">
      <c r="A2678">
        <v>6034000106893</v>
      </c>
      <c r="B2678" t="s">
        <v>1534</v>
      </c>
      <c r="C2678" t="s">
        <v>603</v>
      </c>
      <c r="D2678" t="s">
        <v>1460</v>
      </c>
      <c r="E2678" t="s">
        <v>22</v>
      </c>
      <c r="F2678" t="s">
        <v>328</v>
      </c>
      <c r="G2678" t="s">
        <v>41</v>
      </c>
      <c r="H2678" t="s">
        <v>4533</v>
      </c>
      <c r="J2678">
        <v>47</v>
      </c>
    </row>
    <row r="2679" spans="1:10" x14ac:dyDescent="0.35">
      <c r="A2679">
        <v>6034000117240</v>
      </c>
      <c r="B2679" t="s">
        <v>2998</v>
      </c>
      <c r="C2679" t="s">
        <v>272</v>
      </c>
      <c r="D2679" t="s">
        <v>1238</v>
      </c>
      <c r="E2679" t="s">
        <v>61</v>
      </c>
      <c r="F2679" t="s">
        <v>1239</v>
      </c>
      <c r="G2679" t="s">
        <v>41</v>
      </c>
      <c r="H2679" t="s">
        <v>4671</v>
      </c>
      <c r="J2679">
        <v>1</v>
      </c>
    </row>
    <row r="2680" spans="1:10" x14ac:dyDescent="0.35">
      <c r="A2680">
        <v>6034000118100</v>
      </c>
      <c r="B2680" t="s">
        <v>1811</v>
      </c>
      <c r="C2680" t="s">
        <v>603</v>
      </c>
      <c r="D2680" t="s">
        <v>165</v>
      </c>
      <c r="E2680" t="s">
        <v>16</v>
      </c>
      <c r="F2680" t="s">
        <v>166</v>
      </c>
      <c r="G2680" t="s">
        <v>2984</v>
      </c>
      <c r="H2680" t="s">
        <v>4516</v>
      </c>
      <c r="J2680">
        <v>1</v>
      </c>
    </row>
    <row r="2681" spans="1:10" x14ac:dyDescent="0.35">
      <c r="A2681">
        <v>6034000130010</v>
      </c>
      <c r="B2681" t="s">
        <v>2999</v>
      </c>
      <c r="C2681" t="s">
        <v>9</v>
      </c>
      <c r="D2681" t="s">
        <v>1360</v>
      </c>
      <c r="E2681" t="s">
        <v>71</v>
      </c>
      <c r="F2681" t="s">
        <v>72</v>
      </c>
      <c r="G2681" t="s">
        <v>41</v>
      </c>
      <c r="H2681" t="s">
        <v>4501</v>
      </c>
      <c r="J2681">
        <v>74</v>
      </c>
    </row>
    <row r="2682" spans="1:10" x14ac:dyDescent="0.35">
      <c r="A2682">
        <v>6034000130065</v>
      </c>
      <c r="B2682" t="s">
        <v>3000</v>
      </c>
      <c r="C2682" t="s">
        <v>94</v>
      </c>
      <c r="D2682" t="s">
        <v>1360</v>
      </c>
      <c r="E2682" t="s">
        <v>71</v>
      </c>
      <c r="F2682" t="s">
        <v>72</v>
      </c>
      <c r="G2682" t="s">
        <v>41</v>
      </c>
      <c r="H2682" t="s">
        <v>4501</v>
      </c>
      <c r="J2682">
        <v>806</v>
      </c>
    </row>
    <row r="2683" spans="1:10" x14ac:dyDescent="0.35">
      <c r="A2683">
        <v>6034000130607</v>
      </c>
      <c r="B2683" t="s">
        <v>3001</v>
      </c>
      <c r="C2683" t="s">
        <v>272</v>
      </c>
      <c r="D2683" t="s">
        <v>1360</v>
      </c>
      <c r="E2683" t="s">
        <v>71</v>
      </c>
      <c r="F2683" t="s">
        <v>72</v>
      </c>
      <c r="G2683" t="s">
        <v>41</v>
      </c>
      <c r="H2683" t="s">
        <v>4501</v>
      </c>
      <c r="J2683">
        <v>14</v>
      </c>
    </row>
    <row r="2684" spans="1:10" x14ac:dyDescent="0.35">
      <c r="A2684">
        <v>6034000130768</v>
      </c>
      <c r="B2684" t="s">
        <v>3002</v>
      </c>
      <c r="C2684" t="s">
        <v>1361</v>
      </c>
      <c r="D2684" t="s">
        <v>3002</v>
      </c>
      <c r="E2684" t="s">
        <v>71</v>
      </c>
      <c r="F2684" t="s">
        <v>72</v>
      </c>
      <c r="G2684" t="s">
        <v>41</v>
      </c>
      <c r="H2684" t="s">
        <v>4501</v>
      </c>
      <c r="J2684">
        <v>1451</v>
      </c>
    </row>
    <row r="2685" spans="1:10" x14ac:dyDescent="0.35">
      <c r="A2685">
        <v>6034000130775</v>
      </c>
      <c r="B2685" t="s">
        <v>3003</v>
      </c>
      <c r="C2685" t="s">
        <v>1361</v>
      </c>
      <c r="D2685" t="s">
        <v>3004</v>
      </c>
      <c r="E2685" t="s">
        <v>130</v>
      </c>
      <c r="F2685" t="s">
        <v>220</v>
      </c>
      <c r="G2685" t="s">
        <v>41</v>
      </c>
      <c r="H2685" t="s">
        <v>4520</v>
      </c>
      <c r="J2685">
        <v>959</v>
      </c>
    </row>
    <row r="2686" spans="1:10" x14ac:dyDescent="0.35">
      <c r="A2686">
        <v>6034000145953</v>
      </c>
      <c r="B2686" t="s">
        <v>2948</v>
      </c>
      <c r="C2686" t="s">
        <v>3005</v>
      </c>
      <c r="D2686" t="s">
        <v>2946</v>
      </c>
      <c r="E2686" t="s">
        <v>2227</v>
      </c>
      <c r="F2686" t="s">
        <v>2947</v>
      </c>
      <c r="G2686" t="s">
        <v>41</v>
      </c>
      <c r="H2686" t="s">
        <v>4862</v>
      </c>
      <c r="J2686">
        <v>30</v>
      </c>
    </row>
    <row r="2687" spans="1:10" x14ac:dyDescent="0.35">
      <c r="A2687">
        <v>6034000170207</v>
      </c>
      <c r="B2687" t="s">
        <v>3006</v>
      </c>
      <c r="C2687" t="s">
        <v>326</v>
      </c>
      <c r="D2687" t="s">
        <v>3006</v>
      </c>
      <c r="E2687" t="s">
        <v>61</v>
      </c>
      <c r="F2687" t="s">
        <v>3007</v>
      </c>
      <c r="G2687" t="s">
        <v>41</v>
      </c>
      <c r="H2687" t="s">
        <v>4867</v>
      </c>
      <c r="J2687">
        <v>73</v>
      </c>
    </row>
    <row r="2688" spans="1:10" x14ac:dyDescent="0.35">
      <c r="A2688">
        <v>6034000178340</v>
      </c>
      <c r="B2688" t="s">
        <v>3008</v>
      </c>
      <c r="C2688" t="s">
        <v>272</v>
      </c>
      <c r="D2688" t="s">
        <v>3009</v>
      </c>
      <c r="E2688" t="s">
        <v>308</v>
      </c>
      <c r="F2688" t="s">
        <v>309</v>
      </c>
      <c r="G2688" t="s">
        <v>41</v>
      </c>
      <c r="H2688" t="s">
        <v>4529</v>
      </c>
      <c r="J2688">
        <v>2</v>
      </c>
    </row>
    <row r="2689" spans="1:10" x14ac:dyDescent="0.35">
      <c r="A2689">
        <v>6034000180107</v>
      </c>
      <c r="B2689" t="s">
        <v>1643</v>
      </c>
      <c r="C2689" t="s">
        <v>603</v>
      </c>
      <c r="D2689" t="s">
        <v>3010</v>
      </c>
      <c r="E2689" t="s">
        <v>816</v>
      </c>
      <c r="F2689" t="s">
        <v>817</v>
      </c>
      <c r="G2689" t="s">
        <v>41</v>
      </c>
      <c r="H2689" t="s">
        <v>4598</v>
      </c>
      <c r="J2689">
        <v>2016</v>
      </c>
    </row>
    <row r="2690" spans="1:10" x14ac:dyDescent="0.35">
      <c r="A2690">
        <v>6034000181036</v>
      </c>
      <c r="B2690" t="s">
        <v>485</v>
      </c>
      <c r="C2690" t="s">
        <v>9</v>
      </c>
      <c r="D2690" t="s">
        <v>1089</v>
      </c>
      <c r="E2690" t="s">
        <v>41</v>
      </c>
      <c r="F2690" t="s">
        <v>1090</v>
      </c>
      <c r="G2690" t="s">
        <v>41</v>
      </c>
      <c r="H2690" t="s">
        <v>4648</v>
      </c>
      <c r="J2690">
        <v>519</v>
      </c>
    </row>
    <row r="2691" spans="1:10" x14ac:dyDescent="0.35">
      <c r="A2691">
        <v>6034000181043</v>
      </c>
      <c r="B2691" t="s">
        <v>485</v>
      </c>
      <c r="C2691" t="s">
        <v>825</v>
      </c>
      <c r="D2691" t="s">
        <v>1089</v>
      </c>
      <c r="E2691" t="s">
        <v>41</v>
      </c>
      <c r="F2691" t="s">
        <v>1090</v>
      </c>
      <c r="G2691" t="s">
        <v>41</v>
      </c>
      <c r="H2691" t="s">
        <v>4648</v>
      </c>
      <c r="J2691">
        <v>131</v>
      </c>
    </row>
    <row r="2692" spans="1:10" x14ac:dyDescent="0.35">
      <c r="A2692">
        <v>6034000181128</v>
      </c>
      <c r="B2692" t="s">
        <v>485</v>
      </c>
      <c r="C2692" t="s">
        <v>3011</v>
      </c>
      <c r="D2692" t="s">
        <v>1089</v>
      </c>
      <c r="E2692" t="s">
        <v>41</v>
      </c>
      <c r="F2692" t="s">
        <v>1090</v>
      </c>
      <c r="G2692" t="s">
        <v>41</v>
      </c>
      <c r="H2692" t="s">
        <v>4648</v>
      </c>
      <c r="J2692">
        <v>31</v>
      </c>
    </row>
    <row r="2693" spans="1:10" x14ac:dyDescent="0.35">
      <c r="A2693">
        <v>6034000181142</v>
      </c>
      <c r="B2693" t="s">
        <v>485</v>
      </c>
      <c r="C2693" t="s">
        <v>326</v>
      </c>
      <c r="D2693" t="s">
        <v>1089</v>
      </c>
      <c r="E2693" t="s">
        <v>41</v>
      </c>
      <c r="F2693" t="s">
        <v>1090</v>
      </c>
      <c r="G2693" t="s">
        <v>41</v>
      </c>
      <c r="H2693" t="s">
        <v>4648</v>
      </c>
      <c r="J2693">
        <v>7971</v>
      </c>
    </row>
    <row r="2694" spans="1:10" x14ac:dyDescent="0.35">
      <c r="A2694">
        <v>6034000181142</v>
      </c>
      <c r="B2694" t="s">
        <v>485</v>
      </c>
      <c r="C2694" t="s">
        <v>326</v>
      </c>
      <c r="D2694" t="s">
        <v>1089</v>
      </c>
      <c r="E2694" t="s">
        <v>41</v>
      </c>
      <c r="F2694" t="s">
        <v>1090</v>
      </c>
      <c r="G2694" t="s">
        <v>34</v>
      </c>
      <c r="H2694" t="s">
        <v>4648</v>
      </c>
      <c r="J2694">
        <v>2</v>
      </c>
    </row>
    <row r="2695" spans="1:10" x14ac:dyDescent="0.35">
      <c r="A2695">
        <v>6034000181357</v>
      </c>
      <c r="B2695" t="s">
        <v>3012</v>
      </c>
      <c r="C2695" t="s">
        <v>326</v>
      </c>
      <c r="D2695" t="s">
        <v>1089</v>
      </c>
      <c r="E2695" t="s">
        <v>41</v>
      </c>
      <c r="F2695" t="s">
        <v>1090</v>
      </c>
      <c r="G2695" t="s">
        <v>41</v>
      </c>
      <c r="H2695" t="s">
        <v>4648</v>
      </c>
      <c r="J2695">
        <v>20</v>
      </c>
    </row>
    <row r="2696" spans="1:10" x14ac:dyDescent="0.35">
      <c r="A2696">
        <v>6034000190434</v>
      </c>
      <c r="B2696" t="s">
        <v>3013</v>
      </c>
      <c r="C2696" t="s">
        <v>2089</v>
      </c>
      <c r="D2696" t="s">
        <v>3014</v>
      </c>
      <c r="E2696" t="s">
        <v>2227</v>
      </c>
      <c r="F2696" t="s">
        <v>2228</v>
      </c>
      <c r="G2696" t="s">
        <v>41</v>
      </c>
      <c r="H2696" t="s">
        <v>4770</v>
      </c>
      <c r="J2696">
        <v>140</v>
      </c>
    </row>
    <row r="2697" spans="1:10" x14ac:dyDescent="0.35">
      <c r="A2697">
        <v>6034000190984</v>
      </c>
      <c r="B2697" t="s">
        <v>3015</v>
      </c>
      <c r="C2697" t="s">
        <v>69</v>
      </c>
      <c r="D2697" t="s">
        <v>3014</v>
      </c>
      <c r="E2697" t="s">
        <v>2227</v>
      </c>
      <c r="F2697" t="s">
        <v>2228</v>
      </c>
      <c r="G2697" t="s">
        <v>41</v>
      </c>
      <c r="H2697" t="s">
        <v>4770</v>
      </c>
      <c r="J2697">
        <v>30</v>
      </c>
    </row>
    <row r="2698" spans="1:10" x14ac:dyDescent="0.35">
      <c r="A2698">
        <v>6034000210378</v>
      </c>
      <c r="B2698" t="s">
        <v>668</v>
      </c>
      <c r="C2698" t="s">
        <v>472</v>
      </c>
      <c r="D2698" t="s">
        <v>1238</v>
      </c>
      <c r="E2698" t="s">
        <v>61</v>
      </c>
      <c r="F2698" t="s">
        <v>1239</v>
      </c>
      <c r="G2698" t="s">
        <v>41</v>
      </c>
      <c r="H2698" t="s">
        <v>4671</v>
      </c>
      <c r="J2698">
        <v>112</v>
      </c>
    </row>
    <row r="2699" spans="1:10" x14ac:dyDescent="0.35">
      <c r="A2699">
        <v>6034000210385</v>
      </c>
      <c r="B2699" t="s">
        <v>3016</v>
      </c>
      <c r="C2699" t="s">
        <v>472</v>
      </c>
      <c r="D2699" t="s">
        <v>1238</v>
      </c>
      <c r="E2699" t="s">
        <v>61</v>
      </c>
      <c r="F2699" t="s">
        <v>1239</v>
      </c>
      <c r="G2699" t="s">
        <v>41</v>
      </c>
      <c r="H2699" t="s">
        <v>4671</v>
      </c>
      <c r="J2699">
        <v>48</v>
      </c>
    </row>
    <row r="2700" spans="1:10" x14ac:dyDescent="0.35">
      <c r="A2700">
        <v>6034000210392</v>
      </c>
      <c r="B2700" t="s">
        <v>3017</v>
      </c>
      <c r="C2700" t="s">
        <v>472</v>
      </c>
      <c r="D2700" t="s">
        <v>1238</v>
      </c>
      <c r="E2700" t="s">
        <v>61</v>
      </c>
      <c r="F2700" t="s">
        <v>1239</v>
      </c>
      <c r="G2700" t="s">
        <v>41</v>
      </c>
      <c r="H2700" t="s">
        <v>4671</v>
      </c>
      <c r="J2700">
        <v>11</v>
      </c>
    </row>
    <row r="2701" spans="1:10" x14ac:dyDescent="0.35">
      <c r="A2701">
        <v>6034000210446</v>
      </c>
      <c r="B2701" t="s">
        <v>213</v>
      </c>
      <c r="C2701" t="s">
        <v>472</v>
      </c>
      <c r="D2701" t="s">
        <v>1238</v>
      </c>
      <c r="E2701" t="s">
        <v>61</v>
      </c>
      <c r="F2701" t="s">
        <v>1239</v>
      </c>
      <c r="G2701" t="s">
        <v>41</v>
      </c>
      <c r="H2701" t="s">
        <v>4671</v>
      </c>
      <c r="J2701">
        <v>385</v>
      </c>
    </row>
    <row r="2702" spans="1:10" x14ac:dyDescent="0.35">
      <c r="A2702">
        <v>6034000210644</v>
      </c>
      <c r="B2702" t="s">
        <v>3018</v>
      </c>
      <c r="C2702" t="s">
        <v>241</v>
      </c>
      <c r="D2702" t="s">
        <v>1238</v>
      </c>
      <c r="E2702" t="s">
        <v>61</v>
      </c>
      <c r="F2702" t="s">
        <v>1239</v>
      </c>
      <c r="G2702" t="s">
        <v>41</v>
      </c>
      <c r="H2702" t="s">
        <v>4671</v>
      </c>
      <c r="J2702">
        <v>15</v>
      </c>
    </row>
    <row r="2703" spans="1:10" x14ac:dyDescent="0.35">
      <c r="A2703">
        <v>6034000210897</v>
      </c>
      <c r="B2703" t="s">
        <v>3019</v>
      </c>
      <c r="C2703" t="s">
        <v>472</v>
      </c>
      <c r="D2703" t="s">
        <v>3020</v>
      </c>
      <c r="E2703" t="s">
        <v>308</v>
      </c>
      <c r="F2703" t="s">
        <v>309</v>
      </c>
      <c r="G2703" t="s">
        <v>41</v>
      </c>
      <c r="H2703" t="s">
        <v>4529</v>
      </c>
      <c r="J2703">
        <v>7</v>
      </c>
    </row>
    <row r="2704" spans="1:10" x14ac:dyDescent="0.35">
      <c r="A2704">
        <v>6034000210903</v>
      </c>
      <c r="B2704" t="s">
        <v>1811</v>
      </c>
      <c r="C2704" t="s">
        <v>472</v>
      </c>
      <c r="D2704" t="s">
        <v>1238</v>
      </c>
      <c r="E2704" t="s">
        <v>61</v>
      </c>
      <c r="F2704" t="s">
        <v>1239</v>
      </c>
      <c r="G2704" t="s">
        <v>41</v>
      </c>
      <c r="H2704" t="s">
        <v>4671</v>
      </c>
      <c r="J2704">
        <v>316</v>
      </c>
    </row>
    <row r="2705" spans="1:10" x14ac:dyDescent="0.35">
      <c r="A2705">
        <v>6034000210927</v>
      </c>
      <c r="B2705" t="s">
        <v>3021</v>
      </c>
      <c r="C2705" t="s">
        <v>3022</v>
      </c>
      <c r="D2705" t="s">
        <v>1238</v>
      </c>
      <c r="E2705" t="s">
        <v>61</v>
      </c>
      <c r="F2705" t="s">
        <v>1239</v>
      </c>
      <c r="G2705" t="s">
        <v>41</v>
      </c>
      <c r="H2705" t="s">
        <v>4671</v>
      </c>
      <c r="J2705">
        <v>81</v>
      </c>
    </row>
    <row r="2706" spans="1:10" x14ac:dyDescent="0.35">
      <c r="A2706">
        <v>6034000210927</v>
      </c>
      <c r="B2706" t="s">
        <v>3021</v>
      </c>
      <c r="C2706" t="s">
        <v>3022</v>
      </c>
      <c r="D2706" t="s">
        <v>1238</v>
      </c>
      <c r="E2706" t="s">
        <v>61</v>
      </c>
      <c r="F2706" t="s">
        <v>1239</v>
      </c>
      <c r="G2706" t="s">
        <v>11</v>
      </c>
      <c r="H2706" t="s">
        <v>4671</v>
      </c>
      <c r="J2706">
        <v>1</v>
      </c>
    </row>
    <row r="2707" spans="1:10" x14ac:dyDescent="0.35">
      <c r="A2707">
        <v>6034000210927</v>
      </c>
      <c r="B2707" t="s">
        <v>3021</v>
      </c>
      <c r="C2707" t="s">
        <v>3022</v>
      </c>
      <c r="D2707" t="s">
        <v>1238</v>
      </c>
      <c r="E2707" t="s">
        <v>61</v>
      </c>
      <c r="F2707" t="s">
        <v>1239</v>
      </c>
      <c r="G2707" t="s">
        <v>31</v>
      </c>
      <c r="H2707" t="s">
        <v>4671</v>
      </c>
      <c r="J2707">
        <v>2</v>
      </c>
    </row>
    <row r="2708" spans="1:10" x14ac:dyDescent="0.35">
      <c r="A2708">
        <v>6034000210958</v>
      </c>
      <c r="B2708" t="s">
        <v>3023</v>
      </c>
      <c r="C2708" t="s">
        <v>2483</v>
      </c>
      <c r="D2708" t="s">
        <v>1238</v>
      </c>
      <c r="E2708" t="s">
        <v>61</v>
      </c>
      <c r="F2708" t="s">
        <v>1239</v>
      </c>
      <c r="G2708" t="s">
        <v>41</v>
      </c>
      <c r="H2708" t="s">
        <v>4671</v>
      </c>
      <c r="J2708">
        <v>53</v>
      </c>
    </row>
    <row r="2709" spans="1:10" x14ac:dyDescent="0.35">
      <c r="A2709">
        <v>6034000210972</v>
      </c>
      <c r="B2709" t="s">
        <v>3024</v>
      </c>
      <c r="C2709" t="s">
        <v>9</v>
      </c>
      <c r="D2709" t="s">
        <v>1238</v>
      </c>
      <c r="E2709" t="s">
        <v>61</v>
      </c>
      <c r="F2709" t="s">
        <v>1239</v>
      </c>
      <c r="G2709" t="s">
        <v>41</v>
      </c>
      <c r="H2709" t="s">
        <v>4671</v>
      </c>
      <c r="J2709">
        <v>1</v>
      </c>
    </row>
    <row r="2710" spans="1:10" x14ac:dyDescent="0.35">
      <c r="A2710">
        <v>6034000210989</v>
      </c>
      <c r="B2710" t="s">
        <v>3023</v>
      </c>
      <c r="C2710" t="s">
        <v>472</v>
      </c>
      <c r="D2710" t="s">
        <v>1238</v>
      </c>
      <c r="E2710" t="s">
        <v>61</v>
      </c>
      <c r="F2710" t="s">
        <v>1239</v>
      </c>
      <c r="G2710" t="s">
        <v>41</v>
      </c>
      <c r="H2710" t="s">
        <v>4671</v>
      </c>
      <c r="J2710">
        <v>481</v>
      </c>
    </row>
    <row r="2711" spans="1:10" x14ac:dyDescent="0.35">
      <c r="A2711">
        <v>6034000245004</v>
      </c>
      <c r="B2711" t="s">
        <v>3025</v>
      </c>
      <c r="C2711" t="s">
        <v>472</v>
      </c>
      <c r="D2711" t="s">
        <v>3026</v>
      </c>
      <c r="E2711" t="s">
        <v>41</v>
      </c>
      <c r="F2711" t="s">
        <v>126</v>
      </c>
      <c r="G2711" t="s">
        <v>41</v>
      </c>
      <c r="H2711" t="s">
        <v>4511</v>
      </c>
      <c r="J2711">
        <v>91</v>
      </c>
    </row>
    <row r="2712" spans="1:10" x14ac:dyDescent="0.35">
      <c r="A2712">
        <v>6034000245080</v>
      </c>
      <c r="B2712" t="s">
        <v>3027</v>
      </c>
      <c r="C2712" t="s">
        <v>472</v>
      </c>
      <c r="D2712" t="s">
        <v>3028</v>
      </c>
      <c r="E2712" t="s">
        <v>41</v>
      </c>
      <c r="F2712" t="s">
        <v>126</v>
      </c>
      <c r="G2712" t="s">
        <v>41</v>
      </c>
      <c r="H2712" t="s">
        <v>4511</v>
      </c>
      <c r="J2712">
        <v>25</v>
      </c>
    </row>
    <row r="2713" spans="1:10" x14ac:dyDescent="0.35">
      <c r="A2713">
        <v>6034000245097</v>
      </c>
      <c r="B2713" t="s">
        <v>3029</v>
      </c>
      <c r="C2713" t="s">
        <v>472</v>
      </c>
      <c r="D2713" t="s">
        <v>3028</v>
      </c>
      <c r="E2713" t="s">
        <v>41</v>
      </c>
      <c r="F2713" t="s">
        <v>126</v>
      </c>
      <c r="G2713" t="s">
        <v>41</v>
      </c>
      <c r="H2713" t="s">
        <v>4511</v>
      </c>
      <c r="J2713">
        <v>21</v>
      </c>
    </row>
    <row r="2714" spans="1:10" x14ac:dyDescent="0.35">
      <c r="A2714">
        <v>6034000245189</v>
      </c>
      <c r="B2714" t="s">
        <v>485</v>
      </c>
      <c r="C2714" t="s">
        <v>9</v>
      </c>
      <c r="D2714" t="s">
        <v>125</v>
      </c>
      <c r="E2714" t="s">
        <v>41</v>
      </c>
      <c r="F2714" t="s">
        <v>126</v>
      </c>
      <c r="G2714" t="s">
        <v>41</v>
      </c>
      <c r="H2714" t="s">
        <v>4511</v>
      </c>
      <c r="J2714">
        <v>1597</v>
      </c>
    </row>
    <row r="2715" spans="1:10" x14ac:dyDescent="0.35">
      <c r="A2715">
        <v>6034000245264</v>
      </c>
      <c r="B2715" t="s">
        <v>3030</v>
      </c>
      <c r="C2715" t="s">
        <v>472</v>
      </c>
      <c r="D2715" t="s">
        <v>1352</v>
      </c>
      <c r="E2715" t="s">
        <v>41</v>
      </c>
      <c r="F2715" t="s">
        <v>126</v>
      </c>
      <c r="G2715" t="s">
        <v>41</v>
      </c>
      <c r="H2715" t="s">
        <v>4511</v>
      </c>
      <c r="J2715">
        <v>128</v>
      </c>
    </row>
    <row r="2716" spans="1:10" x14ac:dyDescent="0.35">
      <c r="A2716">
        <v>6034000245301</v>
      </c>
      <c r="B2716" t="s">
        <v>3031</v>
      </c>
      <c r="C2716" t="s">
        <v>472</v>
      </c>
      <c r="D2716" t="s">
        <v>3026</v>
      </c>
      <c r="E2716" t="s">
        <v>41</v>
      </c>
      <c r="F2716" t="s">
        <v>126</v>
      </c>
      <c r="G2716" t="s">
        <v>41</v>
      </c>
      <c r="H2716" t="s">
        <v>4511</v>
      </c>
      <c r="J2716">
        <v>31</v>
      </c>
    </row>
    <row r="2717" spans="1:10" x14ac:dyDescent="0.35">
      <c r="A2717">
        <v>6034000252002</v>
      </c>
      <c r="B2717" t="s">
        <v>1009</v>
      </c>
      <c r="C2717" t="s">
        <v>603</v>
      </c>
      <c r="D2717" t="s">
        <v>1009</v>
      </c>
      <c r="E2717" t="s">
        <v>41</v>
      </c>
      <c r="F2717" t="s">
        <v>456</v>
      </c>
      <c r="G2717" t="s">
        <v>41</v>
      </c>
      <c r="H2717" t="s">
        <v>4553</v>
      </c>
      <c r="J2717">
        <v>11</v>
      </c>
    </row>
    <row r="2718" spans="1:10" x14ac:dyDescent="0.35">
      <c r="A2718">
        <v>6034000252064</v>
      </c>
      <c r="B2718" t="s">
        <v>3032</v>
      </c>
      <c r="C2718" t="s">
        <v>472</v>
      </c>
      <c r="D2718" t="s">
        <v>3033</v>
      </c>
      <c r="E2718" t="s">
        <v>41</v>
      </c>
      <c r="F2718" t="s">
        <v>456</v>
      </c>
      <c r="G2718" t="s">
        <v>41</v>
      </c>
      <c r="H2718" t="s">
        <v>4553</v>
      </c>
      <c r="J2718">
        <v>193</v>
      </c>
    </row>
    <row r="2719" spans="1:10" x14ac:dyDescent="0.35">
      <c r="A2719">
        <v>6034000252125</v>
      </c>
      <c r="B2719" t="s">
        <v>3034</v>
      </c>
      <c r="C2719" t="s">
        <v>9</v>
      </c>
      <c r="D2719" t="s">
        <v>3035</v>
      </c>
      <c r="E2719" t="s">
        <v>41</v>
      </c>
      <c r="F2719" t="s">
        <v>456</v>
      </c>
      <c r="G2719" t="s">
        <v>41</v>
      </c>
      <c r="H2719" t="s">
        <v>4553</v>
      </c>
      <c r="J2719">
        <v>212</v>
      </c>
    </row>
    <row r="2720" spans="1:10" x14ac:dyDescent="0.35">
      <c r="A2720">
        <v>6034000273014</v>
      </c>
      <c r="B2720" t="s">
        <v>3036</v>
      </c>
      <c r="C2720" t="s">
        <v>326</v>
      </c>
      <c r="D2720" t="s">
        <v>3037</v>
      </c>
      <c r="E2720" t="s">
        <v>41</v>
      </c>
      <c r="F2720" t="s">
        <v>3038</v>
      </c>
      <c r="G2720" t="s">
        <v>41</v>
      </c>
      <c r="H2720" t="s">
        <v>4868</v>
      </c>
      <c r="J2720">
        <v>313</v>
      </c>
    </row>
    <row r="2721" spans="1:10" x14ac:dyDescent="0.35">
      <c r="A2721">
        <v>6034000307252</v>
      </c>
      <c r="B2721" t="s">
        <v>2887</v>
      </c>
      <c r="C2721" t="s">
        <v>1118</v>
      </c>
      <c r="D2721" t="s">
        <v>866</v>
      </c>
      <c r="E2721" t="s">
        <v>867</v>
      </c>
      <c r="F2721" t="s">
        <v>868</v>
      </c>
      <c r="G2721" t="s">
        <v>41</v>
      </c>
      <c r="H2721" t="s">
        <v>4609</v>
      </c>
      <c r="J2721">
        <v>44</v>
      </c>
    </row>
    <row r="2722" spans="1:10" x14ac:dyDescent="0.35">
      <c r="A2722">
        <v>6034000307894</v>
      </c>
      <c r="B2722" t="s">
        <v>3039</v>
      </c>
      <c r="C2722" t="s">
        <v>1973</v>
      </c>
      <c r="D2722" t="s">
        <v>1040</v>
      </c>
      <c r="E2722" t="s">
        <v>1041</v>
      </c>
      <c r="F2722" t="s">
        <v>1042</v>
      </c>
      <c r="G2722" t="s">
        <v>41</v>
      </c>
      <c r="H2722" t="s">
        <v>4642</v>
      </c>
      <c r="J2722">
        <v>5</v>
      </c>
    </row>
    <row r="2723" spans="1:10" x14ac:dyDescent="0.35">
      <c r="A2723">
        <v>6034000307894</v>
      </c>
      <c r="B2723" t="s">
        <v>3039</v>
      </c>
      <c r="C2723" t="s">
        <v>1973</v>
      </c>
      <c r="D2723" t="s">
        <v>1040</v>
      </c>
      <c r="E2723" t="s">
        <v>1041</v>
      </c>
      <c r="F2723" t="s">
        <v>1042</v>
      </c>
      <c r="G2723" t="s">
        <v>61</v>
      </c>
      <c r="H2723" t="s">
        <v>4642</v>
      </c>
      <c r="J2723">
        <v>6</v>
      </c>
    </row>
    <row r="2724" spans="1:10" x14ac:dyDescent="0.35">
      <c r="A2724">
        <v>6034000339055</v>
      </c>
      <c r="B2724" t="s">
        <v>3040</v>
      </c>
      <c r="C2724" t="s">
        <v>9</v>
      </c>
      <c r="D2724" t="s">
        <v>3041</v>
      </c>
      <c r="E2724" t="s">
        <v>308</v>
      </c>
      <c r="F2724" t="s">
        <v>309</v>
      </c>
      <c r="G2724" t="s">
        <v>41</v>
      </c>
      <c r="H2724" t="s">
        <v>4529</v>
      </c>
      <c r="J2724">
        <v>82</v>
      </c>
    </row>
    <row r="2725" spans="1:10" x14ac:dyDescent="0.35">
      <c r="A2725">
        <v>6034000351101</v>
      </c>
      <c r="B2725" t="s">
        <v>2487</v>
      </c>
      <c r="C2725" t="s">
        <v>472</v>
      </c>
      <c r="D2725" t="s">
        <v>3042</v>
      </c>
      <c r="E2725" t="s">
        <v>41</v>
      </c>
      <c r="F2725" t="s">
        <v>1090</v>
      </c>
      <c r="G2725" t="s">
        <v>41</v>
      </c>
      <c r="H2725" t="s">
        <v>4648</v>
      </c>
      <c r="J2725">
        <v>3513</v>
      </c>
    </row>
    <row r="2726" spans="1:10" x14ac:dyDescent="0.35">
      <c r="A2726">
        <v>6034000351149</v>
      </c>
      <c r="B2726" t="s">
        <v>3043</v>
      </c>
      <c r="C2726" t="s">
        <v>472</v>
      </c>
      <c r="D2726" t="s">
        <v>3044</v>
      </c>
      <c r="E2726" t="s">
        <v>41</v>
      </c>
      <c r="F2726" t="s">
        <v>1090</v>
      </c>
      <c r="G2726" t="s">
        <v>41</v>
      </c>
      <c r="H2726" t="s">
        <v>4648</v>
      </c>
      <c r="J2726">
        <v>214</v>
      </c>
    </row>
    <row r="2727" spans="1:10" x14ac:dyDescent="0.35">
      <c r="A2727">
        <v>6034000351170</v>
      </c>
      <c r="B2727" t="s">
        <v>3045</v>
      </c>
      <c r="C2727" t="s">
        <v>9</v>
      </c>
      <c r="D2727" t="s">
        <v>1089</v>
      </c>
      <c r="E2727" t="s">
        <v>41</v>
      </c>
      <c r="F2727" t="s">
        <v>1090</v>
      </c>
      <c r="G2727" t="s">
        <v>41</v>
      </c>
      <c r="H2727" t="s">
        <v>4648</v>
      </c>
      <c r="J2727">
        <v>111</v>
      </c>
    </row>
    <row r="2728" spans="1:10" x14ac:dyDescent="0.35">
      <c r="A2728">
        <v>6034000351200</v>
      </c>
      <c r="B2728" t="s">
        <v>1011</v>
      </c>
      <c r="C2728" t="s">
        <v>472</v>
      </c>
      <c r="D2728" t="s">
        <v>2964</v>
      </c>
      <c r="E2728" t="s">
        <v>41</v>
      </c>
      <c r="F2728" t="s">
        <v>1090</v>
      </c>
      <c r="G2728" t="s">
        <v>41</v>
      </c>
      <c r="H2728" t="s">
        <v>4648</v>
      </c>
      <c r="J2728">
        <v>1820</v>
      </c>
    </row>
    <row r="2729" spans="1:10" x14ac:dyDescent="0.35">
      <c r="A2729">
        <v>6034000351255</v>
      </c>
      <c r="B2729" t="s">
        <v>3046</v>
      </c>
      <c r="C2729" t="s">
        <v>9</v>
      </c>
      <c r="D2729" t="s">
        <v>3047</v>
      </c>
      <c r="E2729" t="s">
        <v>41</v>
      </c>
      <c r="F2729" t="s">
        <v>1090</v>
      </c>
      <c r="G2729" t="s">
        <v>41</v>
      </c>
      <c r="H2729" t="s">
        <v>4648</v>
      </c>
      <c r="J2729">
        <v>792</v>
      </c>
    </row>
    <row r="2730" spans="1:10" x14ac:dyDescent="0.35">
      <c r="A2730">
        <v>6034000351286</v>
      </c>
      <c r="B2730" t="s">
        <v>3048</v>
      </c>
      <c r="C2730" t="s">
        <v>472</v>
      </c>
      <c r="D2730" t="s">
        <v>3049</v>
      </c>
      <c r="E2730" t="s">
        <v>41</v>
      </c>
      <c r="F2730" t="s">
        <v>1090</v>
      </c>
      <c r="G2730" t="s">
        <v>41</v>
      </c>
      <c r="H2730" t="s">
        <v>4648</v>
      </c>
      <c r="J2730">
        <v>100</v>
      </c>
    </row>
    <row r="2731" spans="1:10" x14ac:dyDescent="0.35">
      <c r="A2731">
        <v>6034000351309</v>
      </c>
      <c r="B2731" t="s">
        <v>2966</v>
      </c>
      <c r="C2731" t="s">
        <v>472</v>
      </c>
      <c r="D2731" t="s">
        <v>2966</v>
      </c>
      <c r="E2731" t="s">
        <v>41</v>
      </c>
      <c r="F2731" t="s">
        <v>1090</v>
      </c>
      <c r="G2731" t="s">
        <v>41</v>
      </c>
      <c r="H2731" t="s">
        <v>4648</v>
      </c>
      <c r="J2731">
        <v>468</v>
      </c>
    </row>
    <row r="2732" spans="1:10" x14ac:dyDescent="0.35">
      <c r="A2732">
        <v>6034000351521</v>
      </c>
      <c r="B2732" t="s">
        <v>3050</v>
      </c>
      <c r="C2732" t="s">
        <v>472</v>
      </c>
      <c r="D2732" t="s">
        <v>3050</v>
      </c>
      <c r="E2732" t="s">
        <v>41</v>
      </c>
      <c r="F2732" t="s">
        <v>1090</v>
      </c>
      <c r="G2732" t="s">
        <v>41</v>
      </c>
      <c r="H2732" t="s">
        <v>4648</v>
      </c>
      <c r="J2732">
        <v>80</v>
      </c>
    </row>
    <row r="2733" spans="1:10" x14ac:dyDescent="0.35">
      <c r="A2733">
        <v>6034000351552</v>
      </c>
      <c r="B2733" t="s">
        <v>3051</v>
      </c>
      <c r="C2733" t="s">
        <v>472</v>
      </c>
      <c r="D2733" t="s">
        <v>3052</v>
      </c>
      <c r="E2733" t="s">
        <v>41</v>
      </c>
      <c r="F2733" t="s">
        <v>1090</v>
      </c>
      <c r="G2733" t="s">
        <v>41</v>
      </c>
      <c r="H2733" t="s">
        <v>4648</v>
      </c>
      <c r="J2733">
        <v>12</v>
      </c>
    </row>
    <row r="2734" spans="1:10" x14ac:dyDescent="0.35">
      <c r="A2734">
        <v>6034000351682</v>
      </c>
      <c r="B2734" t="s">
        <v>3053</v>
      </c>
      <c r="C2734" t="s">
        <v>472</v>
      </c>
      <c r="D2734" t="s">
        <v>2966</v>
      </c>
      <c r="E2734" t="s">
        <v>41</v>
      </c>
      <c r="F2734" t="s">
        <v>1090</v>
      </c>
      <c r="G2734" t="s">
        <v>41</v>
      </c>
      <c r="H2734" t="s">
        <v>4648</v>
      </c>
      <c r="J2734">
        <v>9</v>
      </c>
    </row>
    <row r="2735" spans="1:10" x14ac:dyDescent="0.35">
      <c r="A2735">
        <v>6034000351835</v>
      </c>
      <c r="B2735" t="s">
        <v>3054</v>
      </c>
      <c r="C2735" t="s">
        <v>603</v>
      </c>
      <c r="D2735" t="s">
        <v>3055</v>
      </c>
      <c r="E2735" t="s">
        <v>41</v>
      </c>
      <c r="F2735" t="s">
        <v>1090</v>
      </c>
      <c r="G2735" t="s">
        <v>41</v>
      </c>
      <c r="H2735" t="s">
        <v>4648</v>
      </c>
      <c r="J2735">
        <v>23</v>
      </c>
    </row>
    <row r="2736" spans="1:10" x14ac:dyDescent="0.35">
      <c r="A2736">
        <v>6034000351859</v>
      </c>
      <c r="B2736" t="s">
        <v>3056</v>
      </c>
      <c r="C2736" t="s">
        <v>603</v>
      </c>
      <c r="D2736" t="s">
        <v>3055</v>
      </c>
      <c r="E2736" t="s">
        <v>41</v>
      </c>
      <c r="F2736" t="s">
        <v>1090</v>
      </c>
      <c r="G2736" t="s">
        <v>41</v>
      </c>
      <c r="H2736" t="s">
        <v>4648</v>
      </c>
      <c r="J2736">
        <v>463</v>
      </c>
    </row>
    <row r="2737" spans="1:10" x14ac:dyDescent="0.35">
      <c r="A2737">
        <v>6034000351873</v>
      </c>
      <c r="B2737" t="s">
        <v>384</v>
      </c>
      <c r="C2737" t="s">
        <v>603</v>
      </c>
      <c r="D2737" t="s">
        <v>1089</v>
      </c>
      <c r="E2737" t="s">
        <v>41</v>
      </c>
      <c r="F2737" t="s">
        <v>1090</v>
      </c>
      <c r="G2737" t="s">
        <v>41</v>
      </c>
      <c r="H2737" t="s">
        <v>4648</v>
      </c>
      <c r="J2737">
        <v>155</v>
      </c>
    </row>
    <row r="2738" spans="1:10" x14ac:dyDescent="0.35">
      <c r="A2738">
        <v>6034000390070</v>
      </c>
      <c r="B2738" t="s">
        <v>3057</v>
      </c>
      <c r="C2738" t="s">
        <v>1141</v>
      </c>
      <c r="D2738" t="s">
        <v>3058</v>
      </c>
      <c r="E2738" t="s">
        <v>598</v>
      </c>
      <c r="F2738" t="s">
        <v>3059</v>
      </c>
      <c r="G2738" t="s">
        <v>41</v>
      </c>
      <c r="H2738" t="s">
        <v>4869</v>
      </c>
      <c r="J2738">
        <v>389</v>
      </c>
    </row>
    <row r="2739" spans="1:10" x14ac:dyDescent="0.35">
      <c r="A2739">
        <v>6034000390094</v>
      </c>
      <c r="B2739" t="s">
        <v>3060</v>
      </c>
      <c r="C2739" t="s">
        <v>1141</v>
      </c>
      <c r="D2739" t="s">
        <v>3058</v>
      </c>
      <c r="E2739" t="s">
        <v>598</v>
      </c>
      <c r="F2739" t="s">
        <v>3059</v>
      </c>
      <c r="G2739" t="s">
        <v>41</v>
      </c>
      <c r="H2739" t="s">
        <v>4869</v>
      </c>
      <c r="J2739">
        <v>209</v>
      </c>
    </row>
    <row r="2740" spans="1:10" x14ac:dyDescent="0.35">
      <c r="A2740">
        <v>6034000390124</v>
      </c>
      <c r="B2740" t="s">
        <v>3061</v>
      </c>
      <c r="C2740" t="s">
        <v>2576</v>
      </c>
      <c r="D2740" t="s">
        <v>3058</v>
      </c>
      <c r="E2740" t="s">
        <v>598</v>
      </c>
      <c r="F2740" t="s">
        <v>3059</v>
      </c>
      <c r="G2740" t="s">
        <v>41</v>
      </c>
      <c r="H2740" t="s">
        <v>4869</v>
      </c>
      <c r="J2740">
        <v>920</v>
      </c>
    </row>
    <row r="2741" spans="1:10" x14ac:dyDescent="0.35">
      <c r="A2741">
        <v>6034000390216</v>
      </c>
      <c r="B2741" t="s">
        <v>3061</v>
      </c>
      <c r="C2741" t="s">
        <v>443</v>
      </c>
      <c r="D2741" t="s">
        <v>3058</v>
      </c>
      <c r="E2741" t="s">
        <v>598</v>
      </c>
      <c r="F2741" t="s">
        <v>3059</v>
      </c>
      <c r="G2741" t="s">
        <v>41</v>
      </c>
      <c r="H2741" t="s">
        <v>4869</v>
      </c>
      <c r="J2741">
        <v>100</v>
      </c>
    </row>
    <row r="2742" spans="1:10" x14ac:dyDescent="0.35">
      <c r="A2742">
        <v>6034000482003</v>
      </c>
      <c r="B2742" t="s">
        <v>3062</v>
      </c>
      <c r="C2742" t="s">
        <v>2957</v>
      </c>
      <c r="D2742" t="s">
        <v>3063</v>
      </c>
      <c r="E2742" t="s">
        <v>1201</v>
      </c>
      <c r="F2742" t="s">
        <v>1465</v>
      </c>
      <c r="G2742" t="s">
        <v>41</v>
      </c>
      <c r="H2742" t="s">
        <v>4690</v>
      </c>
      <c r="J2742">
        <v>136</v>
      </c>
    </row>
    <row r="2743" spans="1:10" x14ac:dyDescent="0.35">
      <c r="A2743">
        <v>6034000482034</v>
      </c>
      <c r="B2743" t="s">
        <v>3064</v>
      </c>
      <c r="C2743" t="s">
        <v>1394</v>
      </c>
      <c r="D2743" t="s">
        <v>3063</v>
      </c>
      <c r="E2743" t="s">
        <v>1201</v>
      </c>
      <c r="F2743" t="s">
        <v>1465</v>
      </c>
      <c r="G2743" t="s">
        <v>41</v>
      </c>
      <c r="H2743" t="s">
        <v>4690</v>
      </c>
      <c r="J2743">
        <v>3</v>
      </c>
    </row>
    <row r="2744" spans="1:10" x14ac:dyDescent="0.35">
      <c r="A2744">
        <v>6034000482539</v>
      </c>
      <c r="B2744" t="s">
        <v>3065</v>
      </c>
      <c r="C2744" t="s">
        <v>2676</v>
      </c>
      <c r="D2744" t="s">
        <v>3063</v>
      </c>
      <c r="E2744" t="s">
        <v>1201</v>
      </c>
      <c r="F2744" t="s">
        <v>1465</v>
      </c>
      <c r="G2744" t="s">
        <v>41</v>
      </c>
      <c r="H2744" t="s">
        <v>4690</v>
      </c>
      <c r="J2744">
        <v>20</v>
      </c>
    </row>
    <row r="2745" spans="1:10" x14ac:dyDescent="0.35">
      <c r="A2745">
        <v>6034000493160</v>
      </c>
      <c r="B2745" t="s">
        <v>3066</v>
      </c>
      <c r="C2745" t="s">
        <v>458</v>
      </c>
      <c r="D2745" t="s">
        <v>455</v>
      </c>
      <c r="E2745" t="s">
        <v>41</v>
      </c>
      <c r="F2745" t="s">
        <v>456</v>
      </c>
      <c r="G2745" t="s">
        <v>41</v>
      </c>
      <c r="H2745" t="s">
        <v>4553</v>
      </c>
      <c r="J2745">
        <v>50</v>
      </c>
    </row>
    <row r="2746" spans="1:10" x14ac:dyDescent="0.35">
      <c r="A2746">
        <v>6034000510003</v>
      </c>
      <c r="B2746" t="s">
        <v>684</v>
      </c>
      <c r="C2746" t="s">
        <v>9</v>
      </c>
      <c r="D2746" t="s">
        <v>3067</v>
      </c>
      <c r="E2746" t="s">
        <v>41</v>
      </c>
      <c r="F2746" t="s">
        <v>456</v>
      </c>
      <c r="G2746" t="s">
        <v>41</v>
      </c>
      <c r="H2746" t="s">
        <v>4553</v>
      </c>
      <c r="J2746">
        <v>513</v>
      </c>
    </row>
    <row r="2747" spans="1:10" x14ac:dyDescent="0.35">
      <c r="A2747">
        <v>6034000510010</v>
      </c>
      <c r="B2747" t="s">
        <v>453</v>
      </c>
      <c r="C2747" t="s">
        <v>565</v>
      </c>
      <c r="D2747" t="s">
        <v>3068</v>
      </c>
      <c r="E2747" t="s">
        <v>41</v>
      </c>
      <c r="F2747" t="s">
        <v>456</v>
      </c>
      <c r="G2747" t="s">
        <v>41</v>
      </c>
      <c r="H2747" t="s">
        <v>4553</v>
      </c>
      <c r="J2747">
        <v>100</v>
      </c>
    </row>
    <row r="2748" spans="1:10" x14ac:dyDescent="0.35">
      <c r="A2748">
        <v>6034000510034</v>
      </c>
      <c r="B2748" t="s">
        <v>453</v>
      </c>
      <c r="C2748" t="s">
        <v>454</v>
      </c>
      <c r="D2748" t="s">
        <v>3068</v>
      </c>
      <c r="E2748" t="s">
        <v>41</v>
      </c>
      <c r="F2748" t="s">
        <v>456</v>
      </c>
      <c r="G2748" t="s">
        <v>41</v>
      </c>
      <c r="H2748" t="s">
        <v>4553</v>
      </c>
      <c r="J2748">
        <v>100</v>
      </c>
    </row>
    <row r="2749" spans="1:10" x14ac:dyDescent="0.35">
      <c r="A2749">
        <v>6034000510423</v>
      </c>
      <c r="B2749" t="s">
        <v>3069</v>
      </c>
      <c r="C2749" t="s">
        <v>3070</v>
      </c>
      <c r="D2749" t="s">
        <v>3035</v>
      </c>
      <c r="E2749" t="s">
        <v>41</v>
      </c>
      <c r="F2749" t="s">
        <v>456</v>
      </c>
      <c r="G2749" t="s">
        <v>41</v>
      </c>
      <c r="H2749" t="s">
        <v>4553</v>
      </c>
      <c r="J2749">
        <v>3931</v>
      </c>
    </row>
    <row r="2750" spans="1:10" x14ac:dyDescent="0.35">
      <c r="A2750">
        <v>6034000510669</v>
      </c>
      <c r="B2750" t="s">
        <v>3071</v>
      </c>
      <c r="C2750" t="s">
        <v>326</v>
      </c>
      <c r="D2750" t="s">
        <v>3067</v>
      </c>
      <c r="E2750" t="s">
        <v>41</v>
      </c>
      <c r="F2750" t="s">
        <v>456</v>
      </c>
      <c r="G2750" t="s">
        <v>41</v>
      </c>
      <c r="H2750" t="s">
        <v>4553</v>
      </c>
      <c r="J2750">
        <v>24</v>
      </c>
    </row>
    <row r="2751" spans="1:10" x14ac:dyDescent="0.35">
      <c r="A2751">
        <v>6034000510744</v>
      </c>
      <c r="B2751" t="s">
        <v>2985</v>
      </c>
      <c r="C2751" t="s">
        <v>9</v>
      </c>
      <c r="D2751" t="s">
        <v>2986</v>
      </c>
      <c r="E2751" t="s">
        <v>41</v>
      </c>
      <c r="F2751" t="s">
        <v>456</v>
      </c>
      <c r="G2751" t="s">
        <v>41</v>
      </c>
      <c r="H2751" t="s">
        <v>4553</v>
      </c>
      <c r="J2751">
        <v>81</v>
      </c>
    </row>
    <row r="2752" spans="1:10" x14ac:dyDescent="0.35">
      <c r="A2752">
        <v>6034000510782</v>
      </c>
      <c r="B2752" t="s">
        <v>139</v>
      </c>
      <c r="C2752" t="s">
        <v>472</v>
      </c>
      <c r="D2752" t="s">
        <v>473</v>
      </c>
      <c r="E2752" t="s">
        <v>41</v>
      </c>
      <c r="F2752" t="s">
        <v>456</v>
      </c>
      <c r="G2752" t="s">
        <v>41</v>
      </c>
      <c r="H2752" t="s">
        <v>4553</v>
      </c>
      <c r="J2752">
        <v>48</v>
      </c>
    </row>
    <row r="2753" spans="1:10" x14ac:dyDescent="0.35">
      <c r="A2753">
        <v>6034000552461</v>
      </c>
      <c r="B2753" t="s">
        <v>3072</v>
      </c>
      <c r="C2753" t="s">
        <v>3073</v>
      </c>
      <c r="D2753" t="s">
        <v>455</v>
      </c>
      <c r="E2753" t="s">
        <v>41</v>
      </c>
      <c r="F2753" t="s">
        <v>456</v>
      </c>
      <c r="G2753" t="s">
        <v>41</v>
      </c>
      <c r="H2753" t="s">
        <v>4553</v>
      </c>
      <c r="J2753">
        <v>22</v>
      </c>
    </row>
    <row r="2754" spans="1:10" x14ac:dyDescent="0.35">
      <c r="A2754">
        <v>6034000552492</v>
      </c>
      <c r="B2754" t="s">
        <v>3074</v>
      </c>
      <c r="C2754" t="s">
        <v>967</v>
      </c>
      <c r="D2754" t="s">
        <v>455</v>
      </c>
      <c r="E2754" t="s">
        <v>41</v>
      </c>
      <c r="F2754" t="s">
        <v>456</v>
      </c>
      <c r="G2754" t="s">
        <v>41</v>
      </c>
      <c r="H2754" t="s">
        <v>4553</v>
      </c>
      <c r="J2754">
        <v>77</v>
      </c>
    </row>
    <row r="2755" spans="1:10" x14ac:dyDescent="0.35">
      <c r="A2755">
        <v>6034000584011</v>
      </c>
      <c r="B2755" t="s">
        <v>3075</v>
      </c>
      <c r="C2755" t="s">
        <v>623</v>
      </c>
      <c r="D2755" t="s">
        <v>3076</v>
      </c>
      <c r="E2755" t="s">
        <v>41</v>
      </c>
      <c r="F2755" t="s">
        <v>3077</v>
      </c>
      <c r="G2755" t="s">
        <v>41</v>
      </c>
      <c r="H2755" t="s">
        <v>4870</v>
      </c>
      <c r="J2755">
        <v>100</v>
      </c>
    </row>
    <row r="2756" spans="1:10" x14ac:dyDescent="0.35">
      <c r="A2756">
        <v>6034000639018</v>
      </c>
      <c r="B2756" t="s">
        <v>3078</v>
      </c>
      <c r="C2756" t="s">
        <v>2676</v>
      </c>
      <c r="D2756" t="s">
        <v>3079</v>
      </c>
      <c r="E2756" t="s">
        <v>41</v>
      </c>
      <c r="F2756" t="s">
        <v>3080</v>
      </c>
      <c r="G2756" t="s">
        <v>41</v>
      </c>
      <c r="H2756" t="s">
        <v>4871</v>
      </c>
      <c r="J2756">
        <v>50</v>
      </c>
    </row>
    <row r="2757" spans="1:10" x14ac:dyDescent="0.35">
      <c r="A2757">
        <v>6034000931006</v>
      </c>
      <c r="B2757" t="s">
        <v>3081</v>
      </c>
      <c r="C2757" t="s">
        <v>472</v>
      </c>
      <c r="D2757" t="s">
        <v>3028</v>
      </c>
      <c r="E2757" t="s">
        <v>41</v>
      </c>
      <c r="F2757" t="s">
        <v>126</v>
      </c>
      <c r="G2757" t="s">
        <v>41</v>
      </c>
      <c r="H2757" t="s">
        <v>4511</v>
      </c>
      <c r="J2757">
        <v>24</v>
      </c>
    </row>
    <row r="2758" spans="1:10" x14ac:dyDescent="0.35">
      <c r="A2758">
        <v>6034008822467</v>
      </c>
      <c r="B2758" t="s">
        <v>3082</v>
      </c>
      <c r="C2758" t="s">
        <v>454</v>
      </c>
      <c r="D2758" t="s">
        <v>455</v>
      </c>
      <c r="E2758" t="s">
        <v>41</v>
      </c>
      <c r="F2758" t="s">
        <v>456</v>
      </c>
      <c r="G2758" t="s">
        <v>41</v>
      </c>
      <c r="H2758" t="s">
        <v>4553</v>
      </c>
      <c r="J2758">
        <v>50</v>
      </c>
    </row>
    <row r="2759" spans="1:10" x14ac:dyDescent="0.35">
      <c r="A2759">
        <v>6034082253058</v>
      </c>
      <c r="B2759" t="s">
        <v>1344</v>
      </c>
      <c r="C2759" t="s">
        <v>472</v>
      </c>
      <c r="D2759" t="s">
        <v>473</v>
      </c>
      <c r="E2759" t="s">
        <v>41</v>
      </c>
      <c r="F2759" t="s">
        <v>456</v>
      </c>
      <c r="G2759" t="s">
        <v>41</v>
      </c>
      <c r="H2759" t="s">
        <v>4553</v>
      </c>
      <c r="J2759">
        <v>88</v>
      </c>
    </row>
    <row r="2760" spans="1:10" x14ac:dyDescent="0.35">
      <c r="A2760">
        <v>6034095253182</v>
      </c>
      <c r="B2760" t="s">
        <v>3083</v>
      </c>
      <c r="C2760" t="s">
        <v>472</v>
      </c>
      <c r="D2760" t="s">
        <v>473</v>
      </c>
      <c r="E2760" t="s">
        <v>41</v>
      </c>
      <c r="F2760" t="s">
        <v>456</v>
      </c>
      <c r="G2760" t="s">
        <v>41</v>
      </c>
      <c r="H2760" t="s">
        <v>4553</v>
      </c>
      <c r="J2760">
        <v>422</v>
      </c>
    </row>
    <row r="2761" spans="1:10" x14ac:dyDescent="0.35">
      <c r="A2761">
        <v>6034096253198</v>
      </c>
      <c r="B2761" t="s">
        <v>473</v>
      </c>
      <c r="C2761" t="s">
        <v>472</v>
      </c>
      <c r="D2761" t="s">
        <v>473</v>
      </c>
      <c r="E2761" t="s">
        <v>41</v>
      </c>
      <c r="F2761" t="s">
        <v>456</v>
      </c>
      <c r="G2761" t="s">
        <v>41</v>
      </c>
      <c r="H2761" t="s">
        <v>4553</v>
      </c>
      <c r="J2761">
        <v>113</v>
      </c>
    </row>
    <row r="2762" spans="1:10" x14ac:dyDescent="0.35">
      <c r="A2762">
        <v>6034097253203</v>
      </c>
      <c r="B2762" t="s">
        <v>3084</v>
      </c>
      <c r="C2762" t="s">
        <v>472</v>
      </c>
      <c r="D2762" t="s">
        <v>473</v>
      </c>
      <c r="E2762" t="s">
        <v>41</v>
      </c>
      <c r="F2762" t="s">
        <v>456</v>
      </c>
      <c r="G2762" t="s">
        <v>41</v>
      </c>
      <c r="H2762" t="s">
        <v>4553</v>
      </c>
      <c r="J2762">
        <v>137</v>
      </c>
    </row>
    <row r="2763" spans="1:10" x14ac:dyDescent="0.35">
      <c r="A2763">
        <v>6034098253219</v>
      </c>
      <c r="B2763" t="s">
        <v>3085</v>
      </c>
      <c r="C2763" t="s">
        <v>472</v>
      </c>
      <c r="D2763" t="s">
        <v>473</v>
      </c>
      <c r="E2763" t="s">
        <v>41</v>
      </c>
      <c r="F2763" t="s">
        <v>456</v>
      </c>
      <c r="G2763" t="s">
        <v>41</v>
      </c>
      <c r="H2763" t="s">
        <v>4553</v>
      </c>
      <c r="J2763">
        <v>154</v>
      </c>
    </row>
    <row r="2764" spans="1:10" x14ac:dyDescent="0.35">
      <c r="A2764">
        <v>6036000019814</v>
      </c>
      <c r="B2764" t="s">
        <v>3086</v>
      </c>
      <c r="C2764" t="s">
        <v>9</v>
      </c>
      <c r="D2764" t="s">
        <v>3087</v>
      </c>
      <c r="E2764" t="s">
        <v>41</v>
      </c>
      <c r="F2764" t="s">
        <v>3088</v>
      </c>
      <c r="G2764" t="s">
        <v>41</v>
      </c>
      <c r="H2764" t="s">
        <v>4872</v>
      </c>
      <c r="J2764">
        <v>274</v>
      </c>
    </row>
    <row r="2765" spans="1:10" x14ac:dyDescent="0.35">
      <c r="A2765">
        <v>6036000020452</v>
      </c>
      <c r="B2765" t="s">
        <v>3089</v>
      </c>
      <c r="C2765" t="s">
        <v>66</v>
      </c>
      <c r="D2765" t="s">
        <v>3090</v>
      </c>
      <c r="E2765" t="s">
        <v>41</v>
      </c>
      <c r="F2765" t="s">
        <v>3091</v>
      </c>
      <c r="G2765" t="s">
        <v>41</v>
      </c>
      <c r="H2765" t="s">
        <v>4873</v>
      </c>
      <c r="J2765">
        <v>87</v>
      </c>
    </row>
    <row r="2766" spans="1:10" x14ac:dyDescent="0.35">
      <c r="A2766">
        <v>6036000038921</v>
      </c>
      <c r="B2766" t="s">
        <v>3092</v>
      </c>
      <c r="C2766" t="s">
        <v>326</v>
      </c>
      <c r="D2766" t="s">
        <v>3093</v>
      </c>
      <c r="E2766" t="s">
        <v>41</v>
      </c>
      <c r="F2766" t="s">
        <v>3094</v>
      </c>
      <c r="G2766" t="s">
        <v>41</v>
      </c>
      <c r="H2766" t="s">
        <v>4874</v>
      </c>
      <c r="J2766">
        <v>11</v>
      </c>
    </row>
    <row r="2767" spans="1:10" x14ac:dyDescent="0.35">
      <c r="A2767">
        <v>6036000057342</v>
      </c>
      <c r="B2767" t="s">
        <v>3095</v>
      </c>
      <c r="C2767" t="s">
        <v>66</v>
      </c>
      <c r="D2767" t="s">
        <v>1380</v>
      </c>
      <c r="E2767" t="s">
        <v>22</v>
      </c>
      <c r="F2767" t="s">
        <v>1381</v>
      </c>
      <c r="G2767" t="s">
        <v>41</v>
      </c>
      <c r="H2767" t="s">
        <v>4683</v>
      </c>
      <c r="J2767">
        <v>504</v>
      </c>
    </row>
    <row r="2768" spans="1:10" x14ac:dyDescent="0.35">
      <c r="A2768">
        <v>6036000057366</v>
      </c>
      <c r="B2768" t="s">
        <v>3096</v>
      </c>
      <c r="C2768" t="s">
        <v>603</v>
      </c>
      <c r="D2768" t="s">
        <v>3097</v>
      </c>
      <c r="E2768" t="s">
        <v>22</v>
      </c>
      <c r="F2768" t="s">
        <v>1381</v>
      </c>
      <c r="G2768" t="s">
        <v>41</v>
      </c>
      <c r="H2768" t="s">
        <v>4683</v>
      </c>
      <c r="J2768">
        <v>1047</v>
      </c>
    </row>
    <row r="2769" spans="1:10" x14ac:dyDescent="0.35">
      <c r="A2769">
        <v>6036000063466</v>
      </c>
      <c r="B2769" t="s">
        <v>3098</v>
      </c>
      <c r="C2769" t="s">
        <v>617</v>
      </c>
      <c r="D2769" t="s">
        <v>3099</v>
      </c>
      <c r="E2769" t="s">
        <v>41</v>
      </c>
      <c r="F2769" t="s">
        <v>3100</v>
      </c>
      <c r="G2769" t="s">
        <v>41</v>
      </c>
      <c r="H2769" t="s">
        <v>4875</v>
      </c>
      <c r="J2769">
        <v>28</v>
      </c>
    </row>
    <row r="2770" spans="1:10" x14ac:dyDescent="0.35">
      <c r="A2770">
        <v>6036000063497</v>
      </c>
      <c r="B2770" t="s">
        <v>3098</v>
      </c>
      <c r="C2770" t="s">
        <v>3073</v>
      </c>
      <c r="D2770" t="s">
        <v>3099</v>
      </c>
      <c r="E2770" t="s">
        <v>41</v>
      </c>
      <c r="F2770" t="s">
        <v>3100</v>
      </c>
      <c r="G2770" t="s">
        <v>41</v>
      </c>
      <c r="H2770" t="s">
        <v>4875</v>
      </c>
      <c r="J2770">
        <v>12</v>
      </c>
    </row>
    <row r="2771" spans="1:10" x14ac:dyDescent="0.35">
      <c r="A2771">
        <v>6036000086700</v>
      </c>
      <c r="B2771" t="s">
        <v>485</v>
      </c>
      <c r="C2771" t="s">
        <v>472</v>
      </c>
      <c r="D2771" t="s">
        <v>3101</v>
      </c>
      <c r="E2771" t="s">
        <v>308</v>
      </c>
      <c r="F2771" t="s">
        <v>309</v>
      </c>
      <c r="G2771" t="s">
        <v>41</v>
      </c>
      <c r="H2771" t="s">
        <v>4529</v>
      </c>
      <c r="J2771">
        <v>53</v>
      </c>
    </row>
    <row r="2772" spans="1:10" x14ac:dyDescent="0.35">
      <c r="A2772">
        <v>6036000094316</v>
      </c>
      <c r="B2772" t="s">
        <v>3102</v>
      </c>
      <c r="C2772" t="s">
        <v>659</v>
      </c>
      <c r="D2772" t="s">
        <v>3103</v>
      </c>
      <c r="E2772" t="s">
        <v>308</v>
      </c>
      <c r="F2772" t="s">
        <v>309</v>
      </c>
      <c r="G2772" t="s">
        <v>41</v>
      </c>
      <c r="H2772" t="s">
        <v>4529</v>
      </c>
      <c r="J2772">
        <v>18</v>
      </c>
    </row>
    <row r="2773" spans="1:10" x14ac:dyDescent="0.35">
      <c r="A2773">
        <v>6036000143069</v>
      </c>
      <c r="B2773" t="s">
        <v>3104</v>
      </c>
      <c r="C2773" t="s">
        <v>3105</v>
      </c>
      <c r="D2773" t="s">
        <v>3104</v>
      </c>
      <c r="E2773" t="s">
        <v>308</v>
      </c>
      <c r="F2773" t="s">
        <v>309</v>
      </c>
      <c r="G2773" t="s">
        <v>41</v>
      </c>
      <c r="H2773" t="s">
        <v>4529</v>
      </c>
      <c r="J2773">
        <v>50</v>
      </c>
    </row>
    <row r="2774" spans="1:10" x14ac:dyDescent="0.35">
      <c r="A2774">
        <v>6036024852138</v>
      </c>
      <c r="B2774" t="s">
        <v>3106</v>
      </c>
      <c r="C2774" t="s">
        <v>617</v>
      </c>
      <c r="D2774" t="s">
        <v>3107</v>
      </c>
      <c r="E2774" t="s">
        <v>22</v>
      </c>
      <c r="F2774" t="s">
        <v>3108</v>
      </c>
      <c r="G2774" t="s">
        <v>41</v>
      </c>
      <c r="H2774" t="s">
        <v>4876</v>
      </c>
      <c r="J2774">
        <v>50</v>
      </c>
    </row>
    <row r="2775" spans="1:10" x14ac:dyDescent="0.35">
      <c r="A2775">
        <v>6044000013039</v>
      </c>
      <c r="B2775" t="s">
        <v>854</v>
      </c>
      <c r="C2775" t="s">
        <v>603</v>
      </c>
      <c r="D2775" t="s">
        <v>3109</v>
      </c>
      <c r="E2775" t="s">
        <v>117</v>
      </c>
      <c r="F2775" t="s">
        <v>3110</v>
      </c>
      <c r="G2775" t="s">
        <v>117</v>
      </c>
      <c r="H2775" t="s">
        <v>4877</v>
      </c>
      <c r="J2775">
        <v>1</v>
      </c>
    </row>
    <row r="2776" spans="1:10" x14ac:dyDescent="0.35">
      <c r="A2776">
        <v>6044000013121</v>
      </c>
      <c r="B2776" t="s">
        <v>295</v>
      </c>
      <c r="C2776" t="s">
        <v>603</v>
      </c>
      <c r="D2776" t="s">
        <v>3111</v>
      </c>
      <c r="E2776" t="s">
        <v>117</v>
      </c>
      <c r="F2776" t="s">
        <v>3110</v>
      </c>
      <c r="G2776" t="s">
        <v>117</v>
      </c>
      <c r="H2776" t="s">
        <v>4877</v>
      </c>
      <c r="J2776">
        <v>2</v>
      </c>
    </row>
    <row r="2777" spans="1:10" x14ac:dyDescent="0.35">
      <c r="A2777">
        <v>6044000013169</v>
      </c>
      <c r="B2777" t="s">
        <v>668</v>
      </c>
      <c r="C2777" t="s">
        <v>83</v>
      </c>
      <c r="D2777" t="s">
        <v>3109</v>
      </c>
      <c r="E2777" t="s">
        <v>117</v>
      </c>
      <c r="F2777" t="s">
        <v>3110</v>
      </c>
      <c r="G2777" t="s">
        <v>117</v>
      </c>
      <c r="H2777" t="s">
        <v>4877</v>
      </c>
      <c r="J2777">
        <v>2</v>
      </c>
    </row>
    <row r="2778" spans="1:10" x14ac:dyDescent="0.35">
      <c r="A2778">
        <v>6044000013176</v>
      </c>
      <c r="B2778" t="s">
        <v>581</v>
      </c>
      <c r="C2778" t="s">
        <v>806</v>
      </c>
      <c r="D2778" t="s">
        <v>3109</v>
      </c>
      <c r="E2778" t="s">
        <v>117</v>
      </c>
      <c r="F2778" t="s">
        <v>3110</v>
      </c>
      <c r="G2778" t="s">
        <v>117</v>
      </c>
      <c r="H2778" t="s">
        <v>4877</v>
      </c>
      <c r="J2778">
        <v>32</v>
      </c>
    </row>
    <row r="2779" spans="1:10" x14ac:dyDescent="0.35">
      <c r="A2779">
        <v>6044000013190</v>
      </c>
      <c r="B2779" t="s">
        <v>581</v>
      </c>
      <c r="C2779" t="s">
        <v>83</v>
      </c>
      <c r="D2779" t="s">
        <v>3109</v>
      </c>
      <c r="E2779" t="s">
        <v>117</v>
      </c>
      <c r="F2779" t="s">
        <v>3110</v>
      </c>
      <c r="G2779" t="s">
        <v>117</v>
      </c>
      <c r="H2779" t="s">
        <v>4877</v>
      </c>
      <c r="J2779">
        <v>17</v>
      </c>
    </row>
    <row r="2780" spans="1:10" x14ac:dyDescent="0.35">
      <c r="A2780">
        <v>6044000013206</v>
      </c>
      <c r="B2780" t="s">
        <v>3112</v>
      </c>
      <c r="C2780" t="s">
        <v>806</v>
      </c>
      <c r="D2780" t="s">
        <v>3109</v>
      </c>
      <c r="E2780" t="s">
        <v>117</v>
      </c>
      <c r="F2780" t="s">
        <v>3110</v>
      </c>
      <c r="G2780" t="s">
        <v>117</v>
      </c>
      <c r="H2780" t="s">
        <v>4877</v>
      </c>
      <c r="J2780">
        <v>1</v>
      </c>
    </row>
    <row r="2781" spans="1:10" x14ac:dyDescent="0.35">
      <c r="A2781">
        <v>6044000013244</v>
      </c>
      <c r="B2781" t="s">
        <v>295</v>
      </c>
      <c r="C2781" t="s">
        <v>806</v>
      </c>
      <c r="D2781" t="s">
        <v>3111</v>
      </c>
      <c r="E2781" t="s">
        <v>117</v>
      </c>
      <c r="F2781" t="s">
        <v>3110</v>
      </c>
      <c r="G2781" t="s">
        <v>117</v>
      </c>
      <c r="H2781" t="s">
        <v>4877</v>
      </c>
      <c r="J2781">
        <v>5</v>
      </c>
    </row>
    <row r="2782" spans="1:10" x14ac:dyDescent="0.35">
      <c r="A2782">
        <v>6044000013688</v>
      </c>
      <c r="B2782" t="s">
        <v>3113</v>
      </c>
      <c r="C2782" t="s">
        <v>3114</v>
      </c>
      <c r="D2782" t="s">
        <v>3115</v>
      </c>
      <c r="E2782" t="s">
        <v>117</v>
      </c>
      <c r="F2782" t="s">
        <v>3116</v>
      </c>
      <c r="G2782" t="s">
        <v>117</v>
      </c>
      <c r="H2782" t="s">
        <v>4878</v>
      </c>
      <c r="J2782">
        <v>19</v>
      </c>
    </row>
    <row r="2783" spans="1:10" x14ac:dyDescent="0.35">
      <c r="A2783">
        <v>6046000006806</v>
      </c>
      <c r="B2783" t="s">
        <v>3117</v>
      </c>
      <c r="C2783" t="s">
        <v>545</v>
      </c>
      <c r="D2783" t="s">
        <v>3115</v>
      </c>
      <c r="E2783" t="s">
        <v>117</v>
      </c>
      <c r="F2783" t="s">
        <v>3116</v>
      </c>
      <c r="G2783" t="s">
        <v>117</v>
      </c>
      <c r="H2783" t="s">
        <v>4878</v>
      </c>
      <c r="J2783">
        <v>7</v>
      </c>
    </row>
    <row r="2784" spans="1:10" x14ac:dyDescent="0.35">
      <c r="A2784">
        <v>6046000006868</v>
      </c>
      <c r="B2784" t="s">
        <v>1063</v>
      </c>
      <c r="C2784" t="s">
        <v>801</v>
      </c>
      <c r="D2784" t="s">
        <v>3115</v>
      </c>
      <c r="E2784" t="s">
        <v>117</v>
      </c>
      <c r="F2784" t="s">
        <v>3116</v>
      </c>
      <c r="G2784" t="s">
        <v>117</v>
      </c>
      <c r="H2784" t="s">
        <v>4878</v>
      </c>
      <c r="J2784">
        <v>32</v>
      </c>
    </row>
    <row r="2785" spans="1:10" x14ac:dyDescent="0.35">
      <c r="A2785">
        <v>6046000006875</v>
      </c>
      <c r="B2785" t="s">
        <v>3118</v>
      </c>
      <c r="C2785" t="s">
        <v>38</v>
      </c>
      <c r="D2785" t="s">
        <v>3115</v>
      </c>
      <c r="E2785" t="s">
        <v>117</v>
      </c>
      <c r="F2785" t="s">
        <v>3116</v>
      </c>
      <c r="G2785" t="s">
        <v>117</v>
      </c>
      <c r="H2785" t="s">
        <v>4878</v>
      </c>
      <c r="J2785">
        <v>9</v>
      </c>
    </row>
    <row r="2786" spans="1:10" x14ac:dyDescent="0.35">
      <c r="A2786">
        <v>6046000006882</v>
      </c>
      <c r="B2786" t="s">
        <v>3119</v>
      </c>
      <c r="C2786" t="s">
        <v>909</v>
      </c>
      <c r="D2786" t="s">
        <v>3115</v>
      </c>
      <c r="E2786" t="s">
        <v>117</v>
      </c>
      <c r="F2786" t="s">
        <v>3116</v>
      </c>
      <c r="G2786" t="s">
        <v>117</v>
      </c>
      <c r="H2786" t="s">
        <v>4878</v>
      </c>
      <c r="J2786">
        <v>3</v>
      </c>
    </row>
    <row r="2787" spans="1:10" x14ac:dyDescent="0.35">
      <c r="A2787">
        <v>605388881243</v>
      </c>
      <c r="B2787" t="s">
        <v>212</v>
      </c>
      <c r="C2787" t="s">
        <v>9</v>
      </c>
      <c r="D2787" t="s">
        <v>573</v>
      </c>
      <c r="E2787" t="s">
        <v>15</v>
      </c>
      <c r="F2787" t="s">
        <v>574</v>
      </c>
      <c r="G2787" t="s">
        <v>16</v>
      </c>
      <c r="H2787" t="s">
        <v>4562</v>
      </c>
      <c r="J2787">
        <v>38</v>
      </c>
    </row>
    <row r="2788" spans="1:10" x14ac:dyDescent="0.35">
      <c r="A2788">
        <v>606110410663</v>
      </c>
      <c r="B2788" t="s">
        <v>790</v>
      </c>
      <c r="C2788" t="s">
        <v>9</v>
      </c>
      <c r="D2788" t="s">
        <v>115</v>
      </c>
      <c r="E2788" t="s">
        <v>34</v>
      </c>
      <c r="F2788" t="s">
        <v>116</v>
      </c>
      <c r="G2788" t="s">
        <v>34</v>
      </c>
      <c r="H2788" t="s">
        <v>4509</v>
      </c>
      <c r="J2788">
        <v>26</v>
      </c>
    </row>
    <row r="2789" spans="1:10" x14ac:dyDescent="0.35">
      <c r="A2789">
        <v>60820211</v>
      </c>
      <c r="B2789" t="s">
        <v>3120</v>
      </c>
      <c r="C2789" t="s">
        <v>603</v>
      </c>
      <c r="D2789" t="s">
        <v>600</v>
      </c>
      <c r="E2789" t="s">
        <v>387</v>
      </c>
      <c r="F2789" t="s">
        <v>601</v>
      </c>
      <c r="G2789" t="s">
        <v>387</v>
      </c>
      <c r="H2789" t="s">
        <v>4567</v>
      </c>
      <c r="J2789">
        <v>1</v>
      </c>
    </row>
    <row r="2790" spans="1:10" x14ac:dyDescent="0.35">
      <c r="A2790">
        <v>6103011160368</v>
      </c>
      <c r="B2790" t="s">
        <v>3121</v>
      </c>
      <c r="C2790" t="s">
        <v>447</v>
      </c>
      <c r="D2790" t="s">
        <v>1069</v>
      </c>
      <c r="E2790" t="s">
        <v>61</v>
      </c>
      <c r="F2790" t="s">
        <v>1070</v>
      </c>
      <c r="G2790" t="s">
        <v>61</v>
      </c>
      <c r="H2790" t="s">
        <v>4644</v>
      </c>
      <c r="J2790">
        <v>44</v>
      </c>
    </row>
    <row r="2791" spans="1:10" x14ac:dyDescent="0.35">
      <c r="A2791">
        <v>6103018220713</v>
      </c>
      <c r="B2791" t="s">
        <v>82</v>
      </c>
      <c r="C2791" t="s">
        <v>83</v>
      </c>
      <c r="D2791" t="s">
        <v>84</v>
      </c>
      <c r="E2791" t="s">
        <v>61</v>
      </c>
      <c r="F2791" t="s">
        <v>85</v>
      </c>
      <c r="G2791" t="s">
        <v>61</v>
      </c>
      <c r="H2791" t="s">
        <v>4503</v>
      </c>
      <c r="J2791">
        <v>1</v>
      </c>
    </row>
    <row r="2792" spans="1:10" x14ac:dyDescent="0.35">
      <c r="A2792">
        <v>6104007216281</v>
      </c>
      <c r="B2792" t="s">
        <v>3122</v>
      </c>
      <c r="C2792" t="s">
        <v>3123</v>
      </c>
      <c r="D2792" t="s">
        <v>3124</v>
      </c>
      <c r="E2792" t="s">
        <v>308</v>
      </c>
      <c r="F2792" t="s">
        <v>309</v>
      </c>
      <c r="G2792" t="s">
        <v>31</v>
      </c>
      <c r="H2792" t="s">
        <v>4529</v>
      </c>
      <c r="J2792">
        <v>5</v>
      </c>
    </row>
    <row r="2793" spans="1:10" x14ac:dyDescent="0.35">
      <c r="A2793">
        <v>6106000000911</v>
      </c>
      <c r="B2793" t="s">
        <v>581</v>
      </c>
      <c r="C2793" t="s">
        <v>192</v>
      </c>
      <c r="D2793" t="s">
        <v>3125</v>
      </c>
      <c r="E2793" t="s">
        <v>15</v>
      </c>
      <c r="F2793" t="s">
        <v>14</v>
      </c>
      <c r="G2793" t="s">
        <v>117</v>
      </c>
      <c r="H2793" t="s">
        <v>4489</v>
      </c>
      <c r="J2793">
        <v>3</v>
      </c>
    </row>
    <row r="2794" spans="1:10" x14ac:dyDescent="0.35">
      <c r="A2794">
        <v>6106000000942</v>
      </c>
      <c r="B2794" t="s">
        <v>581</v>
      </c>
      <c r="C2794" t="s">
        <v>38</v>
      </c>
      <c r="D2794" t="s">
        <v>3125</v>
      </c>
      <c r="E2794" t="s">
        <v>15</v>
      </c>
      <c r="F2794" t="s">
        <v>14</v>
      </c>
      <c r="G2794" t="s">
        <v>117</v>
      </c>
      <c r="H2794" t="s">
        <v>4489</v>
      </c>
      <c r="J2794">
        <v>11</v>
      </c>
    </row>
    <row r="2795" spans="1:10" x14ac:dyDescent="0.35">
      <c r="A2795">
        <v>6108145002027</v>
      </c>
      <c r="B2795" t="s">
        <v>3126</v>
      </c>
      <c r="C2795" t="s">
        <v>663</v>
      </c>
      <c r="D2795" t="s">
        <v>2324</v>
      </c>
      <c r="E2795" t="s">
        <v>41</v>
      </c>
      <c r="F2795" t="s">
        <v>2325</v>
      </c>
      <c r="G2795" t="s">
        <v>41</v>
      </c>
      <c r="H2795" t="s">
        <v>4791</v>
      </c>
      <c r="J2795">
        <v>10</v>
      </c>
    </row>
    <row r="2796" spans="1:10" x14ac:dyDescent="0.35">
      <c r="A2796">
        <v>613008754761</v>
      </c>
      <c r="B2796" t="s">
        <v>3127</v>
      </c>
      <c r="C2796" t="s">
        <v>801</v>
      </c>
      <c r="D2796" t="s">
        <v>619</v>
      </c>
      <c r="E2796" t="s">
        <v>15</v>
      </c>
      <c r="F2796" t="s">
        <v>620</v>
      </c>
      <c r="G2796" t="s">
        <v>16</v>
      </c>
      <c r="H2796" t="s">
        <v>4569</v>
      </c>
      <c r="J2796">
        <v>1</v>
      </c>
    </row>
    <row r="2797" spans="1:10" x14ac:dyDescent="0.35">
      <c r="A2797">
        <v>6130234001161</v>
      </c>
      <c r="B2797" t="s">
        <v>262</v>
      </c>
      <c r="C2797" t="s">
        <v>545</v>
      </c>
      <c r="D2797" t="s">
        <v>3128</v>
      </c>
      <c r="E2797" t="s">
        <v>3129</v>
      </c>
      <c r="F2797" t="s">
        <v>3130</v>
      </c>
      <c r="G2797" t="s">
        <v>3129</v>
      </c>
      <c r="H2797" t="s">
        <v>4879</v>
      </c>
      <c r="J2797">
        <v>1</v>
      </c>
    </row>
    <row r="2798" spans="1:10" x14ac:dyDescent="0.35">
      <c r="A2798">
        <v>6131010523600</v>
      </c>
      <c r="B2798" t="s">
        <v>8</v>
      </c>
      <c r="C2798" t="s">
        <v>9</v>
      </c>
      <c r="D2798" t="s">
        <v>3067</v>
      </c>
      <c r="E2798" t="s">
        <v>41</v>
      </c>
      <c r="F2798" t="s">
        <v>456</v>
      </c>
      <c r="G2798" t="s">
        <v>41</v>
      </c>
      <c r="H2798" t="s">
        <v>4553</v>
      </c>
      <c r="J2798">
        <v>3</v>
      </c>
    </row>
    <row r="2799" spans="1:10" x14ac:dyDescent="0.35">
      <c r="A2799">
        <v>6132173241004</v>
      </c>
      <c r="B2799" t="s">
        <v>709</v>
      </c>
      <c r="C2799" t="s">
        <v>9</v>
      </c>
      <c r="D2799" t="s">
        <v>14</v>
      </c>
      <c r="E2799" t="s">
        <v>15</v>
      </c>
      <c r="F2799" t="s">
        <v>14</v>
      </c>
      <c r="G2799" t="s">
        <v>20</v>
      </c>
      <c r="H2799" t="s">
        <v>4489</v>
      </c>
      <c r="J2799">
        <v>1</v>
      </c>
    </row>
    <row r="2800" spans="1:10" x14ac:dyDescent="0.35">
      <c r="A2800">
        <v>6151100150226</v>
      </c>
      <c r="B2800" t="s">
        <v>668</v>
      </c>
      <c r="C2800" t="s">
        <v>114</v>
      </c>
      <c r="D2800" t="s">
        <v>273</v>
      </c>
      <c r="E2800" t="s">
        <v>15</v>
      </c>
      <c r="F2800" t="s">
        <v>56</v>
      </c>
      <c r="G2800" t="s">
        <v>598</v>
      </c>
      <c r="H2800" t="s">
        <v>4497</v>
      </c>
      <c r="J2800">
        <v>13</v>
      </c>
    </row>
    <row r="2801" spans="1:10" x14ac:dyDescent="0.35">
      <c r="A2801">
        <v>6151100151070</v>
      </c>
      <c r="B2801" t="s">
        <v>295</v>
      </c>
      <c r="C2801" t="s">
        <v>38</v>
      </c>
      <c r="D2801" t="s">
        <v>3131</v>
      </c>
      <c r="E2801" t="s">
        <v>598</v>
      </c>
      <c r="F2801" t="s">
        <v>2977</v>
      </c>
      <c r="G2801" t="s">
        <v>598</v>
      </c>
      <c r="H2801" t="s">
        <v>4864</v>
      </c>
      <c r="J2801">
        <v>2</v>
      </c>
    </row>
    <row r="2802" spans="1:10" x14ac:dyDescent="0.35">
      <c r="A2802">
        <v>6154000050078</v>
      </c>
      <c r="B2802" t="s">
        <v>3132</v>
      </c>
      <c r="C2802" t="s">
        <v>94</v>
      </c>
      <c r="D2802" t="s">
        <v>2914</v>
      </c>
      <c r="E2802" t="s">
        <v>2227</v>
      </c>
      <c r="F2802" t="s">
        <v>2532</v>
      </c>
      <c r="G2802" t="s">
        <v>41</v>
      </c>
      <c r="H2802" t="s">
        <v>4810</v>
      </c>
      <c r="J2802">
        <v>50</v>
      </c>
    </row>
    <row r="2803" spans="1:10" x14ac:dyDescent="0.35">
      <c r="A2803">
        <v>6154000050115</v>
      </c>
      <c r="B2803" t="s">
        <v>3133</v>
      </c>
      <c r="C2803" t="s">
        <v>94</v>
      </c>
      <c r="D2803" t="s">
        <v>2914</v>
      </c>
      <c r="E2803" t="s">
        <v>2227</v>
      </c>
      <c r="F2803" t="s">
        <v>2532</v>
      </c>
      <c r="G2803" t="s">
        <v>41</v>
      </c>
      <c r="H2803" t="s">
        <v>4810</v>
      </c>
      <c r="J2803">
        <v>100</v>
      </c>
    </row>
    <row r="2804" spans="1:10" x14ac:dyDescent="0.35">
      <c r="A2804">
        <v>6154000057268</v>
      </c>
      <c r="B2804" t="s">
        <v>3010</v>
      </c>
      <c r="C2804" t="s">
        <v>603</v>
      </c>
      <c r="D2804" t="s">
        <v>3010</v>
      </c>
      <c r="E2804" t="s">
        <v>816</v>
      </c>
      <c r="F2804" t="s">
        <v>817</v>
      </c>
      <c r="G2804" t="s">
        <v>41</v>
      </c>
      <c r="H2804" t="s">
        <v>4598</v>
      </c>
      <c r="J2804">
        <v>518</v>
      </c>
    </row>
    <row r="2805" spans="1:10" x14ac:dyDescent="0.35">
      <c r="A2805">
        <v>6154000082079</v>
      </c>
      <c r="B2805" t="s">
        <v>3134</v>
      </c>
      <c r="C2805" t="s">
        <v>472</v>
      </c>
      <c r="D2805" t="s">
        <v>14</v>
      </c>
      <c r="E2805" t="s">
        <v>15</v>
      </c>
      <c r="F2805" t="s">
        <v>14</v>
      </c>
      <c r="G2805" t="s">
        <v>598</v>
      </c>
      <c r="H2805" t="s">
        <v>4489</v>
      </c>
      <c r="J2805">
        <v>1</v>
      </c>
    </row>
    <row r="2806" spans="1:10" x14ac:dyDescent="0.35">
      <c r="A2806">
        <v>6156000233710</v>
      </c>
      <c r="B2806" t="s">
        <v>3135</v>
      </c>
      <c r="C2806" t="s">
        <v>1773</v>
      </c>
      <c r="D2806" t="s">
        <v>14</v>
      </c>
      <c r="E2806" t="s">
        <v>15</v>
      </c>
      <c r="F2806" t="s">
        <v>14</v>
      </c>
      <c r="G2806" t="s">
        <v>598</v>
      </c>
      <c r="H2806" t="s">
        <v>4489</v>
      </c>
      <c r="J2806">
        <v>2</v>
      </c>
    </row>
    <row r="2807" spans="1:10" x14ac:dyDescent="0.35">
      <c r="A2807">
        <v>6156000233888</v>
      </c>
      <c r="B2807" t="s">
        <v>668</v>
      </c>
      <c r="C2807" t="s">
        <v>9</v>
      </c>
      <c r="D2807" t="s">
        <v>3136</v>
      </c>
      <c r="E2807" t="s">
        <v>1201</v>
      </c>
      <c r="F2807" t="s">
        <v>3137</v>
      </c>
      <c r="G2807" t="s">
        <v>598</v>
      </c>
      <c r="H2807" t="s">
        <v>4880</v>
      </c>
      <c r="J2807">
        <v>1</v>
      </c>
    </row>
    <row r="2808" spans="1:10" x14ac:dyDescent="0.35">
      <c r="A2808">
        <v>6156000261812</v>
      </c>
      <c r="B2808" t="s">
        <v>3138</v>
      </c>
      <c r="C2808" t="s">
        <v>9</v>
      </c>
      <c r="D2808" t="s">
        <v>3139</v>
      </c>
      <c r="E2808" t="s">
        <v>598</v>
      </c>
      <c r="F2808" t="s">
        <v>3140</v>
      </c>
      <c r="G2808" t="s">
        <v>41</v>
      </c>
      <c r="H2808" t="s">
        <v>4881</v>
      </c>
      <c r="J2808">
        <v>35</v>
      </c>
    </row>
    <row r="2809" spans="1:10" x14ac:dyDescent="0.35">
      <c r="A2809">
        <v>6156000264042</v>
      </c>
      <c r="B2809" t="s">
        <v>974</v>
      </c>
      <c r="C2809" t="s">
        <v>326</v>
      </c>
      <c r="D2809" t="s">
        <v>3141</v>
      </c>
      <c r="E2809" t="s">
        <v>598</v>
      </c>
      <c r="F2809" t="s">
        <v>3140</v>
      </c>
      <c r="G2809" t="s">
        <v>598</v>
      </c>
      <c r="H2809" t="s">
        <v>4881</v>
      </c>
      <c r="J2809">
        <v>58</v>
      </c>
    </row>
    <row r="2810" spans="1:10" x14ac:dyDescent="0.35">
      <c r="A2810">
        <v>616000903014</v>
      </c>
      <c r="B2810" t="s">
        <v>852</v>
      </c>
      <c r="C2810" t="s">
        <v>81</v>
      </c>
      <c r="D2810" t="s">
        <v>3142</v>
      </c>
      <c r="E2810" t="s">
        <v>31</v>
      </c>
      <c r="F2810" t="s">
        <v>3143</v>
      </c>
      <c r="G2810" t="s">
        <v>31</v>
      </c>
      <c r="H2810" t="s">
        <v>4882</v>
      </c>
      <c r="J2810">
        <v>8</v>
      </c>
    </row>
    <row r="2811" spans="1:10" x14ac:dyDescent="0.35">
      <c r="A2811">
        <v>6160212800141</v>
      </c>
      <c r="B2811" t="s">
        <v>3144</v>
      </c>
      <c r="C2811" t="s">
        <v>458</v>
      </c>
      <c r="D2811" t="s">
        <v>3145</v>
      </c>
      <c r="E2811" t="s">
        <v>308</v>
      </c>
      <c r="F2811" t="s">
        <v>309</v>
      </c>
      <c r="G2811" t="s">
        <v>41</v>
      </c>
      <c r="H2811" t="s">
        <v>4529</v>
      </c>
      <c r="J2811">
        <v>40</v>
      </c>
    </row>
    <row r="2812" spans="1:10" x14ac:dyDescent="0.35">
      <c r="A2812">
        <v>6161100042216</v>
      </c>
      <c r="B2812" t="s">
        <v>3146</v>
      </c>
      <c r="C2812" t="s">
        <v>66</v>
      </c>
      <c r="D2812" t="s">
        <v>3147</v>
      </c>
      <c r="E2812" t="s">
        <v>11</v>
      </c>
      <c r="F2812" t="s">
        <v>3148</v>
      </c>
      <c r="G2812" t="s">
        <v>150</v>
      </c>
      <c r="H2812" t="s">
        <v>4883</v>
      </c>
      <c r="J2812">
        <v>78</v>
      </c>
    </row>
    <row r="2813" spans="1:10" x14ac:dyDescent="0.35">
      <c r="A2813">
        <v>6161100042223</v>
      </c>
      <c r="B2813" t="s">
        <v>3149</v>
      </c>
      <c r="C2813" t="s">
        <v>431</v>
      </c>
      <c r="D2813" t="s">
        <v>3147</v>
      </c>
      <c r="E2813" t="s">
        <v>11</v>
      </c>
      <c r="F2813" t="s">
        <v>3148</v>
      </c>
      <c r="G2813" t="s">
        <v>150</v>
      </c>
      <c r="H2813" t="s">
        <v>4883</v>
      </c>
      <c r="J2813">
        <v>18</v>
      </c>
    </row>
    <row r="2814" spans="1:10" x14ac:dyDescent="0.35">
      <c r="A2814">
        <v>6161100042865</v>
      </c>
      <c r="B2814" t="s">
        <v>3147</v>
      </c>
      <c r="C2814" t="s">
        <v>102</v>
      </c>
      <c r="D2814" t="s">
        <v>3147</v>
      </c>
      <c r="E2814" t="s">
        <v>11</v>
      </c>
      <c r="F2814" t="s">
        <v>3148</v>
      </c>
      <c r="G2814" t="s">
        <v>150</v>
      </c>
      <c r="H2814" t="s">
        <v>4883</v>
      </c>
      <c r="J2814">
        <v>5</v>
      </c>
    </row>
    <row r="2815" spans="1:10" x14ac:dyDescent="0.35">
      <c r="A2815">
        <v>6161100043664</v>
      </c>
      <c r="B2815" t="s">
        <v>3150</v>
      </c>
      <c r="C2815" t="s">
        <v>83</v>
      </c>
      <c r="D2815" t="s">
        <v>3151</v>
      </c>
      <c r="E2815" t="s">
        <v>11</v>
      </c>
      <c r="F2815" t="s">
        <v>3148</v>
      </c>
      <c r="G2815" t="s">
        <v>150</v>
      </c>
      <c r="H2815" t="s">
        <v>4883</v>
      </c>
      <c r="J2815">
        <v>4</v>
      </c>
    </row>
    <row r="2816" spans="1:10" x14ac:dyDescent="0.35">
      <c r="A2816">
        <v>6161100043671</v>
      </c>
      <c r="B2816" t="s">
        <v>3152</v>
      </c>
      <c r="C2816" t="s">
        <v>83</v>
      </c>
      <c r="D2816" t="s">
        <v>3151</v>
      </c>
      <c r="E2816" t="s">
        <v>11</v>
      </c>
      <c r="F2816" t="s">
        <v>3148</v>
      </c>
      <c r="G2816" t="s">
        <v>150</v>
      </c>
      <c r="H2816" t="s">
        <v>4883</v>
      </c>
      <c r="J2816">
        <v>3</v>
      </c>
    </row>
    <row r="2817" spans="1:10" x14ac:dyDescent="0.35">
      <c r="A2817">
        <v>6161100044234</v>
      </c>
      <c r="B2817" t="s">
        <v>3153</v>
      </c>
      <c r="C2817" t="s">
        <v>758</v>
      </c>
      <c r="D2817" t="s">
        <v>3151</v>
      </c>
      <c r="E2817" t="s">
        <v>11</v>
      </c>
      <c r="F2817" t="s">
        <v>3148</v>
      </c>
      <c r="G2817" t="s">
        <v>11</v>
      </c>
      <c r="H2817" t="s">
        <v>4883</v>
      </c>
      <c r="J2817">
        <v>18</v>
      </c>
    </row>
    <row r="2818" spans="1:10" x14ac:dyDescent="0.35">
      <c r="A2818">
        <v>6161100045248</v>
      </c>
      <c r="B2818" t="s">
        <v>3152</v>
      </c>
      <c r="C2818" t="s">
        <v>83</v>
      </c>
      <c r="D2818" t="s">
        <v>3151</v>
      </c>
      <c r="E2818" t="s">
        <v>11</v>
      </c>
      <c r="F2818" t="s">
        <v>3148</v>
      </c>
      <c r="G2818" t="s">
        <v>150</v>
      </c>
      <c r="H2818" t="s">
        <v>4883</v>
      </c>
      <c r="J2818">
        <v>1</v>
      </c>
    </row>
    <row r="2819" spans="1:10" x14ac:dyDescent="0.35">
      <c r="A2819">
        <v>6161100047983</v>
      </c>
      <c r="B2819" t="s">
        <v>3154</v>
      </c>
      <c r="C2819" t="s">
        <v>9</v>
      </c>
      <c r="D2819" t="s">
        <v>3155</v>
      </c>
      <c r="E2819" t="s">
        <v>11</v>
      </c>
      <c r="F2819" t="s">
        <v>3148</v>
      </c>
      <c r="G2819" t="s">
        <v>150</v>
      </c>
      <c r="H2819" t="s">
        <v>4883</v>
      </c>
      <c r="J2819">
        <v>45</v>
      </c>
    </row>
    <row r="2820" spans="1:10" x14ac:dyDescent="0.35">
      <c r="A2820">
        <v>6161100049314</v>
      </c>
      <c r="B2820" t="s">
        <v>3156</v>
      </c>
      <c r="C2820" t="s">
        <v>94</v>
      </c>
      <c r="D2820" t="s">
        <v>3147</v>
      </c>
      <c r="E2820" t="s">
        <v>11</v>
      </c>
      <c r="F2820" t="s">
        <v>3148</v>
      </c>
      <c r="G2820" t="s">
        <v>150</v>
      </c>
      <c r="H2820" t="s">
        <v>4883</v>
      </c>
      <c r="J2820">
        <v>9</v>
      </c>
    </row>
    <row r="2821" spans="1:10" x14ac:dyDescent="0.35">
      <c r="A2821">
        <v>6161100049512</v>
      </c>
      <c r="B2821" t="s">
        <v>3157</v>
      </c>
      <c r="C2821" t="s">
        <v>9</v>
      </c>
      <c r="D2821" t="s">
        <v>3155</v>
      </c>
      <c r="E2821" t="s">
        <v>11</v>
      </c>
      <c r="F2821" t="s">
        <v>3148</v>
      </c>
      <c r="G2821" t="s">
        <v>150</v>
      </c>
      <c r="H2821" t="s">
        <v>4883</v>
      </c>
      <c r="J2821">
        <v>9</v>
      </c>
    </row>
    <row r="2822" spans="1:10" x14ac:dyDescent="0.35">
      <c r="A2822">
        <v>6161100460393</v>
      </c>
      <c r="B2822" t="s">
        <v>857</v>
      </c>
      <c r="C2822" t="s">
        <v>272</v>
      </c>
      <c r="D2822" t="s">
        <v>3158</v>
      </c>
      <c r="E2822" t="s">
        <v>11</v>
      </c>
      <c r="F2822" t="s">
        <v>3159</v>
      </c>
      <c r="G2822" t="s">
        <v>11</v>
      </c>
      <c r="H2822" t="s">
        <v>4884</v>
      </c>
      <c r="J2822">
        <v>3</v>
      </c>
    </row>
    <row r="2823" spans="1:10" x14ac:dyDescent="0.35">
      <c r="A2823">
        <v>6161100460768</v>
      </c>
      <c r="B2823" t="s">
        <v>857</v>
      </c>
      <c r="C2823" t="s">
        <v>9</v>
      </c>
      <c r="D2823" t="s">
        <v>3158</v>
      </c>
      <c r="E2823" t="s">
        <v>11</v>
      </c>
      <c r="F2823" t="s">
        <v>3159</v>
      </c>
      <c r="G2823" t="s">
        <v>11</v>
      </c>
      <c r="H2823" t="s">
        <v>4884</v>
      </c>
      <c r="J2823">
        <v>7</v>
      </c>
    </row>
    <row r="2824" spans="1:10" x14ac:dyDescent="0.35">
      <c r="A2824">
        <v>6161100460980</v>
      </c>
      <c r="B2824" t="s">
        <v>3160</v>
      </c>
      <c r="C2824" t="s">
        <v>9</v>
      </c>
      <c r="D2824" t="s">
        <v>3161</v>
      </c>
      <c r="E2824" t="s">
        <v>11</v>
      </c>
      <c r="F2824" t="s">
        <v>3159</v>
      </c>
      <c r="G2824" t="s">
        <v>11</v>
      </c>
      <c r="H2824" t="s">
        <v>4884</v>
      </c>
      <c r="J2824">
        <v>17</v>
      </c>
    </row>
    <row r="2825" spans="1:10" x14ac:dyDescent="0.35">
      <c r="A2825">
        <v>6161100461307</v>
      </c>
      <c r="B2825" t="s">
        <v>3162</v>
      </c>
      <c r="C2825" t="s">
        <v>272</v>
      </c>
      <c r="D2825" t="s">
        <v>3161</v>
      </c>
      <c r="E2825" t="s">
        <v>11</v>
      </c>
      <c r="F2825" t="s">
        <v>3159</v>
      </c>
      <c r="G2825" t="s">
        <v>11</v>
      </c>
      <c r="H2825" t="s">
        <v>4884</v>
      </c>
      <c r="J2825">
        <v>37</v>
      </c>
    </row>
    <row r="2826" spans="1:10" x14ac:dyDescent="0.35">
      <c r="A2826">
        <v>6161100602267</v>
      </c>
      <c r="B2826" t="s">
        <v>3163</v>
      </c>
      <c r="C2826" t="s">
        <v>69</v>
      </c>
      <c r="D2826" t="s">
        <v>3063</v>
      </c>
      <c r="E2826" t="s">
        <v>1201</v>
      </c>
      <c r="F2826" t="s">
        <v>1465</v>
      </c>
      <c r="G2826" t="s">
        <v>150</v>
      </c>
      <c r="H2826" t="s">
        <v>4690</v>
      </c>
      <c r="J2826">
        <v>31</v>
      </c>
    </row>
    <row r="2827" spans="1:10" x14ac:dyDescent="0.35">
      <c r="A2827">
        <v>6161100604063</v>
      </c>
      <c r="B2827" t="s">
        <v>3164</v>
      </c>
      <c r="C2827" t="s">
        <v>43</v>
      </c>
      <c r="D2827" t="s">
        <v>2119</v>
      </c>
      <c r="E2827" t="s">
        <v>22</v>
      </c>
      <c r="F2827" t="s">
        <v>361</v>
      </c>
      <c r="G2827" t="s">
        <v>150</v>
      </c>
      <c r="H2827" t="s">
        <v>4539</v>
      </c>
      <c r="J2827">
        <v>167</v>
      </c>
    </row>
    <row r="2828" spans="1:10" x14ac:dyDescent="0.35">
      <c r="A2828">
        <v>6161100604063</v>
      </c>
      <c r="B2828" t="s">
        <v>3164</v>
      </c>
      <c r="C2828" t="s">
        <v>43</v>
      </c>
      <c r="D2828" t="s">
        <v>2119</v>
      </c>
      <c r="E2828" t="s">
        <v>22</v>
      </c>
      <c r="F2828" t="s">
        <v>361</v>
      </c>
      <c r="G2828" t="s">
        <v>61</v>
      </c>
      <c r="H2828" t="s">
        <v>4539</v>
      </c>
      <c r="J2828">
        <v>2</v>
      </c>
    </row>
    <row r="2829" spans="1:10" x14ac:dyDescent="0.35">
      <c r="A2829">
        <v>6161100604155</v>
      </c>
      <c r="B2829" t="s">
        <v>3165</v>
      </c>
      <c r="C2829" t="s">
        <v>43</v>
      </c>
      <c r="D2829" t="s">
        <v>3063</v>
      </c>
      <c r="E2829" t="s">
        <v>1201</v>
      </c>
      <c r="F2829" t="s">
        <v>1465</v>
      </c>
      <c r="G2829" t="s">
        <v>150</v>
      </c>
      <c r="H2829" t="s">
        <v>4690</v>
      </c>
      <c r="J2829">
        <v>11</v>
      </c>
    </row>
    <row r="2830" spans="1:10" x14ac:dyDescent="0.35">
      <c r="A2830">
        <v>6161100604162</v>
      </c>
      <c r="B2830" t="s">
        <v>3165</v>
      </c>
      <c r="C2830" t="s">
        <v>1123</v>
      </c>
      <c r="D2830" t="s">
        <v>3063</v>
      </c>
      <c r="E2830" t="s">
        <v>1201</v>
      </c>
      <c r="F2830" t="s">
        <v>1465</v>
      </c>
      <c r="G2830" t="s">
        <v>150</v>
      </c>
      <c r="H2830" t="s">
        <v>4690</v>
      </c>
      <c r="J2830">
        <v>1</v>
      </c>
    </row>
    <row r="2831" spans="1:10" x14ac:dyDescent="0.35">
      <c r="A2831">
        <v>6161100605268</v>
      </c>
      <c r="B2831" t="s">
        <v>3166</v>
      </c>
      <c r="C2831" t="s">
        <v>272</v>
      </c>
      <c r="D2831" t="s">
        <v>2123</v>
      </c>
      <c r="E2831" t="s">
        <v>22</v>
      </c>
      <c r="F2831" t="s">
        <v>361</v>
      </c>
      <c r="G2831" t="s">
        <v>150</v>
      </c>
      <c r="H2831" t="s">
        <v>4539</v>
      </c>
      <c r="J2831">
        <v>1</v>
      </c>
    </row>
    <row r="2832" spans="1:10" x14ac:dyDescent="0.35">
      <c r="A2832">
        <v>6161100605442</v>
      </c>
      <c r="B2832" t="s">
        <v>3167</v>
      </c>
      <c r="C2832" t="s">
        <v>419</v>
      </c>
      <c r="D2832" t="s">
        <v>3168</v>
      </c>
      <c r="E2832" t="s">
        <v>15</v>
      </c>
      <c r="F2832" t="s">
        <v>1227</v>
      </c>
      <c r="G2832" t="s">
        <v>150</v>
      </c>
      <c r="H2832" t="s">
        <v>4668</v>
      </c>
      <c r="J2832">
        <v>45</v>
      </c>
    </row>
    <row r="2833" spans="1:10" x14ac:dyDescent="0.35">
      <c r="A2833">
        <v>6161100605459</v>
      </c>
      <c r="B2833" t="s">
        <v>3169</v>
      </c>
      <c r="C2833" t="s">
        <v>43</v>
      </c>
      <c r="D2833" t="s">
        <v>3168</v>
      </c>
      <c r="E2833" t="s">
        <v>15</v>
      </c>
      <c r="F2833" t="s">
        <v>1227</v>
      </c>
      <c r="G2833" t="s">
        <v>150</v>
      </c>
      <c r="H2833" t="s">
        <v>4668</v>
      </c>
      <c r="J2833">
        <v>19</v>
      </c>
    </row>
    <row r="2834" spans="1:10" x14ac:dyDescent="0.35">
      <c r="A2834">
        <v>6161100661028</v>
      </c>
      <c r="B2834" t="s">
        <v>262</v>
      </c>
      <c r="C2834" t="s">
        <v>1573</v>
      </c>
      <c r="D2834" t="s">
        <v>3170</v>
      </c>
      <c r="E2834" t="s">
        <v>11</v>
      </c>
      <c r="F2834" t="s">
        <v>3171</v>
      </c>
      <c r="G2834" t="s">
        <v>11</v>
      </c>
      <c r="H2834" t="s">
        <v>4885</v>
      </c>
      <c r="J2834">
        <v>12</v>
      </c>
    </row>
    <row r="2835" spans="1:10" x14ac:dyDescent="0.35">
      <c r="A2835">
        <v>6161100700017</v>
      </c>
      <c r="B2835" t="s">
        <v>3172</v>
      </c>
      <c r="C2835" t="s">
        <v>81</v>
      </c>
      <c r="D2835" t="s">
        <v>3173</v>
      </c>
      <c r="E2835" t="s">
        <v>11</v>
      </c>
      <c r="F2835" t="s">
        <v>3174</v>
      </c>
      <c r="G2835" t="s">
        <v>11</v>
      </c>
      <c r="H2835" t="s">
        <v>4886</v>
      </c>
      <c r="J2835">
        <v>9</v>
      </c>
    </row>
    <row r="2836" spans="1:10" x14ac:dyDescent="0.35">
      <c r="A2836">
        <v>6161100700024</v>
      </c>
      <c r="B2836" t="s">
        <v>834</v>
      </c>
      <c r="C2836" t="s">
        <v>81</v>
      </c>
      <c r="D2836" t="s">
        <v>3173</v>
      </c>
      <c r="E2836" t="s">
        <v>11</v>
      </c>
      <c r="F2836" t="s">
        <v>3174</v>
      </c>
      <c r="G2836" t="s">
        <v>11</v>
      </c>
      <c r="H2836" t="s">
        <v>4886</v>
      </c>
      <c r="J2836">
        <v>6</v>
      </c>
    </row>
    <row r="2837" spans="1:10" x14ac:dyDescent="0.35">
      <c r="A2837">
        <v>6161100700031</v>
      </c>
      <c r="B2837" t="s">
        <v>834</v>
      </c>
      <c r="C2837" t="s">
        <v>1598</v>
      </c>
      <c r="D2837" t="s">
        <v>3173</v>
      </c>
      <c r="E2837" t="s">
        <v>11</v>
      </c>
      <c r="F2837" t="s">
        <v>3174</v>
      </c>
      <c r="G2837" t="s">
        <v>11</v>
      </c>
      <c r="H2837" t="s">
        <v>4886</v>
      </c>
      <c r="J2837">
        <v>1</v>
      </c>
    </row>
    <row r="2838" spans="1:10" x14ac:dyDescent="0.35">
      <c r="A2838">
        <v>6161100720015</v>
      </c>
      <c r="B2838" t="s">
        <v>485</v>
      </c>
      <c r="C2838" t="s">
        <v>192</v>
      </c>
      <c r="D2838" t="s">
        <v>3175</v>
      </c>
      <c r="E2838" t="s">
        <v>11</v>
      </c>
      <c r="F2838" t="s">
        <v>3176</v>
      </c>
      <c r="G2838" t="s">
        <v>11</v>
      </c>
      <c r="H2838" t="s">
        <v>4887</v>
      </c>
      <c r="J2838">
        <v>2</v>
      </c>
    </row>
    <row r="2839" spans="1:10" x14ac:dyDescent="0.35">
      <c r="A2839">
        <v>6161100720251</v>
      </c>
      <c r="B2839" t="s">
        <v>3177</v>
      </c>
      <c r="C2839" t="s">
        <v>9</v>
      </c>
      <c r="D2839" t="s">
        <v>3175</v>
      </c>
      <c r="E2839" t="s">
        <v>11</v>
      </c>
      <c r="F2839" t="s">
        <v>3176</v>
      </c>
      <c r="G2839" t="s">
        <v>11</v>
      </c>
      <c r="H2839" t="s">
        <v>4887</v>
      </c>
      <c r="J2839">
        <v>13</v>
      </c>
    </row>
    <row r="2840" spans="1:10" x14ac:dyDescent="0.35">
      <c r="A2840">
        <v>6161100720268</v>
      </c>
      <c r="B2840" t="s">
        <v>3178</v>
      </c>
      <c r="C2840" t="s">
        <v>81</v>
      </c>
      <c r="D2840" t="s">
        <v>3175</v>
      </c>
      <c r="E2840" t="s">
        <v>11</v>
      </c>
      <c r="F2840" t="s">
        <v>3176</v>
      </c>
      <c r="G2840" t="s">
        <v>11</v>
      </c>
      <c r="H2840" t="s">
        <v>4887</v>
      </c>
      <c r="J2840">
        <v>14</v>
      </c>
    </row>
    <row r="2841" spans="1:10" x14ac:dyDescent="0.35">
      <c r="A2841">
        <v>6161100720268</v>
      </c>
      <c r="B2841" t="s">
        <v>3178</v>
      </c>
      <c r="C2841" t="s">
        <v>81</v>
      </c>
      <c r="D2841" t="s">
        <v>3175</v>
      </c>
      <c r="E2841" t="s">
        <v>11</v>
      </c>
      <c r="F2841" t="s">
        <v>3176</v>
      </c>
      <c r="G2841" t="s">
        <v>31</v>
      </c>
      <c r="H2841" t="s">
        <v>4887</v>
      </c>
      <c r="J2841">
        <v>11</v>
      </c>
    </row>
    <row r="2842" spans="1:10" x14ac:dyDescent="0.35">
      <c r="A2842">
        <v>6161100720275</v>
      </c>
      <c r="B2842" t="s">
        <v>560</v>
      </c>
      <c r="C2842" t="s">
        <v>9</v>
      </c>
      <c r="D2842" t="s">
        <v>3175</v>
      </c>
      <c r="E2842" t="s">
        <v>11</v>
      </c>
      <c r="F2842" t="s">
        <v>3176</v>
      </c>
      <c r="G2842" t="s">
        <v>11</v>
      </c>
      <c r="H2842" t="s">
        <v>4887</v>
      </c>
      <c r="J2842">
        <v>8</v>
      </c>
    </row>
    <row r="2843" spans="1:10" x14ac:dyDescent="0.35">
      <c r="A2843">
        <v>6161100720275</v>
      </c>
      <c r="B2843" t="s">
        <v>560</v>
      </c>
      <c r="C2843" t="s">
        <v>9</v>
      </c>
      <c r="D2843" t="s">
        <v>3175</v>
      </c>
      <c r="E2843" t="s">
        <v>11</v>
      </c>
      <c r="F2843" t="s">
        <v>3176</v>
      </c>
      <c r="G2843" t="s">
        <v>150</v>
      </c>
      <c r="H2843" t="s">
        <v>4887</v>
      </c>
      <c r="J2843">
        <v>1</v>
      </c>
    </row>
    <row r="2844" spans="1:10" x14ac:dyDescent="0.35">
      <c r="A2844">
        <v>6161100720398</v>
      </c>
      <c r="B2844" t="s">
        <v>3179</v>
      </c>
      <c r="C2844" t="s">
        <v>9</v>
      </c>
      <c r="D2844" t="s">
        <v>3175</v>
      </c>
      <c r="E2844" t="s">
        <v>11</v>
      </c>
      <c r="F2844" t="s">
        <v>3176</v>
      </c>
      <c r="G2844" t="s">
        <v>11</v>
      </c>
      <c r="H2844" t="s">
        <v>4887</v>
      </c>
      <c r="J2844">
        <v>18</v>
      </c>
    </row>
    <row r="2845" spans="1:10" x14ac:dyDescent="0.35">
      <c r="A2845">
        <v>6161100720428</v>
      </c>
      <c r="B2845" t="s">
        <v>3180</v>
      </c>
      <c r="C2845" t="s">
        <v>3181</v>
      </c>
      <c r="D2845" t="s">
        <v>3175</v>
      </c>
      <c r="E2845" t="s">
        <v>11</v>
      </c>
      <c r="F2845" t="s">
        <v>3176</v>
      </c>
      <c r="G2845" t="s">
        <v>11</v>
      </c>
      <c r="H2845" t="s">
        <v>4887</v>
      </c>
      <c r="J2845">
        <v>1</v>
      </c>
    </row>
    <row r="2846" spans="1:10" x14ac:dyDescent="0.35">
      <c r="A2846">
        <v>6161100763081</v>
      </c>
      <c r="B2846" t="s">
        <v>1569</v>
      </c>
      <c r="C2846" t="s">
        <v>9</v>
      </c>
      <c r="D2846" t="s">
        <v>3182</v>
      </c>
      <c r="E2846" t="s">
        <v>11</v>
      </c>
      <c r="F2846" t="s">
        <v>3183</v>
      </c>
      <c r="G2846" t="s">
        <v>11</v>
      </c>
      <c r="H2846" t="s">
        <v>4888</v>
      </c>
      <c r="J2846">
        <v>11</v>
      </c>
    </row>
    <row r="2847" spans="1:10" x14ac:dyDescent="0.35">
      <c r="A2847">
        <v>6161100810112</v>
      </c>
      <c r="B2847" t="s">
        <v>3184</v>
      </c>
      <c r="C2847" t="s">
        <v>1588</v>
      </c>
      <c r="D2847" t="s">
        <v>3028</v>
      </c>
      <c r="E2847" t="s">
        <v>41</v>
      </c>
      <c r="F2847" t="s">
        <v>126</v>
      </c>
      <c r="G2847" t="s">
        <v>11</v>
      </c>
      <c r="H2847" t="s">
        <v>4511</v>
      </c>
      <c r="J2847">
        <v>50</v>
      </c>
    </row>
    <row r="2848" spans="1:10" x14ac:dyDescent="0.35">
      <c r="A2848">
        <v>6161100913394</v>
      </c>
      <c r="B2848" t="s">
        <v>3185</v>
      </c>
      <c r="C2848" t="s">
        <v>94</v>
      </c>
      <c r="D2848" t="s">
        <v>3186</v>
      </c>
      <c r="E2848" t="s">
        <v>11</v>
      </c>
      <c r="F2848" t="s">
        <v>3187</v>
      </c>
      <c r="G2848" t="s">
        <v>34</v>
      </c>
      <c r="H2848" t="s">
        <v>4889</v>
      </c>
      <c r="J2848">
        <v>1</v>
      </c>
    </row>
    <row r="2849" spans="1:10" x14ac:dyDescent="0.35">
      <c r="A2849">
        <v>6161100913394</v>
      </c>
      <c r="B2849" t="s">
        <v>3185</v>
      </c>
      <c r="C2849" t="s">
        <v>94</v>
      </c>
      <c r="D2849" t="s">
        <v>3186</v>
      </c>
      <c r="E2849" t="s">
        <v>11</v>
      </c>
      <c r="F2849" t="s">
        <v>3187</v>
      </c>
      <c r="G2849" t="s">
        <v>150</v>
      </c>
      <c r="H2849" t="s">
        <v>4889</v>
      </c>
      <c r="J2849">
        <v>1</v>
      </c>
    </row>
    <row r="2850" spans="1:10" x14ac:dyDescent="0.35">
      <c r="A2850">
        <v>6161100913394</v>
      </c>
      <c r="B2850" t="s">
        <v>3185</v>
      </c>
      <c r="C2850" t="s">
        <v>94</v>
      </c>
      <c r="D2850" t="s">
        <v>3186</v>
      </c>
      <c r="E2850" t="s">
        <v>11</v>
      </c>
      <c r="F2850" t="s">
        <v>3187</v>
      </c>
      <c r="G2850" t="s">
        <v>61</v>
      </c>
      <c r="H2850" t="s">
        <v>4889</v>
      </c>
      <c r="J2850">
        <v>1</v>
      </c>
    </row>
    <row r="2851" spans="1:10" x14ac:dyDescent="0.35">
      <c r="A2851">
        <v>6161100913462</v>
      </c>
      <c r="B2851" t="s">
        <v>3188</v>
      </c>
      <c r="C2851" t="s">
        <v>94</v>
      </c>
      <c r="D2851" t="s">
        <v>3186</v>
      </c>
      <c r="E2851" t="s">
        <v>11</v>
      </c>
      <c r="F2851" t="s">
        <v>3187</v>
      </c>
      <c r="G2851" t="s">
        <v>150</v>
      </c>
      <c r="H2851" t="s">
        <v>4889</v>
      </c>
      <c r="J2851">
        <v>4</v>
      </c>
    </row>
    <row r="2852" spans="1:10" x14ac:dyDescent="0.35">
      <c r="A2852">
        <v>6161100950047</v>
      </c>
      <c r="B2852" t="s">
        <v>3189</v>
      </c>
      <c r="C2852" t="s">
        <v>9</v>
      </c>
      <c r="D2852" t="s">
        <v>1570</v>
      </c>
      <c r="E2852" t="s">
        <v>22</v>
      </c>
      <c r="F2852" t="s">
        <v>1568</v>
      </c>
      <c r="G2852" t="s">
        <v>61</v>
      </c>
      <c r="H2852" t="s">
        <v>4700</v>
      </c>
      <c r="J2852">
        <v>5</v>
      </c>
    </row>
    <row r="2853" spans="1:10" x14ac:dyDescent="0.35">
      <c r="A2853">
        <v>6161100952430</v>
      </c>
      <c r="B2853" t="s">
        <v>3190</v>
      </c>
      <c r="C2853" t="s">
        <v>9</v>
      </c>
      <c r="D2853" t="s">
        <v>3191</v>
      </c>
      <c r="E2853" t="s">
        <v>22</v>
      </c>
      <c r="F2853" t="s">
        <v>1568</v>
      </c>
      <c r="G2853" t="s">
        <v>11</v>
      </c>
      <c r="H2853" t="s">
        <v>4700</v>
      </c>
      <c r="J2853">
        <v>1</v>
      </c>
    </row>
    <row r="2854" spans="1:10" x14ac:dyDescent="0.35">
      <c r="A2854">
        <v>6161101000833</v>
      </c>
      <c r="B2854" t="s">
        <v>3192</v>
      </c>
      <c r="C2854" t="s">
        <v>272</v>
      </c>
      <c r="D2854" t="s">
        <v>2469</v>
      </c>
      <c r="E2854" t="s">
        <v>11</v>
      </c>
      <c r="F2854" t="s">
        <v>2470</v>
      </c>
      <c r="G2854" t="s">
        <v>11</v>
      </c>
      <c r="H2854" t="s">
        <v>4807</v>
      </c>
      <c r="J2854">
        <v>17</v>
      </c>
    </row>
    <row r="2855" spans="1:10" x14ac:dyDescent="0.35">
      <c r="A2855">
        <v>6161101060585</v>
      </c>
      <c r="B2855" t="s">
        <v>3193</v>
      </c>
      <c r="C2855" t="s">
        <v>43</v>
      </c>
      <c r="D2855" t="s">
        <v>2346</v>
      </c>
      <c r="E2855" t="s">
        <v>11</v>
      </c>
      <c r="F2855" t="s">
        <v>2347</v>
      </c>
      <c r="G2855" t="s">
        <v>11</v>
      </c>
      <c r="H2855" t="s">
        <v>4793</v>
      </c>
      <c r="J2855">
        <v>12</v>
      </c>
    </row>
    <row r="2856" spans="1:10" x14ac:dyDescent="0.35">
      <c r="A2856">
        <v>616110118735</v>
      </c>
      <c r="B2856" t="s">
        <v>3194</v>
      </c>
      <c r="C2856" t="s">
        <v>912</v>
      </c>
      <c r="D2856" t="s">
        <v>3195</v>
      </c>
      <c r="E2856" t="s">
        <v>150</v>
      </c>
      <c r="F2856" t="s">
        <v>3196</v>
      </c>
      <c r="G2856" t="s">
        <v>150</v>
      </c>
      <c r="H2856" t="s">
        <v>4890</v>
      </c>
      <c r="J2856">
        <v>5</v>
      </c>
    </row>
    <row r="2857" spans="1:10" x14ac:dyDescent="0.35">
      <c r="A2857">
        <v>6161101280211</v>
      </c>
      <c r="B2857" t="s">
        <v>834</v>
      </c>
      <c r="C2857" t="s">
        <v>9</v>
      </c>
      <c r="D2857" t="s">
        <v>3197</v>
      </c>
      <c r="E2857" t="s">
        <v>11</v>
      </c>
      <c r="F2857" t="s">
        <v>3198</v>
      </c>
      <c r="G2857" t="s">
        <v>11</v>
      </c>
      <c r="H2857" t="s">
        <v>4891</v>
      </c>
      <c r="J2857">
        <v>58</v>
      </c>
    </row>
    <row r="2858" spans="1:10" x14ac:dyDescent="0.35">
      <c r="A2858">
        <v>6161101280228</v>
      </c>
      <c r="B2858" t="s">
        <v>834</v>
      </c>
      <c r="C2858" t="s">
        <v>192</v>
      </c>
      <c r="D2858" t="s">
        <v>3197</v>
      </c>
      <c r="E2858" t="s">
        <v>11</v>
      </c>
      <c r="F2858" t="s">
        <v>3198</v>
      </c>
      <c r="G2858" t="s">
        <v>11</v>
      </c>
      <c r="H2858" t="s">
        <v>4891</v>
      </c>
      <c r="J2858">
        <v>2</v>
      </c>
    </row>
    <row r="2859" spans="1:10" x14ac:dyDescent="0.35">
      <c r="A2859">
        <v>6161101280235</v>
      </c>
      <c r="B2859" t="s">
        <v>8</v>
      </c>
      <c r="C2859" t="s">
        <v>192</v>
      </c>
      <c r="D2859" t="s">
        <v>3197</v>
      </c>
      <c r="E2859" t="s">
        <v>11</v>
      </c>
      <c r="F2859" t="s">
        <v>3198</v>
      </c>
      <c r="G2859" t="s">
        <v>11</v>
      </c>
      <c r="H2859" t="s">
        <v>4891</v>
      </c>
      <c r="J2859">
        <v>3</v>
      </c>
    </row>
    <row r="2860" spans="1:10" x14ac:dyDescent="0.35">
      <c r="A2860">
        <v>6161101450591</v>
      </c>
      <c r="B2860" t="s">
        <v>295</v>
      </c>
      <c r="C2860" t="s">
        <v>472</v>
      </c>
      <c r="D2860" t="s">
        <v>2261</v>
      </c>
      <c r="E2860" t="s">
        <v>34</v>
      </c>
      <c r="F2860" t="s">
        <v>2262</v>
      </c>
      <c r="G2860" t="s">
        <v>34</v>
      </c>
      <c r="H2860" t="s">
        <v>4778</v>
      </c>
      <c r="I2860">
        <v>25</v>
      </c>
      <c r="J2860">
        <v>9581</v>
      </c>
    </row>
    <row r="2861" spans="1:10" x14ac:dyDescent="0.35">
      <c r="A2861">
        <v>6161101450591</v>
      </c>
      <c r="B2861" t="s">
        <v>295</v>
      </c>
      <c r="C2861" t="s">
        <v>472</v>
      </c>
      <c r="D2861" t="s">
        <v>2261</v>
      </c>
      <c r="E2861" t="s">
        <v>34</v>
      </c>
      <c r="F2861" t="s">
        <v>2262</v>
      </c>
      <c r="G2861" t="s">
        <v>73</v>
      </c>
      <c r="H2861" t="s">
        <v>4778</v>
      </c>
      <c r="I2861">
        <v>25</v>
      </c>
      <c r="J2861">
        <v>1</v>
      </c>
    </row>
    <row r="2862" spans="1:10" x14ac:dyDescent="0.35">
      <c r="A2862">
        <v>6161101571739</v>
      </c>
      <c r="B2862" t="s">
        <v>3199</v>
      </c>
      <c r="C2862" t="s">
        <v>81</v>
      </c>
      <c r="D2862" t="s">
        <v>3200</v>
      </c>
      <c r="E2862" t="s">
        <v>61</v>
      </c>
      <c r="F2862" t="s">
        <v>3201</v>
      </c>
      <c r="G2862" t="s">
        <v>61</v>
      </c>
      <c r="H2862" t="s">
        <v>4892</v>
      </c>
      <c r="J2862">
        <v>2</v>
      </c>
    </row>
    <row r="2863" spans="1:10" x14ac:dyDescent="0.35">
      <c r="A2863">
        <v>6161101575669</v>
      </c>
      <c r="B2863" t="s">
        <v>3202</v>
      </c>
      <c r="C2863" t="s">
        <v>9</v>
      </c>
      <c r="D2863" t="s">
        <v>3203</v>
      </c>
      <c r="E2863" t="s">
        <v>61</v>
      </c>
      <c r="F2863" t="s">
        <v>3201</v>
      </c>
      <c r="G2863" t="s">
        <v>61</v>
      </c>
      <c r="H2863" t="s">
        <v>4892</v>
      </c>
      <c r="J2863">
        <v>5</v>
      </c>
    </row>
    <row r="2864" spans="1:10" x14ac:dyDescent="0.35">
      <c r="A2864">
        <v>6161101577977</v>
      </c>
      <c r="B2864" t="s">
        <v>3204</v>
      </c>
      <c r="C2864" t="s">
        <v>627</v>
      </c>
      <c r="D2864" t="s">
        <v>3205</v>
      </c>
      <c r="E2864" t="s">
        <v>61</v>
      </c>
      <c r="F2864" t="s">
        <v>3201</v>
      </c>
      <c r="G2864" t="s">
        <v>61</v>
      </c>
      <c r="H2864" t="s">
        <v>4892</v>
      </c>
      <c r="J2864">
        <v>2</v>
      </c>
    </row>
    <row r="2865" spans="1:10" x14ac:dyDescent="0.35">
      <c r="A2865">
        <v>6161101600521</v>
      </c>
      <c r="B2865" t="s">
        <v>3206</v>
      </c>
      <c r="C2865" t="s">
        <v>36</v>
      </c>
      <c r="D2865" t="s">
        <v>3207</v>
      </c>
      <c r="E2865" t="s">
        <v>31</v>
      </c>
      <c r="F2865" t="s">
        <v>3208</v>
      </c>
      <c r="G2865" t="s">
        <v>31</v>
      </c>
      <c r="H2865" t="s">
        <v>4893</v>
      </c>
      <c r="J2865">
        <v>51</v>
      </c>
    </row>
    <row r="2866" spans="1:10" x14ac:dyDescent="0.35">
      <c r="A2866">
        <v>6161101606363</v>
      </c>
      <c r="B2866" t="s">
        <v>3209</v>
      </c>
      <c r="C2866" t="s">
        <v>173</v>
      </c>
      <c r="D2866" t="s">
        <v>3210</v>
      </c>
      <c r="E2866" t="s">
        <v>61</v>
      </c>
      <c r="F2866" t="s">
        <v>3211</v>
      </c>
      <c r="G2866" t="s">
        <v>61</v>
      </c>
      <c r="H2866" t="s">
        <v>4894</v>
      </c>
      <c r="J2866">
        <v>8</v>
      </c>
    </row>
    <row r="2867" spans="1:10" x14ac:dyDescent="0.35">
      <c r="A2867">
        <v>6161101661843</v>
      </c>
      <c r="B2867" t="s">
        <v>3212</v>
      </c>
      <c r="C2867" t="s">
        <v>94</v>
      </c>
      <c r="D2867" t="s">
        <v>3213</v>
      </c>
      <c r="E2867" t="s">
        <v>11</v>
      </c>
      <c r="F2867" t="s">
        <v>3214</v>
      </c>
      <c r="G2867" t="s">
        <v>11</v>
      </c>
      <c r="H2867" t="s">
        <v>4895</v>
      </c>
      <c r="J2867">
        <v>1</v>
      </c>
    </row>
    <row r="2868" spans="1:10" x14ac:dyDescent="0.35">
      <c r="A2868">
        <v>6161101661850</v>
      </c>
      <c r="B2868" t="s">
        <v>3215</v>
      </c>
      <c r="C2868" t="s">
        <v>36</v>
      </c>
      <c r="D2868" t="s">
        <v>3213</v>
      </c>
      <c r="E2868" t="s">
        <v>11</v>
      </c>
      <c r="F2868" t="s">
        <v>3214</v>
      </c>
      <c r="G2868" t="s">
        <v>11</v>
      </c>
      <c r="H2868" t="s">
        <v>4895</v>
      </c>
      <c r="J2868">
        <v>17</v>
      </c>
    </row>
    <row r="2869" spans="1:10" x14ac:dyDescent="0.35">
      <c r="A2869">
        <v>6161101661867</v>
      </c>
      <c r="B2869" t="s">
        <v>3212</v>
      </c>
      <c r="C2869" t="s">
        <v>43</v>
      </c>
      <c r="D2869" t="s">
        <v>3213</v>
      </c>
      <c r="E2869" t="s">
        <v>11</v>
      </c>
      <c r="F2869" t="s">
        <v>3214</v>
      </c>
      <c r="G2869" t="s">
        <v>61</v>
      </c>
      <c r="H2869" t="s">
        <v>4895</v>
      </c>
      <c r="J2869">
        <v>2</v>
      </c>
    </row>
    <row r="2870" spans="1:10" x14ac:dyDescent="0.35">
      <c r="A2870">
        <v>6161101661881</v>
      </c>
      <c r="B2870" t="s">
        <v>3212</v>
      </c>
      <c r="C2870" t="s">
        <v>1123</v>
      </c>
      <c r="D2870" t="s">
        <v>3213</v>
      </c>
      <c r="E2870" t="s">
        <v>11</v>
      </c>
      <c r="F2870" t="s">
        <v>3214</v>
      </c>
      <c r="G2870" t="s">
        <v>11</v>
      </c>
      <c r="H2870" t="s">
        <v>4895</v>
      </c>
      <c r="J2870">
        <v>15</v>
      </c>
    </row>
    <row r="2871" spans="1:10" x14ac:dyDescent="0.35">
      <c r="A2871">
        <v>6161101663533</v>
      </c>
      <c r="B2871" t="s">
        <v>3216</v>
      </c>
      <c r="C2871" t="s">
        <v>159</v>
      </c>
      <c r="D2871" t="s">
        <v>3217</v>
      </c>
      <c r="E2871" t="s">
        <v>11</v>
      </c>
      <c r="F2871" t="s">
        <v>3214</v>
      </c>
      <c r="G2871" t="s">
        <v>11</v>
      </c>
      <c r="H2871" t="s">
        <v>4895</v>
      </c>
      <c r="J2871">
        <v>1</v>
      </c>
    </row>
    <row r="2872" spans="1:10" x14ac:dyDescent="0.35">
      <c r="A2872">
        <v>6161101663557</v>
      </c>
      <c r="B2872" t="s">
        <v>3216</v>
      </c>
      <c r="C2872" t="s">
        <v>3218</v>
      </c>
      <c r="D2872" t="s">
        <v>3217</v>
      </c>
      <c r="E2872" t="s">
        <v>11</v>
      </c>
      <c r="F2872" t="s">
        <v>3214</v>
      </c>
      <c r="G2872" t="s">
        <v>11</v>
      </c>
      <c r="H2872" t="s">
        <v>4895</v>
      </c>
      <c r="J2872">
        <v>1</v>
      </c>
    </row>
    <row r="2873" spans="1:10" x14ac:dyDescent="0.35">
      <c r="A2873">
        <v>6161101663564</v>
      </c>
      <c r="B2873" t="s">
        <v>3216</v>
      </c>
      <c r="C2873" t="s">
        <v>877</v>
      </c>
      <c r="D2873" t="s">
        <v>3217</v>
      </c>
      <c r="E2873" t="s">
        <v>11</v>
      </c>
      <c r="F2873" t="s">
        <v>3214</v>
      </c>
      <c r="G2873" t="s">
        <v>11</v>
      </c>
      <c r="H2873" t="s">
        <v>4895</v>
      </c>
      <c r="J2873">
        <v>1</v>
      </c>
    </row>
    <row r="2874" spans="1:10" x14ac:dyDescent="0.35">
      <c r="A2874">
        <v>6161101663564</v>
      </c>
      <c r="B2874" t="s">
        <v>3216</v>
      </c>
      <c r="C2874" t="s">
        <v>877</v>
      </c>
      <c r="D2874" t="s">
        <v>3217</v>
      </c>
      <c r="E2874" t="s">
        <v>11</v>
      </c>
      <c r="F2874" t="s">
        <v>3214</v>
      </c>
      <c r="G2874" t="s">
        <v>150</v>
      </c>
      <c r="H2874" t="s">
        <v>4895</v>
      </c>
      <c r="J2874">
        <v>20</v>
      </c>
    </row>
    <row r="2875" spans="1:10" x14ac:dyDescent="0.35">
      <c r="A2875">
        <v>6161101666060</v>
      </c>
      <c r="B2875" t="s">
        <v>3219</v>
      </c>
      <c r="C2875" t="s">
        <v>43</v>
      </c>
      <c r="D2875" t="s">
        <v>3213</v>
      </c>
      <c r="E2875" t="s">
        <v>11</v>
      </c>
      <c r="F2875" t="s">
        <v>3214</v>
      </c>
      <c r="G2875" t="s">
        <v>11</v>
      </c>
      <c r="H2875" t="s">
        <v>4895</v>
      </c>
      <c r="J2875">
        <v>2</v>
      </c>
    </row>
    <row r="2876" spans="1:10" x14ac:dyDescent="0.35">
      <c r="A2876">
        <v>6161101666565</v>
      </c>
      <c r="B2876" t="s">
        <v>3220</v>
      </c>
      <c r="C2876" t="s">
        <v>43</v>
      </c>
      <c r="D2876" t="s">
        <v>3213</v>
      </c>
      <c r="E2876" t="s">
        <v>11</v>
      </c>
      <c r="F2876" t="s">
        <v>3214</v>
      </c>
      <c r="G2876" t="s">
        <v>11</v>
      </c>
      <c r="H2876" t="s">
        <v>4895</v>
      </c>
      <c r="J2876">
        <v>23</v>
      </c>
    </row>
    <row r="2877" spans="1:10" x14ac:dyDescent="0.35">
      <c r="A2877">
        <v>6161101680417</v>
      </c>
      <c r="B2877" t="s">
        <v>2468</v>
      </c>
      <c r="C2877" t="s">
        <v>9</v>
      </c>
      <c r="D2877" t="s">
        <v>3221</v>
      </c>
      <c r="E2877" t="s">
        <v>11</v>
      </c>
      <c r="F2877" t="s">
        <v>2470</v>
      </c>
      <c r="G2877" t="s">
        <v>11</v>
      </c>
      <c r="H2877" t="s">
        <v>4807</v>
      </c>
      <c r="J2877">
        <v>86</v>
      </c>
    </row>
    <row r="2878" spans="1:10" x14ac:dyDescent="0.35">
      <c r="A2878">
        <v>616110184143</v>
      </c>
      <c r="B2878" t="s">
        <v>3222</v>
      </c>
      <c r="C2878" t="s">
        <v>43</v>
      </c>
      <c r="D2878" t="s">
        <v>3195</v>
      </c>
      <c r="E2878" t="s">
        <v>150</v>
      </c>
      <c r="F2878" t="s">
        <v>3196</v>
      </c>
      <c r="G2878" t="s">
        <v>150</v>
      </c>
      <c r="H2878" t="s">
        <v>4890</v>
      </c>
      <c r="J2878">
        <v>1</v>
      </c>
    </row>
    <row r="2879" spans="1:10" x14ac:dyDescent="0.35">
      <c r="A2879">
        <v>6161101870061</v>
      </c>
      <c r="B2879" t="s">
        <v>3223</v>
      </c>
      <c r="C2879" t="s">
        <v>1435</v>
      </c>
      <c r="D2879" t="s">
        <v>3195</v>
      </c>
      <c r="E2879" t="s">
        <v>150</v>
      </c>
      <c r="F2879" t="s">
        <v>3196</v>
      </c>
      <c r="G2879" t="s">
        <v>150</v>
      </c>
      <c r="H2879" t="s">
        <v>4890</v>
      </c>
      <c r="J2879">
        <v>8</v>
      </c>
    </row>
    <row r="2880" spans="1:10" x14ac:dyDescent="0.35">
      <c r="A2880">
        <v>6161101870061</v>
      </c>
      <c r="B2880" t="s">
        <v>3223</v>
      </c>
      <c r="C2880" t="s">
        <v>1435</v>
      </c>
      <c r="D2880" t="s">
        <v>3195</v>
      </c>
      <c r="E2880" t="s">
        <v>150</v>
      </c>
      <c r="F2880" t="s">
        <v>3196</v>
      </c>
      <c r="G2880" t="s">
        <v>31</v>
      </c>
      <c r="H2880" t="s">
        <v>4890</v>
      </c>
      <c r="J2880">
        <v>1</v>
      </c>
    </row>
    <row r="2881" spans="1:10" x14ac:dyDescent="0.35">
      <c r="A2881">
        <v>6161101870177</v>
      </c>
      <c r="B2881" t="s">
        <v>3224</v>
      </c>
      <c r="C2881" t="s">
        <v>94</v>
      </c>
      <c r="D2881" t="s">
        <v>3225</v>
      </c>
      <c r="E2881" t="s">
        <v>117</v>
      </c>
      <c r="F2881" t="s">
        <v>3226</v>
      </c>
      <c r="G2881" t="s">
        <v>117</v>
      </c>
      <c r="H2881" t="s">
        <v>4896</v>
      </c>
      <c r="J2881">
        <v>3</v>
      </c>
    </row>
    <row r="2882" spans="1:10" x14ac:dyDescent="0.35">
      <c r="A2882">
        <v>6161101870467</v>
      </c>
      <c r="B2882" t="s">
        <v>380</v>
      </c>
      <c r="C2882" t="s">
        <v>192</v>
      </c>
      <c r="D2882" t="s">
        <v>3227</v>
      </c>
      <c r="E2882" t="s">
        <v>117</v>
      </c>
      <c r="F2882" t="s">
        <v>3226</v>
      </c>
      <c r="G2882" t="s">
        <v>117</v>
      </c>
      <c r="H2882" t="s">
        <v>4896</v>
      </c>
      <c r="J2882">
        <v>203</v>
      </c>
    </row>
    <row r="2883" spans="1:10" x14ac:dyDescent="0.35">
      <c r="A2883">
        <v>6161101870610</v>
      </c>
      <c r="B2883" t="s">
        <v>3228</v>
      </c>
      <c r="C2883" t="s">
        <v>2219</v>
      </c>
      <c r="D2883" t="s">
        <v>3227</v>
      </c>
      <c r="E2883" t="s">
        <v>117</v>
      </c>
      <c r="F2883" t="s">
        <v>3226</v>
      </c>
      <c r="G2883" t="s">
        <v>117</v>
      </c>
      <c r="H2883" t="s">
        <v>4896</v>
      </c>
      <c r="J2883">
        <v>2</v>
      </c>
    </row>
    <row r="2884" spans="1:10" x14ac:dyDescent="0.35">
      <c r="A2884">
        <v>6161101870634</v>
      </c>
      <c r="B2884" t="s">
        <v>262</v>
      </c>
      <c r="C2884" t="s">
        <v>192</v>
      </c>
      <c r="D2884" t="s">
        <v>3229</v>
      </c>
      <c r="E2884" t="s">
        <v>150</v>
      </c>
      <c r="F2884" t="s">
        <v>3196</v>
      </c>
      <c r="G2884" t="s">
        <v>150</v>
      </c>
      <c r="H2884" t="s">
        <v>4890</v>
      </c>
      <c r="J2884">
        <v>410</v>
      </c>
    </row>
    <row r="2885" spans="1:10" x14ac:dyDescent="0.35">
      <c r="A2885">
        <v>6161101871143</v>
      </c>
      <c r="B2885" t="s">
        <v>3230</v>
      </c>
      <c r="C2885" t="s">
        <v>43</v>
      </c>
      <c r="D2885" t="s">
        <v>3195</v>
      </c>
      <c r="E2885" t="s">
        <v>150</v>
      </c>
      <c r="F2885" t="s">
        <v>3196</v>
      </c>
      <c r="G2885" t="s">
        <v>150</v>
      </c>
      <c r="H2885" t="s">
        <v>4890</v>
      </c>
      <c r="J2885">
        <v>27</v>
      </c>
    </row>
    <row r="2886" spans="1:10" x14ac:dyDescent="0.35">
      <c r="A2886">
        <v>6161101871303</v>
      </c>
      <c r="B2886" t="s">
        <v>3231</v>
      </c>
      <c r="C2886" t="s">
        <v>75</v>
      </c>
      <c r="D2886" t="s">
        <v>3229</v>
      </c>
      <c r="E2886" t="s">
        <v>150</v>
      </c>
      <c r="F2886" t="s">
        <v>3196</v>
      </c>
      <c r="G2886" t="s">
        <v>150</v>
      </c>
      <c r="H2886" t="s">
        <v>4890</v>
      </c>
      <c r="J2886">
        <v>1</v>
      </c>
    </row>
    <row r="2887" spans="1:10" x14ac:dyDescent="0.35">
      <c r="A2887">
        <v>6161101872058</v>
      </c>
      <c r="B2887" t="s">
        <v>3232</v>
      </c>
      <c r="C2887" t="s">
        <v>9</v>
      </c>
      <c r="D2887" t="s">
        <v>3229</v>
      </c>
      <c r="E2887" t="s">
        <v>150</v>
      </c>
      <c r="F2887" t="s">
        <v>3196</v>
      </c>
      <c r="G2887" t="s">
        <v>150</v>
      </c>
      <c r="H2887" t="s">
        <v>4890</v>
      </c>
      <c r="J2887">
        <v>792</v>
      </c>
    </row>
    <row r="2888" spans="1:10" x14ac:dyDescent="0.35">
      <c r="A2888">
        <v>6161101872553</v>
      </c>
      <c r="B2888" t="s">
        <v>1063</v>
      </c>
      <c r="C2888" t="s">
        <v>38</v>
      </c>
      <c r="D2888" t="s">
        <v>3227</v>
      </c>
      <c r="E2888" t="s">
        <v>117</v>
      </c>
      <c r="F2888" t="s">
        <v>3226</v>
      </c>
      <c r="G2888" t="s">
        <v>117</v>
      </c>
      <c r="H2888" t="s">
        <v>4896</v>
      </c>
      <c r="J2888">
        <v>20</v>
      </c>
    </row>
    <row r="2889" spans="1:10" x14ac:dyDescent="0.35">
      <c r="A2889">
        <v>6161101872829</v>
      </c>
      <c r="B2889" t="s">
        <v>581</v>
      </c>
      <c r="C2889" t="s">
        <v>192</v>
      </c>
      <c r="D2889" t="s">
        <v>3233</v>
      </c>
      <c r="E2889" t="s">
        <v>117</v>
      </c>
      <c r="F2889" t="s">
        <v>3226</v>
      </c>
      <c r="G2889" t="s">
        <v>117</v>
      </c>
      <c r="H2889" t="s">
        <v>4896</v>
      </c>
      <c r="J2889">
        <v>4</v>
      </c>
    </row>
    <row r="2890" spans="1:10" x14ac:dyDescent="0.35">
      <c r="A2890">
        <v>6161101873253</v>
      </c>
      <c r="B2890" t="s">
        <v>3224</v>
      </c>
      <c r="C2890" t="s">
        <v>3234</v>
      </c>
      <c r="D2890" t="s">
        <v>3235</v>
      </c>
      <c r="E2890" t="s">
        <v>117</v>
      </c>
      <c r="F2890" t="s">
        <v>3226</v>
      </c>
      <c r="G2890" t="s">
        <v>117</v>
      </c>
      <c r="H2890" t="s">
        <v>4896</v>
      </c>
      <c r="J2890">
        <v>1</v>
      </c>
    </row>
    <row r="2891" spans="1:10" x14ac:dyDescent="0.35">
      <c r="A2891">
        <v>6161101873543</v>
      </c>
      <c r="B2891" t="s">
        <v>3225</v>
      </c>
      <c r="C2891" t="s">
        <v>9</v>
      </c>
      <c r="D2891" t="s">
        <v>3195</v>
      </c>
      <c r="E2891" t="s">
        <v>150</v>
      </c>
      <c r="F2891" t="s">
        <v>3196</v>
      </c>
      <c r="G2891" t="s">
        <v>150</v>
      </c>
      <c r="H2891" t="s">
        <v>4890</v>
      </c>
      <c r="J2891">
        <v>2</v>
      </c>
    </row>
    <row r="2892" spans="1:10" x14ac:dyDescent="0.35">
      <c r="A2892">
        <v>6161101873574</v>
      </c>
      <c r="B2892" t="s">
        <v>3236</v>
      </c>
      <c r="C2892" t="s">
        <v>9</v>
      </c>
      <c r="D2892" t="s">
        <v>3195</v>
      </c>
      <c r="E2892" t="s">
        <v>150</v>
      </c>
      <c r="F2892" t="s">
        <v>3196</v>
      </c>
      <c r="G2892" t="s">
        <v>150</v>
      </c>
      <c r="H2892" t="s">
        <v>4890</v>
      </c>
      <c r="J2892">
        <v>8</v>
      </c>
    </row>
    <row r="2893" spans="1:10" x14ac:dyDescent="0.35">
      <c r="A2893">
        <v>6161101873598</v>
      </c>
      <c r="B2893" t="s">
        <v>3237</v>
      </c>
      <c r="C2893" t="s">
        <v>912</v>
      </c>
      <c r="D2893" t="s">
        <v>3195</v>
      </c>
      <c r="E2893" t="s">
        <v>150</v>
      </c>
      <c r="F2893" t="s">
        <v>3196</v>
      </c>
      <c r="G2893" t="s">
        <v>150</v>
      </c>
      <c r="H2893" t="s">
        <v>4890</v>
      </c>
      <c r="J2893">
        <v>4</v>
      </c>
    </row>
    <row r="2894" spans="1:10" x14ac:dyDescent="0.35">
      <c r="A2894">
        <v>6161101873628</v>
      </c>
      <c r="B2894" t="s">
        <v>485</v>
      </c>
      <c r="C2894" t="s">
        <v>1296</v>
      </c>
      <c r="D2894" t="s">
        <v>3229</v>
      </c>
      <c r="E2894" t="s">
        <v>150</v>
      </c>
      <c r="F2894" t="s">
        <v>3196</v>
      </c>
      <c r="G2894" t="s">
        <v>150</v>
      </c>
      <c r="H2894" t="s">
        <v>4890</v>
      </c>
      <c r="J2894">
        <v>62</v>
      </c>
    </row>
    <row r="2895" spans="1:10" x14ac:dyDescent="0.35">
      <c r="A2895">
        <v>6161101873666</v>
      </c>
      <c r="B2895" t="s">
        <v>3238</v>
      </c>
      <c r="C2895" t="s">
        <v>69</v>
      </c>
      <c r="D2895" t="s">
        <v>3195</v>
      </c>
      <c r="E2895" t="s">
        <v>150</v>
      </c>
      <c r="F2895" t="s">
        <v>3196</v>
      </c>
      <c r="G2895" t="s">
        <v>150</v>
      </c>
      <c r="H2895" t="s">
        <v>4890</v>
      </c>
      <c r="J2895">
        <v>7</v>
      </c>
    </row>
    <row r="2896" spans="1:10" x14ac:dyDescent="0.35">
      <c r="A2896">
        <v>6161101873765</v>
      </c>
      <c r="B2896" t="s">
        <v>3239</v>
      </c>
      <c r="C2896" t="s">
        <v>69</v>
      </c>
      <c r="D2896" t="s">
        <v>3240</v>
      </c>
      <c r="E2896" t="s">
        <v>117</v>
      </c>
      <c r="F2896" t="s">
        <v>3226</v>
      </c>
      <c r="G2896" t="s">
        <v>150</v>
      </c>
      <c r="H2896" t="s">
        <v>4896</v>
      </c>
      <c r="J2896">
        <v>10</v>
      </c>
    </row>
    <row r="2897" spans="1:10" x14ac:dyDescent="0.35">
      <c r="A2897">
        <v>6161101873802</v>
      </c>
      <c r="B2897" t="s">
        <v>3241</v>
      </c>
      <c r="C2897" t="s">
        <v>419</v>
      </c>
      <c r="D2897" t="s">
        <v>3195</v>
      </c>
      <c r="E2897" t="s">
        <v>150</v>
      </c>
      <c r="F2897" t="s">
        <v>3196</v>
      </c>
      <c r="G2897" t="s">
        <v>150</v>
      </c>
      <c r="H2897" t="s">
        <v>4890</v>
      </c>
      <c r="J2897">
        <v>2</v>
      </c>
    </row>
    <row r="2898" spans="1:10" x14ac:dyDescent="0.35">
      <c r="A2898">
        <v>6161101874564</v>
      </c>
      <c r="B2898" t="s">
        <v>3242</v>
      </c>
      <c r="C2898" t="s">
        <v>576</v>
      </c>
      <c r="D2898" t="s">
        <v>3243</v>
      </c>
      <c r="E2898" t="s">
        <v>117</v>
      </c>
      <c r="F2898" t="s">
        <v>3226</v>
      </c>
      <c r="G2898" t="s">
        <v>117</v>
      </c>
      <c r="H2898" t="s">
        <v>4896</v>
      </c>
      <c r="J2898">
        <v>120</v>
      </c>
    </row>
    <row r="2899" spans="1:10" x14ac:dyDescent="0.35">
      <c r="A2899">
        <v>6161101874571</v>
      </c>
      <c r="B2899" t="s">
        <v>581</v>
      </c>
      <c r="C2899" t="s">
        <v>472</v>
      </c>
      <c r="D2899" t="s">
        <v>3233</v>
      </c>
      <c r="E2899" t="s">
        <v>117</v>
      </c>
      <c r="F2899" t="s">
        <v>3226</v>
      </c>
      <c r="G2899" t="s">
        <v>117</v>
      </c>
      <c r="H2899" t="s">
        <v>4896</v>
      </c>
      <c r="J2899">
        <v>100</v>
      </c>
    </row>
    <row r="2900" spans="1:10" x14ac:dyDescent="0.35">
      <c r="A2900">
        <v>6161101874588</v>
      </c>
      <c r="B2900" t="s">
        <v>3244</v>
      </c>
      <c r="C2900" t="s">
        <v>472</v>
      </c>
      <c r="D2900" t="s">
        <v>3245</v>
      </c>
      <c r="E2900" t="s">
        <v>117</v>
      </c>
      <c r="F2900" t="s">
        <v>3226</v>
      </c>
      <c r="G2900" t="s">
        <v>117</v>
      </c>
      <c r="H2900" t="s">
        <v>4896</v>
      </c>
      <c r="J2900">
        <v>29</v>
      </c>
    </row>
    <row r="2901" spans="1:10" x14ac:dyDescent="0.35">
      <c r="A2901">
        <v>6161101874595</v>
      </c>
      <c r="B2901" t="s">
        <v>581</v>
      </c>
      <c r="C2901" t="s">
        <v>472</v>
      </c>
      <c r="D2901" t="s">
        <v>3246</v>
      </c>
      <c r="E2901" t="s">
        <v>117</v>
      </c>
      <c r="F2901" t="s">
        <v>3226</v>
      </c>
      <c r="G2901" t="s">
        <v>117</v>
      </c>
      <c r="H2901" t="s">
        <v>4896</v>
      </c>
      <c r="J2901">
        <v>61</v>
      </c>
    </row>
    <row r="2902" spans="1:10" x14ac:dyDescent="0.35">
      <c r="A2902">
        <v>6161101874601</v>
      </c>
      <c r="B2902" t="s">
        <v>3247</v>
      </c>
      <c r="C2902" t="s">
        <v>472</v>
      </c>
      <c r="D2902" t="s">
        <v>3248</v>
      </c>
      <c r="E2902" t="s">
        <v>117</v>
      </c>
      <c r="F2902" t="s">
        <v>3226</v>
      </c>
      <c r="G2902" t="s">
        <v>117</v>
      </c>
      <c r="H2902" t="s">
        <v>4896</v>
      </c>
      <c r="J2902">
        <v>117</v>
      </c>
    </row>
    <row r="2903" spans="1:10" x14ac:dyDescent="0.35">
      <c r="A2903">
        <v>6161101874618</v>
      </c>
      <c r="B2903" t="s">
        <v>3249</v>
      </c>
      <c r="C2903" t="s">
        <v>472</v>
      </c>
      <c r="D2903" t="s">
        <v>3245</v>
      </c>
      <c r="E2903" t="s">
        <v>117</v>
      </c>
      <c r="F2903" t="s">
        <v>3226</v>
      </c>
      <c r="G2903" t="s">
        <v>117</v>
      </c>
      <c r="H2903" t="s">
        <v>4896</v>
      </c>
      <c r="J2903">
        <v>36</v>
      </c>
    </row>
    <row r="2904" spans="1:10" x14ac:dyDescent="0.35">
      <c r="A2904">
        <v>6161101875493</v>
      </c>
      <c r="B2904" t="s">
        <v>1063</v>
      </c>
      <c r="C2904" t="s">
        <v>326</v>
      </c>
      <c r="D2904" t="s">
        <v>3227</v>
      </c>
      <c r="E2904" t="s">
        <v>117</v>
      </c>
      <c r="F2904" t="s">
        <v>3226</v>
      </c>
      <c r="G2904" t="s">
        <v>117</v>
      </c>
      <c r="H2904" t="s">
        <v>4896</v>
      </c>
      <c r="J2904">
        <v>2218</v>
      </c>
    </row>
    <row r="2905" spans="1:10" x14ac:dyDescent="0.35">
      <c r="A2905">
        <v>6161101876025</v>
      </c>
      <c r="B2905" t="s">
        <v>3250</v>
      </c>
      <c r="C2905" t="s">
        <v>83</v>
      </c>
      <c r="D2905" t="s">
        <v>3251</v>
      </c>
      <c r="E2905" t="s">
        <v>117</v>
      </c>
      <c r="F2905" t="s">
        <v>3226</v>
      </c>
      <c r="G2905" t="s">
        <v>117</v>
      </c>
      <c r="H2905" t="s">
        <v>4896</v>
      </c>
      <c r="J2905">
        <v>6</v>
      </c>
    </row>
    <row r="2906" spans="1:10" x14ac:dyDescent="0.35">
      <c r="A2906">
        <v>6161101876186</v>
      </c>
      <c r="B2906" t="s">
        <v>1847</v>
      </c>
      <c r="C2906" t="s">
        <v>9</v>
      </c>
      <c r="D2906" t="s">
        <v>3252</v>
      </c>
      <c r="E2906" t="s">
        <v>117</v>
      </c>
      <c r="F2906" t="s">
        <v>3226</v>
      </c>
      <c r="G2906" t="s">
        <v>117</v>
      </c>
      <c r="H2906" t="s">
        <v>4896</v>
      </c>
      <c r="J2906">
        <v>183</v>
      </c>
    </row>
    <row r="2907" spans="1:10" x14ac:dyDescent="0.35">
      <c r="A2907">
        <v>6161102006971</v>
      </c>
      <c r="B2907" t="s">
        <v>3253</v>
      </c>
      <c r="C2907" t="s">
        <v>9</v>
      </c>
      <c r="D2907" t="s">
        <v>1387</v>
      </c>
      <c r="E2907" t="s">
        <v>22</v>
      </c>
      <c r="F2907" t="s">
        <v>1388</v>
      </c>
      <c r="G2907" t="s">
        <v>11</v>
      </c>
      <c r="H2907" t="s">
        <v>4685</v>
      </c>
      <c r="J2907">
        <v>8</v>
      </c>
    </row>
    <row r="2908" spans="1:10" x14ac:dyDescent="0.35">
      <c r="A2908">
        <v>6161102007718</v>
      </c>
      <c r="B2908" t="s">
        <v>3254</v>
      </c>
      <c r="C2908" t="s">
        <v>967</v>
      </c>
      <c r="D2908" t="s">
        <v>3255</v>
      </c>
      <c r="E2908" t="s">
        <v>22</v>
      </c>
      <c r="F2908" t="s">
        <v>1385</v>
      </c>
      <c r="G2908" t="s">
        <v>150</v>
      </c>
      <c r="H2908" t="s">
        <v>4684</v>
      </c>
      <c r="J2908">
        <v>15</v>
      </c>
    </row>
    <row r="2909" spans="1:10" x14ac:dyDescent="0.35">
      <c r="A2909">
        <v>6161102050011</v>
      </c>
      <c r="B2909" t="s">
        <v>3256</v>
      </c>
      <c r="C2909" t="s">
        <v>253</v>
      </c>
      <c r="D2909" t="s">
        <v>3257</v>
      </c>
      <c r="E2909" t="s">
        <v>11</v>
      </c>
      <c r="F2909" t="s">
        <v>3258</v>
      </c>
      <c r="G2909" t="s">
        <v>11</v>
      </c>
      <c r="H2909" t="s">
        <v>4897</v>
      </c>
      <c r="J2909">
        <v>50</v>
      </c>
    </row>
    <row r="2910" spans="1:10" x14ac:dyDescent="0.35">
      <c r="A2910">
        <v>6161102050103</v>
      </c>
      <c r="B2910" t="s">
        <v>668</v>
      </c>
      <c r="C2910" t="s">
        <v>472</v>
      </c>
      <c r="D2910" t="s">
        <v>3259</v>
      </c>
      <c r="E2910" t="s">
        <v>11</v>
      </c>
      <c r="F2910" t="s">
        <v>3258</v>
      </c>
      <c r="G2910" t="s">
        <v>11</v>
      </c>
      <c r="H2910" t="s">
        <v>4897</v>
      </c>
      <c r="J2910">
        <v>88</v>
      </c>
    </row>
    <row r="2911" spans="1:10" x14ac:dyDescent="0.35">
      <c r="A2911">
        <v>6161102050110</v>
      </c>
      <c r="B2911" t="s">
        <v>3260</v>
      </c>
      <c r="C2911" t="s">
        <v>472</v>
      </c>
      <c r="D2911" t="s">
        <v>3259</v>
      </c>
      <c r="E2911" t="s">
        <v>11</v>
      </c>
      <c r="F2911" t="s">
        <v>3258</v>
      </c>
      <c r="G2911" t="s">
        <v>11</v>
      </c>
      <c r="H2911" t="s">
        <v>4897</v>
      </c>
      <c r="J2911">
        <v>133</v>
      </c>
    </row>
    <row r="2912" spans="1:10" x14ac:dyDescent="0.35">
      <c r="A2912">
        <v>6161102050127</v>
      </c>
      <c r="B2912" t="s">
        <v>703</v>
      </c>
      <c r="C2912" t="s">
        <v>472</v>
      </c>
      <c r="D2912" t="s">
        <v>3259</v>
      </c>
      <c r="E2912" t="s">
        <v>11</v>
      </c>
      <c r="F2912" t="s">
        <v>3258</v>
      </c>
      <c r="G2912" t="s">
        <v>11</v>
      </c>
      <c r="H2912" t="s">
        <v>4897</v>
      </c>
      <c r="J2912">
        <v>116</v>
      </c>
    </row>
    <row r="2913" spans="1:10" x14ac:dyDescent="0.35">
      <c r="A2913">
        <v>6161102050127</v>
      </c>
      <c r="B2913" t="s">
        <v>703</v>
      </c>
      <c r="C2913" t="s">
        <v>472</v>
      </c>
      <c r="D2913" t="s">
        <v>3259</v>
      </c>
      <c r="E2913" t="s">
        <v>11</v>
      </c>
      <c r="F2913" t="s">
        <v>3258</v>
      </c>
      <c r="G2913" t="s">
        <v>150</v>
      </c>
      <c r="H2913" t="s">
        <v>4897</v>
      </c>
      <c r="J2913">
        <v>2</v>
      </c>
    </row>
    <row r="2914" spans="1:10" x14ac:dyDescent="0.35">
      <c r="A2914">
        <v>6161102050387</v>
      </c>
      <c r="B2914" t="s">
        <v>509</v>
      </c>
      <c r="C2914" t="s">
        <v>78</v>
      </c>
      <c r="D2914" t="s">
        <v>3259</v>
      </c>
      <c r="E2914" t="s">
        <v>11</v>
      </c>
      <c r="F2914" t="s">
        <v>3258</v>
      </c>
      <c r="G2914" t="s">
        <v>11</v>
      </c>
      <c r="H2914" t="s">
        <v>4897</v>
      </c>
      <c r="J2914">
        <v>2</v>
      </c>
    </row>
    <row r="2915" spans="1:10" x14ac:dyDescent="0.35">
      <c r="A2915">
        <v>6161102050417</v>
      </c>
      <c r="B2915" t="s">
        <v>3261</v>
      </c>
      <c r="C2915" t="s">
        <v>472</v>
      </c>
      <c r="D2915" t="s">
        <v>3259</v>
      </c>
      <c r="E2915" t="s">
        <v>11</v>
      </c>
      <c r="F2915" t="s">
        <v>3258</v>
      </c>
      <c r="G2915" t="s">
        <v>11</v>
      </c>
      <c r="H2915" t="s">
        <v>4897</v>
      </c>
      <c r="J2915">
        <v>98</v>
      </c>
    </row>
    <row r="2916" spans="1:10" x14ac:dyDescent="0.35">
      <c r="A2916">
        <v>6161102050424</v>
      </c>
      <c r="B2916" t="s">
        <v>3262</v>
      </c>
      <c r="C2916" t="s">
        <v>576</v>
      </c>
      <c r="D2916" t="s">
        <v>3259</v>
      </c>
      <c r="E2916" t="s">
        <v>11</v>
      </c>
      <c r="F2916" t="s">
        <v>3258</v>
      </c>
      <c r="G2916" t="s">
        <v>11</v>
      </c>
      <c r="H2916" t="s">
        <v>4897</v>
      </c>
      <c r="J2916">
        <v>13</v>
      </c>
    </row>
    <row r="2917" spans="1:10" x14ac:dyDescent="0.35">
      <c r="A2917">
        <v>6161102050462</v>
      </c>
      <c r="B2917" t="s">
        <v>3263</v>
      </c>
      <c r="C2917" t="s">
        <v>814</v>
      </c>
      <c r="D2917" t="s">
        <v>3259</v>
      </c>
      <c r="E2917" t="s">
        <v>11</v>
      </c>
      <c r="F2917" t="s">
        <v>3258</v>
      </c>
      <c r="G2917" t="s">
        <v>11</v>
      </c>
      <c r="H2917" t="s">
        <v>4897</v>
      </c>
      <c r="J2917">
        <v>3</v>
      </c>
    </row>
    <row r="2918" spans="1:10" x14ac:dyDescent="0.35">
      <c r="A2918">
        <v>6161102050868</v>
      </c>
      <c r="B2918" t="s">
        <v>295</v>
      </c>
      <c r="C2918" t="s">
        <v>9</v>
      </c>
      <c r="D2918" t="s">
        <v>3264</v>
      </c>
      <c r="E2918" t="s">
        <v>11</v>
      </c>
      <c r="F2918" t="s">
        <v>3258</v>
      </c>
      <c r="G2918" t="s">
        <v>11</v>
      </c>
      <c r="H2918" t="s">
        <v>4897</v>
      </c>
      <c r="J2918">
        <v>20</v>
      </c>
    </row>
    <row r="2919" spans="1:10" x14ac:dyDescent="0.35">
      <c r="A2919">
        <v>6161102051162</v>
      </c>
      <c r="B2919" t="s">
        <v>2302</v>
      </c>
      <c r="C2919" t="s">
        <v>3265</v>
      </c>
      <c r="D2919" t="s">
        <v>3257</v>
      </c>
      <c r="E2919" t="s">
        <v>11</v>
      </c>
      <c r="F2919" t="s">
        <v>3258</v>
      </c>
      <c r="G2919" t="s">
        <v>11</v>
      </c>
      <c r="H2919" t="s">
        <v>4897</v>
      </c>
      <c r="J2919">
        <v>1</v>
      </c>
    </row>
    <row r="2920" spans="1:10" x14ac:dyDescent="0.35">
      <c r="A2920">
        <v>6161102061192</v>
      </c>
      <c r="B2920" t="s">
        <v>3266</v>
      </c>
      <c r="C2920" t="s">
        <v>801</v>
      </c>
      <c r="D2920" t="s">
        <v>2148</v>
      </c>
      <c r="E2920" t="s">
        <v>73</v>
      </c>
      <c r="F2920" t="s">
        <v>2149</v>
      </c>
      <c r="G2920" t="s">
        <v>11</v>
      </c>
      <c r="H2920" t="s">
        <v>4762</v>
      </c>
      <c r="J2920">
        <v>12</v>
      </c>
    </row>
    <row r="2921" spans="1:10" x14ac:dyDescent="0.35">
      <c r="A2921">
        <v>6161102062250</v>
      </c>
      <c r="B2921" t="s">
        <v>3267</v>
      </c>
      <c r="C2921" t="s">
        <v>9</v>
      </c>
      <c r="D2921" t="s">
        <v>3268</v>
      </c>
      <c r="E2921" t="s">
        <v>11</v>
      </c>
      <c r="F2921" t="s">
        <v>3269</v>
      </c>
      <c r="G2921" t="s">
        <v>11</v>
      </c>
      <c r="H2921" t="s">
        <v>4898</v>
      </c>
      <c r="J2921">
        <v>7</v>
      </c>
    </row>
    <row r="2922" spans="1:10" x14ac:dyDescent="0.35">
      <c r="A2922">
        <v>6161102062250</v>
      </c>
      <c r="B2922" t="s">
        <v>3267</v>
      </c>
      <c r="C2922" t="s">
        <v>9</v>
      </c>
      <c r="D2922" t="s">
        <v>3268</v>
      </c>
      <c r="E2922" t="s">
        <v>11</v>
      </c>
      <c r="F2922" t="s">
        <v>3269</v>
      </c>
      <c r="G2922" t="s">
        <v>31</v>
      </c>
      <c r="H2922" t="s">
        <v>4898</v>
      </c>
      <c r="J2922">
        <v>5</v>
      </c>
    </row>
    <row r="2923" spans="1:10" x14ac:dyDescent="0.35">
      <c r="A2923">
        <v>6161103120270</v>
      </c>
      <c r="B2923" t="s">
        <v>2207</v>
      </c>
      <c r="C2923" t="s">
        <v>75</v>
      </c>
      <c r="D2923" t="s">
        <v>3270</v>
      </c>
      <c r="E2923" t="s">
        <v>31</v>
      </c>
      <c r="F2923" t="s">
        <v>3271</v>
      </c>
      <c r="G2923" t="s">
        <v>150</v>
      </c>
      <c r="H2923" t="s">
        <v>4899</v>
      </c>
      <c r="J2923">
        <v>4</v>
      </c>
    </row>
    <row r="2924" spans="1:10" x14ac:dyDescent="0.35">
      <c r="A2924">
        <v>6161103120270</v>
      </c>
      <c r="B2924" t="s">
        <v>2207</v>
      </c>
      <c r="C2924" t="s">
        <v>75</v>
      </c>
      <c r="D2924" t="s">
        <v>3270</v>
      </c>
      <c r="E2924" t="s">
        <v>31</v>
      </c>
      <c r="F2924" t="s">
        <v>3271</v>
      </c>
      <c r="G2924" t="s">
        <v>31</v>
      </c>
      <c r="H2924" t="s">
        <v>4899</v>
      </c>
      <c r="J2924">
        <v>8</v>
      </c>
    </row>
    <row r="2925" spans="1:10" x14ac:dyDescent="0.35">
      <c r="A2925">
        <v>6161103120287</v>
      </c>
      <c r="B2925" t="s">
        <v>3272</v>
      </c>
      <c r="C2925" t="s">
        <v>801</v>
      </c>
      <c r="D2925" t="s">
        <v>3273</v>
      </c>
      <c r="E2925" t="s">
        <v>31</v>
      </c>
      <c r="F2925" t="s">
        <v>3274</v>
      </c>
      <c r="G2925" t="s">
        <v>33</v>
      </c>
      <c r="H2925" t="s">
        <v>4900</v>
      </c>
      <c r="J2925">
        <v>50</v>
      </c>
    </row>
    <row r="2926" spans="1:10" x14ac:dyDescent="0.35">
      <c r="A2926">
        <v>6161103120287</v>
      </c>
      <c r="B2926" t="s">
        <v>3272</v>
      </c>
      <c r="C2926" t="s">
        <v>801</v>
      </c>
      <c r="D2926" t="s">
        <v>3273</v>
      </c>
      <c r="E2926" t="s">
        <v>31</v>
      </c>
      <c r="F2926" t="s">
        <v>3274</v>
      </c>
      <c r="G2926" t="s">
        <v>150</v>
      </c>
      <c r="H2926" t="s">
        <v>4900</v>
      </c>
      <c r="J2926">
        <v>6</v>
      </c>
    </row>
    <row r="2927" spans="1:10" x14ac:dyDescent="0.35">
      <c r="A2927">
        <v>6161103120287</v>
      </c>
      <c r="B2927" t="s">
        <v>3272</v>
      </c>
      <c r="C2927" t="s">
        <v>801</v>
      </c>
      <c r="D2927" t="s">
        <v>3273</v>
      </c>
      <c r="E2927" t="s">
        <v>31</v>
      </c>
      <c r="F2927" t="s">
        <v>3274</v>
      </c>
      <c r="G2927" t="s">
        <v>31</v>
      </c>
      <c r="H2927" t="s">
        <v>4900</v>
      </c>
      <c r="J2927">
        <v>21</v>
      </c>
    </row>
    <row r="2928" spans="1:10" x14ac:dyDescent="0.35">
      <c r="A2928">
        <v>6161103120805</v>
      </c>
      <c r="B2928" t="s">
        <v>3275</v>
      </c>
      <c r="C2928" t="s">
        <v>78</v>
      </c>
      <c r="D2928" t="s">
        <v>2207</v>
      </c>
      <c r="E2928" t="s">
        <v>73</v>
      </c>
      <c r="F2928" t="s">
        <v>2208</v>
      </c>
      <c r="G2928" t="s">
        <v>34</v>
      </c>
      <c r="H2928" t="s">
        <v>4766</v>
      </c>
      <c r="J2928">
        <v>70</v>
      </c>
    </row>
    <row r="2929" spans="1:10" x14ac:dyDescent="0.35">
      <c r="A2929">
        <v>6161103120805</v>
      </c>
      <c r="B2929" t="s">
        <v>3275</v>
      </c>
      <c r="C2929" t="s">
        <v>78</v>
      </c>
      <c r="D2929" t="s">
        <v>2207</v>
      </c>
      <c r="E2929" t="s">
        <v>73</v>
      </c>
      <c r="F2929" t="s">
        <v>2208</v>
      </c>
      <c r="G2929" t="s">
        <v>31</v>
      </c>
      <c r="H2929" t="s">
        <v>4766</v>
      </c>
      <c r="J2929">
        <v>4</v>
      </c>
    </row>
    <row r="2930" spans="1:10" x14ac:dyDescent="0.35">
      <c r="A2930">
        <v>6161103121659</v>
      </c>
      <c r="B2930" t="s">
        <v>852</v>
      </c>
      <c r="C2930" t="s">
        <v>192</v>
      </c>
      <c r="D2930" t="s">
        <v>3276</v>
      </c>
      <c r="E2930" t="s">
        <v>31</v>
      </c>
      <c r="F2930" t="s">
        <v>3271</v>
      </c>
      <c r="G2930" t="s">
        <v>150</v>
      </c>
      <c r="H2930" t="s">
        <v>4899</v>
      </c>
      <c r="J2930">
        <v>9</v>
      </c>
    </row>
    <row r="2931" spans="1:10" x14ac:dyDescent="0.35">
      <c r="A2931">
        <v>6161103121659</v>
      </c>
      <c r="B2931" t="s">
        <v>852</v>
      </c>
      <c r="C2931" t="s">
        <v>192</v>
      </c>
      <c r="D2931" t="s">
        <v>3276</v>
      </c>
      <c r="E2931" t="s">
        <v>31</v>
      </c>
      <c r="F2931" t="s">
        <v>3271</v>
      </c>
      <c r="G2931" t="s">
        <v>31</v>
      </c>
      <c r="H2931" t="s">
        <v>4899</v>
      </c>
      <c r="J2931">
        <v>16</v>
      </c>
    </row>
    <row r="2932" spans="1:10" x14ac:dyDescent="0.35">
      <c r="A2932">
        <v>6161103121673</v>
      </c>
      <c r="B2932" t="s">
        <v>3277</v>
      </c>
      <c r="C2932" t="s">
        <v>9</v>
      </c>
      <c r="D2932" t="s">
        <v>3276</v>
      </c>
      <c r="E2932" t="s">
        <v>31</v>
      </c>
      <c r="F2932" t="s">
        <v>3271</v>
      </c>
      <c r="G2932" t="s">
        <v>31</v>
      </c>
      <c r="H2932" t="s">
        <v>4899</v>
      </c>
      <c r="J2932">
        <v>208</v>
      </c>
    </row>
    <row r="2933" spans="1:10" x14ac:dyDescent="0.35">
      <c r="A2933">
        <v>6161103122731</v>
      </c>
      <c r="B2933" t="s">
        <v>3278</v>
      </c>
      <c r="C2933" t="s">
        <v>110</v>
      </c>
      <c r="D2933" t="s">
        <v>3276</v>
      </c>
      <c r="E2933" t="s">
        <v>31</v>
      </c>
      <c r="F2933" t="s">
        <v>3271</v>
      </c>
      <c r="G2933" t="s">
        <v>31</v>
      </c>
      <c r="H2933" t="s">
        <v>4899</v>
      </c>
      <c r="J2933">
        <v>4</v>
      </c>
    </row>
    <row r="2934" spans="1:10" x14ac:dyDescent="0.35">
      <c r="A2934">
        <v>6161103376042</v>
      </c>
      <c r="B2934" t="s">
        <v>3279</v>
      </c>
      <c r="C2934" t="s">
        <v>568</v>
      </c>
      <c r="D2934" t="s">
        <v>3280</v>
      </c>
      <c r="E2934" t="s">
        <v>11</v>
      </c>
      <c r="F2934" t="s">
        <v>3281</v>
      </c>
      <c r="G2934" t="s">
        <v>61</v>
      </c>
      <c r="H2934" t="s">
        <v>4901</v>
      </c>
      <c r="J2934">
        <v>1</v>
      </c>
    </row>
    <row r="2935" spans="1:10" x14ac:dyDescent="0.35">
      <c r="A2935">
        <v>6161104216019</v>
      </c>
      <c r="B2935" t="s">
        <v>852</v>
      </c>
      <c r="C2935" t="s">
        <v>9</v>
      </c>
      <c r="D2935" t="s">
        <v>3282</v>
      </c>
      <c r="E2935" t="s">
        <v>11</v>
      </c>
      <c r="F2935" t="s">
        <v>3283</v>
      </c>
      <c r="G2935" t="s">
        <v>11</v>
      </c>
      <c r="H2935" t="s">
        <v>4902</v>
      </c>
      <c r="J2935">
        <v>2</v>
      </c>
    </row>
    <row r="2936" spans="1:10" x14ac:dyDescent="0.35">
      <c r="A2936">
        <v>6161104216019</v>
      </c>
      <c r="B2936" t="s">
        <v>852</v>
      </c>
      <c r="C2936" t="s">
        <v>9</v>
      </c>
      <c r="D2936" t="s">
        <v>3282</v>
      </c>
      <c r="E2936" t="s">
        <v>11</v>
      </c>
      <c r="F2936" t="s">
        <v>3283</v>
      </c>
      <c r="G2936" t="s">
        <v>61</v>
      </c>
      <c r="H2936" t="s">
        <v>4902</v>
      </c>
      <c r="J2936">
        <v>100</v>
      </c>
    </row>
    <row r="2937" spans="1:10" x14ac:dyDescent="0.35">
      <c r="A2937">
        <v>6161104216026</v>
      </c>
      <c r="B2937" t="s">
        <v>3284</v>
      </c>
      <c r="C2937" t="s">
        <v>1573</v>
      </c>
      <c r="D2937" t="s">
        <v>3282</v>
      </c>
      <c r="E2937" t="s">
        <v>11</v>
      </c>
      <c r="F2937" t="s">
        <v>3283</v>
      </c>
      <c r="G2937" t="s">
        <v>11</v>
      </c>
      <c r="H2937" t="s">
        <v>4902</v>
      </c>
      <c r="J2937">
        <v>16</v>
      </c>
    </row>
    <row r="2938" spans="1:10" x14ac:dyDescent="0.35">
      <c r="A2938">
        <v>6161104340127</v>
      </c>
      <c r="B2938" t="s">
        <v>2298</v>
      </c>
      <c r="C2938" t="s">
        <v>1805</v>
      </c>
      <c r="D2938" t="s">
        <v>3285</v>
      </c>
      <c r="E2938" t="s">
        <v>308</v>
      </c>
      <c r="F2938" t="s">
        <v>309</v>
      </c>
      <c r="G2938" t="s">
        <v>150</v>
      </c>
      <c r="H2938" t="s">
        <v>4529</v>
      </c>
      <c r="J2938">
        <v>8</v>
      </c>
    </row>
    <row r="2939" spans="1:10" x14ac:dyDescent="0.35">
      <c r="A2939">
        <v>6161104401132</v>
      </c>
      <c r="B2939" t="s">
        <v>3286</v>
      </c>
      <c r="C2939" t="s">
        <v>9</v>
      </c>
      <c r="D2939" t="s">
        <v>2464</v>
      </c>
      <c r="E2939" t="s">
        <v>11</v>
      </c>
      <c r="F2939" t="s">
        <v>2465</v>
      </c>
      <c r="G2939" t="s">
        <v>61</v>
      </c>
      <c r="H2939" t="s">
        <v>4806</v>
      </c>
      <c r="J2939">
        <v>3</v>
      </c>
    </row>
    <row r="2940" spans="1:10" x14ac:dyDescent="0.35">
      <c r="A2940">
        <v>6161104401545</v>
      </c>
      <c r="B2940" t="s">
        <v>3287</v>
      </c>
      <c r="C2940" t="s">
        <v>385</v>
      </c>
      <c r="D2940" t="s">
        <v>2464</v>
      </c>
      <c r="E2940" t="s">
        <v>11</v>
      </c>
      <c r="F2940" t="s">
        <v>2465</v>
      </c>
      <c r="G2940" t="s">
        <v>11</v>
      </c>
      <c r="H2940" t="s">
        <v>4806</v>
      </c>
      <c r="J2940">
        <v>41</v>
      </c>
    </row>
    <row r="2941" spans="1:10" x14ac:dyDescent="0.35">
      <c r="A2941">
        <v>6161104401828</v>
      </c>
      <c r="B2941" t="s">
        <v>3288</v>
      </c>
      <c r="C2941" t="s">
        <v>9</v>
      </c>
      <c r="D2941" t="s">
        <v>2464</v>
      </c>
      <c r="E2941" t="s">
        <v>11</v>
      </c>
      <c r="F2941" t="s">
        <v>2465</v>
      </c>
      <c r="G2941" t="s">
        <v>11</v>
      </c>
      <c r="H2941" t="s">
        <v>4806</v>
      </c>
      <c r="J2941">
        <v>302</v>
      </c>
    </row>
    <row r="2942" spans="1:10" x14ac:dyDescent="0.35">
      <c r="A2942">
        <v>6161104401835</v>
      </c>
      <c r="B2942" t="s">
        <v>3289</v>
      </c>
      <c r="C2942" t="s">
        <v>81</v>
      </c>
      <c r="D2942" t="s">
        <v>2464</v>
      </c>
      <c r="E2942" t="s">
        <v>11</v>
      </c>
      <c r="F2942" t="s">
        <v>2465</v>
      </c>
      <c r="G2942" t="s">
        <v>11</v>
      </c>
      <c r="H2942" t="s">
        <v>4806</v>
      </c>
      <c r="J2942">
        <v>56</v>
      </c>
    </row>
    <row r="2943" spans="1:10" x14ac:dyDescent="0.35">
      <c r="A2943">
        <v>6161104401842</v>
      </c>
      <c r="B2943" t="s">
        <v>3288</v>
      </c>
      <c r="C2943" t="s">
        <v>192</v>
      </c>
      <c r="D2943" t="s">
        <v>2464</v>
      </c>
      <c r="E2943" t="s">
        <v>11</v>
      </c>
      <c r="F2943" t="s">
        <v>2465</v>
      </c>
      <c r="G2943" t="s">
        <v>11</v>
      </c>
      <c r="H2943" t="s">
        <v>4806</v>
      </c>
      <c r="J2943">
        <v>3</v>
      </c>
    </row>
    <row r="2944" spans="1:10" x14ac:dyDescent="0.35">
      <c r="A2944">
        <v>6161104401859</v>
      </c>
      <c r="B2944" t="s">
        <v>3288</v>
      </c>
      <c r="C2944" t="s">
        <v>75</v>
      </c>
      <c r="D2944" t="s">
        <v>2464</v>
      </c>
      <c r="E2944" t="s">
        <v>11</v>
      </c>
      <c r="F2944" t="s">
        <v>2465</v>
      </c>
      <c r="G2944" t="s">
        <v>11</v>
      </c>
      <c r="H2944" t="s">
        <v>4806</v>
      </c>
      <c r="J2944">
        <v>2</v>
      </c>
    </row>
    <row r="2945" spans="1:10" x14ac:dyDescent="0.35">
      <c r="A2945">
        <v>6161104402061</v>
      </c>
      <c r="B2945" t="s">
        <v>1320</v>
      </c>
      <c r="C2945" t="s">
        <v>1296</v>
      </c>
      <c r="D2945" t="s">
        <v>2464</v>
      </c>
      <c r="E2945" t="s">
        <v>11</v>
      </c>
      <c r="F2945" t="s">
        <v>2465</v>
      </c>
      <c r="G2945" t="s">
        <v>11</v>
      </c>
      <c r="H2945" t="s">
        <v>4806</v>
      </c>
      <c r="J2945">
        <v>22</v>
      </c>
    </row>
    <row r="2946" spans="1:10" x14ac:dyDescent="0.35">
      <c r="A2946">
        <v>6161104402528</v>
      </c>
      <c r="B2946" t="s">
        <v>3290</v>
      </c>
      <c r="C2946" t="s">
        <v>3291</v>
      </c>
      <c r="D2946" t="s">
        <v>2464</v>
      </c>
      <c r="E2946" t="s">
        <v>11</v>
      </c>
      <c r="F2946" t="s">
        <v>2465</v>
      </c>
      <c r="G2946" t="s">
        <v>11</v>
      </c>
      <c r="H2946" t="s">
        <v>4806</v>
      </c>
      <c r="J2946">
        <v>7</v>
      </c>
    </row>
    <row r="2947" spans="1:10" x14ac:dyDescent="0.35">
      <c r="A2947">
        <v>6161104940068</v>
      </c>
      <c r="B2947" t="s">
        <v>3292</v>
      </c>
      <c r="C2947" t="s">
        <v>43</v>
      </c>
      <c r="D2947" t="s">
        <v>3293</v>
      </c>
      <c r="E2947" t="s">
        <v>11</v>
      </c>
      <c r="F2947" t="s">
        <v>3293</v>
      </c>
      <c r="G2947" t="s">
        <v>61</v>
      </c>
      <c r="H2947" t="s">
        <v>4903</v>
      </c>
      <c r="J2947">
        <v>5</v>
      </c>
    </row>
    <row r="2948" spans="1:10" x14ac:dyDescent="0.35">
      <c r="A2948">
        <v>6161105296690</v>
      </c>
      <c r="B2948" t="s">
        <v>3294</v>
      </c>
      <c r="C2948" t="s">
        <v>1341</v>
      </c>
      <c r="D2948" t="s">
        <v>414</v>
      </c>
      <c r="E2948" t="s">
        <v>61</v>
      </c>
      <c r="F2948" t="s">
        <v>85</v>
      </c>
      <c r="G2948" t="s">
        <v>61</v>
      </c>
      <c r="H2948" t="s">
        <v>4503</v>
      </c>
      <c r="J2948">
        <v>2</v>
      </c>
    </row>
    <row r="2949" spans="1:10" x14ac:dyDescent="0.35">
      <c r="A2949">
        <v>6161105297703</v>
      </c>
      <c r="B2949" t="s">
        <v>3295</v>
      </c>
      <c r="C2949" t="s">
        <v>1341</v>
      </c>
      <c r="D2949" t="s">
        <v>414</v>
      </c>
      <c r="E2949" t="s">
        <v>61</v>
      </c>
      <c r="F2949" t="s">
        <v>85</v>
      </c>
      <c r="G2949" t="s">
        <v>150</v>
      </c>
      <c r="H2949" t="s">
        <v>4503</v>
      </c>
      <c r="J2949">
        <v>15</v>
      </c>
    </row>
    <row r="2950" spans="1:10" x14ac:dyDescent="0.35">
      <c r="A2950">
        <v>6161105299455</v>
      </c>
      <c r="B2950" t="s">
        <v>3296</v>
      </c>
      <c r="C2950" t="s">
        <v>38</v>
      </c>
      <c r="D2950" t="s">
        <v>3297</v>
      </c>
      <c r="E2950" t="s">
        <v>61</v>
      </c>
      <c r="F2950" t="s">
        <v>85</v>
      </c>
      <c r="G2950" t="s">
        <v>61</v>
      </c>
      <c r="H2950" t="s">
        <v>4503</v>
      </c>
      <c r="J2950">
        <v>47</v>
      </c>
    </row>
    <row r="2951" spans="1:10" x14ac:dyDescent="0.35">
      <c r="A2951">
        <v>6161105381099</v>
      </c>
      <c r="B2951" t="s">
        <v>834</v>
      </c>
      <c r="C2951" t="s">
        <v>9</v>
      </c>
      <c r="D2951" t="s">
        <v>2762</v>
      </c>
      <c r="E2951" t="s">
        <v>15</v>
      </c>
      <c r="F2951" t="s">
        <v>56</v>
      </c>
      <c r="G2951" t="s">
        <v>11</v>
      </c>
      <c r="H2951" t="s">
        <v>4497</v>
      </c>
      <c r="J2951">
        <v>107</v>
      </c>
    </row>
    <row r="2952" spans="1:10" x14ac:dyDescent="0.35">
      <c r="A2952">
        <v>6161105381105</v>
      </c>
      <c r="B2952" t="s">
        <v>834</v>
      </c>
      <c r="C2952" t="s">
        <v>81</v>
      </c>
      <c r="D2952" t="s">
        <v>2762</v>
      </c>
      <c r="E2952" t="s">
        <v>15</v>
      </c>
      <c r="F2952" t="s">
        <v>56</v>
      </c>
      <c r="G2952" t="s">
        <v>11</v>
      </c>
      <c r="H2952" t="s">
        <v>4497</v>
      </c>
      <c r="J2952">
        <v>21</v>
      </c>
    </row>
    <row r="2953" spans="1:10" x14ac:dyDescent="0.35">
      <c r="A2953">
        <v>6161105381112</v>
      </c>
      <c r="B2953" t="s">
        <v>834</v>
      </c>
      <c r="C2953" t="s">
        <v>192</v>
      </c>
      <c r="D2953" t="s">
        <v>2762</v>
      </c>
      <c r="E2953" t="s">
        <v>15</v>
      </c>
      <c r="F2953" t="s">
        <v>56</v>
      </c>
      <c r="G2953" t="s">
        <v>11</v>
      </c>
      <c r="H2953" t="s">
        <v>4497</v>
      </c>
      <c r="J2953">
        <v>4</v>
      </c>
    </row>
    <row r="2954" spans="1:10" x14ac:dyDescent="0.35">
      <c r="A2954">
        <v>6161105381112</v>
      </c>
      <c r="B2954" t="s">
        <v>834</v>
      </c>
      <c r="C2954" t="s">
        <v>192</v>
      </c>
      <c r="D2954" t="s">
        <v>2762</v>
      </c>
      <c r="E2954" t="s">
        <v>15</v>
      </c>
      <c r="F2954" t="s">
        <v>56</v>
      </c>
      <c r="G2954" t="s">
        <v>34</v>
      </c>
      <c r="H2954" t="s">
        <v>4497</v>
      </c>
      <c r="J2954">
        <v>1</v>
      </c>
    </row>
    <row r="2955" spans="1:10" x14ac:dyDescent="0.35">
      <c r="A2955">
        <v>6161105450030</v>
      </c>
      <c r="B2955" t="s">
        <v>295</v>
      </c>
      <c r="C2955" t="s">
        <v>1154</v>
      </c>
      <c r="D2955" t="s">
        <v>3298</v>
      </c>
      <c r="E2955" t="s">
        <v>31</v>
      </c>
      <c r="F2955" t="s">
        <v>1086</v>
      </c>
      <c r="G2955" t="s">
        <v>150</v>
      </c>
      <c r="H2955" t="s">
        <v>4647</v>
      </c>
      <c r="J2955">
        <v>2</v>
      </c>
    </row>
    <row r="2956" spans="1:10" x14ac:dyDescent="0.35">
      <c r="A2956">
        <v>6161105450160</v>
      </c>
      <c r="B2956" t="s">
        <v>3299</v>
      </c>
      <c r="C2956" t="s">
        <v>825</v>
      </c>
      <c r="D2956" t="s">
        <v>1085</v>
      </c>
      <c r="E2956" t="s">
        <v>31</v>
      </c>
      <c r="F2956" t="s">
        <v>1086</v>
      </c>
      <c r="G2956" t="s">
        <v>31</v>
      </c>
      <c r="H2956" t="s">
        <v>4647</v>
      </c>
      <c r="J2956">
        <v>23</v>
      </c>
    </row>
    <row r="2957" spans="1:10" x14ac:dyDescent="0.35">
      <c r="A2957">
        <v>6161105450283</v>
      </c>
      <c r="B2957" t="s">
        <v>1419</v>
      </c>
      <c r="C2957" t="s">
        <v>114</v>
      </c>
      <c r="D2957" t="s">
        <v>1085</v>
      </c>
      <c r="E2957" t="s">
        <v>31</v>
      </c>
      <c r="F2957" t="s">
        <v>1086</v>
      </c>
      <c r="G2957" t="s">
        <v>31</v>
      </c>
      <c r="H2957" t="s">
        <v>4647</v>
      </c>
      <c r="J2957">
        <v>52</v>
      </c>
    </row>
    <row r="2958" spans="1:10" x14ac:dyDescent="0.35">
      <c r="A2958">
        <v>6161105450597</v>
      </c>
      <c r="B2958" t="s">
        <v>295</v>
      </c>
      <c r="C2958" t="s">
        <v>472</v>
      </c>
      <c r="D2958" t="s">
        <v>2261</v>
      </c>
      <c r="E2958" t="s">
        <v>34</v>
      </c>
      <c r="F2958" t="s">
        <v>2262</v>
      </c>
      <c r="G2958" t="s">
        <v>33</v>
      </c>
      <c r="H2958" t="s">
        <v>4778</v>
      </c>
      <c r="I2958">
        <v>25</v>
      </c>
      <c r="J2958">
        <v>25</v>
      </c>
    </row>
    <row r="2959" spans="1:10" x14ac:dyDescent="0.35">
      <c r="A2959">
        <v>6161105450597</v>
      </c>
      <c r="B2959" t="s">
        <v>295</v>
      </c>
      <c r="C2959" t="s">
        <v>472</v>
      </c>
      <c r="D2959" t="s">
        <v>2261</v>
      </c>
      <c r="E2959" t="s">
        <v>34</v>
      </c>
      <c r="F2959" t="s">
        <v>2262</v>
      </c>
      <c r="G2959" t="s">
        <v>34</v>
      </c>
      <c r="H2959" t="s">
        <v>4778</v>
      </c>
      <c r="I2959">
        <v>25</v>
      </c>
      <c r="J2959">
        <v>2311</v>
      </c>
    </row>
    <row r="2960" spans="1:10" x14ac:dyDescent="0.35">
      <c r="A2960">
        <v>6161105450597</v>
      </c>
      <c r="B2960" t="s">
        <v>295</v>
      </c>
      <c r="C2960" t="s">
        <v>472</v>
      </c>
      <c r="D2960" t="s">
        <v>2261</v>
      </c>
      <c r="E2960" t="s">
        <v>34</v>
      </c>
      <c r="F2960" t="s">
        <v>2262</v>
      </c>
      <c r="G2960" t="s">
        <v>150</v>
      </c>
      <c r="H2960" t="s">
        <v>4778</v>
      </c>
      <c r="I2960">
        <v>25</v>
      </c>
      <c r="J2960">
        <v>16</v>
      </c>
    </row>
    <row r="2961" spans="1:10" x14ac:dyDescent="0.35">
      <c r="A2961">
        <v>6161105450597</v>
      </c>
      <c r="B2961" t="s">
        <v>295</v>
      </c>
      <c r="C2961" t="s">
        <v>472</v>
      </c>
      <c r="D2961" t="s">
        <v>2261</v>
      </c>
      <c r="E2961" t="s">
        <v>34</v>
      </c>
      <c r="F2961" t="s">
        <v>2262</v>
      </c>
      <c r="G2961" t="s">
        <v>31</v>
      </c>
      <c r="H2961" t="s">
        <v>4778</v>
      </c>
      <c r="I2961">
        <v>25</v>
      </c>
      <c r="J2961">
        <v>109</v>
      </c>
    </row>
    <row r="2962" spans="1:10" x14ac:dyDescent="0.35">
      <c r="A2962">
        <v>6161105451266</v>
      </c>
      <c r="B2962" t="s">
        <v>346</v>
      </c>
      <c r="C2962" t="s">
        <v>9</v>
      </c>
      <c r="D2962" t="s">
        <v>3300</v>
      </c>
      <c r="E2962" t="s">
        <v>31</v>
      </c>
      <c r="F2962" t="s">
        <v>1086</v>
      </c>
      <c r="G2962" t="s">
        <v>31</v>
      </c>
      <c r="H2962" t="s">
        <v>4647</v>
      </c>
      <c r="J2962">
        <v>48</v>
      </c>
    </row>
    <row r="2963" spans="1:10" x14ac:dyDescent="0.35">
      <c r="A2963">
        <v>6161105451273</v>
      </c>
      <c r="B2963" t="s">
        <v>3301</v>
      </c>
      <c r="C2963" t="s">
        <v>9</v>
      </c>
      <c r="D2963" t="s">
        <v>3300</v>
      </c>
      <c r="E2963" t="s">
        <v>31</v>
      </c>
      <c r="F2963" t="s">
        <v>1086</v>
      </c>
      <c r="G2963" t="s">
        <v>31</v>
      </c>
      <c r="H2963" t="s">
        <v>4647</v>
      </c>
      <c r="J2963">
        <v>55</v>
      </c>
    </row>
    <row r="2964" spans="1:10" x14ac:dyDescent="0.35">
      <c r="A2964">
        <v>6161105451365</v>
      </c>
      <c r="B2964" t="s">
        <v>3302</v>
      </c>
      <c r="C2964" t="s">
        <v>1154</v>
      </c>
      <c r="D2964" t="s">
        <v>1085</v>
      </c>
      <c r="E2964" t="s">
        <v>31</v>
      </c>
      <c r="F2964" t="s">
        <v>1086</v>
      </c>
      <c r="G2964" t="s">
        <v>150</v>
      </c>
      <c r="H2964" t="s">
        <v>4647</v>
      </c>
      <c r="J2964">
        <v>2</v>
      </c>
    </row>
    <row r="2965" spans="1:10" x14ac:dyDescent="0.35">
      <c r="A2965">
        <v>6161105451365</v>
      </c>
      <c r="B2965" t="s">
        <v>3302</v>
      </c>
      <c r="C2965" t="s">
        <v>1154</v>
      </c>
      <c r="D2965" t="s">
        <v>1085</v>
      </c>
      <c r="E2965" t="s">
        <v>31</v>
      </c>
      <c r="F2965" t="s">
        <v>1086</v>
      </c>
      <c r="G2965" t="s">
        <v>31</v>
      </c>
      <c r="H2965" t="s">
        <v>4647</v>
      </c>
      <c r="J2965">
        <v>17</v>
      </c>
    </row>
    <row r="2966" spans="1:10" x14ac:dyDescent="0.35">
      <c r="A2966">
        <v>6161105451549</v>
      </c>
      <c r="B2966" t="s">
        <v>3303</v>
      </c>
      <c r="C2966" t="s">
        <v>1154</v>
      </c>
      <c r="D2966" t="s">
        <v>1085</v>
      </c>
      <c r="E2966" t="s">
        <v>31</v>
      </c>
      <c r="F2966" t="s">
        <v>1086</v>
      </c>
      <c r="G2966" t="s">
        <v>31</v>
      </c>
      <c r="H2966" t="s">
        <v>4647</v>
      </c>
      <c r="J2966">
        <v>116</v>
      </c>
    </row>
    <row r="2967" spans="1:10" x14ac:dyDescent="0.35">
      <c r="A2967">
        <v>6161105451587</v>
      </c>
      <c r="B2967" t="s">
        <v>1815</v>
      </c>
      <c r="C2967" t="s">
        <v>1154</v>
      </c>
      <c r="D2967" t="s">
        <v>1085</v>
      </c>
      <c r="E2967" t="s">
        <v>31</v>
      </c>
      <c r="F2967" t="s">
        <v>1086</v>
      </c>
      <c r="G2967" t="s">
        <v>31</v>
      </c>
      <c r="H2967" t="s">
        <v>4647</v>
      </c>
      <c r="J2967">
        <v>54</v>
      </c>
    </row>
    <row r="2968" spans="1:10" x14ac:dyDescent="0.35">
      <c r="A2968">
        <v>6161105453550</v>
      </c>
      <c r="B2968" t="s">
        <v>3304</v>
      </c>
      <c r="C2968" t="s">
        <v>9</v>
      </c>
      <c r="D2968" t="s">
        <v>3300</v>
      </c>
      <c r="E2968" t="s">
        <v>31</v>
      </c>
      <c r="F2968" t="s">
        <v>1086</v>
      </c>
      <c r="G2968" t="s">
        <v>31</v>
      </c>
      <c r="H2968" t="s">
        <v>4647</v>
      </c>
      <c r="J2968">
        <v>1</v>
      </c>
    </row>
    <row r="2969" spans="1:10" x14ac:dyDescent="0.35">
      <c r="A2969">
        <v>6161105453567</v>
      </c>
      <c r="B2969" t="s">
        <v>1419</v>
      </c>
      <c r="C2969" t="s">
        <v>9</v>
      </c>
      <c r="D2969" t="s">
        <v>3305</v>
      </c>
      <c r="E2969" t="s">
        <v>31</v>
      </c>
      <c r="F2969" t="s">
        <v>1086</v>
      </c>
      <c r="G2969" t="s">
        <v>150</v>
      </c>
      <c r="H2969" t="s">
        <v>4647</v>
      </c>
      <c r="J2969">
        <v>1</v>
      </c>
    </row>
    <row r="2970" spans="1:10" x14ac:dyDescent="0.35">
      <c r="A2970">
        <v>6161105453567</v>
      </c>
      <c r="B2970" t="s">
        <v>1419</v>
      </c>
      <c r="C2970" t="s">
        <v>9</v>
      </c>
      <c r="D2970" t="s">
        <v>3305</v>
      </c>
      <c r="E2970" t="s">
        <v>31</v>
      </c>
      <c r="F2970" t="s">
        <v>1086</v>
      </c>
      <c r="G2970" t="s">
        <v>31</v>
      </c>
      <c r="H2970" t="s">
        <v>4647</v>
      </c>
      <c r="J2970">
        <v>38</v>
      </c>
    </row>
    <row r="2971" spans="1:10" x14ac:dyDescent="0.35">
      <c r="A2971">
        <v>6161105453680</v>
      </c>
      <c r="B2971" t="s">
        <v>384</v>
      </c>
      <c r="C2971" t="s">
        <v>1154</v>
      </c>
      <c r="D2971" t="s">
        <v>1085</v>
      </c>
      <c r="E2971" t="s">
        <v>31</v>
      </c>
      <c r="F2971" t="s">
        <v>1086</v>
      </c>
      <c r="G2971" t="s">
        <v>31</v>
      </c>
      <c r="H2971" t="s">
        <v>4647</v>
      </c>
      <c r="J2971">
        <v>6</v>
      </c>
    </row>
    <row r="2972" spans="1:10" x14ac:dyDescent="0.35">
      <c r="A2972">
        <v>6161105454182</v>
      </c>
      <c r="B2972" t="s">
        <v>3306</v>
      </c>
      <c r="C2972" t="s">
        <v>1084</v>
      </c>
      <c r="D2972" t="s">
        <v>1085</v>
      </c>
      <c r="E2972" t="s">
        <v>31</v>
      </c>
      <c r="F2972" t="s">
        <v>1086</v>
      </c>
      <c r="G2972" t="s">
        <v>31</v>
      </c>
      <c r="H2972" t="s">
        <v>4647</v>
      </c>
      <c r="J2972">
        <v>34</v>
      </c>
    </row>
    <row r="2973" spans="1:10" x14ac:dyDescent="0.35">
      <c r="A2973">
        <v>6161105454441</v>
      </c>
      <c r="B2973" t="s">
        <v>3307</v>
      </c>
      <c r="C2973" t="s">
        <v>38</v>
      </c>
      <c r="D2973" t="s">
        <v>3308</v>
      </c>
      <c r="E2973" t="s">
        <v>308</v>
      </c>
      <c r="F2973" t="s">
        <v>309</v>
      </c>
      <c r="G2973" t="s">
        <v>31</v>
      </c>
      <c r="H2973" t="s">
        <v>4529</v>
      </c>
      <c r="J2973">
        <v>6</v>
      </c>
    </row>
    <row r="2974" spans="1:10" x14ac:dyDescent="0.35">
      <c r="A2974">
        <v>6161105770008</v>
      </c>
      <c r="B2974" t="s">
        <v>8</v>
      </c>
      <c r="C2974" t="s">
        <v>9</v>
      </c>
      <c r="D2974" t="s">
        <v>3309</v>
      </c>
      <c r="E2974" t="s">
        <v>11</v>
      </c>
      <c r="F2974" t="s">
        <v>3310</v>
      </c>
      <c r="G2974" t="s">
        <v>11</v>
      </c>
      <c r="H2974" t="s">
        <v>4904</v>
      </c>
      <c r="J2974">
        <v>54</v>
      </c>
    </row>
    <row r="2975" spans="1:10" x14ac:dyDescent="0.35">
      <c r="A2975">
        <v>6161105770008</v>
      </c>
      <c r="B2975" t="s">
        <v>8</v>
      </c>
      <c r="C2975" t="s">
        <v>9</v>
      </c>
      <c r="D2975" t="s">
        <v>3309</v>
      </c>
      <c r="E2975" t="s">
        <v>11</v>
      </c>
      <c r="F2975" t="s">
        <v>3310</v>
      </c>
      <c r="G2975" t="s">
        <v>31</v>
      </c>
      <c r="H2975" t="s">
        <v>4904</v>
      </c>
      <c r="J2975">
        <v>1</v>
      </c>
    </row>
    <row r="2976" spans="1:10" x14ac:dyDescent="0.35">
      <c r="A2976">
        <v>6161105770022</v>
      </c>
      <c r="B2976" t="s">
        <v>2795</v>
      </c>
      <c r="C2976" t="s">
        <v>192</v>
      </c>
      <c r="D2976" t="s">
        <v>3309</v>
      </c>
      <c r="E2976" t="s">
        <v>11</v>
      </c>
      <c r="F2976" t="s">
        <v>3310</v>
      </c>
      <c r="G2976" t="s">
        <v>11</v>
      </c>
      <c r="H2976" t="s">
        <v>4904</v>
      </c>
      <c r="J2976">
        <v>3</v>
      </c>
    </row>
    <row r="2977" spans="1:10" x14ac:dyDescent="0.35">
      <c r="A2977">
        <v>6161105770022</v>
      </c>
      <c r="B2977" t="s">
        <v>2795</v>
      </c>
      <c r="C2977" t="s">
        <v>192</v>
      </c>
      <c r="D2977" t="s">
        <v>3309</v>
      </c>
      <c r="E2977" t="s">
        <v>11</v>
      </c>
      <c r="F2977" t="s">
        <v>3310</v>
      </c>
      <c r="G2977" t="s">
        <v>61</v>
      </c>
      <c r="H2977" t="s">
        <v>4904</v>
      </c>
      <c r="J2977">
        <v>20</v>
      </c>
    </row>
    <row r="2978" spans="1:10" x14ac:dyDescent="0.35">
      <c r="A2978">
        <v>6161105770022</v>
      </c>
      <c r="B2978" t="s">
        <v>2795</v>
      </c>
      <c r="C2978" t="s">
        <v>192</v>
      </c>
      <c r="D2978" t="s">
        <v>3309</v>
      </c>
      <c r="E2978" t="s">
        <v>11</v>
      </c>
      <c r="F2978" t="s">
        <v>3310</v>
      </c>
      <c r="G2978" t="s">
        <v>31</v>
      </c>
      <c r="H2978" t="s">
        <v>4904</v>
      </c>
      <c r="J2978">
        <v>1</v>
      </c>
    </row>
    <row r="2979" spans="1:10" x14ac:dyDescent="0.35">
      <c r="A2979">
        <v>6161106380121</v>
      </c>
      <c r="B2979" t="s">
        <v>262</v>
      </c>
      <c r="C2979" t="s">
        <v>9</v>
      </c>
      <c r="D2979" t="s">
        <v>3311</v>
      </c>
      <c r="E2979" t="s">
        <v>150</v>
      </c>
      <c r="F2979" t="s">
        <v>3312</v>
      </c>
      <c r="G2979" t="s">
        <v>150</v>
      </c>
      <c r="H2979" t="s">
        <v>4905</v>
      </c>
      <c r="J2979">
        <v>23</v>
      </c>
    </row>
    <row r="2980" spans="1:10" x14ac:dyDescent="0.35">
      <c r="A2980">
        <v>6161106380121</v>
      </c>
      <c r="B2980" t="s">
        <v>262</v>
      </c>
      <c r="C2980" t="s">
        <v>9</v>
      </c>
      <c r="D2980" t="s">
        <v>3311</v>
      </c>
      <c r="E2980" t="s">
        <v>150</v>
      </c>
      <c r="F2980" t="s">
        <v>3312</v>
      </c>
      <c r="G2980" t="s">
        <v>31</v>
      </c>
      <c r="H2980" t="s">
        <v>4905</v>
      </c>
      <c r="J2980">
        <v>1</v>
      </c>
    </row>
    <row r="2981" spans="1:10" x14ac:dyDescent="0.35">
      <c r="A2981">
        <v>6161106380138</v>
      </c>
      <c r="B2981" t="s">
        <v>3313</v>
      </c>
      <c r="C2981" t="s">
        <v>81</v>
      </c>
      <c r="D2981" t="s">
        <v>3311</v>
      </c>
      <c r="E2981" t="s">
        <v>150</v>
      </c>
      <c r="F2981" t="s">
        <v>3312</v>
      </c>
      <c r="G2981" t="s">
        <v>150</v>
      </c>
      <c r="H2981" t="s">
        <v>4905</v>
      </c>
      <c r="J2981">
        <v>3</v>
      </c>
    </row>
    <row r="2982" spans="1:10" x14ac:dyDescent="0.35">
      <c r="A2982">
        <v>6161106380343</v>
      </c>
      <c r="B2982" t="s">
        <v>3314</v>
      </c>
      <c r="C2982" t="s">
        <v>69</v>
      </c>
      <c r="D2982" t="s">
        <v>3311</v>
      </c>
      <c r="E2982" t="s">
        <v>150</v>
      </c>
      <c r="F2982" t="s">
        <v>3312</v>
      </c>
      <c r="G2982" t="s">
        <v>150</v>
      </c>
      <c r="H2982" t="s">
        <v>4905</v>
      </c>
      <c r="J2982">
        <v>5</v>
      </c>
    </row>
    <row r="2983" spans="1:10" x14ac:dyDescent="0.35">
      <c r="A2983">
        <v>6161106380350</v>
      </c>
      <c r="B2983" t="s">
        <v>1109</v>
      </c>
      <c r="C2983" t="s">
        <v>69</v>
      </c>
      <c r="D2983" t="s">
        <v>3311</v>
      </c>
      <c r="E2983" t="s">
        <v>150</v>
      </c>
      <c r="F2983" t="s">
        <v>3312</v>
      </c>
      <c r="G2983" t="s">
        <v>150</v>
      </c>
      <c r="H2983" t="s">
        <v>4905</v>
      </c>
      <c r="J2983">
        <v>1</v>
      </c>
    </row>
    <row r="2984" spans="1:10" x14ac:dyDescent="0.35">
      <c r="A2984">
        <v>6161106380459</v>
      </c>
      <c r="B2984" t="s">
        <v>3315</v>
      </c>
      <c r="C2984" t="s">
        <v>9</v>
      </c>
      <c r="D2984" t="s">
        <v>3311</v>
      </c>
      <c r="E2984" t="s">
        <v>150</v>
      </c>
      <c r="F2984" t="s">
        <v>3312</v>
      </c>
      <c r="G2984" t="s">
        <v>150</v>
      </c>
      <c r="H2984" t="s">
        <v>4905</v>
      </c>
      <c r="J2984">
        <v>83</v>
      </c>
    </row>
    <row r="2985" spans="1:10" x14ac:dyDescent="0.35">
      <c r="A2985">
        <v>6161106380473</v>
      </c>
      <c r="B2985" t="s">
        <v>346</v>
      </c>
      <c r="C2985" t="s">
        <v>9</v>
      </c>
      <c r="D2985" t="s">
        <v>3311</v>
      </c>
      <c r="E2985" t="s">
        <v>150</v>
      </c>
      <c r="F2985" t="s">
        <v>3312</v>
      </c>
      <c r="G2985" t="s">
        <v>150</v>
      </c>
      <c r="H2985" t="s">
        <v>4905</v>
      </c>
      <c r="J2985">
        <v>109</v>
      </c>
    </row>
    <row r="2986" spans="1:10" x14ac:dyDescent="0.35">
      <c r="A2986">
        <v>6161106380602</v>
      </c>
      <c r="B2986" t="s">
        <v>262</v>
      </c>
      <c r="C2986" t="s">
        <v>9</v>
      </c>
      <c r="D2986" t="s">
        <v>3311</v>
      </c>
      <c r="E2986" t="s">
        <v>150</v>
      </c>
      <c r="F2986" t="s">
        <v>3312</v>
      </c>
      <c r="G2986" t="s">
        <v>150</v>
      </c>
      <c r="H2986" t="s">
        <v>4905</v>
      </c>
      <c r="J2986">
        <v>203</v>
      </c>
    </row>
    <row r="2987" spans="1:10" x14ac:dyDescent="0.35">
      <c r="A2987">
        <v>6161106380619</v>
      </c>
      <c r="B2987" t="s">
        <v>1151</v>
      </c>
      <c r="C2987" t="s">
        <v>81</v>
      </c>
      <c r="D2987" t="s">
        <v>3311</v>
      </c>
      <c r="E2987" t="s">
        <v>150</v>
      </c>
      <c r="F2987" t="s">
        <v>3312</v>
      </c>
      <c r="G2987" t="s">
        <v>150</v>
      </c>
      <c r="H2987" t="s">
        <v>4905</v>
      </c>
      <c r="J2987">
        <v>138</v>
      </c>
    </row>
    <row r="2988" spans="1:10" x14ac:dyDescent="0.35">
      <c r="A2988">
        <v>6161106380732</v>
      </c>
      <c r="B2988" t="s">
        <v>2311</v>
      </c>
      <c r="C2988" t="s">
        <v>431</v>
      </c>
      <c r="D2988" t="s">
        <v>3311</v>
      </c>
      <c r="E2988" t="s">
        <v>150</v>
      </c>
      <c r="F2988" t="s">
        <v>3312</v>
      </c>
      <c r="G2988" t="s">
        <v>150</v>
      </c>
      <c r="H2988" t="s">
        <v>4905</v>
      </c>
      <c r="J2988">
        <v>18</v>
      </c>
    </row>
    <row r="2989" spans="1:10" x14ac:dyDescent="0.35">
      <c r="A2989">
        <v>6161106880003</v>
      </c>
      <c r="B2989" t="s">
        <v>3316</v>
      </c>
      <c r="C2989" t="s">
        <v>9</v>
      </c>
      <c r="D2989" t="s">
        <v>3317</v>
      </c>
      <c r="E2989" t="s">
        <v>150</v>
      </c>
      <c r="F2989" t="s">
        <v>3318</v>
      </c>
      <c r="G2989" t="s">
        <v>150</v>
      </c>
      <c r="H2989" t="s">
        <v>4906</v>
      </c>
      <c r="J2989">
        <v>6</v>
      </c>
    </row>
    <row r="2990" spans="1:10" x14ac:dyDescent="0.35">
      <c r="A2990">
        <v>6161106880027</v>
      </c>
      <c r="B2990" t="s">
        <v>3319</v>
      </c>
      <c r="C2990" t="s">
        <v>9</v>
      </c>
      <c r="D2990" t="s">
        <v>3317</v>
      </c>
      <c r="E2990" t="s">
        <v>150</v>
      </c>
      <c r="F2990" t="s">
        <v>3318</v>
      </c>
      <c r="G2990" t="s">
        <v>150</v>
      </c>
      <c r="H2990" t="s">
        <v>4906</v>
      </c>
      <c r="J2990">
        <v>2</v>
      </c>
    </row>
    <row r="2991" spans="1:10" x14ac:dyDescent="0.35">
      <c r="A2991">
        <v>6161106888450</v>
      </c>
      <c r="B2991" t="s">
        <v>3320</v>
      </c>
      <c r="C2991" t="s">
        <v>83</v>
      </c>
      <c r="D2991" t="s">
        <v>3317</v>
      </c>
      <c r="E2991" t="s">
        <v>150</v>
      </c>
      <c r="F2991" t="s">
        <v>3318</v>
      </c>
      <c r="G2991" t="s">
        <v>150</v>
      </c>
      <c r="H2991" t="s">
        <v>4906</v>
      </c>
      <c r="J2991">
        <v>4</v>
      </c>
    </row>
    <row r="2992" spans="1:10" x14ac:dyDescent="0.35">
      <c r="A2992">
        <v>6161106962181</v>
      </c>
      <c r="B2992" t="s">
        <v>2894</v>
      </c>
      <c r="C2992" t="s">
        <v>919</v>
      </c>
      <c r="D2992" t="s">
        <v>70</v>
      </c>
      <c r="E2992" t="s">
        <v>71</v>
      </c>
      <c r="F2992" t="s">
        <v>72</v>
      </c>
      <c r="G2992" t="s">
        <v>61</v>
      </c>
      <c r="H2992" t="s">
        <v>4501</v>
      </c>
      <c r="J2992">
        <v>1</v>
      </c>
    </row>
    <row r="2993" spans="1:10" x14ac:dyDescent="0.35">
      <c r="A2993">
        <v>6161107150709</v>
      </c>
      <c r="B2993" t="s">
        <v>3321</v>
      </c>
      <c r="C2993" t="s">
        <v>43</v>
      </c>
      <c r="D2993" t="s">
        <v>3322</v>
      </c>
      <c r="E2993" t="s">
        <v>11</v>
      </c>
      <c r="F2993" t="s">
        <v>2470</v>
      </c>
      <c r="G2993" t="s">
        <v>11</v>
      </c>
      <c r="H2993" t="s">
        <v>4807</v>
      </c>
      <c r="J2993">
        <v>8</v>
      </c>
    </row>
    <row r="2994" spans="1:10" x14ac:dyDescent="0.35">
      <c r="A2994">
        <v>6161107150730</v>
      </c>
      <c r="B2994" t="s">
        <v>3323</v>
      </c>
      <c r="C2994" t="s">
        <v>9</v>
      </c>
      <c r="D2994" t="s">
        <v>3322</v>
      </c>
      <c r="E2994" t="s">
        <v>11</v>
      </c>
      <c r="F2994" t="s">
        <v>2470</v>
      </c>
      <c r="G2994" t="s">
        <v>11</v>
      </c>
      <c r="H2994" t="s">
        <v>4807</v>
      </c>
      <c r="J2994">
        <v>109</v>
      </c>
    </row>
    <row r="2995" spans="1:10" x14ac:dyDescent="0.35">
      <c r="A2995">
        <v>6161107151027</v>
      </c>
      <c r="B2995" t="s">
        <v>3324</v>
      </c>
      <c r="C2995" t="s">
        <v>3325</v>
      </c>
      <c r="D2995" t="s">
        <v>2469</v>
      </c>
      <c r="E2995" t="s">
        <v>11</v>
      </c>
      <c r="F2995" t="s">
        <v>2470</v>
      </c>
      <c r="G2995" t="s">
        <v>11</v>
      </c>
      <c r="H2995" t="s">
        <v>4807</v>
      </c>
      <c r="J2995">
        <v>1</v>
      </c>
    </row>
    <row r="2996" spans="1:10" x14ac:dyDescent="0.35">
      <c r="A2996">
        <v>6161107151720</v>
      </c>
      <c r="B2996" t="s">
        <v>897</v>
      </c>
      <c r="C2996" t="s">
        <v>431</v>
      </c>
      <c r="D2996" t="s">
        <v>3221</v>
      </c>
      <c r="E2996" t="s">
        <v>11</v>
      </c>
      <c r="F2996" t="s">
        <v>2470</v>
      </c>
      <c r="G2996" t="s">
        <v>11</v>
      </c>
      <c r="H2996" t="s">
        <v>4807</v>
      </c>
      <c r="J2996">
        <v>8</v>
      </c>
    </row>
    <row r="2997" spans="1:10" x14ac:dyDescent="0.35">
      <c r="A2997">
        <v>6161107151737</v>
      </c>
      <c r="B2997" t="s">
        <v>626</v>
      </c>
      <c r="C2997" t="s">
        <v>83</v>
      </c>
      <c r="D2997" t="s">
        <v>3221</v>
      </c>
      <c r="E2997" t="s">
        <v>11</v>
      </c>
      <c r="F2997" t="s">
        <v>2470</v>
      </c>
      <c r="G2997" t="s">
        <v>11</v>
      </c>
      <c r="H2997" t="s">
        <v>4807</v>
      </c>
      <c r="J2997">
        <v>1</v>
      </c>
    </row>
    <row r="2998" spans="1:10" x14ac:dyDescent="0.35">
      <c r="A2998">
        <v>6161107151775</v>
      </c>
      <c r="B2998" t="s">
        <v>2468</v>
      </c>
      <c r="C2998" t="s">
        <v>1123</v>
      </c>
      <c r="D2998" t="s">
        <v>3322</v>
      </c>
      <c r="E2998" t="s">
        <v>11</v>
      </c>
      <c r="F2998" t="s">
        <v>2470</v>
      </c>
      <c r="G2998" t="s">
        <v>11</v>
      </c>
      <c r="H2998" t="s">
        <v>4807</v>
      </c>
      <c r="J2998">
        <v>8</v>
      </c>
    </row>
    <row r="2999" spans="1:10" x14ac:dyDescent="0.35">
      <c r="A2999">
        <v>6161107151782</v>
      </c>
      <c r="B2999" t="s">
        <v>3326</v>
      </c>
      <c r="C2999" t="s">
        <v>1123</v>
      </c>
      <c r="D2999" t="s">
        <v>3322</v>
      </c>
      <c r="E2999" t="s">
        <v>11</v>
      </c>
      <c r="F2999" t="s">
        <v>2470</v>
      </c>
      <c r="G2999" t="s">
        <v>11</v>
      </c>
      <c r="H2999" t="s">
        <v>4807</v>
      </c>
      <c r="J2999">
        <v>43</v>
      </c>
    </row>
    <row r="3000" spans="1:10" x14ac:dyDescent="0.35">
      <c r="A3000">
        <v>6161107220648</v>
      </c>
      <c r="B3000" t="s">
        <v>3327</v>
      </c>
      <c r="C3000" t="s">
        <v>2481</v>
      </c>
      <c r="D3000" t="s">
        <v>3328</v>
      </c>
      <c r="E3000" t="s">
        <v>31</v>
      </c>
      <c r="F3000" t="s">
        <v>3329</v>
      </c>
      <c r="G3000" t="s">
        <v>150</v>
      </c>
      <c r="H3000" t="s">
        <v>4907</v>
      </c>
      <c r="J3000">
        <v>5</v>
      </c>
    </row>
    <row r="3001" spans="1:10" x14ac:dyDescent="0.35">
      <c r="A3001">
        <v>6161107220648</v>
      </c>
      <c r="B3001" t="s">
        <v>3327</v>
      </c>
      <c r="C3001" t="s">
        <v>2481</v>
      </c>
      <c r="D3001" t="s">
        <v>3328</v>
      </c>
      <c r="E3001" t="s">
        <v>31</v>
      </c>
      <c r="F3001" t="s">
        <v>3329</v>
      </c>
      <c r="G3001" t="s">
        <v>61</v>
      </c>
      <c r="H3001" t="s">
        <v>4907</v>
      </c>
      <c r="J3001">
        <v>2</v>
      </c>
    </row>
    <row r="3002" spans="1:10" x14ac:dyDescent="0.35">
      <c r="A3002">
        <v>6161107222666</v>
      </c>
      <c r="B3002" t="s">
        <v>3330</v>
      </c>
      <c r="C3002" t="s">
        <v>3331</v>
      </c>
      <c r="D3002" t="s">
        <v>3332</v>
      </c>
      <c r="E3002" t="s">
        <v>31</v>
      </c>
      <c r="F3002" t="s">
        <v>3329</v>
      </c>
      <c r="G3002" t="s">
        <v>150</v>
      </c>
      <c r="H3002" t="s">
        <v>4907</v>
      </c>
      <c r="J3002">
        <v>1</v>
      </c>
    </row>
    <row r="3003" spans="1:10" x14ac:dyDescent="0.35">
      <c r="A3003">
        <v>6161107471279</v>
      </c>
      <c r="B3003" t="s">
        <v>834</v>
      </c>
      <c r="C3003" t="s">
        <v>192</v>
      </c>
      <c r="D3003" t="s">
        <v>3333</v>
      </c>
      <c r="E3003" t="s">
        <v>11</v>
      </c>
      <c r="F3003" t="s">
        <v>3334</v>
      </c>
      <c r="G3003" t="s">
        <v>11</v>
      </c>
      <c r="H3003" t="s">
        <v>4908</v>
      </c>
      <c r="J3003">
        <v>21</v>
      </c>
    </row>
    <row r="3004" spans="1:10" x14ac:dyDescent="0.35">
      <c r="A3004">
        <v>6161107520083</v>
      </c>
      <c r="B3004" t="s">
        <v>384</v>
      </c>
      <c r="C3004" t="s">
        <v>9</v>
      </c>
      <c r="D3004" t="s">
        <v>885</v>
      </c>
      <c r="E3004" t="s">
        <v>117</v>
      </c>
      <c r="F3004" t="s">
        <v>886</v>
      </c>
      <c r="G3004" t="s">
        <v>150</v>
      </c>
      <c r="H3004" t="s">
        <v>4615</v>
      </c>
      <c r="J3004">
        <v>5</v>
      </c>
    </row>
    <row r="3005" spans="1:10" x14ac:dyDescent="0.35">
      <c r="A3005">
        <v>6161107770266</v>
      </c>
      <c r="B3005" t="s">
        <v>3335</v>
      </c>
      <c r="C3005" t="s">
        <v>1296</v>
      </c>
      <c r="D3005" t="s">
        <v>3336</v>
      </c>
      <c r="E3005" t="s">
        <v>11</v>
      </c>
      <c r="F3005" t="s">
        <v>3337</v>
      </c>
      <c r="G3005" t="s">
        <v>11</v>
      </c>
      <c r="H3005" t="s">
        <v>4909</v>
      </c>
      <c r="J3005">
        <v>8</v>
      </c>
    </row>
    <row r="3006" spans="1:10" x14ac:dyDescent="0.35">
      <c r="A3006">
        <v>6161107770266</v>
      </c>
      <c r="B3006" t="s">
        <v>3335</v>
      </c>
      <c r="C3006" t="s">
        <v>1296</v>
      </c>
      <c r="D3006" t="s">
        <v>3336</v>
      </c>
      <c r="E3006" t="s">
        <v>11</v>
      </c>
      <c r="F3006" t="s">
        <v>3337</v>
      </c>
      <c r="G3006" t="s">
        <v>150</v>
      </c>
      <c r="H3006" t="s">
        <v>4909</v>
      </c>
      <c r="J3006">
        <v>1</v>
      </c>
    </row>
    <row r="3007" spans="1:10" x14ac:dyDescent="0.35">
      <c r="A3007">
        <v>6161107775087</v>
      </c>
      <c r="B3007" t="s">
        <v>3338</v>
      </c>
      <c r="C3007" t="s">
        <v>75</v>
      </c>
      <c r="D3007" t="s">
        <v>3339</v>
      </c>
      <c r="E3007" t="s">
        <v>11</v>
      </c>
      <c r="F3007" t="s">
        <v>3337</v>
      </c>
      <c r="G3007" t="s">
        <v>11</v>
      </c>
      <c r="H3007" t="s">
        <v>4909</v>
      </c>
      <c r="J3007">
        <v>3</v>
      </c>
    </row>
    <row r="3008" spans="1:10" x14ac:dyDescent="0.35">
      <c r="A3008">
        <v>6161107775087</v>
      </c>
      <c r="B3008" t="s">
        <v>3338</v>
      </c>
      <c r="C3008" t="s">
        <v>75</v>
      </c>
      <c r="D3008" t="s">
        <v>3339</v>
      </c>
      <c r="E3008" t="s">
        <v>11</v>
      </c>
      <c r="F3008" t="s">
        <v>3337</v>
      </c>
      <c r="G3008" t="s">
        <v>34</v>
      </c>
      <c r="H3008" t="s">
        <v>4909</v>
      </c>
      <c r="J3008">
        <v>15</v>
      </c>
    </row>
    <row r="3009" spans="1:10" x14ac:dyDescent="0.35">
      <c r="A3009">
        <v>6161107775087</v>
      </c>
      <c r="B3009" t="s">
        <v>3338</v>
      </c>
      <c r="C3009" t="s">
        <v>75</v>
      </c>
      <c r="D3009" t="s">
        <v>3339</v>
      </c>
      <c r="E3009" t="s">
        <v>11</v>
      </c>
      <c r="F3009" t="s">
        <v>3337</v>
      </c>
      <c r="G3009" t="s">
        <v>150</v>
      </c>
      <c r="H3009" t="s">
        <v>4909</v>
      </c>
      <c r="J3009">
        <v>10</v>
      </c>
    </row>
    <row r="3010" spans="1:10" x14ac:dyDescent="0.35">
      <c r="A3010">
        <v>6161108006029</v>
      </c>
      <c r="B3010" t="s">
        <v>3340</v>
      </c>
      <c r="C3010" t="s">
        <v>78</v>
      </c>
      <c r="D3010" t="s">
        <v>3341</v>
      </c>
      <c r="E3010" t="s">
        <v>11</v>
      </c>
      <c r="F3010" t="s">
        <v>3342</v>
      </c>
      <c r="G3010" t="s">
        <v>11</v>
      </c>
      <c r="H3010" t="s">
        <v>4910</v>
      </c>
      <c r="J3010">
        <v>16</v>
      </c>
    </row>
    <row r="3011" spans="1:10" x14ac:dyDescent="0.35">
      <c r="A3011">
        <v>6161108920561</v>
      </c>
      <c r="B3011" t="s">
        <v>485</v>
      </c>
      <c r="C3011" t="s">
        <v>9</v>
      </c>
      <c r="D3011" t="s">
        <v>3175</v>
      </c>
      <c r="E3011" t="s">
        <v>11</v>
      </c>
      <c r="F3011" t="s">
        <v>3176</v>
      </c>
      <c r="G3011" t="s">
        <v>11</v>
      </c>
      <c r="H3011" t="s">
        <v>4887</v>
      </c>
      <c r="J3011">
        <v>23</v>
      </c>
    </row>
    <row r="3012" spans="1:10" x14ac:dyDescent="0.35">
      <c r="A3012">
        <v>6161108920578</v>
      </c>
      <c r="B3012" t="s">
        <v>485</v>
      </c>
      <c r="C3012" t="s">
        <v>81</v>
      </c>
      <c r="D3012" t="s">
        <v>3175</v>
      </c>
      <c r="E3012" t="s">
        <v>11</v>
      </c>
      <c r="F3012" t="s">
        <v>3176</v>
      </c>
      <c r="G3012" t="s">
        <v>11</v>
      </c>
      <c r="H3012" t="s">
        <v>4887</v>
      </c>
      <c r="J3012">
        <v>4</v>
      </c>
    </row>
    <row r="3013" spans="1:10" x14ac:dyDescent="0.35">
      <c r="A3013">
        <v>6161109311047</v>
      </c>
      <c r="B3013" t="s">
        <v>3343</v>
      </c>
      <c r="C3013" t="s">
        <v>2335</v>
      </c>
      <c r="D3013" t="s">
        <v>2895</v>
      </c>
      <c r="E3013" t="s">
        <v>71</v>
      </c>
      <c r="F3013" t="s">
        <v>72</v>
      </c>
      <c r="G3013" t="s">
        <v>117</v>
      </c>
      <c r="H3013" t="s">
        <v>4501</v>
      </c>
      <c r="J3013">
        <v>27</v>
      </c>
    </row>
    <row r="3014" spans="1:10" x14ac:dyDescent="0.35">
      <c r="A3014">
        <v>6161109650207</v>
      </c>
      <c r="B3014" t="s">
        <v>3344</v>
      </c>
      <c r="C3014" t="s">
        <v>38</v>
      </c>
      <c r="D3014" t="s">
        <v>3345</v>
      </c>
      <c r="E3014" t="s">
        <v>31</v>
      </c>
      <c r="F3014" t="s">
        <v>3346</v>
      </c>
      <c r="G3014" t="s">
        <v>31</v>
      </c>
      <c r="H3014" t="s">
        <v>4911</v>
      </c>
      <c r="J3014">
        <v>96</v>
      </c>
    </row>
    <row r="3015" spans="1:10" x14ac:dyDescent="0.35">
      <c r="A3015">
        <v>6161109780003</v>
      </c>
      <c r="B3015" t="s">
        <v>668</v>
      </c>
      <c r="C3015" t="s">
        <v>472</v>
      </c>
      <c r="D3015" t="s">
        <v>3347</v>
      </c>
      <c r="E3015" t="s">
        <v>117</v>
      </c>
      <c r="F3015" t="s">
        <v>3348</v>
      </c>
      <c r="G3015" t="s">
        <v>117</v>
      </c>
      <c r="H3015" t="s">
        <v>4912</v>
      </c>
      <c r="J3015">
        <v>9</v>
      </c>
    </row>
    <row r="3016" spans="1:10" x14ac:dyDescent="0.35">
      <c r="A3016">
        <v>6161109780027</v>
      </c>
      <c r="B3016" t="s">
        <v>3349</v>
      </c>
      <c r="C3016" t="s">
        <v>825</v>
      </c>
      <c r="D3016" t="s">
        <v>3350</v>
      </c>
      <c r="E3016" t="s">
        <v>117</v>
      </c>
      <c r="F3016" t="s">
        <v>3348</v>
      </c>
      <c r="G3016" t="s">
        <v>117</v>
      </c>
      <c r="H3016" t="s">
        <v>4912</v>
      </c>
      <c r="J3016">
        <v>10</v>
      </c>
    </row>
    <row r="3017" spans="1:10" x14ac:dyDescent="0.35">
      <c r="A3017">
        <v>6161109780072</v>
      </c>
      <c r="B3017" t="s">
        <v>3351</v>
      </c>
      <c r="C3017" t="s">
        <v>36</v>
      </c>
      <c r="D3017" t="s">
        <v>3352</v>
      </c>
      <c r="E3017" t="s">
        <v>578</v>
      </c>
      <c r="F3017" t="s">
        <v>3353</v>
      </c>
      <c r="G3017" t="s">
        <v>117</v>
      </c>
      <c r="H3017" t="s">
        <v>4913</v>
      </c>
      <c r="J3017">
        <v>2</v>
      </c>
    </row>
    <row r="3018" spans="1:10" x14ac:dyDescent="0.35">
      <c r="A3018">
        <v>6161109780072</v>
      </c>
      <c r="B3018" t="s">
        <v>3351</v>
      </c>
      <c r="C3018" t="s">
        <v>36</v>
      </c>
      <c r="D3018" t="s">
        <v>3352</v>
      </c>
      <c r="E3018" t="s">
        <v>578</v>
      </c>
      <c r="F3018" t="s">
        <v>3353</v>
      </c>
      <c r="G3018" t="s">
        <v>578</v>
      </c>
      <c r="H3018" t="s">
        <v>4913</v>
      </c>
      <c r="J3018">
        <v>6</v>
      </c>
    </row>
    <row r="3019" spans="1:10" x14ac:dyDescent="0.35">
      <c r="A3019">
        <v>6161109780416</v>
      </c>
      <c r="B3019" t="s">
        <v>3354</v>
      </c>
      <c r="C3019" t="s">
        <v>1115</v>
      </c>
      <c r="D3019" t="s">
        <v>3353</v>
      </c>
      <c r="E3019" t="s">
        <v>578</v>
      </c>
      <c r="F3019" t="s">
        <v>3353</v>
      </c>
      <c r="G3019" t="s">
        <v>117</v>
      </c>
      <c r="H3019" t="s">
        <v>4913</v>
      </c>
      <c r="J3019">
        <v>6</v>
      </c>
    </row>
    <row r="3020" spans="1:10" x14ac:dyDescent="0.35">
      <c r="A3020">
        <v>6161109780416</v>
      </c>
      <c r="B3020" t="s">
        <v>3354</v>
      </c>
      <c r="C3020" t="s">
        <v>1115</v>
      </c>
      <c r="D3020" t="s">
        <v>3353</v>
      </c>
      <c r="E3020" t="s">
        <v>578</v>
      </c>
      <c r="F3020" t="s">
        <v>3353</v>
      </c>
      <c r="G3020" t="s">
        <v>34</v>
      </c>
      <c r="H3020" t="s">
        <v>4913</v>
      </c>
      <c r="J3020">
        <v>2</v>
      </c>
    </row>
    <row r="3021" spans="1:10" x14ac:dyDescent="0.35">
      <c r="A3021">
        <v>6161109780416</v>
      </c>
      <c r="B3021" t="s">
        <v>3354</v>
      </c>
      <c r="C3021" t="s">
        <v>1115</v>
      </c>
      <c r="D3021" t="s">
        <v>3353</v>
      </c>
      <c r="E3021" t="s">
        <v>578</v>
      </c>
      <c r="F3021" t="s">
        <v>3353</v>
      </c>
      <c r="G3021" t="s">
        <v>150</v>
      </c>
      <c r="H3021" t="s">
        <v>4913</v>
      </c>
      <c r="J3021">
        <v>1</v>
      </c>
    </row>
    <row r="3022" spans="1:10" x14ac:dyDescent="0.35">
      <c r="A3022">
        <v>6161109780416</v>
      </c>
      <c r="B3022" t="s">
        <v>3354</v>
      </c>
      <c r="C3022" t="s">
        <v>1115</v>
      </c>
      <c r="D3022" t="s">
        <v>3353</v>
      </c>
      <c r="E3022" t="s">
        <v>578</v>
      </c>
      <c r="F3022" t="s">
        <v>3353</v>
      </c>
      <c r="G3022" t="s">
        <v>578</v>
      </c>
      <c r="H3022" t="s">
        <v>4913</v>
      </c>
      <c r="J3022">
        <v>20</v>
      </c>
    </row>
    <row r="3023" spans="1:10" x14ac:dyDescent="0.35">
      <c r="A3023">
        <v>6161109780669</v>
      </c>
      <c r="B3023" t="s">
        <v>446</v>
      </c>
      <c r="C3023" t="s">
        <v>447</v>
      </c>
      <c r="D3023" t="s">
        <v>3350</v>
      </c>
      <c r="E3023" t="s">
        <v>117</v>
      </c>
      <c r="F3023" t="s">
        <v>3348</v>
      </c>
      <c r="G3023" t="s">
        <v>117</v>
      </c>
      <c r="H3023" t="s">
        <v>4912</v>
      </c>
      <c r="J3023">
        <v>192</v>
      </c>
    </row>
    <row r="3024" spans="1:10" x14ac:dyDescent="0.35">
      <c r="A3024">
        <v>6161109780676</v>
      </c>
      <c r="B3024" t="s">
        <v>446</v>
      </c>
      <c r="C3024" t="s">
        <v>472</v>
      </c>
      <c r="D3024" t="s">
        <v>3350</v>
      </c>
      <c r="E3024" t="s">
        <v>117</v>
      </c>
      <c r="F3024" t="s">
        <v>3348</v>
      </c>
      <c r="G3024" t="s">
        <v>117</v>
      </c>
      <c r="H3024" t="s">
        <v>4912</v>
      </c>
      <c r="J3024">
        <v>2</v>
      </c>
    </row>
    <row r="3025" spans="1:10" x14ac:dyDescent="0.35">
      <c r="A3025">
        <v>6161109780867</v>
      </c>
      <c r="B3025" t="s">
        <v>3355</v>
      </c>
      <c r="C3025" t="s">
        <v>3356</v>
      </c>
      <c r="D3025" t="s">
        <v>3357</v>
      </c>
      <c r="E3025" t="s">
        <v>308</v>
      </c>
      <c r="F3025" t="s">
        <v>309</v>
      </c>
      <c r="G3025" t="s">
        <v>117</v>
      </c>
      <c r="H3025" t="s">
        <v>4529</v>
      </c>
      <c r="J3025">
        <v>6</v>
      </c>
    </row>
    <row r="3026" spans="1:10" x14ac:dyDescent="0.35">
      <c r="A3026">
        <v>6161109780867</v>
      </c>
      <c r="B3026" t="s">
        <v>3355</v>
      </c>
      <c r="C3026" t="s">
        <v>3356</v>
      </c>
      <c r="D3026" t="s">
        <v>3357</v>
      </c>
      <c r="E3026" t="s">
        <v>308</v>
      </c>
      <c r="F3026" t="s">
        <v>309</v>
      </c>
      <c r="G3026" t="s">
        <v>61</v>
      </c>
      <c r="H3026" t="s">
        <v>4529</v>
      </c>
      <c r="J3026">
        <v>1</v>
      </c>
    </row>
    <row r="3027" spans="1:10" x14ac:dyDescent="0.35">
      <c r="A3027">
        <v>6161109781079</v>
      </c>
      <c r="B3027" t="s">
        <v>3358</v>
      </c>
      <c r="C3027" t="s">
        <v>83</v>
      </c>
      <c r="D3027" t="s">
        <v>3359</v>
      </c>
      <c r="E3027" t="s">
        <v>117</v>
      </c>
      <c r="F3027" t="s">
        <v>3360</v>
      </c>
      <c r="G3027" t="s">
        <v>117</v>
      </c>
      <c r="H3027" t="s">
        <v>4914</v>
      </c>
      <c r="J3027">
        <v>3</v>
      </c>
    </row>
    <row r="3028" spans="1:10" x14ac:dyDescent="0.35">
      <c r="A3028">
        <v>6161109781345</v>
      </c>
      <c r="B3028" t="s">
        <v>295</v>
      </c>
      <c r="C3028" t="s">
        <v>806</v>
      </c>
      <c r="D3028" t="s">
        <v>3361</v>
      </c>
      <c r="E3028" t="s">
        <v>578</v>
      </c>
      <c r="F3028" t="s">
        <v>3353</v>
      </c>
      <c r="G3028" t="s">
        <v>33</v>
      </c>
      <c r="H3028" t="s">
        <v>4913</v>
      </c>
      <c r="J3028">
        <v>18</v>
      </c>
    </row>
    <row r="3029" spans="1:10" x14ac:dyDescent="0.35">
      <c r="A3029">
        <v>6161109781345</v>
      </c>
      <c r="B3029" t="s">
        <v>295</v>
      </c>
      <c r="C3029" t="s">
        <v>806</v>
      </c>
      <c r="D3029" t="s">
        <v>3361</v>
      </c>
      <c r="E3029" t="s">
        <v>578</v>
      </c>
      <c r="F3029" t="s">
        <v>3353</v>
      </c>
      <c r="G3029" t="s">
        <v>61</v>
      </c>
      <c r="H3029" t="s">
        <v>4913</v>
      </c>
      <c r="J3029">
        <v>20</v>
      </c>
    </row>
    <row r="3030" spans="1:10" x14ac:dyDescent="0.35">
      <c r="A3030">
        <v>6161109781345</v>
      </c>
      <c r="B3030" t="s">
        <v>295</v>
      </c>
      <c r="C3030" t="s">
        <v>806</v>
      </c>
      <c r="D3030" t="s">
        <v>3361</v>
      </c>
      <c r="E3030" t="s">
        <v>578</v>
      </c>
      <c r="F3030" t="s">
        <v>3353</v>
      </c>
      <c r="G3030" t="s">
        <v>578</v>
      </c>
      <c r="H3030" t="s">
        <v>4913</v>
      </c>
      <c r="J3030">
        <v>1</v>
      </c>
    </row>
    <row r="3031" spans="1:10" x14ac:dyDescent="0.35">
      <c r="A3031">
        <v>6161109781482</v>
      </c>
      <c r="B3031" t="s">
        <v>581</v>
      </c>
      <c r="C3031" t="s">
        <v>806</v>
      </c>
      <c r="D3031" t="s">
        <v>3362</v>
      </c>
      <c r="E3031" t="s">
        <v>117</v>
      </c>
      <c r="F3031" t="s">
        <v>3348</v>
      </c>
      <c r="G3031" t="s">
        <v>117</v>
      </c>
      <c r="H3031" t="s">
        <v>4912</v>
      </c>
      <c r="J3031">
        <v>1</v>
      </c>
    </row>
    <row r="3032" spans="1:10" x14ac:dyDescent="0.35">
      <c r="A3032">
        <v>6161109781505</v>
      </c>
      <c r="B3032" t="s">
        <v>581</v>
      </c>
      <c r="C3032" t="s">
        <v>806</v>
      </c>
      <c r="D3032" t="s">
        <v>3363</v>
      </c>
      <c r="E3032" t="s">
        <v>117</v>
      </c>
      <c r="F3032" t="s">
        <v>3348</v>
      </c>
      <c r="G3032" t="s">
        <v>117</v>
      </c>
      <c r="H3032" t="s">
        <v>4912</v>
      </c>
      <c r="J3032">
        <v>1</v>
      </c>
    </row>
    <row r="3033" spans="1:10" x14ac:dyDescent="0.35">
      <c r="A3033">
        <v>6161109781512</v>
      </c>
      <c r="B3033" t="s">
        <v>581</v>
      </c>
      <c r="C3033" t="s">
        <v>806</v>
      </c>
      <c r="D3033" t="s">
        <v>3364</v>
      </c>
      <c r="E3033" t="s">
        <v>117</v>
      </c>
      <c r="F3033" t="s">
        <v>3348</v>
      </c>
      <c r="G3033" t="s">
        <v>117</v>
      </c>
      <c r="H3033" t="s">
        <v>4912</v>
      </c>
      <c r="J3033">
        <v>3</v>
      </c>
    </row>
    <row r="3034" spans="1:10" x14ac:dyDescent="0.35">
      <c r="A3034">
        <v>6161109782540</v>
      </c>
      <c r="B3034" t="s">
        <v>2832</v>
      </c>
      <c r="C3034" t="s">
        <v>83</v>
      </c>
      <c r="D3034" t="s">
        <v>3365</v>
      </c>
      <c r="E3034" t="s">
        <v>117</v>
      </c>
      <c r="F3034" t="s">
        <v>3360</v>
      </c>
      <c r="G3034" t="s">
        <v>117</v>
      </c>
      <c r="H3034" t="s">
        <v>4914</v>
      </c>
      <c r="J3034">
        <v>6</v>
      </c>
    </row>
    <row r="3035" spans="1:10" x14ac:dyDescent="0.35">
      <c r="A3035">
        <v>6161109783158</v>
      </c>
      <c r="B3035" t="s">
        <v>167</v>
      </c>
      <c r="C3035" t="s">
        <v>472</v>
      </c>
      <c r="D3035" t="s">
        <v>3366</v>
      </c>
      <c r="E3035" t="s">
        <v>578</v>
      </c>
      <c r="F3035" t="s">
        <v>3367</v>
      </c>
      <c r="G3035" t="s">
        <v>117</v>
      </c>
      <c r="H3035" t="s">
        <v>4915</v>
      </c>
      <c r="J3035">
        <v>2</v>
      </c>
    </row>
    <row r="3036" spans="1:10" x14ac:dyDescent="0.35">
      <c r="A3036">
        <v>6161109783172</v>
      </c>
      <c r="B3036" t="s">
        <v>675</v>
      </c>
      <c r="C3036" t="s">
        <v>472</v>
      </c>
      <c r="D3036" t="s">
        <v>3366</v>
      </c>
      <c r="E3036" t="s">
        <v>578</v>
      </c>
      <c r="F3036" t="s">
        <v>3367</v>
      </c>
      <c r="G3036" t="s">
        <v>117</v>
      </c>
      <c r="H3036" t="s">
        <v>4915</v>
      </c>
      <c r="J3036">
        <v>1</v>
      </c>
    </row>
    <row r="3037" spans="1:10" x14ac:dyDescent="0.35">
      <c r="A3037">
        <v>6161109783875</v>
      </c>
      <c r="B3037" t="s">
        <v>581</v>
      </c>
      <c r="C3037" t="s">
        <v>472</v>
      </c>
      <c r="D3037" t="s">
        <v>3362</v>
      </c>
      <c r="E3037" t="s">
        <v>117</v>
      </c>
      <c r="F3037" t="s">
        <v>3348</v>
      </c>
      <c r="G3037" t="s">
        <v>117</v>
      </c>
      <c r="H3037" t="s">
        <v>4912</v>
      </c>
      <c r="J3037">
        <v>18</v>
      </c>
    </row>
    <row r="3038" spans="1:10" x14ac:dyDescent="0.35">
      <c r="A3038">
        <v>6161109783882</v>
      </c>
      <c r="B3038" t="s">
        <v>3368</v>
      </c>
      <c r="C3038" t="s">
        <v>576</v>
      </c>
      <c r="D3038" t="s">
        <v>3347</v>
      </c>
      <c r="E3038" t="s">
        <v>117</v>
      </c>
      <c r="F3038" t="s">
        <v>3348</v>
      </c>
      <c r="G3038" t="s">
        <v>117</v>
      </c>
      <c r="H3038" t="s">
        <v>4912</v>
      </c>
      <c r="J3038">
        <v>5</v>
      </c>
    </row>
    <row r="3039" spans="1:10" x14ac:dyDescent="0.35">
      <c r="A3039">
        <v>6161109783899</v>
      </c>
      <c r="B3039" t="s">
        <v>581</v>
      </c>
      <c r="C3039" t="s">
        <v>576</v>
      </c>
      <c r="D3039" t="s">
        <v>3363</v>
      </c>
      <c r="E3039" t="s">
        <v>117</v>
      </c>
      <c r="F3039" t="s">
        <v>3348</v>
      </c>
      <c r="G3039" t="s">
        <v>117</v>
      </c>
      <c r="H3039" t="s">
        <v>4912</v>
      </c>
      <c r="J3039">
        <v>3</v>
      </c>
    </row>
    <row r="3040" spans="1:10" x14ac:dyDescent="0.35">
      <c r="A3040">
        <v>6161109783905</v>
      </c>
      <c r="B3040" t="s">
        <v>581</v>
      </c>
      <c r="C3040" t="s">
        <v>472</v>
      </c>
      <c r="D3040" t="s">
        <v>3364</v>
      </c>
      <c r="E3040" t="s">
        <v>117</v>
      </c>
      <c r="F3040" t="s">
        <v>3348</v>
      </c>
      <c r="G3040" t="s">
        <v>117</v>
      </c>
      <c r="H3040" t="s">
        <v>4912</v>
      </c>
      <c r="J3040">
        <v>4</v>
      </c>
    </row>
    <row r="3041" spans="1:10" x14ac:dyDescent="0.35">
      <c r="A3041">
        <v>6161109783912</v>
      </c>
      <c r="B3041" t="s">
        <v>3242</v>
      </c>
      <c r="C3041" t="s">
        <v>472</v>
      </c>
      <c r="D3041" t="s">
        <v>3369</v>
      </c>
      <c r="E3041" t="s">
        <v>776</v>
      </c>
      <c r="F3041" t="s">
        <v>3370</v>
      </c>
      <c r="G3041" t="s">
        <v>117</v>
      </c>
      <c r="H3041" t="s">
        <v>4916</v>
      </c>
      <c r="J3041">
        <v>9</v>
      </c>
    </row>
    <row r="3042" spans="1:10" x14ac:dyDescent="0.35">
      <c r="A3042">
        <v>6161109783929</v>
      </c>
      <c r="B3042" t="s">
        <v>3371</v>
      </c>
      <c r="C3042" t="s">
        <v>472</v>
      </c>
      <c r="D3042" t="s">
        <v>3347</v>
      </c>
      <c r="E3042" t="s">
        <v>117</v>
      </c>
      <c r="F3042" t="s">
        <v>3348</v>
      </c>
      <c r="G3042" t="s">
        <v>117</v>
      </c>
      <c r="H3042" t="s">
        <v>4912</v>
      </c>
      <c r="J3042">
        <v>14</v>
      </c>
    </row>
    <row r="3043" spans="1:10" x14ac:dyDescent="0.35">
      <c r="A3043">
        <v>6161109784070</v>
      </c>
      <c r="B3043" t="s">
        <v>3372</v>
      </c>
      <c r="C3043" t="s">
        <v>472</v>
      </c>
      <c r="D3043" t="s">
        <v>3347</v>
      </c>
      <c r="E3043" t="s">
        <v>117</v>
      </c>
      <c r="F3043" t="s">
        <v>3348</v>
      </c>
      <c r="G3043" t="s">
        <v>117</v>
      </c>
      <c r="H3043" t="s">
        <v>4912</v>
      </c>
      <c r="J3043">
        <v>5</v>
      </c>
    </row>
    <row r="3044" spans="1:10" x14ac:dyDescent="0.35">
      <c r="A3044">
        <v>6161109784636</v>
      </c>
      <c r="B3044" t="s">
        <v>3373</v>
      </c>
      <c r="C3044" t="s">
        <v>326</v>
      </c>
      <c r="D3044" t="s">
        <v>3350</v>
      </c>
      <c r="E3044" t="s">
        <v>117</v>
      </c>
      <c r="F3044" t="s">
        <v>3348</v>
      </c>
      <c r="G3044" t="s">
        <v>117</v>
      </c>
      <c r="H3044" t="s">
        <v>4912</v>
      </c>
      <c r="J3044">
        <v>7</v>
      </c>
    </row>
    <row r="3045" spans="1:10" x14ac:dyDescent="0.35">
      <c r="A3045">
        <v>6161109981714</v>
      </c>
      <c r="B3045" t="s">
        <v>834</v>
      </c>
      <c r="C3045" t="s">
        <v>9</v>
      </c>
      <c r="D3045" t="s">
        <v>3374</v>
      </c>
      <c r="E3045" t="s">
        <v>11</v>
      </c>
      <c r="F3045" t="s">
        <v>3375</v>
      </c>
      <c r="G3045" t="s">
        <v>11</v>
      </c>
      <c r="H3045" t="s">
        <v>4917</v>
      </c>
      <c r="J3045">
        <v>13</v>
      </c>
    </row>
    <row r="3046" spans="1:10" x14ac:dyDescent="0.35">
      <c r="A3046">
        <v>6161109981721</v>
      </c>
      <c r="B3046" t="s">
        <v>834</v>
      </c>
      <c r="C3046" t="s">
        <v>9</v>
      </c>
      <c r="D3046" t="s">
        <v>3374</v>
      </c>
      <c r="E3046" t="s">
        <v>11</v>
      </c>
      <c r="F3046" t="s">
        <v>3375</v>
      </c>
      <c r="G3046" t="s">
        <v>11</v>
      </c>
      <c r="H3046" t="s">
        <v>4917</v>
      </c>
      <c r="J3046">
        <v>9</v>
      </c>
    </row>
    <row r="3047" spans="1:10" x14ac:dyDescent="0.35">
      <c r="A3047">
        <v>61611108</v>
      </c>
      <c r="B3047" t="s">
        <v>167</v>
      </c>
      <c r="C3047" t="s">
        <v>9</v>
      </c>
      <c r="D3047" t="s">
        <v>2337</v>
      </c>
      <c r="E3047" t="s">
        <v>11</v>
      </c>
      <c r="F3047" t="s">
        <v>2338</v>
      </c>
      <c r="G3047" t="s">
        <v>11</v>
      </c>
      <c r="H3047" t="s">
        <v>4792</v>
      </c>
      <c r="J3047">
        <v>6</v>
      </c>
    </row>
    <row r="3048" spans="1:10" x14ac:dyDescent="0.35">
      <c r="A3048">
        <v>61611108</v>
      </c>
      <c r="B3048" t="s">
        <v>167</v>
      </c>
      <c r="C3048" t="s">
        <v>9</v>
      </c>
      <c r="D3048" t="s">
        <v>2337</v>
      </c>
      <c r="E3048" t="s">
        <v>11</v>
      </c>
      <c r="F3048" t="s">
        <v>2338</v>
      </c>
      <c r="G3048" t="s">
        <v>61</v>
      </c>
      <c r="H3048" t="s">
        <v>4792</v>
      </c>
      <c r="J3048">
        <v>1</v>
      </c>
    </row>
    <row r="3049" spans="1:10" x14ac:dyDescent="0.35">
      <c r="A3049">
        <v>6161110810713</v>
      </c>
      <c r="B3049" t="s">
        <v>3376</v>
      </c>
      <c r="C3049" t="s">
        <v>326</v>
      </c>
      <c r="D3049" t="s">
        <v>2337</v>
      </c>
      <c r="E3049" t="s">
        <v>11</v>
      </c>
      <c r="F3049" t="s">
        <v>2338</v>
      </c>
      <c r="G3049" t="s">
        <v>11</v>
      </c>
      <c r="H3049" t="s">
        <v>4792</v>
      </c>
      <c r="J3049">
        <v>2</v>
      </c>
    </row>
    <row r="3050" spans="1:10" x14ac:dyDescent="0.35">
      <c r="A3050">
        <v>6161111480267</v>
      </c>
      <c r="B3050" t="s">
        <v>3377</v>
      </c>
      <c r="C3050" t="s">
        <v>81</v>
      </c>
      <c r="D3050" t="s">
        <v>3378</v>
      </c>
      <c r="E3050" t="s">
        <v>11</v>
      </c>
      <c r="F3050" t="s">
        <v>3379</v>
      </c>
      <c r="G3050" t="s">
        <v>11</v>
      </c>
      <c r="H3050" t="s">
        <v>4918</v>
      </c>
      <c r="J3050">
        <v>26</v>
      </c>
    </row>
    <row r="3051" spans="1:10" x14ac:dyDescent="0.35">
      <c r="A3051">
        <v>6161111480328</v>
      </c>
      <c r="B3051" t="s">
        <v>3380</v>
      </c>
      <c r="C3051" t="s">
        <v>9</v>
      </c>
      <c r="D3051" t="s">
        <v>1057</v>
      </c>
      <c r="E3051" t="s">
        <v>318</v>
      </c>
      <c r="F3051" t="s">
        <v>319</v>
      </c>
      <c r="G3051" t="s">
        <v>11</v>
      </c>
      <c r="H3051" t="s">
        <v>4531</v>
      </c>
      <c r="J3051">
        <v>8</v>
      </c>
    </row>
    <row r="3052" spans="1:10" x14ac:dyDescent="0.35">
      <c r="A3052">
        <v>6161111480434</v>
      </c>
      <c r="B3052" t="s">
        <v>834</v>
      </c>
      <c r="C3052" t="s">
        <v>81</v>
      </c>
      <c r="D3052" t="s">
        <v>3378</v>
      </c>
      <c r="E3052" t="s">
        <v>11</v>
      </c>
      <c r="F3052" t="s">
        <v>3379</v>
      </c>
      <c r="G3052" t="s">
        <v>11</v>
      </c>
      <c r="H3052" t="s">
        <v>4918</v>
      </c>
      <c r="J3052">
        <v>11</v>
      </c>
    </row>
    <row r="3053" spans="1:10" x14ac:dyDescent="0.35">
      <c r="A3053">
        <v>6161111910160</v>
      </c>
      <c r="B3053" t="s">
        <v>3381</v>
      </c>
      <c r="C3053" t="s">
        <v>1199</v>
      </c>
      <c r="D3053" t="s">
        <v>3382</v>
      </c>
      <c r="E3053" t="s">
        <v>578</v>
      </c>
      <c r="F3053" t="s">
        <v>3383</v>
      </c>
      <c r="G3053" t="s">
        <v>33</v>
      </c>
      <c r="H3053" t="s">
        <v>4919</v>
      </c>
      <c r="J3053">
        <v>28</v>
      </c>
    </row>
    <row r="3054" spans="1:10" x14ac:dyDescent="0.35">
      <c r="A3054">
        <v>6161111910160</v>
      </c>
      <c r="B3054" t="s">
        <v>3381</v>
      </c>
      <c r="C3054" t="s">
        <v>1199</v>
      </c>
      <c r="D3054" t="s">
        <v>3382</v>
      </c>
      <c r="E3054" t="s">
        <v>578</v>
      </c>
      <c r="F3054" t="s">
        <v>3383</v>
      </c>
      <c r="G3054" t="s">
        <v>34</v>
      </c>
      <c r="H3054" t="s">
        <v>4919</v>
      </c>
      <c r="J3054">
        <v>468</v>
      </c>
    </row>
    <row r="3055" spans="1:10" x14ac:dyDescent="0.35">
      <c r="A3055">
        <v>6161111910160</v>
      </c>
      <c r="B3055" t="s">
        <v>3381</v>
      </c>
      <c r="C3055" t="s">
        <v>1199</v>
      </c>
      <c r="D3055" t="s">
        <v>3382</v>
      </c>
      <c r="E3055" t="s">
        <v>578</v>
      </c>
      <c r="F3055" t="s">
        <v>3383</v>
      </c>
      <c r="G3055" t="s">
        <v>31</v>
      </c>
      <c r="H3055" t="s">
        <v>4919</v>
      </c>
      <c r="J3055">
        <v>10</v>
      </c>
    </row>
    <row r="3056" spans="1:10" x14ac:dyDescent="0.35">
      <c r="A3056">
        <v>6161111910160</v>
      </c>
      <c r="B3056" t="s">
        <v>3381</v>
      </c>
      <c r="C3056" t="s">
        <v>1199</v>
      </c>
      <c r="D3056" t="s">
        <v>3382</v>
      </c>
      <c r="E3056" t="s">
        <v>578</v>
      </c>
      <c r="F3056" t="s">
        <v>3383</v>
      </c>
      <c r="G3056" t="s">
        <v>578</v>
      </c>
      <c r="H3056" t="s">
        <v>4919</v>
      </c>
      <c r="J3056">
        <v>52</v>
      </c>
    </row>
    <row r="3057" spans="1:10" x14ac:dyDescent="0.35">
      <c r="A3057">
        <v>6161112462736</v>
      </c>
      <c r="B3057" t="s">
        <v>3384</v>
      </c>
      <c r="C3057" t="s">
        <v>94</v>
      </c>
      <c r="D3057" t="s">
        <v>3385</v>
      </c>
      <c r="E3057" t="s">
        <v>34</v>
      </c>
      <c r="F3057" t="s">
        <v>3386</v>
      </c>
      <c r="G3057" t="s">
        <v>150</v>
      </c>
      <c r="H3057" t="s">
        <v>4920</v>
      </c>
      <c r="J3057">
        <v>2</v>
      </c>
    </row>
    <row r="3058" spans="1:10" x14ac:dyDescent="0.35">
      <c r="A3058">
        <v>6161112462743</v>
      </c>
      <c r="B3058" t="s">
        <v>3384</v>
      </c>
      <c r="C3058" t="s">
        <v>419</v>
      </c>
      <c r="D3058" t="s">
        <v>3385</v>
      </c>
      <c r="E3058" t="s">
        <v>34</v>
      </c>
      <c r="F3058" t="s">
        <v>3386</v>
      </c>
      <c r="G3058" t="s">
        <v>150</v>
      </c>
      <c r="H3058" t="s">
        <v>4920</v>
      </c>
      <c r="J3058">
        <v>13</v>
      </c>
    </row>
    <row r="3059" spans="1:10" x14ac:dyDescent="0.35">
      <c r="A3059">
        <v>6161112464198</v>
      </c>
      <c r="B3059" t="s">
        <v>904</v>
      </c>
      <c r="C3059" t="s">
        <v>253</v>
      </c>
      <c r="D3059" t="s">
        <v>860</v>
      </c>
      <c r="E3059" t="s">
        <v>11</v>
      </c>
      <c r="F3059" t="s">
        <v>861</v>
      </c>
      <c r="G3059" t="s">
        <v>11</v>
      </c>
      <c r="H3059" t="s">
        <v>4607</v>
      </c>
      <c r="J3059">
        <v>45</v>
      </c>
    </row>
    <row r="3060" spans="1:10" x14ac:dyDescent="0.35">
      <c r="A3060">
        <v>6161112464198</v>
      </c>
      <c r="B3060" t="s">
        <v>904</v>
      </c>
      <c r="C3060" t="s">
        <v>253</v>
      </c>
      <c r="D3060" t="s">
        <v>860</v>
      </c>
      <c r="E3060" t="s">
        <v>11</v>
      </c>
      <c r="F3060" t="s">
        <v>861</v>
      </c>
      <c r="G3060" t="s">
        <v>34</v>
      </c>
      <c r="H3060" t="s">
        <v>4607</v>
      </c>
      <c r="J3060">
        <v>1</v>
      </c>
    </row>
    <row r="3061" spans="1:10" x14ac:dyDescent="0.35">
      <c r="A3061">
        <v>6161112464198</v>
      </c>
      <c r="B3061" t="s">
        <v>904</v>
      </c>
      <c r="C3061" t="s">
        <v>253</v>
      </c>
      <c r="D3061" t="s">
        <v>860</v>
      </c>
      <c r="E3061" t="s">
        <v>11</v>
      </c>
      <c r="F3061" t="s">
        <v>861</v>
      </c>
      <c r="G3061" t="s">
        <v>61</v>
      </c>
      <c r="H3061" t="s">
        <v>4607</v>
      </c>
      <c r="J3061">
        <v>15</v>
      </c>
    </row>
    <row r="3062" spans="1:10" x14ac:dyDescent="0.35">
      <c r="A3062">
        <v>6161112464204</v>
      </c>
      <c r="B3062" t="s">
        <v>3387</v>
      </c>
      <c r="C3062" t="s">
        <v>1573</v>
      </c>
      <c r="D3062" t="s">
        <v>860</v>
      </c>
      <c r="E3062" t="s">
        <v>11</v>
      </c>
      <c r="F3062" t="s">
        <v>861</v>
      </c>
      <c r="G3062" t="s">
        <v>11</v>
      </c>
      <c r="H3062" t="s">
        <v>4607</v>
      </c>
      <c r="J3062">
        <v>32</v>
      </c>
    </row>
    <row r="3063" spans="1:10" x14ac:dyDescent="0.35">
      <c r="A3063">
        <v>6161112464204</v>
      </c>
      <c r="B3063" t="s">
        <v>3387</v>
      </c>
      <c r="C3063" t="s">
        <v>1573</v>
      </c>
      <c r="D3063" t="s">
        <v>860</v>
      </c>
      <c r="E3063" t="s">
        <v>11</v>
      </c>
      <c r="F3063" t="s">
        <v>861</v>
      </c>
      <c r="G3063" t="s">
        <v>34</v>
      </c>
      <c r="H3063" t="s">
        <v>4607</v>
      </c>
      <c r="J3063">
        <v>1</v>
      </c>
    </row>
    <row r="3064" spans="1:10" x14ac:dyDescent="0.35">
      <c r="A3064">
        <v>6161112464204</v>
      </c>
      <c r="B3064" t="s">
        <v>3387</v>
      </c>
      <c r="C3064" t="s">
        <v>1573</v>
      </c>
      <c r="D3064" t="s">
        <v>860</v>
      </c>
      <c r="E3064" t="s">
        <v>11</v>
      </c>
      <c r="F3064" t="s">
        <v>861</v>
      </c>
      <c r="G3064" t="s">
        <v>61</v>
      </c>
      <c r="H3064" t="s">
        <v>4607</v>
      </c>
      <c r="J3064">
        <v>3</v>
      </c>
    </row>
    <row r="3065" spans="1:10" x14ac:dyDescent="0.35">
      <c r="A3065">
        <v>6161112464242</v>
      </c>
      <c r="B3065" t="s">
        <v>295</v>
      </c>
      <c r="C3065" t="s">
        <v>83</v>
      </c>
      <c r="D3065" t="s">
        <v>3388</v>
      </c>
      <c r="E3065" t="s">
        <v>34</v>
      </c>
      <c r="F3065" t="s">
        <v>3386</v>
      </c>
      <c r="G3065" t="s">
        <v>11</v>
      </c>
      <c r="H3065" t="s">
        <v>4920</v>
      </c>
      <c r="J3065">
        <v>59</v>
      </c>
    </row>
    <row r="3066" spans="1:10" x14ac:dyDescent="0.35">
      <c r="A3066">
        <v>616111246499</v>
      </c>
      <c r="B3066" t="s">
        <v>904</v>
      </c>
      <c r="C3066" t="s">
        <v>9</v>
      </c>
      <c r="D3066" t="s">
        <v>860</v>
      </c>
      <c r="E3066" t="s">
        <v>11</v>
      </c>
      <c r="F3066" t="s">
        <v>861</v>
      </c>
      <c r="G3066" t="s">
        <v>11</v>
      </c>
      <c r="H3066" t="s">
        <v>4607</v>
      </c>
      <c r="J3066">
        <v>8</v>
      </c>
    </row>
    <row r="3067" spans="1:10" x14ac:dyDescent="0.35">
      <c r="A3067">
        <v>616111246499</v>
      </c>
      <c r="B3067" t="s">
        <v>904</v>
      </c>
      <c r="C3067" t="s">
        <v>9</v>
      </c>
      <c r="D3067" t="s">
        <v>860</v>
      </c>
      <c r="E3067" t="s">
        <v>11</v>
      </c>
      <c r="F3067" t="s">
        <v>861</v>
      </c>
      <c r="G3067" t="s">
        <v>61</v>
      </c>
      <c r="H3067" t="s">
        <v>4607</v>
      </c>
      <c r="J3067">
        <v>1</v>
      </c>
    </row>
    <row r="3068" spans="1:10" x14ac:dyDescent="0.35">
      <c r="A3068">
        <v>6161112465065</v>
      </c>
      <c r="B3068" t="s">
        <v>3389</v>
      </c>
      <c r="C3068" t="s">
        <v>83</v>
      </c>
      <c r="D3068" t="s">
        <v>3390</v>
      </c>
      <c r="E3068" t="s">
        <v>308</v>
      </c>
      <c r="F3068" t="s">
        <v>309</v>
      </c>
      <c r="G3068" t="s">
        <v>11</v>
      </c>
      <c r="H3068" t="s">
        <v>4529</v>
      </c>
      <c r="J3068">
        <v>2</v>
      </c>
    </row>
    <row r="3069" spans="1:10" x14ac:dyDescent="0.35">
      <c r="A3069">
        <v>6161112465065</v>
      </c>
      <c r="B3069" t="s">
        <v>3389</v>
      </c>
      <c r="C3069" t="s">
        <v>83</v>
      </c>
      <c r="D3069" t="s">
        <v>3390</v>
      </c>
      <c r="E3069" t="s">
        <v>308</v>
      </c>
      <c r="F3069" t="s">
        <v>309</v>
      </c>
      <c r="G3069" t="s">
        <v>34</v>
      </c>
      <c r="H3069" t="s">
        <v>4529</v>
      </c>
      <c r="J3069">
        <v>10</v>
      </c>
    </row>
    <row r="3070" spans="1:10" x14ac:dyDescent="0.35">
      <c r="A3070">
        <v>6161112465157</v>
      </c>
      <c r="B3070" t="s">
        <v>295</v>
      </c>
      <c r="C3070" t="s">
        <v>38</v>
      </c>
      <c r="D3070" t="s">
        <v>3388</v>
      </c>
      <c r="E3070" t="s">
        <v>34</v>
      </c>
      <c r="F3070" t="s">
        <v>3386</v>
      </c>
      <c r="G3070" t="s">
        <v>11</v>
      </c>
      <c r="H3070" t="s">
        <v>4920</v>
      </c>
      <c r="J3070">
        <v>42</v>
      </c>
    </row>
    <row r="3071" spans="1:10" x14ac:dyDescent="0.35">
      <c r="A3071">
        <v>6161113670000</v>
      </c>
      <c r="B3071" t="s">
        <v>3021</v>
      </c>
      <c r="C3071" t="s">
        <v>9</v>
      </c>
      <c r="D3071" t="s">
        <v>1688</v>
      </c>
      <c r="E3071" t="s">
        <v>318</v>
      </c>
      <c r="F3071" t="s">
        <v>319</v>
      </c>
      <c r="G3071" t="s">
        <v>11</v>
      </c>
      <c r="H3071" t="s">
        <v>4531</v>
      </c>
      <c r="J3071">
        <v>3</v>
      </c>
    </row>
    <row r="3072" spans="1:10" x14ac:dyDescent="0.35">
      <c r="A3072">
        <v>6161113791996</v>
      </c>
      <c r="B3072" t="s">
        <v>3391</v>
      </c>
      <c r="C3072" t="s">
        <v>9</v>
      </c>
      <c r="D3072" t="s">
        <v>3392</v>
      </c>
      <c r="E3072" t="s">
        <v>11</v>
      </c>
      <c r="F3072" t="s">
        <v>3393</v>
      </c>
      <c r="G3072" t="s">
        <v>11</v>
      </c>
      <c r="H3072" t="s">
        <v>4921</v>
      </c>
      <c r="J3072">
        <v>12</v>
      </c>
    </row>
    <row r="3073" spans="1:10" x14ac:dyDescent="0.35">
      <c r="A3073">
        <v>61611177</v>
      </c>
      <c r="B3073" t="s">
        <v>3394</v>
      </c>
      <c r="C3073" t="s">
        <v>909</v>
      </c>
      <c r="D3073" t="s">
        <v>3395</v>
      </c>
      <c r="E3073" t="s">
        <v>308</v>
      </c>
      <c r="F3073" t="s">
        <v>309</v>
      </c>
      <c r="G3073" t="s">
        <v>11</v>
      </c>
      <c r="H3073" t="s">
        <v>4529</v>
      </c>
      <c r="J3073">
        <v>3</v>
      </c>
    </row>
    <row r="3074" spans="1:10" x14ac:dyDescent="0.35">
      <c r="A3074">
        <v>6161117770065</v>
      </c>
      <c r="B3074" t="s">
        <v>3396</v>
      </c>
      <c r="C3074" t="s">
        <v>38</v>
      </c>
      <c r="D3074" t="s">
        <v>998</v>
      </c>
      <c r="E3074" t="s">
        <v>15</v>
      </c>
      <c r="F3074" t="s">
        <v>901</v>
      </c>
      <c r="G3074" t="s">
        <v>11</v>
      </c>
      <c r="H3074" t="s">
        <v>4617</v>
      </c>
      <c r="J3074">
        <v>1</v>
      </c>
    </row>
    <row r="3075" spans="1:10" x14ac:dyDescent="0.35">
      <c r="A3075">
        <v>6161117770065</v>
      </c>
      <c r="B3075" t="s">
        <v>3396</v>
      </c>
      <c r="C3075" t="s">
        <v>38</v>
      </c>
      <c r="D3075" t="s">
        <v>998</v>
      </c>
      <c r="E3075" t="s">
        <v>15</v>
      </c>
      <c r="F3075" t="s">
        <v>901</v>
      </c>
      <c r="G3075" t="s">
        <v>34</v>
      </c>
      <c r="H3075" t="s">
        <v>4617</v>
      </c>
      <c r="J3075">
        <v>5</v>
      </c>
    </row>
    <row r="3076" spans="1:10" x14ac:dyDescent="0.35">
      <c r="A3076">
        <v>6161117770225</v>
      </c>
      <c r="B3076" t="s">
        <v>3397</v>
      </c>
      <c r="C3076" t="s">
        <v>9</v>
      </c>
      <c r="D3076" t="s">
        <v>998</v>
      </c>
      <c r="E3076" t="s">
        <v>15</v>
      </c>
      <c r="F3076" t="s">
        <v>901</v>
      </c>
      <c r="G3076" t="s">
        <v>117</v>
      </c>
      <c r="H3076" t="s">
        <v>4617</v>
      </c>
      <c r="J3076">
        <v>3</v>
      </c>
    </row>
    <row r="3077" spans="1:10" x14ac:dyDescent="0.35">
      <c r="A3077">
        <v>6161117770225</v>
      </c>
      <c r="B3077" t="s">
        <v>3397</v>
      </c>
      <c r="C3077" t="s">
        <v>9</v>
      </c>
      <c r="D3077" t="s">
        <v>998</v>
      </c>
      <c r="E3077" t="s">
        <v>15</v>
      </c>
      <c r="F3077" t="s">
        <v>901</v>
      </c>
      <c r="G3077" t="s">
        <v>11</v>
      </c>
      <c r="H3077" t="s">
        <v>4617</v>
      </c>
      <c r="J3077">
        <v>28</v>
      </c>
    </row>
    <row r="3078" spans="1:10" x14ac:dyDescent="0.35">
      <c r="A3078">
        <v>6161117770294</v>
      </c>
      <c r="B3078" t="s">
        <v>3398</v>
      </c>
      <c r="C3078" t="s">
        <v>38</v>
      </c>
      <c r="D3078" t="s">
        <v>995</v>
      </c>
      <c r="E3078" t="s">
        <v>130</v>
      </c>
      <c r="F3078" t="s">
        <v>996</v>
      </c>
      <c r="G3078" t="s">
        <v>11</v>
      </c>
      <c r="H3078" t="s">
        <v>4635</v>
      </c>
      <c r="J3078">
        <v>6</v>
      </c>
    </row>
    <row r="3079" spans="1:10" x14ac:dyDescent="0.35">
      <c r="A3079">
        <v>6161117770294</v>
      </c>
      <c r="B3079" t="s">
        <v>3398</v>
      </c>
      <c r="C3079" t="s">
        <v>38</v>
      </c>
      <c r="D3079" t="s">
        <v>995</v>
      </c>
      <c r="E3079" t="s">
        <v>130</v>
      </c>
      <c r="F3079" t="s">
        <v>996</v>
      </c>
      <c r="G3079" t="s">
        <v>150</v>
      </c>
      <c r="H3079" t="s">
        <v>4635</v>
      </c>
      <c r="J3079">
        <v>56</v>
      </c>
    </row>
    <row r="3080" spans="1:10" x14ac:dyDescent="0.35">
      <c r="A3080">
        <v>6161117770560</v>
      </c>
      <c r="B3080" t="s">
        <v>346</v>
      </c>
      <c r="C3080" t="s">
        <v>192</v>
      </c>
      <c r="D3080" t="s">
        <v>3395</v>
      </c>
      <c r="E3080" t="s">
        <v>308</v>
      </c>
      <c r="F3080" t="s">
        <v>309</v>
      </c>
      <c r="G3080" t="s">
        <v>11</v>
      </c>
      <c r="H3080" t="s">
        <v>4529</v>
      </c>
      <c r="J3080">
        <v>1</v>
      </c>
    </row>
    <row r="3081" spans="1:10" x14ac:dyDescent="0.35">
      <c r="A3081">
        <v>6161235458920</v>
      </c>
      <c r="B3081" t="s">
        <v>446</v>
      </c>
      <c r="C3081" t="s">
        <v>114</v>
      </c>
      <c r="D3081" t="s">
        <v>3399</v>
      </c>
      <c r="E3081" t="s">
        <v>117</v>
      </c>
      <c r="F3081" t="s">
        <v>3400</v>
      </c>
      <c r="G3081" t="s">
        <v>117</v>
      </c>
      <c r="H3081" t="s">
        <v>4922</v>
      </c>
      <c r="J3081">
        <v>12</v>
      </c>
    </row>
    <row r="3082" spans="1:10" x14ac:dyDescent="0.35">
      <c r="A3082">
        <v>6161235458937</v>
      </c>
      <c r="B3082" t="s">
        <v>446</v>
      </c>
      <c r="C3082" t="s">
        <v>192</v>
      </c>
      <c r="D3082" t="s">
        <v>3399</v>
      </c>
      <c r="E3082" t="s">
        <v>117</v>
      </c>
      <c r="F3082" t="s">
        <v>3400</v>
      </c>
      <c r="G3082" t="s">
        <v>117</v>
      </c>
      <c r="H3082" t="s">
        <v>4922</v>
      </c>
      <c r="J3082">
        <v>3</v>
      </c>
    </row>
    <row r="3083" spans="1:10" x14ac:dyDescent="0.35">
      <c r="A3083">
        <v>61614000</v>
      </c>
      <c r="B3083" t="s">
        <v>3165</v>
      </c>
      <c r="C3083" t="s">
        <v>94</v>
      </c>
      <c r="D3083" t="s">
        <v>3063</v>
      </c>
      <c r="E3083" t="s">
        <v>1201</v>
      </c>
      <c r="F3083" t="s">
        <v>1465</v>
      </c>
      <c r="G3083" t="s">
        <v>150</v>
      </c>
      <c r="H3083" t="s">
        <v>4690</v>
      </c>
      <c r="J3083">
        <v>2</v>
      </c>
    </row>
    <row r="3084" spans="1:10" x14ac:dyDescent="0.35">
      <c r="A3084">
        <v>61614000</v>
      </c>
      <c r="B3084" t="s">
        <v>3165</v>
      </c>
      <c r="C3084" t="s">
        <v>94</v>
      </c>
      <c r="D3084" t="s">
        <v>3063</v>
      </c>
      <c r="E3084" t="s">
        <v>1201</v>
      </c>
      <c r="F3084" t="s">
        <v>1465</v>
      </c>
      <c r="G3084" t="s">
        <v>61</v>
      </c>
      <c r="H3084" t="s">
        <v>4690</v>
      </c>
      <c r="J3084">
        <v>3</v>
      </c>
    </row>
    <row r="3085" spans="1:10" x14ac:dyDescent="0.35">
      <c r="A3085">
        <v>6162000020014</v>
      </c>
      <c r="B3085" t="s">
        <v>3401</v>
      </c>
      <c r="C3085" t="s">
        <v>3402</v>
      </c>
      <c r="D3085" t="s">
        <v>3403</v>
      </c>
      <c r="E3085" t="s">
        <v>11</v>
      </c>
      <c r="F3085" t="s">
        <v>3404</v>
      </c>
      <c r="G3085" t="s">
        <v>11</v>
      </c>
      <c r="H3085" t="s">
        <v>4923</v>
      </c>
      <c r="J3085">
        <v>1</v>
      </c>
    </row>
    <row r="3086" spans="1:10" x14ac:dyDescent="0.35">
      <c r="A3086">
        <v>6162000048698</v>
      </c>
      <c r="B3086" t="s">
        <v>1107</v>
      </c>
      <c r="C3086" t="s">
        <v>445</v>
      </c>
      <c r="D3086" t="s">
        <v>3403</v>
      </c>
      <c r="E3086" t="s">
        <v>11</v>
      </c>
      <c r="F3086" t="s">
        <v>3404</v>
      </c>
      <c r="G3086" t="s">
        <v>11</v>
      </c>
      <c r="H3086" t="s">
        <v>4923</v>
      </c>
      <c r="J3086">
        <v>23</v>
      </c>
    </row>
    <row r="3087" spans="1:10" x14ac:dyDescent="0.35">
      <c r="A3087">
        <v>6162006601170</v>
      </c>
      <c r="B3087" t="s">
        <v>1091</v>
      </c>
      <c r="C3087" t="s">
        <v>83</v>
      </c>
      <c r="D3087" t="s">
        <v>2911</v>
      </c>
      <c r="E3087" t="s">
        <v>22</v>
      </c>
      <c r="F3087" t="s">
        <v>361</v>
      </c>
      <c r="G3087" t="s">
        <v>150</v>
      </c>
      <c r="H3087" t="s">
        <v>4539</v>
      </c>
      <c r="J3087">
        <v>1</v>
      </c>
    </row>
    <row r="3088" spans="1:10" x14ac:dyDescent="0.35">
      <c r="A3088">
        <v>6162006605772</v>
      </c>
      <c r="B3088" t="s">
        <v>3166</v>
      </c>
      <c r="C3088" t="s">
        <v>272</v>
      </c>
      <c r="D3088" t="s">
        <v>2123</v>
      </c>
      <c r="E3088" t="s">
        <v>22</v>
      </c>
      <c r="F3088" t="s">
        <v>361</v>
      </c>
      <c r="G3088" t="s">
        <v>150</v>
      </c>
      <c r="H3088" t="s">
        <v>4539</v>
      </c>
      <c r="J3088">
        <v>1</v>
      </c>
    </row>
    <row r="3089" spans="1:10" x14ac:dyDescent="0.35">
      <c r="A3089">
        <v>6162006608681</v>
      </c>
      <c r="B3089" t="s">
        <v>3405</v>
      </c>
      <c r="C3089" t="s">
        <v>83</v>
      </c>
      <c r="D3089" t="s">
        <v>2123</v>
      </c>
      <c r="E3089" t="s">
        <v>22</v>
      </c>
      <c r="F3089" t="s">
        <v>361</v>
      </c>
      <c r="G3089" t="s">
        <v>150</v>
      </c>
      <c r="H3089" t="s">
        <v>4539</v>
      </c>
      <c r="J3089">
        <v>7</v>
      </c>
    </row>
    <row r="3090" spans="1:10" x14ac:dyDescent="0.35">
      <c r="A3090">
        <v>6162400124190</v>
      </c>
      <c r="B3090" t="s">
        <v>3406</v>
      </c>
      <c r="C3090" t="s">
        <v>2497</v>
      </c>
      <c r="D3090" t="s">
        <v>3328</v>
      </c>
      <c r="E3090" t="s">
        <v>31</v>
      </c>
      <c r="F3090" t="s">
        <v>3329</v>
      </c>
      <c r="G3090" t="s">
        <v>61</v>
      </c>
      <c r="H3090" t="s">
        <v>4907</v>
      </c>
      <c r="J3090">
        <v>1</v>
      </c>
    </row>
    <row r="3091" spans="1:10" x14ac:dyDescent="0.35">
      <c r="A3091">
        <v>6162567777772</v>
      </c>
      <c r="B3091" t="s">
        <v>3407</v>
      </c>
      <c r="C3091" t="s">
        <v>36</v>
      </c>
      <c r="D3091" t="s">
        <v>3408</v>
      </c>
      <c r="E3091" t="s">
        <v>31</v>
      </c>
      <c r="F3091" t="s">
        <v>3409</v>
      </c>
      <c r="G3091" t="s">
        <v>31</v>
      </c>
      <c r="H3091" t="s">
        <v>4924</v>
      </c>
      <c r="J3091">
        <v>2</v>
      </c>
    </row>
    <row r="3092" spans="1:10" x14ac:dyDescent="0.35">
      <c r="A3092">
        <v>6163411216881</v>
      </c>
      <c r="B3092" t="s">
        <v>3410</v>
      </c>
      <c r="C3092" t="s">
        <v>9</v>
      </c>
      <c r="D3092" t="s">
        <v>420</v>
      </c>
      <c r="E3092" t="s">
        <v>61</v>
      </c>
      <c r="F3092" t="s">
        <v>421</v>
      </c>
      <c r="G3092" t="s">
        <v>31</v>
      </c>
      <c r="H3092" t="s">
        <v>4549</v>
      </c>
      <c r="J3092">
        <v>24</v>
      </c>
    </row>
    <row r="3093" spans="1:10" x14ac:dyDescent="0.35">
      <c r="A3093">
        <v>6164000012440</v>
      </c>
      <c r="B3093" t="s">
        <v>2341</v>
      </c>
      <c r="C3093" t="s">
        <v>825</v>
      </c>
      <c r="D3093" t="s">
        <v>2337</v>
      </c>
      <c r="E3093" t="s">
        <v>11</v>
      </c>
      <c r="F3093" t="s">
        <v>2338</v>
      </c>
      <c r="G3093" t="s">
        <v>11</v>
      </c>
      <c r="H3093" t="s">
        <v>4792</v>
      </c>
      <c r="J3093">
        <v>22</v>
      </c>
    </row>
    <row r="3094" spans="1:10" x14ac:dyDescent="0.35">
      <c r="A3094">
        <v>6164000015601</v>
      </c>
      <c r="B3094" t="s">
        <v>3411</v>
      </c>
      <c r="C3094" t="s">
        <v>9</v>
      </c>
      <c r="D3094" t="s">
        <v>3412</v>
      </c>
      <c r="E3094" t="s">
        <v>11</v>
      </c>
      <c r="F3094" t="s">
        <v>3413</v>
      </c>
      <c r="G3094" t="s">
        <v>11</v>
      </c>
      <c r="H3094" t="s">
        <v>4925</v>
      </c>
      <c r="J3094">
        <v>15</v>
      </c>
    </row>
    <row r="3095" spans="1:10" x14ac:dyDescent="0.35">
      <c r="A3095">
        <v>6164000046001</v>
      </c>
      <c r="B3095" t="s">
        <v>834</v>
      </c>
      <c r="C3095" t="s">
        <v>9</v>
      </c>
      <c r="D3095" t="s">
        <v>2441</v>
      </c>
      <c r="E3095" t="s">
        <v>73</v>
      </c>
      <c r="F3095" t="s">
        <v>2442</v>
      </c>
      <c r="G3095" t="s">
        <v>11</v>
      </c>
      <c r="H3095" t="s">
        <v>4803</v>
      </c>
      <c r="J3095">
        <v>1</v>
      </c>
    </row>
    <row r="3096" spans="1:10" x14ac:dyDescent="0.35">
      <c r="A3096">
        <v>6164000046001</v>
      </c>
      <c r="B3096" t="s">
        <v>834</v>
      </c>
      <c r="C3096" t="s">
        <v>9</v>
      </c>
      <c r="D3096" t="s">
        <v>2441</v>
      </c>
      <c r="E3096" t="s">
        <v>73</v>
      </c>
      <c r="F3096" t="s">
        <v>2442</v>
      </c>
      <c r="G3096" t="s">
        <v>33</v>
      </c>
      <c r="H3096" t="s">
        <v>4803</v>
      </c>
      <c r="J3096">
        <v>38</v>
      </c>
    </row>
    <row r="3097" spans="1:10" x14ac:dyDescent="0.35">
      <c r="A3097">
        <v>6164000046001</v>
      </c>
      <c r="B3097" t="s">
        <v>834</v>
      </c>
      <c r="C3097" t="s">
        <v>9</v>
      </c>
      <c r="D3097" t="s">
        <v>2441</v>
      </c>
      <c r="E3097" t="s">
        <v>73</v>
      </c>
      <c r="F3097" t="s">
        <v>2442</v>
      </c>
      <c r="G3097" t="s">
        <v>34</v>
      </c>
      <c r="H3097" t="s">
        <v>4803</v>
      </c>
      <c r="J3097">
        <v>99</v>
      </c>
    </row>
    <row r="3098" spans="1:10" x14ac:dyDescent="0.35">
      <c r="A3098">
        <v>6164000049125</v>
      </c>
      <c r="B3098" t="s">
        <v>3414</v>
      </c>
      <c r="C3098" t="s">
        <v>81</v>
      </c>
      <c r="D3098" t="s">
        <v>3415</v>
      </c>
      <c r="E3098" t="s">
        <v>11</v>
      </c>
      <c r="F3098" t="s">
        <v>3416</v>
      </c>
      <c r="G3098" t="s">
        <v>11</v>
      </c>
      <c r="H3098" t="s">
        <v>4926</v>
      </c>
      <c r="J3098">
        <v>21</v>
      </c>
    </row>
    <row r="3099" spans="1:10" x14ac:dyDescent="0.35">
      <c r="A3099">
        <v>6164000049545</v>
      </c>
      <c r="B3099" t="s">
        <v>262</v>
      </c>
      <c r="C3099" t="s">
        <v>9</v>
      </c>
      <c r="D3099" t="s">
        <v>3415</v>
      </c>
      <c r="E3099" t="s">
        <v>11</v>
      </c>
      <c r="F3099" t="s">
        <v>3416</v>
      </c>
      <c r="G3099" t="s">
        <v>11</v>
      </c>
      <c r="H3099" t="s">
        <v>4926</v>
      </c>
      <c r="J3099">
        <v>42</v>
      </c>
    </row>
    <row r="3100" spans="1:10" x14ac:dyDescent="0.35">
      <c r="A3100">
        <v>6164000116308</v>
      </c>
      <c r="B3100" t="s">
        <v>3417</v>
      </c>
      <c r="C3100" t="s">
        <v>9</v>
      </c>
      <c r="D3100" t="s">
        <v>3418</v>
      </c>
      <c r="E3100" t="s">
        <v>11</v>
      </c>
      <c r="F3100" t="s">
        <v>3419</v>
      </c>
      <c r="G3100" t="s">
        <v>11</v>
      </c>
      <c r="H3100" t="s">
        <v>4927</v>
      </c>
      <c r="J3100">
        <v>1</v>
      </c>
    </row>
    <row r="3101" spans="1:10" x14ac:dyDescent="0.35">
      <c r="A3101">
        <v>6164000116308</v>
      </c>
      <c r="B3101" t="s">
        <v>3417</v>
      </c>
      <c r="C3101" t="s">
        <v>9</v>
      </c>
      <c r="D3101" t="s">
        <v>3418</v>
      </c>
      <c r="E3101" t="s">
        <v>11</v>
      </c>
      <c r="F3101" t="s">
        <v>3419</v>
      </c>
      <c r="G3101" t="s">
        <v>31</v>
      </c>
      <c r="H3101" t="s">
        <v>4927</v>
      </c>
      <c r="J3101">
        <v>12</v>
      </c>
    </row>
    <row r="3102" spans="1:10" x14ac:dyDescent="0.35">
      <c r="A3102">
        <v>6164000250064</v>
      </c>
      <c r="B3102" t="s">
        <v>8</v>
      </c>
      <c r="C3102" t="s">
        <v>9</v>
      </c>
      <c r="D3102" t="s">
        <v>3420</v>
      </c>
      <c r="E3102" t="s">
        <v>11</v>
      </c>
      <c r="F3102" t="s">
        <v>3421</v>
      </c>
      <c r="G3102" t="s">
        <v>11</v>
      </c>
      <c r="H3102" t="s">
        <v>4928</v>
      </c>
      <c r="J3102">
        <v>16</v>
      </c>
    </row>
    <row r="3103" spans="1:10" x14ac:dyDescent="0.35">
      <c r="A3103">
        <v>6164000436703</v>
      </c>
      <c r="B3103" t="s">
        <v>485</v>
      </c>
      <c r="C3103" t="s">
        <v>909</v>
      </c>
      <c r="D3103" t="s">
        <v>3422</v>
      </c>
      <c r="E3103" t="s">
        <v>31</v>
      </c>
      <c r="F3103" t="s">
        <v>3423</v>
      </c>
      <c r="G3103" t="s">
        <v>31</v>
      </c>
      <c r="H3103" t="s">
        <v>4929</v>
      </c>
      <c r="J3103">
        <v>1</v>
      </c>
    </row>
    <row r="3104" spans="1:10" x14ac:dyDescent="0.35">
      <c r="A3104">
        <v>6164000436710</v>
      </c>
      <c r="B3104" t="s">
        <v>485</v>
      </c>
      <c r="C3104" t="s">
        <v>253</v>
      </c>
      <c r="D3104" t="s">
        <v>3422</v>
      </c>
      <c r="E3104" t="s">
        <v>31</v>
      </c>
      <c r="F3104" t="s">
        <v>3423</v>
      </c>
      <c r="G3104" t="s">
        <v>31</v>
      </c>
      <c r="H3104" t="s">
        <v>4929</v>
      </c>
      <c r="J3104">
        <v>3</v>
      </c>
    </row>
    <row r="3105" spans="1:10" x14ac:dyDescent="0.35">
      <c r="A3105">
        <v>6164000436734</v>
      </c>
      <c r="B3105" t="s">
        <v>1419</v>
      </c>
      <c r="C3105" t="s">
        <v>447</v>
      </c>
      <c r="D3105" t="s">
        <v>3422</v>
      </c>
      <c r="E3105" t="s">
        <v>31</v>
      </c>
      <c r="F3105" t="s">
        <v>3423</v>
      </c>
      <c r="G3105" t="s">
        <v>31</v>
      </c>
      <c r="H3105" t="s">
        <v>4929</v>
      </c>
      <c r="J3105">
        <v>3</v>
      </c>
    </row>
    <row r="3106" spans="1:10" x14ac:dyDescent="0.35">
      <c r="A3106">
        <v>6164000451201</v>
      </c>
      <c r="B3106" t="s">
        <v>3424</v>
      </c>
      <c r="C3106" t="s">
        <v>66</v>
      </c>
      <c r="D3106" t="s">
        <v>3425</v>
      </c>
      <c r="E3106" t="s">
        <v>41</v>
      </c>
      <c r="F3106" t="s">
        <v>3426</v>
      </c>
      <c r="G3106" t="s">
        <v>41</v>
      </c>
      <c r="H3106" t="s">
        <v>4930</v>
      </c>
      <c r="J3106">
        <v>446</v>
      </c>
    </row>
    <row r="3107" spans="1:10" x14ac:dyDescent="0.35">
      <c r="A3107">
        <v>6164000472022</v>
      </c>
      <c r="B3107" t="s">
        <v>3427</v>
      </c>
      <c r="C3107" t="s">
        <v>81</v>
      </c>
      <c r="D3107" t="s">
        <v>3428</v>
      </c>
      <c r="E3107" t="s">
        <v>150</v>
      </c>
      <c r="F3107" t="s">
        <v>3429</v>
      </c>
      <c r="G3107" t="s">
        <v>150</v>
      </c>
      <c r="H3107" t="s">
        <v>4931</v>
      </c>
      <c r="J3107">
        <v>3</v>
      </c>
    </row>
    <row r="3108" spans="1:10" x14ac:dyDescent="0.35">
      <c r="A3108">
        <v>6164000472039</v>
      </c>
      <c r="B3108" t="s">
        <v>3430</v>
      </c>
      <c r="C3108" t="s">
        <v>81</v>
      </c>
      <c r="D3108" t="s">
        <v>3428</v>
      </c>
      <c r="E3108" t="s">
        <v>150</v>
      </c>
      <c r="F3108" t="s">
        <v>3429</v>
      </c>
      <c r="G3108" t="s">
        <v>150</v>
      </c>
      <c r="H3108" t="s">
        <v>4931</v>
      </c>
      <c r="J3108">
        <v>11</v>
      </c>
    </row>
    <row r="3109" spans="1:10" x14ac:dyDescent="0.35">
      <c r="A3109">
        <v>6164000472077</v>
      </c>
      <c r="B3109" t="s">
        <v>3431</v>
      </c>
      <c r="C3109" t="s">
        <v>9</v>
      </c>
      <c r="D3109" t="s">
        <v>3428</v>
      </c>
      <c r="E3109" t="s">
        <v>150</v>
      </c>
      <c r="F3109" t="s">
        <v>3429</v>
      </c>
      <c r="G3109" t="s">
        <v>150</v>
      </c>
      <c r="H3109" t="s">
        <v>4931</v>
      </c>
      <c r="J3109">
        <v>2</v>
      </c>
    </row>
    <row r="3110" spans="1:10" x14ac:dyDescent="0.35">
      <c r="A3110">
        <v>6164000472107</v>
      </c>
      <c r="B3110" t="s">
        <v>3432</v>
      </c>
      <c r="C3110" t="s">
        <v>9</v>
      </c>
      <c r="D3110" t="s">
        <v>3428</v>
      </c>
      <c r="E3110" t="s">
        <v>150</v>
      </c>
      <c r="F3110" t="s">
        <v>3429</v>
      </c>
      <c r="G3110" t="s">
        <v>150</v>
      </c>
      <c r="H3110" t="s">
        <v>4931</v>
      </c>
      <c r="J3110">
        <v>86</v>
      </c>
    </row>
    <row r="3111" spans="1:10" x14ac:dyDescent="0.35">
      <c r="A3111">
        <v>6164000472404</v>
      </c>
      <c r="B3111" t="s">
        <v>3433</v>
      </c>
      <c r="C3111" t="s">
        <v>9</v>
      </c>
      <c r="D3111" t="s">
        <v>3428</v>
      </c>
      <c r="E3111" t="s">
        <v>150</v>
      </c>
      <c r="F3111" t="s">
        <v>3429</v>
      </c>
      <c r="G3111" t="s">
        <v>150</v>
      </c>
      <c r="H3111" t="s">
        <v>4931</v>
      </c>
      <c r="J3111">
        <v>124</v>
      </c>
    </row>
    <row r="3112" spans="1:10" x14ac:dyDescent="0.35">
      <c r="A3112">
        <v>6164000472411</v>
      </c>
      <c r="B3112" t="s">
        <v>3433</v>
      </c>
      <c r="C3112" t="s">
        <v>9</v>
      </c>
      <c r="D3112" t="s">
        <v>3428</v>
      </c>
      <c r="E3112" t="s">
        <v>150</v>
      </c>
      <c r="F3112" t="s">
        <v>3429</v>
      </c>
      <c r="G3112" t="s">
        <v>150</v>
      </c>
      <c r="H3112" t="s">
        <v>4931</v>
      </c>
      <c r="J3112">
        <v>20</v>
      </c>
    </row>
    <row r="3113" spans="1:10" x14ac:dyDescent="0.35">
      <c r="A3113">
        <v>6164000472930</v>
      </c>
      <c r="B3113" t="s">
        <v>1151</v>
      </c>
      <c r="C3113" t="s">
        <v>192</v>
      </c>
      <c r="D3113" t="s">
        <v>3434</v>
      </c>
      <c r="E3113" t="s">
        <v>150</v>
      </c>
      <c r="F3113" t="s">
        <v>3429</v>
      </c>
      <c r="G3113" t="s">
        <v>150</v>
      </c>
      <c r="H3113" t="s">
        <v>4931</v>
      </c>
      <c r="J3113">
        <v>53</v>
      </c>
    </row>
    <row r="3114" spans="1:10" x14ac:dyDescent="0.35">
      <c r="A3114">
        <v>6164000472954</v>
      </c>
      <c r="B3114" t="s">
        <v>3435</v>
      </c>
      <c r="C3114" t="s">
        <v>9</v>
      </c>
      <c r="D3114" t="s">
        <v>3428</v>
      </c>
      <c r="E3114" t="s">
        <v>150</v>
      </c>
      <c r="F3114" t="s">
        <v>3429</v>
      </c>
      <c r="G3114" t="s">
        <v>150</v>
      </c>
      <c r="H3114" t="s">
        <v>4931</v>
      </c>
      <c r="J3114">
        <v>117</v>
      </c>
    </row>
    <row r="3115" spans="1:10" x14ac:dyDescent="0.35">
      <c r="A3115">
        <v>6164000505287</v>
      </c>
      <c r="B3115" t="s">
        <v>2336</v>
      </c>
      <c r="C3115" t="s">
        <v>272</v>
      </c>
      <c r="D3115" t="s">
        <v>3436</v>
      </c>
      <c r="E3115" t="s">
        <v>150</v>
      </c>
      <c r="F3115" t="s">
        <v>3437</v>
      </c>
      <c r="G3115" t="s">
        <v>150</v>
      </c>
      <c r="H3115" t="s">
        <v>4932</v>
      </c>
      <c r="J3115">
        <v>16</v>
      </c>
    </row>
    <row r="3116" spans="1:10" x14ac:dyDescent="0.35">
      <c r="A3116">
        <v>6164000505331</v>
      </c>
      <c r="B3116" t="s">
        <v>2336</v>
      </c>
      <c r="C3116" t="s">
        <v>603</v>
      </c>
      <c r="D3116" t="s">
        <v>3436</v>
      </c>
      <c r="E3116" t="s">
        <v>150</v>
      </c>
      <c r="F3116" t="s">
        <v>3437</v>
      </c>
      <c r="G3116" t="s">
        <v>150</v>
      </c>
      <c r="H3116" t="s">
        <v>4932</v>
      </c>
      <c r="J3116">
        <v>22</v>
      </c>
    </row>
    <row r="3117" spans="1:10" x14ac:dyDescent="0.35">
      <c r="A3117">
        <v>6164000505348</v>
      </c>
      <c r="B3117" t="s">
        <v>3438</v>
      </c>
      <c r="C3117" t="s">
        <v>603</v>
      </c>
      <c r="D3117" t="s">
        <v>3436</v>
      </c>
      <c r="E3117" t="s">
        <v>150</v>
      </c>
      <c r="F3117" t="s">
        <v>3437</v>
      </c>
      <c r="G3117" t="s">
        <v>150</v>
      </c>
      <c r="H3117" t="s">
        <v>4932</v>
      </c>
      <c r="J3117">
        <v>5</v>
      </c>
    </row>
    <row r="3118" spans="1:10" x14ac:dyDescent="0.35">
      <c r="A3118">
        <v>6164000505379</v>
      </c>
      <c r="B3118" t="s">
        <v>3439</v>
      </c>
      <c r="C3118" t="s">
        <v>272</v>
      </c>
      <c r="D3118" t="s">
        <v>3436</v>
      </c>
      <c r="E3118" t="s">
        <v>150</v>
      </c>
      <c r="F3118" t="s">
        <v>3437</v>
      </c>
      <c r="G3118" t="s">
        <v>150</v>
      </c>
      <c r="H3118" t="s">
        <v>4932</v>
      </c>
      <c r="J3118">
        <v>20</v>
      </c>
    </row>
    <row r="3119" spans="1:10" x14ac:dyDescent="0.35">
      <c r="A3119">
        <v>6164000552069</v>
      </c>
      <c r="B3119" t="s">
        <v>857</v>
      </c>
      <c r="C3119" t="s">
        <v>272</v>
      </c>
      <c r="D3119" t="s">
        <v>3374</v>
      </c>
      <c r="E3119" t="s">
        <v>11</v>
      </c>
      <c r="F3119" t="s">
        <v>3375</v>
      </c>
      <c r="G3119" t="s">
        <v>11</v>
      </c>
      <c r="H3119" t="s">
        <v>4917</v>
      </c>
      <c r="J3119">
        <v>1</v>
      </c>
    </row>
    <row r="3120" spans="1:10" x14ac:dyDescent="0.35">
      <c r="A3120">
        <v>6164000552717</v>
      </c>
      <c r="B3120" t="s">
        <v>3440</v>
      </c>
      <c r="C3120" t="s">
        <v>81</v>
      </c>
      <c r="D3120" t="s">
        <v>3374</v>
      </c>
      <c r="E3120" t="s">
        <v>11</v>
      </c>
      <c r="F3120" t="s">
        <v>3375</v>
      </c>
      <c r="G3120" t="s">
        <v>11</v>
      </c>
      <c r="H3120" t="s">
        <v>4917</v>
      </c>
      <c r="J3120">
        <v>5</v>
      </c>
    </row>
    <row r="3121" spans="1:10" x14ac:dyDescent="0.35">
      <c r="A3121">
        <v>6164000613050</v>
      </c>
      <c r="B3121" t="s">
        <v>3441</v>
      </c>
      <c r="C3121" t="s">
        <v>69</v>
      </c>
      <c r="D3121" t="s">
        <v>3332</v>
      </c>
      <c r="E3121" t="s">
        <v>31</v>
      </c>
      <c r="F3121" t="s">
        <v>3329</v>
      </c>
      <c r="G3121" t="s">
        <v>150</v>
      </c>
      <c r="H3121" t="s">
        <v>4907</v>
      </c>
      <c r="J3121">
        <v>40</v>
      </c>
    </row>
    <row r="3122" spans="1:10" x14ac:dyDescent="0.35">
      <c r="A3122">
        <v>6164000613401</v>
      </c>
      <c r="B3122" t="s">
        <v>3442</v>
      </c>
      <c r="C3122" t="s">
        <v>3443</v>
      </c>
      <c r="D3122" t="s">
        <v>3328</v>
      </c>
      <c r="E3122" t="s">
        <v>31</v>
      </c>
      <c r="F3122" t="s">
        <v>3329</v>
      </c>
      <c r="G3122" t="s">
        <v>61</v>
      </c>
      <c r="H3122" t="s">
        <v>4907</v>
      </c>
      <c r="J3122">
        <v>1</v>
      </c>
    </row>
    <row r="3123" spans="1:10" x14ac:dyDescent="0.35">
      <c r="A3123">
        <v>6164000613685</v>
      </c>
      <c r="B3123" t="s">
        <v>3444</v>
      </c>
      <c r="C3123" t="s">
        <v>1175</v>
      </c>
      <c r="D3123" t="s">
        <v>3332</v>
      </c>
      <c r="E3123" t="s">
        <v>31</v>
      </c>
      <c r="F3123" t="s">
        <v>3329</v>
      </c>
      <c r="G3123" t="s">
        <v>150</v>
      </c>
      <c r="H3123" t="s">
        <v>4907</v>
      </c>
      <c r="J3123">
        <v>28</v>
      </c>
    </row>
    <row r="3124" spans="1:10" x14ac:dyDescent="0.35">
      <c r="A3124">
        <v>6164000613708</v>
      </c>
      <c r="B3124" t="s">
        <v>3332</v>
      </c>
      <c r="C3124" t="s">
        <v>1175</v>
      </c>
      <c r="D3124" t="s">
        <v>3332</v>
      </c>
      <c r="E3124" t="s">
        <v>31</v>
      </c>
      <c r="F3124" t="s">
        <v>3329</v>
      </c>
      <c r="G3124" t="s">
        <v>150</v>
      </c>
      <c r="H3124" t="s">
        <v>4907</v>
      </c>
      <c r="J3124">
        <v>15</v>
      </c>
    </row>
    <row r="3125" spans="1:10" x14ac:dyDescent="0.35">
      <c r="A3125">
        <v>6164000613845</v>
      </c>
      <c r="B3125" t="s">
        <v>3445</v>
      </c>
      <c r="C3125" t="s">
        <v>69</v>
      </c>
      <c r="D3125" t="s">
        <v>3332</v>
      </c>
      <c r="E3125" t="s">
        <v>31</v>
      </c>
      <c r="F3125" t="s">
        <v>3329</v>
      </c>
      <c r="G3125" t="s">
        <v>150</v>
      </c>
      <c r="H3125" t="s">
        <v>4907</v>
      </c>
      <c r="J3125">
        <v>6</v>
      </c>
    </row>
    <row r="3126" spans="1:10" x14ac:dyDescent="0.35">
      <c r="A3126">
        <v>6164000624117</v>
      </c>
      <c r="B3126" t="s">
        <v>2271</v>
      </c>
      <c r="C3126" t="s">
        <v>2062</v>
      </c>
      <c r="D3126" t="s">
        <v>3446</v>
      </c>
      <c r="E3126" t="s">
        <v>61</v>
      </c>
      <c r="F3126" t="s">
        <v>3447</v>
      </c>
      <c r="G3126" t="s">
        <v>61</v>
      </c>
      <c r="H3126" t="s">
        <v>4933</v>
      </c>
      <c r="J3126">
        <v>1</v>
      </c>
    </row>
    <row r="3127" spans="1:10" x14ac:dyDescent="0.35">
      <c r="A3127">
        <v>6164000815706</v>
      </c>
      <c r="B3127" t="s">
        <v>3448</v>
      </c>
      <c r="C3127" t="s">
        <v>43</v>
      </c>
      <c r="D3127" t="s">
        <v>3449</v>
      </c>
      <c r="E3127" t="s">
        <v>61</v>
      </c>
      <c r="F3127" t="s">
        <v>3450</v>
      </c>
      <c r="G3127" t="s">
        <v>61</v>
      </c>
      <c r="H3127" t="s">
        <v>4934</v>
      </c>
      <c r="J3127">
        <v>26</v>
      </c>
    </row>
    <row r="3128" spans="1:10" x14ac:dyDescent="0.35">
      <c r="A3128">
        <v>6164000817045</v>
      </c>
      <c r="B3128" t="s">
        <v>3451</v>
      </c>
      <c r="C3128" t="s">
        <v>419</v>
      </c>
      <c r="D3128" t="s">
        <v>3452</v>
      </c>
      <c r="E3128" t="s">
        <v>3453</v>
      </c>
      <c r="F3128" t="s">
        <v>3454</v>
      </c>
      <c r="G3128" t="s">
        <v>61</v>
      </c>
      <c r="H3128" t="s">
        <v>4935</v>
      </c>
      <c r="J3128">
        <v>32</v>
      </c>
    </row>
    <row r="3129" spans="1:10" x14ac:dyDescent="0.35">
      <c r="A3129">
        <v>6164000903014</v>
      </c>
      <c r="B3129" t="s">
        <v>1151</v>
      </c>
      <c r="C3129" t="s">
        <v>192</v>
      </c>
      <c r="D3129" t="s">
        <v>3142</v>
      </c>
      <c r="E3129" t="s">
        <v>31</v>
      </c>
      <c r="F3129" t="s">
        <v>3143</v>
      </c>
      <c r="G3129" t="s">
        <v>31</v>
      </c>
      <c r="H3129" t="s">
        <v>4882</v>
      </c>
      <c r="J3129">
        <v>149</v>
      </c>
    </row>
    <row r="3130" spans="1:10" x14ac:dyDescent="0.35">
      <c r="A3130">
        <v>6164000903137</v>
      </c>
      <c r="B3130" t="s">
        <v>485</v>
      </c>
      <c r="C3130" t="s">
        <v>1738</v>
      </c>
      <c r="D3130" t="s">
        <v>3142</v>
      </c>
      <c r="E3130" t="s">
        <v>31</v>
      </c>
      <c r="F3130" t="s">
        <v>3143</v>
      </c>
      <c r="G3130" t="s">
        <v>31</v>
      </c>
      <c r="H3130" t="s">
        <v>4882</v>
      </c>
      <c r="J3130">
        <v>77</v>
      </c>
    </row>
    <row r="3131" spans="1:10" x14ac:dyDescent="0.35">
      <c r="A3131">
        <v>6164000903649</v>
      </c>
      <c r="B3131" t="s">
        <v>3455</v>
      </c>
      <c r="C3131" t="s">
        <v>603</v>
      </c>
      <c r="D3131" t="s">
        <v>3456</v>
      </c>
      <c r="E3131" t="s">
        <v>33</v>
      </c>
      <c r="F3131" t="s">
        <v>3457</v>
      </c>
      <c r="G3131" t="s">
        <v>33</v>
      </c>
      <c r="H3131" t="s">
        <v>4936</v>
      </c>
      <c r="J3131">
        <v>198</v>
      </c>
    </row>
    <row r="3132" spans="1:10" x14ac:dyDescent="0.35">
      <c r="A3132">
        <v>6164000903694</v>
      </c>
      <c r="B3132" t="s">
        <v>3458</v>
      </c>
      <c r="C3132" t="s">
        <v>38</v>
      </c>
      <c r="D3132" t="s">
        <v>3459</v>
      </c>
      <c r="E3132" t="s">
        <v>31</v>
      </c>
      <c r="F3132" t="s">
        <v>3460</v>
      </c>
      <c r="G3132" t="s">
        <v>31</v>
      </c>
      <c r="H3132" t="s">
        <v>4937</v>
      </c>
      <c r="J3132">
        <v>6</v>
      </c>
    </row>
    <row r="3133" spans="1:10" x14ac:dyDescent="0.35">
      <c r="A3133">
        <v>6164001011053</v>
      </c>
      <c r="B3133" t="s">
        <v>1304</v>
      </c>
      <c r="C3133" t="s">
        <v>603</v>
      </c>
      <c r="D3133" t="s">
        <v>273</v>
      </c>
      <c r="E3133" t="s">
        <v>15</v>
      </c>
      <c r="F3133" t="s">
        <v>56</v>
      </c>
      <c r="G3133" t="s">
        <v>31</v>
      </c>
      <c r="H3133" t="s">
        <v>4497</v>
      </c>
      <c r="J3133">
        <v>17</v>
      </c>
    </row>
    <row r="3134" spans="1:10" x14ac:dyDescent="0.35">
      <c r="A3134">
        <v>6164001011183</v>
      </c>
      <c r="B3134" t="s">
        <v>1011</v>
      </c>
      <c r="C3134" t="s">
        <v>78</v>
      </c>
      <c r="D3134" t="s">
        <v>273</v>
      </c>
      <c r="E3134" t="s">
        <v>15</v>
      </c>
      <c r="F3134" t="s">
        <v>56</v>
      </c>
      <c r="G3134" t="s">
        <v>31</v>
      </c>
      <c r="H3134" t="s">
        <v>4497</v>
      </c>
      <c r="J3134">
        <v>29</v>
      </c>
    </row>
    <row r="3135" spans="1:10" x14ac:dyDescent="0.35">
      <c r="A3135">
        <v>6164001011190</v>
      </c>
      <c r="B3135" t="s">
        <v>3461</v>
      </c>
      <c r="C3135" t="s">
        <v>9</v>
      </c>
      <c r="D3135" t="s">
        <v>283</v>
      </c>
      <c r="E3135" t="s">
        <v>15</v>
      </c>
      <c r="F3135" t="s">
        <v>56</v>
      </c>
      <c r="G3135" t="s">
        <v>150</v>
      </c>
      <c r="H3135" t="s">
        <v>4497</v>
      </c>
      <c r="J3135">
        <v>7</v>
      </c>
    </row>
    <row r="3136" spans="1:10" x14ac:dyDescent="0.35">
      <c r="A3136">
        <v>6164001011190</v>
      </c>
      <c r="B3136" t="s">
        <v>3461</v>
      </c>
      <c r="C3136" t="s">
        <v>9</v>
      </c>
      <c r="D3136" t="s">
        <v>283</v>
      </c>
      <c r="E3136" t="s">
        <v>15</v>
      </c>
      <c r="F3136" t="s">
        <v>56</v>
      </c>
      <c r="G3136" t="s">
        <v>31</v>
      </c>
      <c r="H3136" t="s">
        <v>4497</v>
      </c>
      <c r="J3136">
        <v>28</v>
      </c>
    </row>
    <row r="3137" spans="1:10" x14ac:dyDescent="0.35">
      <c r="A3137">
        <v>6164001011206</v>
      </c>
      <c r="B3137" t="s">
        <v>1011</v>
      </c>
      <c r="C3137" t="s">
        <v>78</v>
      </c>
      <c r="D3137" t="s">
        <v>283</v>
      </c>
      <c r="E3137" t="s">
        <v>15</v>
      </c>
      <c r="F3137" t="s">
        <v>56</v>
      </c>
      <c r="G3137" t="s">
        <v>31</v>
      </c>
      <c r="H3137" t="s">
        <v>4497</v>
      </c>
      <c r="J3137">
        <v>34</v>
      </c>
    </row>
    <row r="3138" spans="1:10" x14ac:dyDescent="0.35">
      <c r="A3138">
        <v>6164001011213</v>
      </c>
      <c r="B3138" t="s">
        <v>3462</v>
      </c>
      <c r="C3138" t="s">
        <v>253</v>
      </c>
      <c r="D3138" t="s">
        <v>1044</v>
      </c>
      <c r="E3138" t="s">
        <v>15</v>
      </c>
      <c r="F3138" t="s">
        <v>56</v>
      </c>
      <c r="G3138" t="s">
        <v>31</v>
      </c>
      <c r="H3138" t="s">
        <v>4497</v>
      </c>
      <c r="J3138">
        <v>35</v>
      </c>
    </row>
    <row r="3139" spans="1:10" x14ac:dyDescent="0.35">
      <c r="A3139">
        <v>6164001011220</v>
      </c>
      <c r="B3139" t="s">
        <v>3463</v>
      </c>
      <c r="C3139" t="s">
        <v>78</v>
      </c>
      <c r="D3139" t="s">
        <v>1044</v>
      </c>
      <c r="E3139" t="s">
        <v>15</v>
      </c>
      <c r="F3139" t="s">
        <v>56</v>
      </c>
      <c r="G3139" t="s">
        <v>31</v>
      </c>
      <c r="H3139" t="s">
        <v>4497</v>
      </c>
      <c r="J3139">
        <v>55</v>
      </c>
    </row>
    <row r="3140" spans="1:10" x14ac:dyDescent="0.35">
      <c r="A3140">
        <v>6164001011251</v>
      </c>
      <c r="B3140" t="s">
        <v>3464</v>
      </c>
      <c r="C3140" t="s">
        <v>9</v>
      </c>
      <c r="D3140" t="s">
        <v>1044</v>
      </c>
      <c r="E3140" t="s">
        <v>15</v>
      </c>
      <c r="F3140" t="s">
        <v>56</v>
      </c>
      <c r="G3140" t="s">
        <v>31</v>
      </c>
      <c r="H3140" t="s">
        <v>4497</v>
      </c>
      <c r="J3140">
        <v>1</v>
      </c>
    </row>
    <row r="3141" spans="1:10" x14ac:dyDescent="0.35">
      <c r="A3141">
        <v>6164001011268</v>
      </c>
      <c r="B3141" t="s">
        <v>3465</v>
      </c>
      <c r="C3141" t="s">
        <v>1397</v>
      </c>
      <c r="D3141" t="s">
        <v>3466</v>
      </c>
      <c r="E3141" t="s">
        <v>15</v>
      </c>
      <c r="F3141" t="s">
        <v>56</v>
      </c>
      <c r="G3141" t="s">
        <v>31</v>
      </c>
      <c r="H3141" t="s">
        <v>4497</v>
      </c>
      <c r="J3141">
        <v>26</v>
      </c>
    </row>
    <row r="3142" spans="1:10" x14ac:dyDescent="0.35">
      <c r="A3142">
        <v>6164001011305</v>
      </c>
      <c r="B3142" t="s">
        <v>1151</v>
      </c>
      <c r="C3142" t="s">
        <v>253</v>
      </c>
      <c r="D3142" t="s">
        <v>3467</v>
      </c>
      <c r="E3142" t="s">
        <v>15</v>
      </c>
      <c r="F3142" t="s">
        <v>56</v>
      </c>
      <c r="G3142" t="s">
        <v>31</v>
      </c>
      <c r="H3142" t="s">
        <v>4497</v>
      </c>
      <c r="J3142">
        <v>80</v>
      </c>
    </row>
    <row r="3143" spans="1:10" x14ac:dyDescent="0.35">
      <c r="A3143">
        <v>6164001011350</v>
      </c>
      <c r="B3143" t="s">
        <v>3468</v>
      </c>
      <c r="C3143" t="s">
        <v>9</v>
      </c>
      <c r="D3143" t="s">
        <v>1044</v>
      </c>
      <c r="E3143" t="s">
        <v>15</v>
      </c>
      <c r="F3143" t="s">
        <v>56</v>
      </c>
      <c r="G3143" t="s">
        <v>31</v>
      </c>
      <c r="H3143" t="s">
        <v>4497</v>
      </c>
      <c r="J3143">
        <v>9</v>
      </c>
    </row>
    <row r="3144" spans="1:10" x14ac:dyDescent="0.35">
      <c r="A3144">
        <v>6164001011367</v>
      </c>
      <c r="B3144" t="s">
        <v>3469</v>
      </c>
      <c r="C3144" t="s">
        <v>78</v>
      </c>
      <c r="D3144" t="s">
        <v>1044</v>
      </c>
      <c r="E3144" t="s">
        <v>15</v>
      </c>
      <c r="F3144" t="s">
        <v>56</v>
      </c>
      <c r="G3144" t="s">
        <v>31</v>
      </c>
      <c r="H3144" t="s">
        <v>4497</v>
      </c>
      <c r="J3144">
        <v>25</v>
      </c>
    </row>
    <row r="3145" spans="1:10" x14ac:dyDescent="0.35">
      <c r="A3145">
        <v>6164001011398</v>
      </c>
      <c r="B3145" t="s">
        <v>3462</v>
      </c>
      <c r="C3145" t="s">
        <v>9</v>
      </c>
      <c r="D3145" t="s">
        <v>273</v>
      </c>
      <c r="E3145" t="s">
        <v>15</v>
      </c>
      <c r="F3145" t="s">
        <v>56</v>
      </c>
      <c r="G3145" t="s">
        <v>31</v>
      </c>
      <c r="H3145" t="s">
        <v>4497</v>
      </c>
      <c r="J3145">
        <v>21</v>
      </c>
    </row>
    <row r="3146" spans="1:10" x14ac:dyDescent="0.35">
      <c r="A3146">
        <v>6164001011534</v>
      </c>
      <c r="B3146" t="s">
        <v>273</v>
      </c>
      <c r="C3146" t="s">
        <v>603</v>
      </c>
      <c r="D3146" t="s">
        <v>273</v>
      </c>
      <c r="E3146" t="s">
        <v>15</v>
      </c>
      <c r="F3146" t="s">
        <v>56</v>
      </c>
      <c r="G3146" t="s">
        <v>31</v>
      </c>
      <c r="H3146" t="s">
        <v>4497</v>
      </c>
      <c r="J3146">
        <v>246</v>
      </c>
    </row>
    <row r="3147" spans="1:10" x14ac:dyDescent="0.35">
      <c r="A3147">
        <v>6164001011541</v>
      </c>
      <c r="B3147" t="s">
        <v>3470</v>
      </c>
      <c r="C3147" t="s">
        <v>603</v>
      </c>
      <c r="D3147" t="s">
        <v>283</v>
      </c>
      <c r="E3147" t="s">
        <v>15</v>
      </c>
      <c r="F3147" t="s">
        <v>56</v>
      </c>
      <c r="G3147" t="s">
        <v>31</v>
      </c>
      <c r="H3147" t="s">
        <v>4497</v>
      </c>
      <c r="J3147">
        <v>262</v>
      </c>
    </row>
    <row r="3148" spans="1:10" x14ac:dyDescent="0.35">
      <c r="A3148">
        <v>6164001011558</v>
      </c>
      <c r="B3148" t="s">
        <v>1011</v>
      </c>
      <c r="C3148" t="s">
        <v>603</v>
      </c>
      <c r="D3148" t="s">
        <v>1044</v>
      </c>
      <c r="E3148" t="s">
        <v>15</v>
      </c>
      <c r="F3148" t="s">
        <v>56</v>
      </c>
      <c r="G3148" t="s">
        <v>150</v>
      </c>
      <c r="H3148" t="s">
        <v>4497</v>
      </c>
      <c r="J3148">
        <v>1</v>
      </c>
    </row>
    <row r="3149" spans="1:10" x14ac:dyDescent="0.35">
      <c r="A3149">
        <v>6164001011558</v>
      </c>
      <c r="B3149" t="s">
        <v>1011</v>
      </c>
      <c r="C3149" t="s">
        <v>603</v>
      </c>
      <c r="D3149" t="s">
        <v>1044</v>
      </c>
      <c r="E3149" t="s">
        <v>15</v>
      </c>
      <c r="F3149" t="s">
        <v>56</v>
      </c>
      <c r="G3149" t="s">
        <v>31</v>
      </c>
      <c r="H3149" t="s">
        <v>4497</v>
      </c>
      <c r="J3149">
        <v>443</v>
      </c>
    </row>
    <row r="3150" spans="1:10" x14ac:dyDescent="0.35">
      <c r="A3150">
        <v>6164001011565</v>
      </c>
      <c r="B3150" t="s">
        <v>3471</v>
      </c>
      <c r="C3150" t="s">
        <v>603</v>
      </c>
      <c r="D3150" t="s">
        <v>1044</v>
      </c>
      <c r="E3150" t="s">
        <v>15</v>
      </c>
      <c r="F3150" t="s">
        <v>56</v>
      </c>
      <c r="G3150" t="s">
        <v>31</v>
      </c>
      <c r="H3150" t="s">
        <v>4497</v>
      </c>
      <c r="J3150">
        <v>39</v>
      </c>
    </row>
    <row r="3151" spans="1:10" x14ac:dyDescent="0.35">
      <c r="A3151">
        <v>6164001011572</v>
      </c>
      <c r="B3151" t="s">
        <v>3472</v>
      </c>
      <c r="C3151" t="s">
        <v>603</v>
      </c>
      <c r="D3151" t="s">
        <v>1044</v>
      </c>
      <c r="E3151" t="s">
        <v>15</v>
      </c>
      <c r="F3151" t="s">
        <v>56</v>
      </c>
      <c r="G3151" t="s">
        <v>31</v>
      </c>
      <c r="H3151" t="s">
        <v>4497</v>
      </c>
      <c r="J3151">
        <v>10</v>
      </c>
    </row>
    <row r="3152" spans="1:10" x14ac:dyDescent="0.35">
      <c r="A3152">
        <v>6164001011589</v>
      </c>
      <c r="B3152" t="s">
        <v>3473</v>
      </c>
      <c r="C3152" t="s">
        <v>603</v>
      </c>
      <c r="D3152" t="s">
        <v>1044</v>
      </c>
      <c r="E3152" t="s">
        <v>15</v>
      </c>
      <c r="F3152" t="s">
        <v>56</v>
      </c>
      <c r="G3152" t="s">
        <v>31</v>
      </c>
      <c r="H3152" t="s">
        <v>4497</v>
      </c>
      <c r="J3152">
        <v>154</v>
      </c>
    </row>
    <row r="3153" spans="1:10" x14ac:dyDescent="0.35">
      <c r="A3153">
        <v>6164001011626</v>
      </c>
      <c r="B3153" t="s">
        <v>3474</v>
      </c>
      <c r="C3153" t="s">
        <v>603</v>
      </c>
      <c r="D3153" t="s">
        <v>273</v>
      </c>
      <c r="E3153" t="s">
        <v>15</v>
      </c>
      <c r="F3153" t="s">
        <v>56</v>
      </c>
      <c r="G3153" t="s">
        <v>31</v>
      </c>
      <c r="H3153" t="s">
        <v>4497</v>
      </c>
      <c r="J3153">
        <v>1</v>
      </c>
    </row>
    <row r="3154" spans="1:10" x14ac:dyDescent="0.35">
      <c r="A3154">
        <v>6164001011633</v>
      </c>
      <c r="B3154" t="s">
        <v>295</v>
      </c>
      <c r="C3154" t="s">
        <v>1199</v>
      </c>
      <c r="D3154" t="s">
        <v>3475</v>
      </c>
      <c r="E3154" t="s">
        <v>15</v>
      </c>
      <c r="F3154" t="s">
        <v>56</v>
      </c>
      <c r="G3154" t="s">
        <v>31</v>
      </c>
      <c r="H3154" t="s">
        <v>4497</v>
      </c>
      <c r="J3154">
        <v>83</v>
      </c>
    </row>
    <row r="3155" spans="1:10" x14ac:dyDescent="0.35">
      <c r="A3155">
        <v>6164001199010</v>
      </c>
      <c r="B3155" t="s">
        <v>3476</v>
      </c>
      <c r="C3155" t="s">
        <v>81</v>
      </c>
      <c r="D3155" t="s">
        <v>3477</v>
      </c>
      <c r="E3155" t="s">
        <v>11</v>
      </c>
      <c r="F3155" t="s">
        <v>3478</v>
      </c>
      <c r="G3155" t="s">
        <v>11</v>
      </c>
      <c r="H3155" t="s">
        <v>4938</v>
      </c>
      <c r="J3155">
        <v>49</v>
      </c>
    </row>
    <row r="3156" spans="1:10" x14ac:dyDescent="0.35">
      <c r="A3156">
        <v>6164001199034</v>
      </c>
      <c r="B3156" t="s">
        <v>834</v>
      </c>
      <c r="C3156" t="s">
        <v>253</v>
      </c>
      <c r="D3156" t="s">
        <v>3477</v>
      </c>
      <c r="E3156" t="s">
        <v>11</v>
      </c>
      <c r="F3156" t="s">
        <v>3478</v>
      </c>
      <c r="G3156" t="s">
        <v>11</v>
      </c>
      <c r="H3156" t="s">
        <v>4938</v>
      </c>
      <c r="J3156">
        <v>298</v>
      </c>
    </row>
    <row r="3157" spans="1:10" x14ac:dyDescent="0.35">
      <c r="A3157">
        <v>6164001199331</v>
      </c>
      <c r="B3157" t="s">
        <v>201</v>
      </c>
      <c r="C3157" t="s">
        <v>38</v>
      </c>
      <c r="D3157" t="s">
        <v>2081</v>
      </c>
      <c r="E3157" t="s">
        <v>816</v>
      </c>
      <c r="F3157" t="s">
        <v>817</v>
      </c>
      <c r="G3157" t="s">
        <v>11</v>
      </c>
      <c r="H3157" t="s">
        <v>4598</v>
      </c>
      <c r="J3157">
        <v>98</v>
      </c>
    </row>
    <row r="3158" spans="1:10" x14ac:dyDescent="0.35">
      <c r="A3158">
        <v>6164001280336</v>
      </c>
      <c r="B3158" t="s">
        <v>3479</v>
      </c>
      <c r="C3158" t="s">
        <v>36</v>
      </c>
      <c r="D3158" t="s">
        <v>3480</v>
      </c>
      <c r="E3158" t="s">
        <v>31</v>
      </c>
      <c r="F3158" t="s">
        <v>3481</v>
      </c>
      <c r="G3158" t="s">
        <v>31</v>
      </c>
      <c r="H3158" t="s">
        <v>4939</v>
      </c>
      <c r="J3158">
        <v>38</v>
      </c>
    </row>
    <row r="3159" spans="1:10" x14ac:dyDescent="0.35">
      <c r="A3159">
        <v>6164001315182</v>
      </c>
      <c r="B3159" t="s">
        <v>626</v>
      </c>
      <c r="C3159" t="s">
        <v>9</v>
      </c>
      <c r="D3159" t="s">
        <v>3482</v>
      </c>
      <c r="E3159" t="s">
        <v>308</v>
      </c>
      <c r="F3159" t="s">
        <v>309</v>
      </c>
      <c r="G3159" t="s">
        <v>11</v>
      </c>
      <c r="H3159" t="s">
        <v>4529</v>
      </c>
      <c r="J3159">
        <v>49</v>
      </c>
    </row>
    <row r="3160" spans="1:10" x14ac:dyDescent="0.35">
      <c r="A3160">
        <v>6164001315243</v>
      </c>
      <c r="B3160" t="s">
        <v>3483</v>
      </c>
      <c r="C3160" t="s">
        <v>9</v>
      </c>
      <c r="D3160" t="s">
        <v>3482</v>
      </c>
      <c r="E3160" t="s">
        <v>308</v>
      </c>
      <c r="F3160" t="s">
        <v>309</v>
      </c>
      <c r="G3160" t="s">
        <v>11</v>
      </c>
      <c r="H3160" t="s">
        <v>4529</v>
      </c>
      <c r="J3160">
        <v>23</v>
      </c>
    </row>
    <row r="3161" spans="1:10" x14ac:dyDescent="0.35">
      <c r="A3161">
        <v>6164001384072</v>
      </c>
      <c r="B3161" t="s">
        <v>3284</v>
      </c>
      <c r="C3161" t="s">
        <v>9</v>
      </c>
      <c r="D3161" t="s">
        <v>3484</v>
      </c>
      <c r="E3161" t="s">
        <v>31</v>
      </c>
      <c r="F3161" t="s">
        <v>3484</v>
      </c>
      <c r="G3161" t="s">
        <v>31</v>
      </c>
      <c r="H3161" t="s">
        <v>4940</v>
      </c>
      <c r="J3161">
        <v>14</v>
      </c>
    </row>
    <row r="3162" spans="1:10" x14ac:dyDescent="0.35">
      <c r="A3162">
        <v>6164001496072</v>
      </c>
      <c r="B3162" t="s">
        <v>942</v>
      </c>
      <c r="C3162" t="s">
        <v>801</v>
      </c>
      <c r="D3162" t="s">
        <v>3477</v>
      </c>
      <c r="E3162" t="s">
        <v>11</v>
      </c>
      <c r="F3162" t="s">
        <v>3478</v>
      </c>
      <c r="G3162" t="s">
        <v>11</v>
      </c>
      <c r="H3162" t="s">
        <v>4938</v>
      </c>
      <c r="J3162">
        <v>4</v>
      </c>
    </row>
    <row r="3163" spans="1:10" x14ac:dyDescent="0.35">
      <c r="A3163">
        <v>6164001496072</v>
      </c>
      <c r="B3163" t="s">
        <v>942</v>
      </c>
      <c r="C3163" t="s">
        <v>801</v>
      </c>
      <c r="D3163" t="s">
        <v>3477</v>
      </c>
      <c r="E3163" t="s">
        <v>11</v>
      </c>
      <c r="F3163" t="s">
        <v>3478</v>
      </c>
      <c r="G3163" t="s">
        <v>150</v>
      </c>
      <c r="H3163" t="s">
        <v>4938</v>
      </c>
      <c r="J3163">
        <v>41</v>
      </c>
    </row>
    <row r="3164" spans="1:10" x14ac:dyDescent="0.35">
      <c r="A3164">
        <v>6164001514004</v>
      </c>
      <c r="B3164" t="s">
        <v>262</v>
      </c>
      <c r="C3164" t="s">
        <v>9</v>
      </c>
      <c r="D3164" t="s">
        <v>3485</v>
      </c>
      <c r="E3164" t="s">
        <v>61</v>
      </c>
      <c r="F3164" t="s">
        <v>3486</v>
      </c>
      <c r="G3164" t="s">
        <v>11</v>
      </c>
      <c r="H3164" t="s">
        <v>4941</v>
      </c>
      <c r="J3164">
        <v>77</v>
      </c>
    </row>
    <row r="3165" spans="1:10" x14ac:dyDescent="0.35">
      <c r="A3165">
        <v>61640016</v>
      </c>
      <c r="B3165" t="s">
        <v>626</v>
      </c>
      <c r="C3165" t="s">
        <v>758</v>
      </c>
      <c r="D3165" t="s">
        <v>3487</v>
      </c>
      <c r="E3165" t="s">
        <v>11</v>
      </c>
      <c r="F3165" t="s">
        <v>3488</v>
      </c>
      <c r="G3165" t="s">
        <v>11</v>
      </c>
      <c r="H3165" t="s">
        <v>4942</v>
      </c>
      <c r="J3165">
        <v>4</v>
      </c>
    </row>
    <row r="3166" spans="1:10" x14ac:dyDescent="0.35">
      <c r="A3166">
        <v>6164001638021</v>
      </c>
      <c r="B3166" t="s">
        <v>3489</v>
      </c>
      <c r="C3166" t="s">
        <v>472</v>
      </c>
      <c r="D3166" t="s">
        <v>3490</v>
      </c>
      <c r="E3166" t="s">
        <v>31</v>
      </c>
      <c r="F3166" t="s">
        <v>3490</v>
      </c>
      <c r="G3166" t="s">
        <v>31</v>
      </c>
      <c r="H3166" t="s">
        <v>4943</v>
      </c>
      <c r="J3166">
        <v>2</v>
      </c>
    </row>
    <row r="3167" spans="1:10" x14ac:dyDescent="0.35">
      <c r="A3167">
        <v>6164001638038</v>
      </c>
      <c r="B3167" t="s">
        <v>3491</v>
      </c>
      <c r="C3167" t="s">
        <v>1341</v>
      </c>
      <c r="D3167" t="s">
        <v>3490</v>
      </c>
      <c r="E3167" t="s">
        <v>31</v>
      </c>
      <c r="F3167" t="s">
        <v>3490</v>
      </c>
      <c r="G3167" t="s">
        <v>31</v>
      </c>
      <c r="H3167" t="s">
        <v>4943</v>
      </c>
      <c r="J3167">
        <v>26</v>
      </c>
    </row>
    <row r="3168" spans="1:10" x14ac:dyDescent="0.35">
      <c r="A3168">
        <v>6164001638052</v>
      </c>
      <c r="B3168" t="s">
        <v>139</v>
      </c>
      <c r="C3168" t="s">
        <v>472</v>
      </c>
      <c r="D3168" t="s">
        <v>3490</v>
      </c>
      <c r="E3168" t="s">
        <v>31</v>
      </c>
      <c r="F3168" t="s">
        <v>3490</v>
      </c>
      <c r="G3168" t="s">
        <v>31</v>
      </c>
      <c r="H3168" t="s">
        <v>4943</v>
      </c>
      <c r="J3168">
        <v>6</v>
      </c>
    </row>
    <row r="3169" spans="1:10" x14ac:dyDescent="0.35">
      <c r="A3169">
        <v>6164001665331</v>
      </c>
      <c r="B3169" t="s">
        <v>3492</v>
      </c>
      <c r="C3169" t="s">
        <v>9</v>
      </c>
      <c r="D3169" t="s">
        <v>3493</v>
      </c>
      <c r="E3169" t="s">
        <v>11</v>
      </c>
      <c r="F3169" t="s">
        <v>3494</v>
      </c>
      <c r="G3169" t="s">
        <v>31</v>
      </c>
      <c r="H3169" t="s">
        <v>4944</v>
      </c>
      <c r="J3169">
        <v>13</v>
      </c>
    </row>
    <row r="3170" spans="1:10" x14ac:dyDescent="0.35">
      <c r="A3170">
        <v>6164001689016</v>
      </c>
      <c r="B3170" t="s">
        <v>262</v>
      </c>
      <c r="C3170" t="s">
        <v>9</v>
      </c>
      <c r="D3170" t="s">
        <v>3495</v>
      </c>
      <c r="E3170" t="s">
        <v>11</v>
      </c>
      <c r="F3170" t="s">
        <v>3496</v>
      </c>
      <c r="G3170" t="s">
        <v>11</v>
      </c>
      <c r="H3170" t="s">
        <v>4945</v>
      </c>
      <c r="J3170">
        <v>59</v>
      </c>
    </row>
    <row r="3171" spans="1:10" x14ac:dyDescent="0.35">
      <c r="A3171">
        <v>6164001689023</v>
      </c>
      <c r="B3171" t="s">
        <v>3284</v>
      </c>
      <c r="C3171" t="s">
        <v>81</v>
      </c>
      <c r="D3171" t="s">
        <v>3495</v>
      </c>
      <c r="E3171" t="s">
        <v>11</v>
      </c>
      <c r="F3171" t="s">
        <v>3496</v>
      </c>
      <c r="G3171" t="s">
        <v>11</v>
      </c>
      <c r="H3171" t="s">
        <v>4945</v>
      </c>
      <c r="J3171">
        <v>32</v>
      </c>
    </row>
    <row r="3172" spans="1:10" x14ac:dyDescent="0.35">
      <c r="A3172">
        <v>6164001861764</v>
      </c>
      <c r="B3172" t="s">
        <v>406</v>
      </c>
      <c r="C3172" t="s">
        <v>385</v>
      </c>
      <c r="D3172" t="s">
        <v>3487</v>
      </c>
      <c r="E3172" t="s">
        <v>11</v>
      </c>
      <c r="F3172" t="s">
        <v>3488</v>
      </c>
      <c r="G3172" t="s">
        <v>11</v>
      </c>
      <c r="H3172" t="s">
        <v>4942</v>
      </c>
      <c r="J3172">
        <v>7</v>
      </c>
    </row>
    <row r="3173" spans="1:10" x14ac:dyDescent="0.35">
      <c r="A3173">
        <v>6164001868008</v>
      </c>
      <c r="B3173" t="s">
        <v>406</v>
      </c>
      <c r="C3173" t="s">
        <v>758</v>
      </c>
      <c r="D3173" t="s">
        <v>3487</v>
      </c>
      <c r="E3173" t="s">
        <v>11</v>
      </c>
      <c r="F3173" t="s">
        <v>3488</v>
      </c>
      <c r="G3173" t="s">
        <v>11</v>
      </c>
      <c r="H3173" t="s">
        <v>4942</v>
      </c>
      <c r="J3173">
        <v>3</v>
      </c>
    </row>
    <row r="3174" spans="1:10" x14ac:dyDescent="0.35">
      <c r="A3174">
        <v>6164001868121</v>
      </c>
      <c r="B3174" t="s">
        <v>406</v>
      </c>
      <c r="C3174" t="s">
        <v>272</v>
      </c>
      <c r="D3174" t="s">
        <v>3487</v>
      </c>
      <c r="E3174" t="s">
        <v>11</v>
      </c>
      <c r="F3174" t="s">
        <v>3488</v>
      </c>
      <c r="G3174" t="s">
        <v>11</v>
      </c>
      <c r="H3174" t="s">
        <v>4942</v>
      </c>
      <c r="J3174">
        <v>1</v>
      </c>
    </row>
    <row r="3175" spans="1:10" x14ac:dyDescent="0.35">
      <c r="A3175">
        <v>6164001868145</v>
      </c>
      <c r="B3175" t="s">
        <v>406</v>
      </c>
      <c r="C3175" t="s">
        <v>9</v>
      </c>
      <c r="D3175" t="s">
        <v>3487</v>
      </c>
      <c r="E3175" t="s">
        <v>11</v>
      </c>
      <c r="F3175" t="s">
        <v>3488</v>
      </c>
      <c r="G3175" t="s">
        <v>11</v>
      </c>
      <c r="H3175" t="s">
        <v>4942</v>
      </c>
      <c r="J3175">
        <v>10</v>
      </c>
    </row>
    <row r="3176" spans="1:10" x14ac:dyDescent="0.35">
      <c r="A3176">
        <v>6164001871121</v>
      </c>
      <c r="B3176" t="s">
        <v>8</v>
      </c>
      <c r="C3176" t="s">
        <v>9</v>
      </c>
      <c r="D3176" t="s">
        <v>3497</v>
      </c>
      <c r="E3176" t="s">
        <v>11</v>
      </c>
      <c r="F3176" t="s">
        <v>3498</v>
      </c>
      <c r="G3176" t="s">
        <v>11</v>
      </c>
      <c r="H3176" t="s">
        <v>4946</v>
      </c>
      <c r="J3176">
        <v>18</v>
      </c>
    </row>
    <row r="3177" spans="1:10" x14ac:dyDescent="0.35">
      <c r="A3177">
        <v>6164001871145</v>
      </c>
      <c r="B3177" t="s">
        <v>8</v>
      </c>
      <c r="C3177" t="s">
        <v>3499</v>
      </c>
      <c r="D3177" t="s">
        <v>3497</v>
      </c>
      <c r="E3177" t="s">
        <v>11</v>
      </c>
      <c r="F3177" t="s">
        <v>3498</v>
      </c>
      <c r="G3177" t="s">
        <v>11</v>
      </c>
      <c r="H3177" t="s">
        <v>4946</v>
      </c>
      <c r="J3177">
        <v>5</v>
      </c>
    </row>
    <row r="3178" spans="1:10" x14ac:dyDescent="0.35">
      <c r="A3178">
        <v>6164002049000</v>
      </c>
      <c r="B3178" t="s">
        <v>3500</v>
      </c>
      <c r="C3178" t="s">
        <v>253</v>
      </c>
      <c r="D3178" t="s">
        <v>852</v>
      </c>
      <c r="E3178" t="s">
        <v>308</v>
      </c>
      <c r="F3178" t="s">
        <v>309</v>
      </c>
      <c r="G3178" t="s">
        <v>11</v>
      </c>
      <c r="H3178" t="s">
        <v>4529</v>
      </c>
      <c r="J3178">
        <v>1</v>
      </c>
    </row>
    <row r="3179" spans="1:10" x14ac:dyDescent="0.35">
      <c r="A3179">
        <v>6164002081017</v>
      </c>
      <c r="B3179" t="s">
        <v>834</v>
      </c>
      <c r="C3179" t="s">
        <v>9</v>
      </c>
      <c r="D3179" t="s">
        <v>3501</v>
      </c>
      <c r="E3179" t="s">
        <v>308</v>
      </c>
      <c r="F3179" t="s">
        <v>309</v>
      </c>
      <c r="G3179" t="s">
        <v>11</v>
      </c>
      <c r="H3179" t="s">
        <v>4529</v>
      </c>
      <c r="J3179">
        <v>1</v>
      </c>
    </row>
    <row r="3180" spans="1:10" x14ac:dyDescent="0.35">
      <c r="A3180">
        <v>6164002081017</v>
      </c>
      <c r="B3180" t="s">
        <v>834</v>
      </c>
      <c r="C3180" t="s">
        <v>9</v>
      </c>
      <c r="D3180" t="s">
        <v>3501</v>
      </c>
      <c r="E3180" t="s">
        <v>308</v>
      </c>
      <c r="F3180" t="s">
        <v>309</v>
      </c>
      <c r="G3180" t="s">
        <v>34</v>
      </c>
      <c r="H3180" t="s">
        <v>4529</v>
      </c>
      <c r="J3180">
        <v>5</v>
      </c>
    </row>
    <row r="3181" spans="1:10" x14ac:dyDescent="0.35">
      <c r="A3181">
        <v>6164002081017</v>
      </c>
      <c r="B3181" t="s">
        <v>834</v>
      </c>
      <c r="C3181" t="s">
        <v>9</v>
      </c>
      <c r="D3181" t="s">
        <v>3501</v>
      </c>
      <c r="E3181" t="s">
        <v>308</v>
      </c>
      <c r="F3181" t="s">
        <v>309</v>
      </c>
      <c r="G3181" t="s">
        <v>31</v>
      </c>
      <c r="H3181" t="s">
        <v>4529</v>
      </c>
      <c r="J3181">
        <v>1</v>
      </c>
    </row>
    <row r="3182" spans="1:10" x14ac:dyDescent="0.35">
      <c r="A3182">
        <v>6164002088016</v>
      </c>
      <c r="B3182" t="s">
        <v>262</v>
      </c>
      <c r="C3182" t="s">
        <v>9</v>
      </c>
      <c r="D3182" t="s">
        <v>3502</v>
      </c>
      <c r="E3182" t="s">
        <v>11</v>
      </c>
      <c r="F3182" t="s">
        <v>3503</v>
      </c>
      <c r="G3182" t="s">
        <v>11</v>
      </c>
      <c r="H3182" t="s">
        <v>4947</v>
      </c>
      <c r="J3182">
        <v>60</v>
      </c>
    </row>
    <row r="3183" spans="1:10" x14ac:dyDescent="0.35">
      <c r="A3183">
        <v>6164002099012</v>
      </c>
      <c r="B3183" t="s">
        <v>942</v>
      </c>
      <c r="C3183" t="s">
        <v>9</v>
      </c>
      <c r="D3183" t="s">
        <v>3297</v>
      </c>
      <c r="E3183" t="s">
        <v>61</v>
      </c>
      <c r="F3183" t="s">
        <v>85</v>
      </c>
      <c r="G3183" t="s">
        <v>11</v>
      </c>
      <c r="H3183" t="s">
        <v>4503</v>
      </c>
      <c r="J3183">
        <v>9</v>
      </c>
    </row>
    <row r="3184" spans="1:10" x14ac:dyDescent="0.35">
      <c r="A3184">
        <v>6164002440005</v>
      </c>
      <c r="B3184" t="s">
        <v>3504</v>
      </c>
      <c r="C3184" t="s">
        <v>9</v>
      </c>
      <c r="D3184" t="s">
        <v>3505</v>
      </c>
      <c r="E3184" t="s">
        <v>308</v>
      </c>
      <c r="F3184" t="s">
        <v>309</v>
      </c>
      <c r="G3184" t="s">
        <v>11</v>
      </c>
      <c r="H3184" t="s">
        <v>4529</v>
      </c>
      <c r="J3184">
        <v>2</v>
      </c>
    </row>
    <row r="3185" spans="1:10" x14ac:dyDescent="0.35">
      <c r="A3185">
        <v>6164002465008</v>
      </c>
      <c r="B3185" t="s">
        <v>262</v>
      </c>
      <c r="C3185" t="s">
        <v>9</v>
      </c>
      <c r="D3185" t="s">
        <v>927</v>
      </c>
      <c r="E3185" t="s">
        <v>11</v>
      </c>
      <c r="F3185" t="s">
        <v>928</v>
      </c>
      <c r="G3185" t="s">
        <v>11</v>
      </c>
      <c r="H3185" t="s">
        <v>4620</v>
      </c>
      <c r="J3185">
        <v>50</v>
      </c>
    </row>
    <row r="3186" spans="1:10" x14ac:dyDescent="0.35">
      <c r="A3186">
        <v>6164002465015</v>
      </c>
      <c r="B3186" t="s">
        <v>262</v>
      </c>
      <c r="C3186" t="s">
        <v>81</v>
      </c>
      <c r="D3186" t="s">
        <v>927</v>
      </c>
      <c r="E3186" t="s">
        <v>11</v>
      </c>
      <c r="F3186" t="s">
        <v>928</v>
      </c>
      <c r="G3186" t="s">
        <v>11</v>
      </c>
      <c r="H3186" t="s">
        <v>4620</v>
      </c>
      <c r="J3186">
        <v>29</v>
      </c>
    </row>
    <row r="3187" spans="1:10" x14ac:dyDescent="0.35">
      <c r="A3187">
        <v>6164002465053</v>
      </c>
      <c r="B3187" t="s">
        <v>852</v>
      </c>
      <c r="C3187" t="s">
        <v>909</v>
      </c>
      <c r="D3187" t="s">
        <v>927</v>
      </c>
      <c r="E3187" t="s">
        <v>11</v>
      </c>
      <c r="F3187" t="s">
        <v>928</v>
      </c>
      <c r="G3187" t="s">
        <v>11</v>
      </c>
      <c r="H3187" t="s">
        <v>4620</v>
      </c>
      <c r="J3187">
        <v>2</v>
      </c>
    </row>
    <row r="3188" spans="1:10" x14ac:dyDescent="0.35">
      <c r="A3188">
        <v>6164002583054</v>
      </c>
      <c r="B3188" t="s">
        <v>3314</v>
      </c>
      <c r="C3188" t="s">
        <v>36</v>
      </c>
      <c r="D3188" t="s">
        <v>3506</v>
      </c>
      <c r="E3188" t="s">
        <v>150</v>
      </c>
      <c r="F3188" t="s">
        <v>3507</v>
      </c>
      <c r="G3188" t="s">
        <v>150</v>
      </c>
      <c r="H3188" t="s">
        <v>4948</v>
      </c>
      <c r="J3188">
        <v>13</v>
      </c>
    </row>
    <row r="3189" spans="1:10" x14ac:dyDescent="0.35">
      <c r="A3189">
        <v>6164002583108</v>
      </c>
      <c r="B3189" t="s">
        <v>3508</v>
      </c>
      <c r="C3189" t="s">
        <v>9</v>
      </c>
      <c r="D3189" t="s">
        <v>3506</v>
      </c>
      <c r="E3189" t="s">
        <v>150</v>
      </c>
      <c r="F3189" t="s">
        <v>3507</v>
      </c>
      <c r="G3189" t="s">
        <v>150</v>
      </c>
      <c r="H3189" t="s">
        <v>4948</v>
      </c>
      <c r="J3189">
        <v>78</v>
      </c>
    </row>
    <row r="3190" spans="1:10" x14ac:dyDescent="0.35">
      <c r="A3190">
        <v>6164002583115</v>
      </c>
      <c r="B3190" t="s">
        <v>857</v>
      </c>
      <c r="C3190" t="s">
        <v>9</v>
      </c>
      <c r="D3190" t="s">
        <v>3506</v>
      </c>
      <c r="E3190" t="s">
        <v>150</v>
      </c>
      <c r="F3190" t="s">
        <v>3507</v>
      </c>
      <c r="G3190" t="s">
        <v>150</v>
      </c>
      <c r="H3190" t="s">
        <v>4948</v>
      </c>
      <c r="J3190">
        <v>35</v>
      </c>
    </row>
    <row r="3191" spans="1:10" x14ac:dyDescent="0.35">
      <c r="A3191">
        <v>6164002583191</v>
      </c>
      <c r="B3191" t="s">
        <v>3509</v>
      </c>
      <c r="C3191" t="s">
        <v>2481</v>
      </c>
      <c r="D3191" t="s">
        <v>3506</v>
      </c>
      <c r="E3191" t="s">
        <v>150</v>
      </c>
      <c r="F3191" t="s">
        <v>3507</v>
      </c>
      <c r="G3191" t="s">
        <v>150</v>
      </c>
      <c r="H3191" t="s">
        <v>4948</v>
      </c>
      <c r="J3191">
        <v>1</v>
      </c>
    </row>
    <row r="3192" spans="1:10" x14ac:dyDescent="0.35">
      <c r="A3192">
        <v>6164002583207</v>
      </c>
      <c r="B3192" t="s">
        <v>3510</v>
      </c>
      <c r="C3192" t="s">
        <v>2481</v>
      </c>
      <c r="D3192" t="s">
        <v>3506</v>
      </c>
      <c r="E3192" t="s">
        <v>150</v>
      </c>
      <c r="F3192" t="s">
        <v>3507</v>
      </c>
      <c r="G3192" t="s">
        <v>150</v>
      </c>
      <c r="H3192" t="s">
        <v>4948</v>
      </c>
      <c r="J3192">
        <v>5</v>
      </c>
    </row>
    <row r="3193" spans="1:10" x14ac:dyDescent="0.35">
      <c r="A3193">
        <v>6164002614017</v>
      </c>
      <c r="B3193" t="s">
        <v>544</v>
      </c>
      <c r="C3193" t="s">
        <v>3511</v>
      </c>
      <c r="D3193" t="s">
        <v>3512</v>
      </c>
      <c r="E3193" t="s">
        <v>61</v>
      </c>
      <c r="F3193" t="s">
        <v>3513</v>
      </c>
      <c r="G3193" t="s">
        <v>11</v>
      </c>
      <c r="H3193" t="s">
        <v>4949</v>
      </c>
      <c r="J3193">
        <v>5</v>
      </c>
    </row>
    <row r="3194" spans="1:10" x14ac:dyDescent="0.35">
      <c r="A3194">
        <v>6164002614024</v>
      </c>
      <c r="B3194" t="s">
        <v>544</v>
      </c>
      <c r="C3194" t="s">
        <v>9</v>
      </c>
      <c r="D3194" t="s">
        <v>3512</v>
      </c>
      <c r="E3194" t="s">
        <v>61</v>
      </c>
      <c r="F3194" t="s">
        <v>3513</v>
      </c>
      <c r="G3194" t="s">
        <v>11</v>
      </c>
      <c r="H3194" t="s">
        <v>4949</v>
      </c>
      <c r="J3194">
        <v>14</v>
      </c>
    </row>
    <row r="3195" spans="1:10" x14ac:dyDescent="0.35">
      <c r="A3195">
        <v>6164002650152</v>
      </c>
      <c r="B3195" t="s">
        <v>262</v>
      </c>
      <c r="C3195" t="s">
        <v>1573</v>
      </c>
      <c r="D3195" t="s">
        <v>927</v>
      </c>
      <c r="E3195" t="s">
        <v>11</v>
      </c>
      <c r="F3195" t="s">
        <v>928</v>
      </c>
      <c r="G3195" t="s">
        <v>11</v>
      </c>
      <c r="H3195" t="s">
        <v>4620</v>
      </c>
      <c r="J3195">
        <v>1</v>
      </c>
    </row>
    <row r="3196" spans="1:10" x14ac:dyDescent="0.35">
      <c r="A3196">
        <v>6164002669024</v>
      </c>
      <c r="B3196" t="s">
        <v>3514</v>
      </c>
      <c r="C3196" t="s">
        <v>272</v>
      </c>
      <c r="D3196" t="s">
        <v>3515</v>
      </c>
      <c r="E3196" t="s">
        <v>150</v>
      </c>
      <c r="F3196" t="s">
        <v>3516</v>
      </c>
      <c r="G3196" t="s">
        <v>150</v>
      </c>
      <c r="H3196" t="s">
        <v>4950</v>
      </c>
      <c r="J3196">
        <v>60</v>
      </c>
    </row>
    <row r="3197" spans="1:10" x14ac:dyDescent="0.35">
      <c r="A3197">
        <v>6164002669031</v>
      </c>
      <c r="B3197" t="s">
        <v>3517</v>
      </c>
      <c r="C3197" t="s">
        <v>9</v>
      </c>
      <c r="D3197" t="s">
        <v>3515</v>
      </c>
      <c r="E3197" t="s">
        <v>150</v>
      </c>
      <c r="F3197" t="s">
        <v>3516</v>
      </c>
      <c r="G3197" t="s">
        <v>150</v>
      </c>
      <c r="H3197" t="s">
        <v>4950</v>
      </c>
      <c r="J3197">
        <v>7</v>
      </c>
    </row>
    <row r="3198" spans="1:10" x14ac:dyDescent="0.35">
      <c r="A3198">
        <v>6164002669062</v>
      </c>
      <c r="B3198" t="s">
        <v>3518</v>
      </c>
      <c r="C3198" t="s">
        <v>9</v>
      </c>
      <c r="D3198" t="s">
        <v>3515</v>
      </c>
      <c r="E3198" t="s">
        <v>150</v>
      </c>
      <c r="F3198" t="s">
        <v>3516</v>
      </c>
      <c r="G3198" t="s">
        <v>150</v>
      </c>
      <c r="H3198" t="s">
        <v>4950</v>
      </c>
      <c r="J3198">
        <v>10</v>
      </c>
    </row>
    <row r="3199" spans="1:10" x14ac:dyDescent="0.35">
      <c r="A3199">
        <v>6164002669178</v>
      </c>
      <c r="B3199" t="s">
        <v>3519</v>
      </c>
      <c r="C3199" t="s">
        <v>43</v>
      </c>
      <c r="D3199" t="s">
        <v>3515</v>
      </c>
      <c r="E3199" t="s">
        <v>150</v>
      </c>
      <c r="F3199" t="s">
        <v>3516</v>
      </c>
      <c r="G3199" t="s">
        <v>150</v>
      </c>
      <c r="H3199" t="s">
        <v>4950</v>
      </c>
      <c r="J3199">
        <v>5</v>
      </c>
    </row>
    <row r="3200" spans="1:10" x14ac:dyDescent="0.35">
      <c r="A3200">
        <v>6164002669222</v>
      </c>
      <c r="B3200" t="s">
        <v>1122</v>
      </c>
      <c r="C3200" t="s">
        <v>36</v>
      </c>
      <c r="D3200" t="s">
        <v>3515</v>
      </c>
      <c r="E3200" t="s">
        <v>150</v>
      </c>
      <c r="F3200" t="s">
        <v>3516</v>
      </c>
      <c r="G3200" t="s">
        <v>150</v>
      </c>
      <c r="H3200" t="s">
        <v>4950</v>
      </c>
      <c r="J3200">
        <v>28</v>
      </c>
    </row>
    <row r="3201" spans="1:10" x14ac:dyDescent="0.35">
      <c r="A3201">
        <v>6164002881020</v>
      </c>
      <c r="B3201" t="s">
        <v>834</v>
      </c>
      <c r="C3201" t="s">
        <v>9</v>
      </c>
      <c r="D3201" t="s">
        <v>3520</v>
      </c>
      <c r="E3201" t="s">
        <v>11</v>
      </c>
      <c r="F3201" t="s">
        <v>3521</v>
      </c>
      <c r="G3201" t="s">
        <v>11</v>
      </c>
      <c r="H3201" t="s">
        <v>4951</v>
      </c>
      <c r="J3201">
        <v>55</v>
      </c>
    </row>
    <row r="3202" spans="1:10" x14ac:dyDescent="0.35">
      <c r="A3202">
        <v>6164002881044</v>
      </c>
      <c r="B3202" t="s">
        <v>834</v>
      </c>
      <c r="C3202" t="s">
        <v>825</v>
      </c>
      <c r="D3202" t="s">
        <v>3520</v>
      </c>
      <c r="E3202" t="s">
        <v>11</v>
      </c>
      <c r="F3202" t="s">
        <v>3521</v>
      </c>
      <c r="G3202" t="s">
        <v>117</v>
      </c>
      <c r="H3202" t="s">
        <v>4951</v>
      </c>
      <c r="J3202">
        <v>2</v>
      </c>
    </row>
    <row r="3203" spans="1:10" x14ac:dyDescent="0.35">
      <c r="A3203">
        <v>6164002881044</v>
      </c>
      <c r="B3203" t="s">
        <v>834</v>
      </c>
      <c r="C3203" t="s">
        <v>825</v>
      </c>
      <c r="D3203" t="s">
        <v>3520</v>
      </c>
      <c r="E3203" t="s">
        <v>11</v>
      </c>
      <c r="F3203" t="s">
        <v>3521</v>
      </c>
      <c r="G3203" t="s">
        <v>11</v>
      </c>
      <c r="H3203" t="s">
        <v>4951</v>
      </c>
      <c r="J3203">
        <v>17</v>
      </c>
    </row>
    <row r="3204" spans="1:10" x14ac:dyDescent="0.35">
      <c r="A3204">
        <v>6164003104012</v>
      </c>
      <c r="B3204" t="s">
        <v>857</v>
      </c>
      <c r="C3204" t="s">
        <v>758</v>
      </c>
      <c r="D3204" t="s">
        <v>3522</v>
      </c>
      <c r="E3204" t="s">
        <v>11</v>
      </c>
      <c r="F3204" t="s">
        <v>3523</v>
      </c>
      <c r="G3204" t="s">
        <v>11</v>
      </c>
      <c r="H3204" t="s">
        <v>4952</v>
      </c>
      <c r="J3204">
        <v>5</v>
      </c>
    </row>
    <row r="3205" spans="1:10" x14ac:dyDescent="0.35">
      <c r="A3205">
        <v>6164003104029</v>
      </c>
      <c r="B3205" t="s">
        <v>897</v>
      </c>
      <c r="C3205" t="s">
        <v>758</v>
      </c>
      <c r="D3205" t="s">
        <v>3522</v>
      </c>
      <c r="E3205" t="s">
        <v>11</v>
      </c>
      <c r="F3205" t="s">
        <v>3523</v>
      </c>
      <c r="G3205" t="s">
        <v>11</v>
      </c>
      <c r="H3205" t="s">
        <v>4952</v>
      </c>
      <c r="J3205">
        <v>5</v>
      </c>
    </row>
    <row r="3206" spans="1:10" x14ac:dyDescent="0.35">
      <c r="A3206">
        <v>6164003255165</v>
      </c>
      <c r="B3206" t="s">
        <v>3524</v>
      </c>
      <c r="C3206" t="s">
        <v>253</v>
      </c>
      <c r="D3206" t="s">
        <v>852</v>
      </c>
      <c r="E3206" t="s">
        <v>308</v>
      </c>
      <c r="F3206" t="s">
        <v>309</v>
      </c>
      <c r="G3206" t="s">
        <v>11</v>
      </c>
      <c r="H3206" t="s">
        <v>4529</v>
      </c>
      <c r="J3206">
        <v>1</v>
      </c>
    </row>
    <row r="3207" spans="1:10" x14ac:dyDescent="0.35">
      <c r="A3207">
        <v>6164003477390</v>
      </c>
      <c r="B3207" t="s">
        <v>295</v>
      </c>
      <c r="C3207" t="s">
        <v>38</v>
      </c>
      <c r="D3207" t="s">
        <v>1057</v>
      </c>
      <c r="E3207" t="s">
        <v>318</v>
      </c>
      <c r="F3207" t="s">
        <v>319</v>
      </c>
      <c r="G3207" t="s">
        <v>22</v>
      </c>
      <c r="H3207" t="s">
        <v>4531</v>
      </c>
      <c r="J3207">
        <v>1</v>
      </c>
    </row>
    <row r="3208" spans="1:10" x14ac:dyDescent="0.35">
      <c r="A3208">
        <v>6164003477390</v>
      </c>
      <c r="B3208" t="s">
        <v>295</v>
      </c>
      <c r="C3208" t="s">
        <v>38</v>
      </c>
      <c r="D3208" t="s">
        <v>1057</v>
      </c>
      <c r="E3208" t="s">
        <v>318</v>
      </c>
      <c r="F3208" t="s">
        <v>319</v>
      </c>
      <c r="G3208" t="s">
        <v>61</v>
      </c>
      <c r="H3208" t="s">
        <v>4531</v>
      </c>
      <c r="J3208">
        <v>1</v>
      </c>
    </row>
    <row r="3209" spans="1:10" x14ac:dyDescent="0.35">
      <c r="A3209">
        <v>6164003477772</v>
      </c>
      <c r="B3209" t="s">
        <v>3525</v>
      </c>
      <c r="C3209" t="s">
        <v>272</v>
      </c>
      <c r="D3209" t="s">
        <v>1057</v>
      </c>
      <c r="E3209" t="s">
        <v>318</v>
      </c>
      <c r="F3209" t="s">
        <v>319</v>
      </c>
      <c r="G3209" t="s">
        <v>11</v>
      </c>
      <c r="H3209" t="s">
        <v>4531</v>
      </c>
      <c r="J3209">
        <v>2</v>
      </c>
    </row>
    <row r="3210" spans="1:10" x14ac:dyDescent="0.35">
      <c r="A3210">
        <v>6164003477772</v>
      </c>
      <c r="B3210" t="s">
        <v>3525</v>
      </c>
      <c r="C3210" t="s">
        <v>272</v>
      </c>
      <c r="D3210" t="s">
        <v>1057</v>
      </c>
      <c r="E3210" t="s">
        <v>318</v>
      </c>
      <c r="F3210" t="s">
        <v>319</v>
      </c>
      <c r="G3210" t="s">
        <v>34</v>
      </c>
      <c r="H3210" t="s">
        <v>4531</v>
      </c>
      <c r="J3210">
        <v>1</v>
      </c>
    </row>
    <row r="3211" spans="1:10" x14ac:dyDescent="0.35">
      <c r="A3211">
        <v>6164003477789</v>
      </c>
      <c r="B3211" t="s">
        <v>3526</v>
      </c>
      <c r="C3211" t="s">
        <v>81</v>
      </c>
      <c r="D3211" t="s">
        <v>3378</v>
      </c>
      <c r="E3211" t="s">
        <v>11</v>
      </c>
      <c r="F3211" t="s">
        <v>3379</v>
      </c>
      <c r="G3211" t="s">
        <v>11</v>
      </c>
      <c r="H3211" t="s">
        <v>4918</v>
      </c>
      <c r="J3211">
        <v>27</v>
      </c>
    </row>
    <row r="3212" spans="1:10" x14ac:dyDescent="0.35">
      <c r="A3212">
        <v>6164003477994</v>
      </c>
      <c r="B3212" t="s">
        <v>3021</v>
      </c>
      <c r="C3212" t="s">
        <v>272</v>
      </c>
      <c r="D3212" t="s">
        <v>1688</v>
      </c>
      <c r="E3212" t="s">
        <v>318</v>
      </c>
      <c r="F3212" t="s">
        <v>319</v>
      </c>
      <c r="G3212" t="s">
        <v>11</v>
      </c>
      <c r="H3212" t="s">
        <v>4531</v>
      </c>
      <c r="J3212">
        <v>18</v>
      </c>
    </row>
    <row r="3213" spans="1:10" x14ac:dyDescent="0.35">
      <c r="A3213">
        <v>6164003555050</v>
      </c>
      <c r="B3213" t="s">
        <v>8</v>
      </c>
      <c r="C3213" t="s">
        <v>9</v>
      </c>
      <c r="D3213" t="s">
        <v>3527</v>
      </c>
      <c r="E3213" t="s">
        <v>11</v>
      </c>
      <c r="F3213" t="s">
        <v>3528</v>
      </c>
      <c r="G3213" t="s">
        <v>11</v>
      </c>
      <c r="H3213" t="s">
        <v>4953</v>
      </c>
      <c r="J3213">
        <v>18</v>
      </c>
    </row>
    <row r="3214" spans="1:10" x14ac:dyDescent="0.35">
      <c r="A3214">
        <v>6164003591034</v>
      </c>
      <c r="B3214" t="s">
        <v>834</v>
      </c>
      <c r="C3214" t="s">
        <v>9</v>
      </c>
      <c r="D3214" t="s">
        <v>3529</v>
      </c>
      <c r="E3214" t="s">
        <v>11</v>
      </c>
      <c r="F3214" t="s">
        <v>3530</v>
      </c>
      <c r="G3214" t="s">
        <v>11</v>
      </c>
      <c r="H3214" t="s">
        <v>4954</v>
      </c>
      <c r="J3214">
        <v>135</v>
      </c>
    </row>
    <row r="3215" spans="1:10" x14ac:dyDescent="0.35">
      <c r="A3215">
        <v>6164003591041</v>
      </c>
      <c r="B3215" t="s">
        <v>384</v>
      </c>
      <c r="C3215" t="s">
        <v>3499</v>
      </c>
      <c r="D3215" t="s">
        <v>3529</v>
      </c>
      <c r="E3215" t="s">
        <v>11</v>
      </c>
      <c r="F3215" t="s">
        <v>3530</v>
      </c>
      <c r="G3215" t="s">
        <v>11</v>
      </c>
      <c r="H3215" t="s">
        <v>4954</v>
      </c>
      <c r="J3215">
        <v>5</v>
      </c>
    </row>
    <row r="3216" spans="1:10" x14ac:dyDescent="0.35">
      <c r="A3216">
        <v>616400363029</v>
      </c>
      <c r="B3216" t="s">
        <v>8</v>
      </c>
      <c r="C3216" t="s">
        <v>9</v>
      </c>
      <c r="D3216" t="s">
        <v>959</v>
      </c>
      <c r="E3216" t="s">
        <v>11</v>
      </c>
      <c r="F3216" t="s">
        <v>960</v>
      </c>
      <c r="G3216" t="s">
        <v>11</v>
      </c>
      <c r="H3216" t="s">
        <v>4628</v>
      </c>
      <c r="J3216">
        <v>12</v>
      </c>
    </row>
    <row r="3217" spans="1:10" x14ac:dyDescent="0.35">
      <c r="A3217">
        <v>6164003751018</v>
      </c>
      <c r="B3217" t="s">
        <v>3531</v>
      </c>
      <c r="C3217" t="s">
        <v>272</v>
      </c>
      <c r="D3217" t="s">
        <v>408</v>
      </c>
      <c r="E3217" t="s">
        <v>150</v>
      </c>
      <c r="F3217" t="s">
        <v>409</v>
      </c>
      <c r="G3217" t="s">
        <v>150</v>
      </c>
      <c r="H3217" t="s">
        <v>4546</v>
      </c>
      <c r="J3217">
        <v>39</v>
      </c>
    </row>
    <row r="3218" spans="1:10" x14ac:dyDescent="0.35">
      <c r="A3218">
        <v>6164003751025</v>
      </c>
      <c r="B3218" t="s">
        <v>407</v>
      </c>
      <c r="C3218" t="s">
        <v>9</v>
      </c>
      <c r="D3218" t="s">
        <v>408</v>
      </c>
      <c r="E3218" t="s">
        <v>150</v>
      </c>
      <c r="F3218" t="s">
        <v>409</v>
      </c>
      <c r="G3218" t="s">
        <v>150</v>
      </c>
      <c r="H3218" t="s">
        <v>4546</v>
      </c>
      <c r="J3218">
        <v>14</v>
      </c>
    </row>
    <row r="3219" spans="1:10" x14ac:dyDescent="0.35">
      <c r="A3219">
        <v>6164003751070</v>
      </c>
      <c r="B3219" t="s">
        <v>3532</v>
      </c>
      <c r="C3219" t="s">
        <v>66</v>
      </c>
      <c r="D3219" t="s">
        <v>408</v>
      </c>
      <c r="E3219" t="s">
        <v>150</v>
      </c>
      <c r="F3219" t="s">
        <v>409</v>
      </c>
      <c r="G3219" t="s">
        <v>150</v>
      </c>
      <c r="H3219" t="s">
        <v>4546</v>
      </c>
      <c r="J3219">
        <v>8</v>
      </c>
    </row>
    <row r="3220" spans="1:10" x14ac:dyDescent="0.35">
      <c r="A3220">
        <v>6164003751094</v>
      </c>
      <c r="B3220" t="s">
        <v>3531</v>
      </c>
      <c r="C3220" t="s">
        <v>36</v>
      </c>
      <c r="D3220" t="s">
        <v>408</v>
      </c>
      <c r="E3220" t="s">
        <v>150</v>
      </c>
      <c r="F3220" t="s">
        <v>409</v>
      </c>
      <c r="G3220" t="s">
        <v>150</v>
      </c>
      <c r="H3220" t="s">
        <v>4546</v>
      </c>
      <c r="J3220">
        <v>42</v>
      </c>
    </row>
    <row r="3221" spans="1:10" x14ac:dyDescent="0.35">
      <c r="A3221">
        <v>616400391602</v>
      </c>
      <c r="B3221" t="s">
        <v>406</v>
      </c>
      <c r="C3221" t="s">
        <v>1115</v>
      </c>
      <c r="D3221" t="s">
        <v>3533</v>
      </c>
      <c r="E3221" t="s">
        <v>11</v>
      </c>
      <c r="F3221" t="s">
        <v>3534</v>
      </c>
      <c r="G3221" t="s">
        <v>11</v>
      </c>
      <c r="H3221" t="s">
        <v>4955</v>
      </c>
      <c r="J3221">
        <v>3</v>
      </c>
    </row>
    <row r="3222" spans="1:10" x14ac:dyDescent="0.35">
      <c r="A3222">
        <v>6164003916059</v>
      </c>
      <c r="B3222" t="s">
        <v>857</v>
      </c>
      <c r="C3222" t="s">
        <v>385</v>
      </c>
      <c r="D3222" t="s">
        <v>3533</v>
      </c>
      <c r="E3222" t="s">
        <v>11</v>
      </c>
      <c r="F3222" t="s">
        <v>3534</v>
      </c>
      <c r="G3222" t="s">
        <v>11</v>
      </c>
      <c r="H3222" t="s">
        <v>4955</v>
      </c>
      <c r="J3222">
        <v>19</v>
      </c>
    </row>
    <row r="3223" spans="1:10" x14ac:dyDescent="0.35">
      <c r="A3223">
        <v>6164003916073</v>
      </c>
      <c r="B3223" t="s">
        <v>626</v>
      </c>
      <c r="C3223" t="s">
        <v>253</v>
      </c>
      <c r="D3223" t="s">
        <v>3533</v>
      </c>
      <c r="E3223" t="s">
        <v>11</v>
      </c>
      <c r="F3223" t="s">
        <v>3534</v>
      </c>
      <c r="G3223" t="s">
        <v>11</v>
      </c>
      <c r="H3223" t="s">
        <v>4955</v>
      </c>
      <c r="J3223">
        <v>1</v>
      </c>
    </row>
    <row r="3224" spans="1:10" x14ac:dyDescent="0.35">
      <c r="A3224">
        <v>6164003916325</v>
      </c>
      <c r="B3224" t="s">
        <v>406</v>
      </c>
      <c r="C3224" t="s">
        <v>173</v>
      </c>
      <c r="D3224" t="s">
        <v>3533</v>
      </c>
      <c r="E3224" t="s">
        <v>11</v>
      </c>
      <c r="F3224" t="s">
        <v>3534</v>
      </c>
      <c r="G3224" t="s">
        <v>11</v>
      </c>
      <c r="H3224" t="s">
        <v>4955</v>
      </c>
      <c r="J3224">
        <v>1</v>
      </c>
    </row>
    <row r="3225" spans="1:10" x14ac:dyDescent="0.35">
      <c r="A3225">
        <v>6164004075076</v>
      </c>
      <c r="B3225" t="s">
        <v>3535</v>
      </c>
      <c r="C3225" t="s">
        <v>909</v>
      </c>
      <c r="D3225" t="s">
        <v>3536</v>
      </c>
      <c r="E3225" t="s">
        <v>11</v>
      </c>
      <c r="F3225" t="s">
        <v>3537</v>
      </c>
      <c r="G3225" t="s">
        <v>11</v>
      </c>
      <c r="H3225" t="s">
        <v>4956</v>
      </c>
      <c r="J3225">
        <v>1</v>
      </c>
    </row>
    <row r="3226" spans="1:10" x14ac:dyDescent="0.35">
      <c r="A3226">
        <v>6164004075090</v>
      </c>
      <c r="B3226" t="s">
        <v>3538</v>
      </c>
      <c r="C3226" t="s">
        <v>909</v>
      </c>
      <c r="D3226" t="s">
        <v>3536</v>
      </c>
      <c r="E3226" t="s">
        <v>11</v>
      </c>
      <c r="F3226" t="s">
        <v>3537</v>
      </c>
      <c r="G3226" t="s">
        <v>11</v>
      </c>
      <c r="H3226" t="s">
        <v>4956</v>
      </c>
      <c r="J3226">
        <v>1</v>
      </c>
    </row>
    <row r="3227" spans="1:10" x14ac:dyDescent="0.35">
      <c r="A3227">
        <v>6164004075120</v>
      </c>
      <c r="B3227" t="s">
        <v>3539</v>
      </c>
      <c r="C3227" t="s">
        <v>909</v>
      </c>
      <c r="D3227" t="s">
        <v>3536</v>
      </c>
      <c r="E3227" t="s">
        <v>11</v>
      </c>
      <c r="F3227" t="s">
        <v>3537</v>
      </c>
      <c r="G3227" t="s">
        <v>11</v>
      </c>
      <c r="H3227" t="s">
        <v>4956</v>
      </c>
      <c r="J3227">
        <v>1</v>
      </c>
    </row>
    <row r="3228" spans="1:10" x14ac:dyDescent="0.35">
      <c r="A3228">
        <v>6164004075199</v>
      </c>
      <c r="B3228" t="s">
        <v>3540</v>
      </c>
      <c r="C3228" t="s">
        <v>81</v>
      </c>
      <c r="D3228" t="s">
        <v>3536</v>
      </c>
      <c r="E3228" t="s">
        <v>11</v>
      </c>
      <c r="F3228" t="s">
        <v>3537</v>
      </c>
      <c r="G3228" t="s">
        <v>11</v>
      </c>
      <c r="H3228" t="s">
        <v>4956</v>
      </c>
      <c r="J3228">
        <v>13</v>
      </c>
    </row>
    <row r="3229" spans="1:10" x14ac:dyDescent="0.35">
      <c r="A3229">
        <v>6164004075212</v>
      </c>
      <c r="B3229" t="s">
        <v>3541</v>
      </c>
      <c r="C3229" t="s">
        <v>253</v>
      </c>
      <c r="D3229" t="s">
        <v>3536</v>
      </c>
      <c r="E3229" t="s">
        <v>11</v>
      </c>
      <c r="F3229" t="s">
        <v>3537</v>
      </c>
      <c r="G3229" t="s">
        <v>11</v>
      </c>
      <c r="H3229" t="s">
        <v>4956</v>
      </c>
      <c r="J3229">
        <v>1</v>
      </c>
    </row>
    <row r="3230" spans="1:10" x14ac:dyDescent="0.35">
      <c r="A3230">
        <v>6164004075274</v>
      </c>
      <c r="B3230" t="s">
        <v>3542</v>
      </c>
      <c r="C3230" t="s">
        <v>38</v>
      </c>
      <c r="D3230" t="s">
        <v>3536</v>
      </c>
      <c r="E3230" t="s">
        <v>11</v>
      </c>
      <c r="F3230" t="s">
        <v>3537</v>
      </c>
      <c r="G3230" t="s">
        <v>11</v>
      </c>
      <c r="H3230" t="s">
        <v>4956</v>
      </c>
      <c r="J3230">
        <v>21</v>
      </c>
    </row>
    <row r="3231" spans="1:10" x14ac:dyDescent="0.35">
      <c r="A3231">
        <v>6164004242027</v>
      </c>
      <c r="B3231" t="s">
        <v>8</v>
      </c>
      <c r="C3231" t="s">
        <v>253</v>
      </c>
      <c r="D3231" t="s">
        <v>956</v>
      </c>
      <c r="E3231" t="s">
        <v>11</v>
      </c>
      <c r="F3231" t="s">
        <v>957</v>
      </c>
      <c r="G3231" t="s">
        <v>11</v>
      </c>
      <c r="H3231" t="s">
        <v>4627</v>
      </c>
      <c r="J3231">
        <v>1419</v>
      </c>
    </row>
    <row r="3232" spans="1:10" x14ac:dyDescent="0.35">
      <c r="A3232">
        <v>6164004242034</v>
      </c>
      <c r="B3232" t="s">
        <v>942</v>
      </c>
      <c r="C3232" t="s">
        <v>9</v>
      </c>
      <c r="D3232" t="s">
        <v>956</v>
      </c>
      <c r="E3232" t="s">
        <v>11</v>
      </c>
      <c r="F3232" t="s">
        <v>957</v>
      </c>
      <c r="G3232" t="s">
        <v>11</v>
      </c>
      <c r="H3232" t="s">
        <v>4627</v>
      </c>
      <c r="J3232">
        <v>50</v>
      </c>
    </row>
    <row r="3233" spans="1:10" x14ac:dyDescent="0.35">
      <c r="A3233">
        <v>6164004242041</v>
      </c>
      <c r="B3233" t="s">
        <v>942</v>
      </c>
      <c r="C3233" t="s">
        <v>192</v>
      </c>
      <c r="D3233" t="s">
        <v>956</v>
      </c>
      <c r="E3233" t="s">
        <v>11</v>
      </c>
      <c r="F3233" t="s">
        <v>957</v>
      </c>
      <c r="G3233" t="s">
        <v>11</v>
      </c>
      <c r="H3233" t="s">
        <v>4627</v>
      </c>
      <c r="J3233">
        <v>40</v>
      </c>
    </row>
    <row r="3234" spans="1:10" x14ac:dyDescent="0.35">
      <c r="A3234">
        <v>6164004243024</v>
      </c>
      <c r="B3234" t="s">
        <v>942</v>
      </c>
      <c r="C3234" t="s">
        <v>9</v>
      </c>
      <c r="D3234" t="s">
        <v>3543</v>
      </c>
      <c r="E3234" t="s">
        <v>1761</v>
      </c>
      <c r="F3234" t="s">
        <v>3544</v>
      </c>
      <c r="G3234" t="s">
        <v>11</v>
      </c>
      <c r="H3234" t="s">
        <v>4957</v>
      </c>
      <c r="J3234">
        <v>26</v>
      </c>
    </row>
    <row r="3235" spans="1:10" x14ac:dyDescent="0.35">
      <c r="A3235">
        <v>6164004243048</v>
      </c>
      <c r="B3235" t="s">
        <v>8</v>
      </c>
      <c r="C3235" t="s">
        <v>192</v>
      </c>
      <c r="D3235" t="s">
        <v>3543</v>
      </c>
      <c r="E3235" t="s">
        <v>1761</v>
      </c>
      <c r="F3235" t="s">
        <v>3544</v>
      </c>
      <c r="G3235" t="s">
        <v>11</v>
      </c>
      <c r="H3235" t="s">
        <v>4957</v>
      </c>
      <c r="J3235">
        <v>8</v>
      </c>
    </row>
    <row r="3236" spans="1:10" x14ac:dyDescent="0.35">
      <c r="A3236">
        <v>6164004363029</v>
      </c>
      <c r="B3236" t="s">
        <v>8</v>
      </c>
      <c r="C3236" t="s">
        <v>9</v>
      </c>
      <c r="D3236" t="s">
        <v>3545</v>
      </c>
      <c r="E3236" t="s">
        <v>11</v>
      </c>
      <c r="F3236" t="s">
        <v>960</v>
      </c>
      <c r="G3236" t="s">
        <v>11</v>
      </c>
      <c r="H3236" t="s">
        <v>4628</v>
      </c>
      <c r="J3236">
        <v>80</v>
      </c>
    </row>
    <row r="3237" spans="1:10" x14ac:dyDescent="0.35">
      <c r="A3237">
        <v>6164004363043</v>
      </c>
      <c r="B3237" t="s">
        <v>834</v>
      </c>
      <c r="C3237" t="s">
        <v>192</v>
      </c>
      <c r="D3237" t="s">
        <v>959</v>
      </c>
      <c r="E3237" t="s">
        <v>11</v>
      </c>
      <c r="F3237" t="s">
        <v>960</v>
      </c>
      <c r="G3237" t="s">
        <v>11</v>
      </c>
      <c r="H3237" t="s">
        <v>4628</v>
      </c>
      <c r="J3237">
        <v>27</v>
      </c>
    </row>
    <row r="3238" spans="1:10" x14ac:dyDescent="0.35">
      <c r="A3238">
        <v>6164004509014</v>
      </c>
      <c r="B3238" t="s">
        <v>8</v>
      </c>
      <c r="C3238" t="s">
        <v>9</v>
      </c>
      <c r="D3238" t="s">
        <v>3546</v>
      </c>
      <c r="E3238" t="s">
        <v>11</v>
      </c>
      <c r="F3238" t="s">
        <v>3547</v>
      </c>
      <c r="G3238" t="s">
        <v>11</v>
      </c>
      <c r="H3238" t="s">
        <v>4958</v>
      </c>
      <c r="J3238">
        <v>17</v>
      </c>
    </row>
    <row r="3239" spans="1:10" x14ac:dyDescent="0.35">
      <c r="A3239">
        <v>6164004509038</v>
      </c>
      <c r="B3239" t="s">
        <v>942</v>
      </c>
      <c r="C3239" t="s">
        <v>1598</v>
      </c>
      <c r="D3239" t="s">
        <v>3546</v>
      </c>
      <c r="E3239" t="s">
        <v>11</v>
      </c>
      <c r="F3239" t="s">
        <v>3547</v>
      </c>
      <c r="G3239" t="s">
        <v>11</v>
      </c>
      <c r="H3239" t="s">
        <v>4958</v>
      </c>
      <c r="J3239">
        <v>3</v>
      </c>
    </row>
    <row r="3240" spans="1:10" x14ac:dyDescent="0.35">
      <c r="A3240">
        <v>6164004579994</v>
      </c>
      <c r="B3240" t="s">
        <v>3277</v>
      </c>
      <c r="C3240" t="s">
        <v>9</v>
      </c>
      <c r="D3240" t="s">
        <v>3548</v>
      </c>
      <c r="E3240" t="s">
        <v>31</v>
      </c>
      <c r="F3240" t="s">
        <v>3549</v>
      </c>
      <c r="G3240" t="s">
        <v>31</v>
      </c>
      <c r="H3240" t="s">
        <v>4959</v>
      </c>
      <c r="J3240">
        <v>20</v>
      </c>
    </row>
    <row r="3241" spans="1:10" x14ac:dyDescent="0.35">
      <c r="A3241">
        <v>6164004625325</v>
      </c>
      <c r="B3241" t="s">
        <v>3550</v>
      </c>
      <c r="C3241" t="s">
        <v>83</v>
      </c>
      <c r="D3241" t="s">
        <v>2911</v>
      </c>
      <c r="E3241" t="s">
        <v>22</v>
      </c>
      <c r="F3241" t="s">
        <v>361</v>
      </c>
      <c r="G3241" t="s">
        <v>150</v>
      </c>
      <c r="H3241" t="s">
        <v>4539</v>
      </c>
      <c r="J3241">
        <v>1</v>
      </c>
    </row>
    <row r="3242" spans="1:10" x14ac:dyDescent="0.35">
      <c r="A3242">
        <v>6164004675177</v>
      </c>
      <c r="B3242" t="s">
        <v>3551</v>
      </c>
      <c r="C3242" t="s">
        <v>9</v>
      </c>
      <c r="D3242" t="s">
        <v>2113</v>
      </c>
      <c r="E3242" t="s">
        <v>22</v>
      </c>
      <c r="F3242" t="s">
        <v>361</v>
      </c>
      <c r="G3242" t="s">
        <v>150</v>
      </c>
      <c r="H3242" t="s">
        <v>4539</v>
      </c>
      <c r="J3242">
        <v>31</v>
      </c>
    </row>
    <row r="3243" spans="1:10" x14ac:dyDescent="0.35">
      <c r="A3243">
        <v>6164004675177</v>
      </c>
      <c r="B3243" t="s">
        <v>3551</v>
      </c>
      <c r="C3243" t="s">
        <v>9</v>
      </c>
      <c r="D3243" t="s">
        <v>2113</v>
      </c>
      <c r="E3243" t="s">
        <v>22</v>
      </c>
      <c r="F3243" t="s">
        <v>361</v>
      </c>
      <c r="G3243" t="s">
        <v>31</v>
      </c>
      <c r="H3243" t="s">
        <v>4539</v>
      </c>
      <c r="J3243">
        <v>1</v>
      </c>
    </row>
    <row r="3244" spans="1:10" x14ac:dyDescent="0.35">
      <c r="A3244">
        <v>6164004675597</v>
      </c>
      <c r="B3244" t="s">
        <v>1254</v>
      </c>
      <c r="C3244" t="s">
        <v>83</v>
      </c>
      <c r="D3244" t="s">
        <v>2123</v>
      </c>
      <c r="E3244" t="s">
        <v>22</v>
      </c>
      <c r="F3244" t="s">
        <v>361</v>
      </c>
      <c r="G3244" t="s">
        <v>150</v>
      </c>
      <c r="H3244" t="s">
        <v>4539</v>
      </c>
      <c r="J3244">
        <v>6</v>
      </c>
    </row>
    <row r="3245" spans="1:10" x14ac:dyDescent="0.35">
      <c r="A3245">
        <v>6164004676068</v>
      </c>
      <c r="B3245" t="s">
        <v>1107</v>
      </c>
      <c r="C3245" t="s">
        <v>431</v>
      </c>
      <c r="D3245" t="s">
        <v>3063</v>
      </c>
      <c r="E3245" t="s">
        <v>1201</v>
      </c>
      <c r="F3245" t="s">
        <v>1465</v>
      </c>
      <c r="G3245" t="s">
        <v>11</v>
      </c>
      <c r="H3245" t="s">
        <v>4690</v>
      </c>
      <c r="J3245">
        <v>24</v>
      </c>
    </row>
    <row r="3246" spans="1:10" x14ac:dyDescent="0.35">
      <c r="A3246">
        <v>6164004676068</v>
      </c>
      <c r="B3246" t="s">
        <v>1107</v>
      </c>
      <c r="C3246" t="s">
        <v>431</v>
      </c>
      <c r="D3246" t="s">
        <v>3063</v>
      </c>
      <c r="E3246" t="s">
        <v>1201</v>
      </c>
      <c r="F3246" t="s">
        <v>1465</v>
      </c>
      <c r="G3246" t="s">
        <v>150</v>
      </c>
      <c r="H3246" t="s">
        <v>4690</v>
      </c>
      <c r="J3246">
        <v>2</v>
      </c>
    </row>
    <row r="3247" spans="1:10" x14ac:dyDescent="0.35">
      <c r="A3247">
        <v>6164004676068</v>
      </c>
      <c r="B3247" t="s">
        <v>1107</v>
      </c>
      <c r="C3247" t="s">
        <v>431</v>
      </c>
      <c r="D3247" t="s">
        <v>3063</v>
      </c>
      <c r="E3247" t="s">
        <v>1201</v>
      </c>
      <c r="F3247" t="s">
        <v>1465</v>
      </c>
      <c r="G3247" t="s">
        <v>73</v>
      </c>
      <c r="H3247" t="s">
        <v>4690</v>
      </c>
      <c r="J3247">
        <v>1</v>
      </c>
    </row>
    <row r="3248" spans="1:10" x14ac:dyDescent="0.35">
      <c r="A3248">
        <v>6164004676211</v>
      </c>
      <c r="B3248" t="s">
        <v>3165</v>
      </c>
      <c r="C3248" t="s">
        <v>1123</v>
      </c>
      <c r="D3248" t="s">
        <v>3063</v>
      </c>
      <c r="E3248" t="s">
        <v>1201</v>
      </c>
      <c r="F3248" t="s">
        <v>1465</v>
      </c>
      <c r="G3248" t="s">
        <v>33</v>
      </c>
      <c r="H3248" t="s">
        <v>4690</v>
      </c>
      <c r="J3248">
        <v>1</v>
      </c>
    </row>
    <row r="3249" spans="1:10" x14ac:dyDescent="0.35">
      <c r="A3249">
        <v>6164004676211</v>
      </c>
      <c r="B3249" t="s">
        <v>3165</v>
      </c>
      <c r="C3249" t="s">
        <v>1123</v>
      </c>
      <c r="D3249" t="s">
        <v>3063</v>
      </c>
      <c r="E3249" t="s">
        <v>1201</v>
      </c>
      <c r="F3249" t="s">
        <v>1465</v>
      </c>
      <c r="G3249" t="s">
        <v>150</v>
      </c>
      <c r="H3249" t="s">
        <v>4690</v>
      </c>
      <c r="J3249">
        <v>47</v>
      </c>
    </row>
    <row r="3250" spans="1:10" x14ac:dyDescent="0.35">
      <c r="A3250">
        <v>6164004676211</v>
      </c>
      <c r="B3250" t="s">
        <v>3165</v>
      </c>
      <c r="C3250" t="s">
        <v>1123</v>
      </c>
      <c r="D3250" t="s">
        <v>3063</v>
      </c>
      <c r="E3250" t="s">
        <v>1201</v>
      </c>
      <c r="F3250" t="s">
        <v>1465</v>
      </c>
      <c r="G3250" t="s">
        <v>61</v>
      </c>
      <c r="H3250" t="s">
        <v>4690</v>
      </c>
      <c r="J3250">
        <v>2</v>
      </c>
    </row>
    <row r="3251" spans="1:10" x14ac:dyDescent="0.35">
      <c r="A3251">
        <v>6164004676228</v>
      </c>
      <c r="B3251" t="s">
        <v>3165</v>
      </c>
      <c r="C3251" t="s">
        <v>43</v>
      </c>
      <c r="D3251" t="s">
        <v>3063</v>
      </c>
      <c r="E3251" t="s">
        <v>1201</v>
      </c>
      <c r="F3251" t="s">
        <v>1465</v>
      </c>
      <c r="G3251" t="s">
        <v>150</v>
      </c>
      <c r="H3251" t="s">
        <v>4690</v>
      </c>
      <c r="J3251">
        <v>15</v>
      </c>
    </row>
    <row r="3252" spans="1:10" x14ac:dyDescent="0.35">
      <c r="A3252">
        <v>6164004676235</v>
      </c>
      <c r="B3252" t="s">
        <v>3552</v>
      </c>
      <c r="C3252" t="s">
        <v>69</v>
      </c>
      <c r="D3252" t="s">
        <v>3063</v>
      </c>
      <c r="E3252" t="s">
        <v>1201</v>
      </c>
      <c r="F3252" t="s">
        <v>1465</v>
      </c>
      <c r="G3252" t="s">
        <v>150</v>
      </c>
      <c r="H3252" t="s">
        <v>4690</v>
      </c>
      <c r="J3252">
        <v>36</v>
      </c>
    </row>
    <row r="3253" spans="1:10" x14ac:dyDescent="0.35">
      <c r="A3253">
        <v>6164004676235</v>
      </c>
      <c r="B3253" t="s">
        <v>3552</v>
      </c>
      <c r="C3253" t="s">
        <v>69</v>
      </c>
      <c r="D3253" t="s">
        <v>3063</v>
      </c>
      <c r="E3253" t="s">
        <v>1201</v>
      </c>
      <c r="F3253" t="s">
        <v>1465</v>
      </c>
      <c r="G3253" t="s">
        <v>61</v>
      </c>
      <c r="H3253" t="s">
        <v>4690</v>
      </c>
      <c r="J3253">
        <v>2</v>
      </c>
    </row>
    <row r="3254" spans="1:10" x14ac:dyDescent="0.35">
      <c r="A3254">
        <v>6164004676471</v>
      </c>
      <c r="B3254" t="s">
        <v>3165</v>
      </c>
      <c r="C3254" t="s">
        <v>1394</v>
      </c>
      <c r="D3254" t="s">
        <v>3063</v>
      </c>
      <c r="E3254" t="s">
        <v>1201</v>
      </c>
      <c r="F3254" t="s">
        <v>1465</v>
      </c>
      <c r="G3254" t="s">
        <v>117</v>
      </c>
      <c r="H3254" t="s">
        <v>4690</v>
      </c>
      <c r="J3254">
        <v>3</v>
      </c>
    </row>
    <row r="3255" spans="1:10" x14ac:dyDescent="0.35">
      <c r="A3255">
        <v>6164004676488</v>
      </c>
      <c r="B3255" t="s">
        <v>3165</v>
      </c>
      <c r="C3255" t="s">
        <v>164</v>
      </c>
      <c r="D3255" t="s">
        <v>3063</v>
      </c>
      <c r="E3255" t="s">
        <v>1201</v>
      </c>
      <c r="F3255" t="s">
        <v>1465</v>
      </c>
      <c r="G3255" t="s">
        <v>117</v>
      </c>
      <c r="H3255" t="s">
        <v>4690</v>
      </c>
      <c r="J3255">
        <v>78</v>
      </c>
    </row>
    <row r="3256" spans="1:10" x14ac:dyDescent="0.35">
      <c r="A3256">
        <v>6164004679090</v>
      </c>
      <c r="B3256" t="s">
        <v>3553</v>
      </c>
      <c r="C3256" t="s">
        <v>173</v>
      </c>
      <c r="D3256" t="s">
        <v>3554</v>
      </c>
      <c r="E3256" t="s">
        <v>31</v>
      </c>
      <c r="F3256" t="s">
        <v>3555</v>
      </c>
      <c r="G3256" t="s">
        <v>31</v>
      </c>
      <c r="H3256" t="s">
        <v>4960</v>
      </c>
      <c r="J3256">
        <v>38</v>
      </c>
    </row>
    <row r="3257" spans="1:10" x14ac:dyDescent="0.35">
      <c r="A3257">
        <v>616400475777</v>
      </c>
      <c r="B3257" t="s">
        <v>3284</v>
      </c>
      <c r="C3257" t="s">
        <v>472</v>
      </c>
      <c r="D3257" t="s">
        <v>2524</v>
      </c>
      <c r="E3257" t="s">
        <v>578</v>
      </c>
      <c r="F3257" t="s">
        <v>2217</v>
      </c>
      <c r="G3257" t="s">
        <v>31</v>
      </c>
      <c r="H3257" t="s">
        <v>4768</v>
      </c>
      <c r="J3257">
        <v>4</v>
      </c>
    </row>
    <row r="3258" spans="1:10" x14ac:dyDescent="0.35">
      <c r="A3258">
        <v>6164004801668</v>
      </c>
      <c r="B3258" t="s">
        <v>2511</v>
      </c>
      <c r="C3258" t="s">
        <v>326</v>
      </c>
      <c r="D3258" t="s">
        <v>2113</v>
      </c>
      <c r="E3258" t="s">
        <v>22</v>
      </c>
      <c r="F3258" t="s">
        <v>361</v>
      </c>
      <c r="G3258" t="s">
        <v>34</v>
      </c>
      <c r="H3258" t="s">
        <v>4539</v>
      </c>
      <c r="J3258">
        <v>3</v>
      </c>
    </row>
    <row r="3259" spans="1:10" x14ac:dyDescent="0.35">
      <c r="A3259">
        <v>6164004801668</v>
      </c>
      <c r="B3259" t="s">
        <v>2511</v>
      </c>
      <c r="C3259" t="s">
        <v>326</v>
      </c>
      <c r="D3259" t="s">
        <v>2113</v>
      </c>
      <c r="E3259" t="s">
        <v>22</v>
      </c>
      <c r="F3259" t="s">
        <v>361</v>
      </c>
      <c r="G3259" t="s">
        <v>31</v>
      </c>
      <c r="H3259" t="s">
        <v>4539</v>
      </c>
      <c r="J3259">
        <v>1</v>
      </c>
    </row>
    <row r="3260" spans="1:10" x14ac:dyDescent="0.35">
      <c r="A3260">
        <v>6164004887013</v>
      </c>
      <c r="B3260" t="s">
        <v>8</v>
      </c>
      <c r="C3260" t="s">
        <v>9</v>
      </c>
      <c r="D3260" t="s">
        <v>3501</v>
      </c>
      <c r="E3260" t="s">
        <v>308</v>
      </c>
      <c r="F3260" t="s">
        <v>309</v>
      </c>
      <c r="G3260" t="s">
        <v>11</v>
      </c>
      <c r="H3260" t="s">
        <v>4529</v>
      </c>
      <c r="J3260">
        <v>48</v>
      </c>
    </row>
    <row r="3261" spans="1:10" x14ac:dyDescent="0.35">
      <c r="A3261">
        <v>6164081011585</v>
      </c>
      <c r="B3261" t="s">
        <v>2601</v>
      </c>
      <c r="C3261" t="s">
        <v>603</v>
      </c>
      <c r="D3261" t="s">
        <v>1044</v>
      </c>
      <c r="E3261" t="s">
        <v>15</v>
      </c>
      <c r="F3261" t="s">
        <v>56</v>
      </c>
      <c r="G3261" t="s">
        <v>31</v>
      </c>
      <c r="H3261" t="s">
        <v>4497</v>
      </c>
      <c r="J3261">
        <v>4</v>
      </c>
    </row>
    <row r="3262" spans="1:10" x14ac:dyDescent="0.35">
      <c r="A3262">
        <v>6164607415835</v>
      </c>
      <c r="B3262" t="s">
        <v>3556</v>
      </c>
      <c r="C3262" t="s">
        <v>36</v>
      </c>
      <c r="D3262" t="s">
        <v>3115</v>
      </c>
      <c r="E3262" t="s">
        <v>117</v>
      </c>
      <c r="F3262" t="s">
        <v>3116</v>
      </c>
      <c r="G3262" t="s">
        <v>31</v>
      </c>
      <c r="H3262" t="s">
        <v>4878</v>
      </c>
      <c r="J3262">
        <v>4</v>
      </c>
    </row>
    <row r="3263" spans="1:10" x14ac:dyDescent="0.35">
      <c r="A3263">
        <v>6165118812960</v>
      </c>
      <c r="B3263" t="s">
        <v>1922</v>
      </c>
      <c r="C3263" t="s">
        <v>472</v>
      </c>
      <c r="D3263" t="s">
        <v>3557</v>
      </c>
      <c r="E3263" t="s">
        <v>31</v>
      </c>
      <c r="F3263" t="s">
        <v>3558</v>
      </c>
      <c r="G3263" t="s">
        <v>31</v>
      </c>
      <c r="H3263" t="s">
        <v>4961</v>
      </c>
      <c r="J3263">
        <v>33</v>
      </c>
    </row>
    <row r="3264" spans="1:10" x14ac:dyDescent="0.35">
      <c r="A3264">
        <v>6165443276130</v>
      </c>
      <c r="B3264" t="s">
        <v>3559</v>
      </c>
      <c r="C3264" t="s">
        <v>114</v>
      </c>
      <c r="D3264" t="s">
        <v>3560</v>
      </c>
      <c r="E3264" t="s">
        <v>3561</v>
      </c>
      <c r="F3264" t="s">
        <v>3562</v>
      </c>
      <c r="G3264" t="s">
        <v>31</v>
      </c>
      <c r="H3264" t="s">
        <v>4962</v>
      </c>
      <c r="J3264">
        <v>26</v>
      </c>
    </row>
    <row r="3265" spans="1:10" x14ac:dyDescent="0.35">
      <c r="A3265">
        <v>6166000017623</v>
      </c>
      <c r="B3265" t="s">
        <v>1151</v>
      </c>
      <c r="C3265" t="s">
        <v>9</v>
      </c>
      <c r="D3265" t="s">
        <v>3563</v>
      </c>
      <c r="E3265" t="s">
        <v>31</v>
      </c>
      <c r="F3265" t="s">
        <v>3564</v>
      </c>
      <c r="G3265" t="s">
        <v>31</v>
      </c>
      <c r="H3265" t="s">
        <v>4963</v>
      </c>
      <c r="J3265">
        <v>16</v>
      </c>
    </row>
    <row r="3266" spans="1:10" x14ac:dyDescent="0.35">
      <c r="A3266">
        <v>6166000030332</v>
      </c>
      <c r="B3266" t="s">
        <v>3565</v>
      </c>
      <c r="C3266" t="s">
        <v>253</v>
      </c>
      <c r="D3266" t="s">
        <v>3566</v>
      </c>
      <c r="E3266" t="s">
        <v>308</v>
      </c>
      <c r="F3266" t="s">
        <v>309</v>
      </c>
      <c r="G3266" t="s">
        <v>11</v>
      </c>
      <c r="H3266" t="s">
        <v>4529</v>
      </c>
      <c r="J3266">
        <v>1</v>
      </c>
    </row>
    <row r="3267" spans="1:10" x14ac:dyDescent="0.35">
      <c r="A3267">
        <v>6166000095324</v>
      </c>
      <c r="B3267" t="s">
        <v>544</v>
      </c>
      <c r="C3267" t="s">
        <v>81</v>
      </c>
      <c r="D3267" t="s">
        <v>3567</v>
      </c>
      <c r="E3267" t="s">
        <v>308</v>
      </c>
      <c r="F3267" t="s">
        <v>309</v>
      </c>
      <c r="G3267" t="s">
        <v>11</v>
      </c>
      <c r="H3267" t="s">
        <v>4529</v>
      </c>
      <c r="J3267">
        <v>2</v>
      </c>
    </row>
    <row r="3268" spans="1:10" x14ac:dyDescent="0.35">
      <c r="A3268">
        <v>6166000108024</v>
      </c>
      <c r="B3268" t="s">
        <v>3568</v>
      </c>
      <c r="C3268" t="s">
        <v>454</v>
      </c>
      <c r="D3268" t="s">
        <v>2116</v>
      </c>
      <c r="E3268" t="s">
        <v>22</v>
      </c>
      <c r="F3268" t="s">
        <v>361</v>
      </c>
      <c r="G3268" t="s">
        <v>61</v>
      </c>
      <c r="H3268" t="s">
        <v>4539</v>
      </c>
      <c r="J3268">
        <v>4</v>
      </c>
    </row>
    <row r="3269" spans="1:10" x14ac:dyDescent="0.35">
      <c r="A3269">
        <v>6166000111215</v>
      </c>
      <c r="B3269" t="s">
        <v>834</v>
      </c>
      <c r="C3269" t="s">
        <v>9</v>
      </c>
      <c r="D3269" t="s">
        <v>3569</v>
      </c>
      <c r="E3269" t="s">
        <v>308</v>
      </c>
      <c r="F3269" t="s">
        <v>309</v>
      </c>
      <c r="G3269" t="s">
        <v>11</v>
      </c>
      <c r="H3269" t="s">
        <v>4529</v>
      </c>
      <c r="J3269">
        <v>8</v>
      </c>
    </row>
    <row r="3270" spans="1:10" x14ac:dyDescent="0.35">
      <c r="A3270">
        <v>6166000111222</v>
      </c>
      <c r="B3270" t="s">
        <v>3559</v>
      </c>
      <c r="C3270" t="s">
        <v>1580</v>
      </c>
      <c r="D3270" t="s">
        <v>3569</v>
      </c>
      <c r="E3270" t="s">
        <v>308</v>
      </c>
      <c r="F3270" t="s">
        <v>309</v>
      </c>
      <c r="G3270" t="s">
        <v>11</v>
      </c>
      <c r="H3270" t="s">
        <v>4529</v>
      </c>
      <c r="J3270">
        <v>2</v>
      </c>
    </row>
    <row r="3271" spans="1:10" x14ac:dyDescent="0.35">
      <c r="A3271">
        <v>6166000141212</v>
      </c>
      <c r="B3271" t="s">
        <v>3570</v>
      </c>
      <c r="C3271" t="s">
        <v>3571</v>
      </c>
      <c r="D3271" t="s">
        <v>3572</v>
      </c>
      <c r="E3271" t="s">
        <v>22</v>
      </c>
      <c r="F3271" t="s">
        <v>3573</v>
      </c>
      <c r="G3271" t="s">
        <v>11</v>
      </c>
      <c r="H3271" t="s">
        <v>4964</v>
      </c>
      <c r="J3271">
        <v>11</v>
      </c>
    </row>
    <row r="3272" spans="1:10" x14ac:dyDescent="0.35">
      <c r="A3272">
        <v>6166000141663</v>
      </c>
      <c r="B3272" t="s">
        <v>3574</v>
      </c>
      <c r="C3272" t="s">
        <v>9</v>
      </c>
      <c r="D3272" t="s">
        <v>2911</v>
      </c>
      <c r="E3272" t="s">
        <v>22</v>
      </c>
      <c r="F3272" t="s">
        <v>361</v>
      </c>
      <c r="G3272" t="s">
        <v>11</v>
      </c>
      <c r="H3272" t="s">
        <v>4539</v>
      </c>
      <c r="J3272">
        <v>12</v>
      </c>
    </row>
    <row r="3273" spans="1:10" x14ac:dyDescent="0.35">
      <c r="A3273">
        <v>6171100130028</v>
      </c>
      <c r="B3273" t="s">
        <v>109</v>
      </c>
      <c r="C3273" t="s">
        <v>110</v>
      </c>
      <c r="D3273" t="s">
        <v>417</v>
      </c>
      <c r="E3273" t="s">
        <v>387</v>
      </c>
      <c r="F3273" t="s">
        <v>3575</v>
      </c>
      <c r="G3273" t="s">
        <v>387</v>
      </c>
      <c r="H3273" t="s">
        <v>4965</v>
      </c>
      <c r="J3273">
        <v>20</v>
      </c>
    </row>
    <row r="3274" spans="1:10" x14ac:dyDescent="0.35">
      <c r="A3274">
        <v>6174000001207</v>
      </c>
      <c r="B3274" t="s">
        <v>1061</v>
      </c>
      <c r="C3274" t="s">
        <v>472</v>
      </c>
      <c r="D3274" t="s">
        <v>1062</v>
      </c>
      <c r="E3274" t="s">
        <v>130</v>
      </c>
      <c r="F3274" t="s">
        <v>424</v>
      </c>
      <c r="G3274" t="s">
        <v>387</v>
      </c>
      <c r="H3274" t="s">
        <v>4550</v>
      </c>
      <c r="J3274">
        <v>3</v>
      </c>
    </row>
    <row r="3275" spans="1:10" x14ac:dyDescent="0.35">
      <c r="A3275">
        <v>6174000001214</v>
      </c>
      <c r="B3275" t="s">
        <v>696</v>
      </c>
      <c r="C3275" t="s">
        <v>472</v>
      </c>
      <c r="D3275" t="s">
        <v>1062</v>
      </c>
      <c r="E3275" t="s">
        <v>130</v>
      </c>
      <c r="F3275" t="s">
        <v>424</v>
      </c>
      <c r="G3275" t="s">
        <v>387</v>
      </c>
      <c r="H3275" t="s">
        <v>4550</v>
      </c>
      <c r="J3275">
        <v>1</v>
      </c>
    </row>
    <row r="3276" spans="1:10" x14ac:dyDescent="0.35">
      <c r="A3276">
        <v>6174000001320</v>
      </c>
      <c r="B3276" t="s">
        <v>167</v>
      </c>
      <c r="C3276" t="s">
        <v>472</v>
      </c>
      <c r="D3276" t="s">
        <v>1062</v>
      </c>
      <c r="E3276" t="s">
        <v>130</v>
      </c>
      <c r="F3276" t="s">
        <v>424</v>
      </c>
      <c r="G3276" t="s">
        <v>387</v>
      </c>
      <c r="H3276" t="s">
        <v>4550</v>
      </c>
      <c r="J3276">
        <v>2</v>
      </c>
    </row>
    <row r="3277" spans="1:10" x14ac:dyDescent="0.35">
      <c r="A3277">
        <v>6174000001559</v>
      </c>
      <c r="B3277" t="s">
        <v>3576</v>
      </c>
      <c r="C3277" t="s">
        <v>110</v>
      </c>
      <c r="D3277" t="s">
        <v>3576</v>
      </c>
      <c r="E3277" t="s">
        <v>130</v>
      </c>
      <c r="F3277" t="s">
        <v>424</v>
      </c>
      <c r="G3277" t="s">
        <v>387</v>
      </c>
      <c r="H3277" t="s">
        <v>4550</v>
      </c>
      <c r="J3277">
        <v>61</v>
      </c>
    </row>
    <row r="3278" spans="1:10" x14ac:dyDescent="0.35">
      <c r="A3278">
        <v>6174000001566</v>
      </c>
      <c r="B3278" t="s">
        <v>3577</v>
      </c>
      <c r="C3278" t="s">
        <v>110</v>
      </c>
      <c r="D3278" t="s">
        <v>1062</v>
      </c>
      <c r="E3278" t="s">
        <v>130</v>
      </c>
      <c r="F3278" t="s">
        <v>424</v>
      </c>
      <c r="G3278" t="s">
        <v>387</v>
      </c>
      <c r="H3278" t="s">
        <v>4550</v>
      </c>
      <c r="J3278">
        <v>18</v>
      </c>
    </row>
    <row r="3279" spans="1:10" x14ac:dyDescent="0.35">
      <c r="A3279">
        <v>6174000001573</v>
      </c>
      <c r="B3279" t="s">
        <v>1013</v>
      </c>
      <c r="C3279" t="s">
        <v>2015</v>
      </c>
      <c r="D3279" t="s">
        <v>998</v>
      </c>
      <c r="E3279" t="s">
        <v>15</v>
      </c>
      <c r="F3279" t="s">
        <v>901</v>
      </c>
      <c r="G3279" t="s">
        <v>387</v>
      </c>
      <c r="H3279" t="s">
        <v>4617</v>
      </c>
      <c r="J3279">
        <v>13</v>
      </c>
    </row>
    <row r="3280" spans="1:10" x14ac:dyDescent="0.35">
      <c r="A3280">
        <v>6174000003003</v>
      </c>
      <c r="B3280" t="s">
        <v>3578</v>
      </c>
      <c r="C3280" t="s">
        <v>9</v>
      </c>
      <c r="D3280" t="s">
        <v>3579</v>
      </c>
      <c r="E3280" t="s">
        <v>130</v>
      </c>
      <c r="F3280" t="s">
        <v>424</v>
      </c>
      <c r="G3280" t="s">
        <v>387</v>
      </c>
      <c r="H3280" t="s">
        <v>4550</v>
      </c>
      <c r="J3280">
        <v>2</v>
      </c>
    </row>
    <row r="3281" spans="1:10" x14ac:dyDescent="0.35">
      <c r="A3281">
        <v>6174000003133</v>
      </c>
      <c r="B3281" t="s">
        <v>3578</v>
      </c>
      <c r="C3281" t="s">
        <v>603</v>
      </c>
      <c r="D3281" t="s">
        <v>3579</v>
      </c>
      <c r="E3281" t="s">
        <v>130</v>
      </c>
      <c r="F3281" t="s">
        <v>424</v>
      </c>
      <c r="G3281" t="s">
        <v>387</v>
      </c>
      <c r="H3281" t="s">
        <v>4550</v>
      </c>
      <c r="J3281">
        <v>3</v>
      </c>
    </row>
    <row r="3282" spans="1:10" x14ac:dyDescent="0.35">
      <c r="A3282">
        <v>6174000003164</v>
      </c>
      <c r="B3282" t="s">
        <v>884</v>
      </c>
      <c r="C3282" t="s">
        <v>110</v>
      </c>
      <c r="D3282" t="s">
        <v>3579</v>
      </c>
      <c r="E3282" t="s">
        <v>130</v>
      </c>
      <c r="F3282" t="s">
        <v>424</v>
      </c>
      <c r="G3282" t="s">
        <v>387</v>
      </c>
      <c r="H3282" t="s">
        <v>4550</v>
      </c>
      <c r="J3282">
        <v>3</v>
      </c>
    </row>
    <row r="3283" spans="1:10" x14ac:dyDescent="0.35">
      <c r="A3283">
        <v>6174000099143</v>
      </c>
      <c r="B3283" t="s">
        <v>3580</v>
      </c>
      <c r="C3283" t="s">
        <v>272</v>
      </c>
      <c r="D3283" t="s">
        <v>998</v>
      </c>
      <c r="E3283" t="s">
        <v>15</v>
      </c>
      <c r="F3283" t="s">
        <v>901</v>
      </c>
      <c r="G3283" t="s">
        <v>387</v>
      </c>
      <c r="H3283" t="s">
        <v>4617</v>
      </c>
      <c r="J3283">
        <v>1</v>
      </c>
    </row>
    <row r="3284" spans="1:10" x14ac:dyDescent="0.35">
      <c r="A3284">
        <v>6176000000976</v>
      </c>
      <c r="B3284" t="s">
        <v>581</v>
      </c>
      <c r="C3284" t="s">
        <v>603</v>
      </c>
      <c r="D3284" t="s">
        <v>604</v>
      </c>
      <c r="E3284" t="s">
        <v>387</v>
      </c>
      <c r="F3284" t="s">
        <v>601</v>
      </c>
      <c r="G3284" t="s">
        <v>387</v>
      </c>
      <c r="H3284" t="s">
        <v>4567</v>
      </c>
      <c r="J3284">
        <v>3</v>
      </c>
    </row>
    <row r="3285" spans="1:10" x14ac:dyDescent="0.35">
      <c r="A3285">
        <v>6176000001003</v>
      </c>
      <c r="B3285" t="s">
        <v>3581</v>
      </c>
      <c r="C3285" t="s">
        <v>110</v>
      </c>
      <c r="D3285" t="s">
        <v>604</v>
      </c>
      <c r="E3285" t="s">
        <v>387</v>
      </c>
      <c r="F3285" t="s">
        <v>601</v>
      </c>
      <c r="G3285" t="s">
        <v>387</v>
      </c>
      <c r="H3285" t="s">
        <v>4567</v>
      </c>
      <c r="J3285">
        <v>7</v>
      </c>
    </row>
    <row r="3286" spans="1:10" x14ac:dyDescent="0.35">
      <c r="A3286">
        <v>6176000001041</v>
      </c>
      <c r="B3286" t="s">
        <v>1857</v>
      </c>
      <c r="C3286" t="s">
        <v>110</v>
      </c>
      <c r="D3286" t="s">
        <v>604</v>
      </c>
      <c r="E3286" t="s">
        <v>387</v>
      </c>
      <c r="F3286" t="s">
        <v>601</v>
      </c>
      <c r="G3286" t="s">
        <v>387</v>
      </c>
      <c r="H3286" t="s">
        <v>4567</v>
      </c>
      <c r="J3286">
        <v>1</v>
      </c>
    </row>
    <row r="3287" spans="1:10" x14ac:dyDescent="0.35">
      <c r="A3287">
        <v>6176000001058</v>
      </c>
      <c r="B3287" t="s">
        <v>1839</v>
      </c>
      <c r="C3287" t="s">
        <v>9</v>
      </c>
      <c r="D3287" t="s">
        <v>3582</v>
      </c>
      <c r="E3287" t="s">
        <v>387</v>
      </c>
      <c r="F3287" t="s">
        <v>601</v>
      </c>
      <c r="G3287" t="s">
        <v>387</v>
      </c>
      <c r="H3287" t="s">
        <v>4567</v>
      </c>
      <c r="J3287">
        <v>2</v>
      </c>
    </row>
    <row r="3288" spans="1:10" x14ac:dyDescent="0.35">
      <c r="A3288">
        <v>6176000001096</v>
      </c>
      <c r="B3288" t="s">
        <v>884</v>
      </c>
      <c r="C3288" t="s">
        <v>192</v>
      </c>
      <c r="D3288" t="s">
        <v>3582</v>
      </c>
      <c r="E3288" t="s">
        <v>387</v>
      </c>
      <c r="F3288" t="s">
        <v>601</v>
      </c>
      <c r="G3288" t="s">
        <v>387</v>
      </c>
      <c r="H3288" t="s">
        <v>4567</v>
      </c>
      <c r="J3288">
        <v>23</v>
      </c>
    </row>
    <row r="3289" spans="1:10" x14ac:dyDescent="0.35">
      <c r="A3289">
        <v>6176000001683</v>
      </c>
      <c r="B3289" t="s">
        <v>884</v>
      </c>
      <c r="C3289" t="s">
        <v>192</v>
      </c>
      <c r="D3289" t="s">
        <v>3583</v>
      </c>
      <c r="E3289" t="s">
        <v>387</v>
      </c>
      <c r="F3289" t="s">
        <v>388</v>
      </c>
      <c r="G3289" t="s">
        <v>387</v>
      </c>
      <c r="H3289" t="s">
        <v>4544</v>
      </c>
      <c r="J3289">
        <v>29</v>
      </c>
    </row>
    <row r="3290" spans="1:10" x14ac:dyDescent="0.35">
      <c r="A3290">
        <v>6176000001690</v>
      </c>
      <c r="B3290" t="s">
        <v>3583</v>
      </c>
      <c r="C3290" t="s">
        <v>545</v>
      </c>
      <c r="D3290" t="s">
        <v>386</v>
      </c>
      <c r="E3290" t="s">
        <v>387</v>
      </c>
      <c r="F3290" t="s">
        <v>388</v>
      </c>
      <c r="G3290" t="s">
        <v>387</v>
      </c>
      <c r="H3290" t="s">
        <v>4544</v>
      </c>
      <c r="J3290">
        <v>3</v>
      </c>
    </row>
    <row r="3291" spans="1:10" x14ac:dyDescent="0.35">
      <c r="A3291">
        <v>6181100324150</v>
      </c>
      <c r="B3291" t="s">
        <v>3584</v>
      </c>
      <c r="C3291" t="s">
        <v>38</v>
      </c>
      <c r="D3291" t="s">
        <v>3585</v>
      </c>
      <c r="E3291" t="s">
        <v>117</v>
      </c>
      <c r="F3291" t="s">
        <v>3586</v>
      </c>
      <c r="G3291" t="s">
        <v>117</v>
      </c>
      <c r="H3291" t="s">
        <v>4966</v>
      </c>
      <c r="J3291">
        <v>1</v>
      </c>
    </row>
    <row r="3292" spans="1:10" x14ac:dyDescent="0.35">
      <c r="A3292">
        <v>6181100324150</v>
      </c>
      <c r="B3292" t="s">
        <v>3584</v>
      </c>
      <c r="C3292" t="s">
        <v>38</v>
      </c>
      <c r="D3292" t="s">
        <v>3585</v>
      </c>
      <c r="E3292" t="s">
        <v>117</v>
      </c>
      <c r="F3292" t="s">
        <v>3586</v>
      </c>
      <c r="G3292" t="s">
        <v>61</v>
      </c>
      <c r="H3292" t="s">
        <v>4966</v>
      </c>
      <c r="J3292">
        <v>1</v>
      </c>
    </row>
    <row r="3293" spans="1:10" x14ac:dyDescent="0.35">
      <c r="A3293">
        <v>6181100530407</v>
      </c>
      <c r="B3293" t="s">
        <v>3587</v>
      </c>
      <c r="C3293" t="s">
        <v>385</v>
      </c>
      <c r="D3293" t="s">
        <v>3588</v>
      </c>
      <c r="E3293" t="s">
        <v>3589</v>
      </c>
      <c r="F3293" t="s">
        <v>3590</v>
      </c>
      <c r="G3293" t="s">
        <v>34</v>
      </c>
      <c r="H3293" t="s">
        <v>4967</v>
      </c>
      <c r="J3293">
        <v>1</v>
      </c>
    </row>
    <row r="3294" spans="1:10" x14ac:dyDescent="0.35">
      <c r="A3294">
        <v>6181100535990</v>
      </c>
      <c r="B3294" t="s">
        <v>3591</v>
      </c>
      <c r="C3294" t="s">
        <v>385</v>
      </c>
      <c r="D3294" t="s">
        <v>3590</v>
      </c>
      <c r="E3294" t="s">
        <v>3589</v>
      </c>
      <c r="F3294" t="s">
        <v>3590</v>
      </c>
      <c r="G3294" t="s">
        <v>34</v>
      </c>
      <c r="H3294" t="s">
        <v>4967</v>
      </c>
      <c r="J3294">
        <v>11</v>
      </c>
    </row>
    <row r="3295" spans="1:10" x14ac:dyDescent="0.35">
      <c r="A3295">
        <v>6181100743401</v>
      </c>
      <c r="B3295" t="s">
        <v>3165</v>
      </c>
      <c r="C3295" t="s">
        <v>3592</v>
      </c>
      <c r="D3295" t="s">
        <v>3593</v>
      </c>
      <c r="E3295" t="s">
        <v>117</v>
      </c>
      <c r="F3295" t="s">
        <v>513</v>
      </c>
      <c r="G3295" t="s">
        <v>117</v>
      </c>
      <c r="H3295" t="s">
        <v>4559</v>
      </c>
      <c r="J3295">
        <v>13</v>
      </c>
    </row>
    <row r="3296" spans="1:10" x14ac:dyDescent="0.35">
      <c r="A3296">
        <v>6181100743418</v>
      </c>
      <c r="B3296" t="s">
        <v>3165</v>
      </c>
      <c r="C3296" t="s">
        <v>3594</v>
      </c>
      <c r="D3296" t="s">
        <v>3593</v>
      </c>
      <c r="E3296" t="s">
        <v>117</v>
      </c>
      <c r="F3296" t="s">
        <v>513</v>
      </c>
      <c r="G3296" t="s">
        <v>117</v>
      </c>
      <c r="H3296" t="s">
        <v>4559</v>
      </c>
      <c r="J3296">
        <v>2</v>
      </c>
    </row>
    <row r="3297" spans="1:10" x14ac:dyDescent="0.35">
      <c r="A3297">
        <v>6182000116845</v>
      </c>
      <c r="B3297" t="s">
        <v>3595</v>
      </c>
      <c r="C3297" t="s">
        <v>66</v>
      </c>
      <c r="D3297" t="s">
        <v>3596</v>
      </c>
      <c r="E3297" t="s">
        <v>117</v>
      </c>
      <c r="F3297" t="s">
        <v>3597</v>
      </c>
      <c r="G3297" t="s">
        <v>117</v>
      </c>
      <c r="H3297" t="s">
        <v>4968</v>
      </c>
      <c r="J3297">
        <v>1</v>
      </c>
    </row>
    <row r="3298" spans="1:10" x14ac:dyDescent="0.35">
      <c r="A3298">
        <v>6182000118535</v>
      </c>
      <c r="B3298" t="s">
        <v>3598</v>
      </c>
      <c r="C3298" t="s">
        <v>892</v>
      </c>
      <c r="D3298" t="s">
        <v>3599</v>
      </c>
      <c r="E3298" t="s">
        <v>117</v>
      </c>
      <c r="F3298" t="s">
        <v>3597</v>
      </c>
      <c r="G3298" t="s">
        <v>117</v>
      </c>
      <c r="H3298" t="s">
        <v>4968</v>
      </c>
      <c r="J3298">
        <v>2</v>
      </c>
    </row>
    <row r="3299" spans="1:10" x14ac:dyDescent="0.35">
      <c r="A3299">
        <v>6182000126714</v>
      </c>
      <c r="B3299" t="s">
        <v>3600</v>
      </c>
      <c r="C3299" t="s">
        <v>892</v>
      </c>
      <c r="D3299" t="s">
        <v>3596</v>
      </c>
      <c r="E3299" t="s">
        <v>117</v>
      </c>
      <c r="F3299" t="s">
        <v>3597</v>
      </c>
      <c r="G3299" t="s">
        <v>117</v>
      </c>
      <c r="H3299" t="s">
        <v>4968</v>
      </c>
      <c r="J3299">
        <v>6</v>
      </c>
    </row>
    <row r="3300" spans="1:10" x14ac:dyDescent="0.35">
      <c r="A3300">
        <v>6186000195336</v>
      </c>
      <c r="B3300" t="s">
        <v>3601</v>
      </c>
      <c r="C3300" t="s">
        <v>69</v>
      </c>
      <c r="D3300" t="s">
        <v>3601</v>
      </c>
      <c r="E3300" t="s">
        <v>3589</v>
      </c>
      <c r="F3300" t="s">
        <v>3602</v>
      </c>
      <c r="G3300" t="s">
        <v>41</v>
      </c>
      <c r="H3300" t="s">
        <v>4969</v>
      </c>
      <c r="J3300">
        <v>100</v>
      </c>
    </row>
    <row r="3301" spans="1:10" x14ac:dyDescent="0.35">
      <c r="A3301">
        <v>6188000012859</v>
      </c>
      <c r="B3301" t="s">
        <v>446</v>
      </c>
      <c r="C3301" t="s">
        <v>447</v>
      </c>
      <c r="D3301" t="s">
        <v>3603</v>
      </c>
      <c r="E3301" t="s">
        <v>117</v>
      </c>
      <c r="F3301" t="s">
        <v>3604</v>
      </c>
      <c r="G3301" t="s">
        <v>117</v>
      </c>
      <c r="H3301" t="s">
        <v>4970</v>
      </c>
      <c r="J3301">
        <v>1</v>
      </c>
    </row>
    <row r="3302" spans="1:10" x14ac:dyDescent="0.35">
      <c r="A3302">
        <v>6188522935001</v>
      </c>
      <c r="B3302" t="s">
        <v>384</v>
      </c>
      <c r="C3302" t="s">
        <v>623</v>
      </c>
      <c r="D3302" t="s">
        <v>3605</v>
      </c>
      <c r="E3302" t="s">
        <v>31</v>
      </c>
      <c r="F3302" t="s">
        <v>3606</v>
      </c>
      <c r="G3302" t="s">
        <v>31</v>
      </c>
      <c r="H3302" t="s">
        <v>4971</v>
      </c>
      <c r="J3302">
        <v>518</v>
      </c>
    </row>
    <row r="3303" spans="1:10" x14ac:dyDescent="0.35">
      <c r="A3303">
        <v>620059152408</v>
      </c>
      <c r="B3303" t="s">
        <v>212</v>
      </c>
      <c r="C3303" t="s">
        <v>9</v>
      </c>
      <c r="D3303" t="s">
        <v>632</v>
      </c>
      <c r="E3303" t="s">
        <v>15</v>
      </c>
      <c r="F3303" t="s">
        <v>633</v>
      </c>
      <c r="G3303" t="s">
        <v>16</v>
      </c>
      <c r="H3303" t="s">
        <v>4572</v>
      </c>
      <c r="J3303">
        <v>12</v>
      </c>
    </row>
    <row r="3304" spans="1:10" x14ac:dyDescent="0.35">
      <c r="A3304">
        <v>6201100030315</v>
      </c>
      <c r="B3304" t="s">
        <v>3607</v>
      </c>
      <c r="C3304" t="s">
        <v>94</v>
      </c>
      <c r="D3304" t="s">
        <v>3608</v>
      </c>
      <c r="E3304" t="s">
        <v>61</v>
      </c>
      <c r="F3304" t="s">
        <v>3608</v>
      </c>
      <c r="G3304" t="s">
        <v>150</v>
      </c>
      <c r="H3304" t="s">
        <v>4972</v>
      </c>
      <c r="J3304">
        <v>27</v>
      </c>
    </row>
    <row r="3305" spans="1:10" x14ac:dyDescent="0.35">
      <c r="A3305">
        <v>6201100032593</v>
      </c>
      <c r="B3305" t="s">
        <v>3609</v>
      </c>
      <c r="C3305" t="s">
        <v>3610</v>
      </c>
      <c r="D3305" t="s">
        <v>3608</v>
      </c>
      <c r="E3305" t="s">
        <v>61</v>
      </c>
      <c r="F3305" t="s">
        <v>3608</v>
      </c>
      <c r="G3305" t="s">
        <v>150</v>
      </c>
      <c r="H3305" t="s">
        <v>4972</v>
      </c>
      <c r="J3305">
        <v>2</v>
      </c>
    </row>
    <row r="3306" spans="1:10" x14ac:dyDescent="0.35">
      <c r="A3306">
        <v>6201100033439</v>
      </c>
      <c r="B3306" t="s">
        <v>3611</v>
      </c>
      <c r="C3306" t="s">
        <v>2479</v>
      </c>
      <c r="D3306" t="s">
        <v>3612</v>
      </c>
      <c r="E3306" t="s">
        <v>61</v>
      </c>
      <c r="F3306" t="s">
        <v>3608</v>
      </c>
      <c r="G3306" t="s">
        <v>61</v>
      </c>
      <c r="H3306" t="s">
        <v>4972</v>
      </c>
      <c r="J3306">
        <v>32</v>
      </c>
    </row>
    <row r="3307" spans="1:10" x14ac:dyDescent="0.35">
      <c r="A3307">
        <v>6201100033583</v>
      </c>
      <c r="B3307" t="s">
        <v>3613</v>
      </c>
      <c r="C3307" t="s">
        <v>630</v>
      </c>
      <c r="D3307" t="s">
        <v>2039</v>
      </c>
      <c r="E3307" t="s">
        <v>921</v>
      </c>
      <c r="F3307" t="s">
        <v>2038</v>
      </c>
      <c r="G3307" t="s">
        <v>61</v>
      </c>
      <c r="H3307" t="s">
        <v>4752</v>
      </c>
      <c r="J3307">
        <v>1</v>
      </c>
    </row>
    <row r="3308" spans="1:10" x14ac:dyDescent="0.35">
      <c r="A3308">
        <v>6201100033651</v>
      </c>
      <c r="B3308" t="s">
        <v>3614</v>
      </c>
      <c r="C3308" t="s">
        <v>919</v>
      </c>
      <c r="D3308" t="s">
        <v>3615</v>
      </c>
      <c r="E3308" t="s">
        <v>61</v>
      </c>
      <c r="F3308" t="s">
        <v>3616</v>
      </c>
      <c r="G3308" t="s">
        <v>117</v>
      </c>
      <c r="H3308" t="s">
        <v>4973</v>
      </c>
      <c r="J3308">
        <v>50</v>
      </c>
    </row>
    <row r="3309" spans="1:10" x14ac:dyDescent="0.35">
      <c r="A3309">
        <v>6201100033736</v>
      </c>
      <c r="B3309" t="s">
        <v>3617</v>
      </c>
      <c r="C3309" t="s">
        <v>919</v>
      </c>
      <c r="D3309" t="s">
        <v>3618</v>
      </c>
      <c r="E3309" t="s">
        <v>61</v>
      </c>
      <c r="F3309" t="s">
        <v>3608</v>
      </c>
      <c r="G3309" t="s">
        <v>33</v>
      </c>
      <c r="H3309" t="s">
        <v>4972</v>
      </c>
      <c r="J3309">
        <v>50</v>
      </c>
    </row>
    <row r="3310" spans="1:10" x14ac:dyDescent="0.35">
      <c r="A3310">
        <v>6201100033736</v>
      </c>
      <c r="B3310" t="s">
        <v>3617</v>
      </c>
      <c r="C3310" t="s">
        <v>919</v>
      </c>
      <c r="D3310" t="s">
        <v>3618</v>
      </c>
      <c r="E3310" t="s">
        <v>61</v>
      </c>
      <c r="F3310" t="s">
        <v>3608</v>
      </c>
      <c r="G3310" t="s">
        <v>61</v>
      </c>
      <c r="H3310" t="s">
        <v>4972</v>
      </c>
      <c r="J3310">
        <v>1</v>
      </c>
    </row>
    <row r="3311" spans="1:10" x14ac:dyDescent="0.35">
      <c r="A3311">
        <v>6201100033774</v>
      </c>
      <c r="B3311" t="s">
        <v>3619</v>
      </c>
      <c r="C3311" t="s">
        <v>919</v>
      </c>
      <c r="D3311" t="s">
        <v>3620</v>
      </c>
      <c r="E3311" t="s">
        <v>61</v>
      </c>
      <c r="F3311" t="s">
        <v>3616</v>
      </c>
      <c r="G3311" t="s">
        <v>33</v>
      </c>
      <c r="H3311" t="s">
        <v>4973</v>
      </c>
      <c r="J3311">
        <v>50</v>
      </c>
    </row>
    <row r="3312" spans="1:10" x14ac:dyDescent="0.35">
      <c r="A3312">
        <v>6201100033774</v>
      </c>
      <c r="B3312" t="s">
        <v>3619</v>
      </c>
      <c r="C3312" t="s">
        <v>919</v>
      </c>
      <c r="D3312" t="s">
        <v>3620</v>
      </c>
      <c r="E3312" t="s">
        <v>61</v>
      </c>
      <c r="F3312" t="s">
        <v>3616</v>
      </c>
      <c r="G3312" t="s">
        <v>61</v>
      </c>
      <c r="H3312" t="s">
        <v>4973</v>
      </c>
      <c r="J3312">
        <v>2</v>
      </c>
    </row>
    <row r="3313" spans="1:10" x14ac:dyDescent="0.35">
      <c r="A3313">
        <v>6201100034580</v>
      </c>
      <c r="B3313" t="s">
        <v>3621</v>
      </c>
      <c r="C3313" t="s">
        <v>66</v>
      </c>
      <c r="D3313" t="s">
        <v>3618</v>
      </c>
      <c r="E3313" t="s">
        <v>61</v>
      </c>
      <c r="F3313" t="s">
        <v>3608</v>
      </c>
      <c r="G3313" t="s">
        <v>33</v>
      </c>
      <c r="H3313" t="s">
        <v>4972</v>
      </c>
      <c r="J3313">
        <v>50</v>
      </c>
    </row>
    <row r="3314" spans="1:10" x14ac:dyDescent="0.35">
      <c r="A3314">
        <v>6201100034580</v>
      </c>
      <c r="B3314" t="s">
        <v>3621</v>
      </c>
      <c r="C3314" t="s">
        <v>66</v>
      </c>
      <c r="D3314" t="s">
        <v>3618</v>
      </c>
      <c r="E3314" t="s">
        <v>61</v>
      </c>
      <c r="F3314" t="s">
        <v>3608</v>
      </c>
      <c r="G3314" t="s">
        <v>150</v>
      </c>
      <c r="H3314" t="s">
        <v>4972</v>
      </c>
      <c r="J3314">
        <v>1</v>
      </c>
    </row>
    <row r="3315" spans="1:10" x14ac:dyDescent="0.35">
      <c r="A3315">
        <v>6201100035457</v>
      </c>
      <c r="B3315" t="s">
        <v>3622</v>
      </c>
      <c r="C3315" t="s">
        <v>630</v>
      </c>
      <c r="D3315" t="s">
        <v>3620</v>
      </c>
      <c r="E3315" t="s">
        <v>61</v>
      </c>
      <c r="F3315" t="s">
        <v>3616</v>
      </c>
      <c r="G3315" t="s">
        <v>61</v>
      </c>
      <c r="H3315" t="s">
        <v>4973</v>
      </c>
      <c r="J3315">
        <v>3</v>
      </c>
    </row>
    <row r="3316" spans="1:10" x14ac:dyDescent="0.35">
      <c r="A3316">
        <v>6201100060954</v>
      </c>
      <c r="B3316" t="s">
        <v>3623</v>
      </c>
      <c r="C3316" t="s">
        <v>3624</v>
      </c>
      <c r="D3316" t="s">
        <v>2081</v>
      </c>
      <c r="E3316" t="s">
        <v>816</v>
      </c>
      <c r="F3316" t="s">
        <v>817</v>
      </c>
      <c r="G3316" t="s">
        <v>34</v>
      </c>
      <c r="H3316" t="s">
        <v>4598</v>
      </c>
      <c r="J3316">
        <v>3</v>
      </c>
    </row>
    <row r="3317" spans="1:10" x14ac:dyDescent="0.35">
      <c r="A3317">
        <v>6201100060954</v>
      </c>
      <c r="B3317" t="s">
        <v>3623</v>
      </c>
      <c r="C3317" t="s">
        <v>3624</v>
      </c>
      <c r="D3317" t="s">
        <v>2081</v>
      </c>
      <c r="E3317" t="s">
        <v>816</v>
      </c>
      <c r="F3317" t="s">
        <v>817</v>
      </c>
      <c r="G3317" t="s">
        <v>61</v>
      </c>
      <c r="H3317" t="s">
        <v>4598</v>
      </c>
      <c r="J3317">
        <v>1</v>
      </c>
    </row>
    <row r="3318" spans="1:10" x14ac:dyDescent="0.35">
      <c r="A3318">
        <v>6201100062002</v>
      </c>
      <c r="B3318" t="s">
        <v>3625</v>
      </c>
      <c r="C3318" t="s">
        <v>1199</v>
      </c>
      <c r="D3318" t="s">
        <v>3625</v>
      </c>
      <c r="E3318" t="s">
        <v>816</v>
      </c>
      <c r="F3318" t="s">
        <v>817</v>
      </c>
      <c r="G3318" t="s">
        <v>61</v>
      </c>
      <c r="H3318" t="s">
        <v>4598</v>
      </c>
      <c r="J3318">
        <v>31</v>
      </c>
    </row>
    <row r="3319" spans="1:10" x14ac:dyDescent="0.35">
      <c r="A3319">
        <v>6201100062019</v>
      </c>
      <c r="B3319" t="s">
        <v>3625</v>
      </c>
      <c r="C3319" t="s">
        <v>1199</v>
      </c>
      <c r="D3319" t="s">
        <v>3625</v>
      </c>
      <c r="E3319" t="s">
        <v>816</v>
      </c>
      <c r="F3319" t="s">
        <v>817</v>
      </c>
      <c r="G3319" t="s">
        <v>61</v>
      </c>
      <c r="H3319" t="s">
        <v>4598</v>
      </c>
      <c r="J3319">
        <v>1</v>
      </c>
    </row>
    <row r="3320" spans="1:10" x14ac:dyDescent="0.35">
      <c r="A3320">
        <v>6201100062026</v>
      </c>
      <c r="B3320" t="s">
        <v>3626</v>
      </c>
      <c r="C3320" t="s">
        <v>1199</v>
      </c>
      <c r="D3320" t="s">
        <v>3626</v>
      </c>
      <c r="E3320" t="s">
        <v>816</v>
      </c>
      <c r="F3320" t="s">
        <v>817</v>
      </c>
      <c r="G3320" t="s">
        <v>61</v>
      </c>
      <c r="H3320" t="s">
        <v>4598</v>
      </c>
      <c r="J3320">
        <v>1</v>
      </c>
    </row>
    <row r="3321" spans="1:10" x14ac:dyDescent="0.35">
      <c r="A3321">
        <v>6201100062040</v>
      </c>
      <c r="B3321" t="s">
        <v>3627</v>
      </c>
      <c r="C3321" t="s">
        <v>1199</v>
      </c>
      <c r="D3321" t="s">
        <v>452</v>
      </c>
      <c r="E3321" t="s">
        <v>15</v>
      </c>
      <c r="F3321" t="s">
        <v>14</v>
      </c>
      <c r="G3321" t="s">
        <v>61</v>
      </c>
      <c r="H3321" t="s">
        <v>4489</v>
      </c>
      <c r="J3321">
        <v>20</v>
      </c>
    </row>
    <row r="3322" spans="1:10" x14ac:dyDescent="0.35">
      <c r="A3322">
        <v>6201100062071</v>
      </c>
      <c r="B3322" t="s">
        <v>3628</v>
      </c>
      <c r="C3322" t="s">
        <v>1199</v>
      </c>
      <c r="D3322" t="s">
        <v>2493</v>
      </c>
      <c r="E3322" t="s">
        <v>816</v>
      </c>
      <c r="F3322" t="s">
        <v>817</v>
      </c>
      <c r="G3322" t="s">
        <v>61</v>
      </c>
      <c r="H3322" t="s">
        <v>4598</v>
      </c>
      <c r="J3322">
        <v>14</v>
      </c>
    </row>
    <row r="3323" spans="1:10" x14ac:dyDescent="0.35">
      <c r="A3323">
        <v>6201100070083</v>
      </c>
      <c r="B3323" t="s">
        <v>3629</v>
      </c>
      <c r="C3323" t="s">
        <v>78</v>
      </c>
      <c r="D3323" t="s">
        <v>1044</v>
      </c>
      <c r="E3323" t="s">
        <v>15</v>
      </c>
      <c r="F3323" t="s">
        <v>56</v>
      </c>
      <c r="G3323" t="s">
        <v>61</v>
      </c>
      <c r="H3323" t="s">
        <v>4497</v>
      </c>
      <c r="J3323">
        <v>11</v>
      </c>
    </row>
    <row r="3324" spans="1:10" x14ac:dyDescent="0.35">
      <c r="A3324">
        <v>6201100071622</v>
      </c>
      <c r="B3324" t="s">
        <v>2602</v>
      </c>
      <c r="C3324" t="s">
        <v>909</v>
      </c>
      <c r="D3324" t="s">
        <v>273</v>
      </c>
      <c r="E3324" t="s">
        <v>15</v>
      </c>
      <c r="F3324" t="s">
        <v>56</v>
      </c>
      <c r="G3324" t="s">
        <v>11</v>
      </c>
      <c r="H3324" t="s">
        <v>4497</v>
      </c>
      <c r="J3324">
        <v>1</v>
      </c>
    </row>
    <row r="3325" spans="1:10" x14ac:dyDescent="0.35">
      <c r="A3325">
        <v>6201100071622</v>
      </c>
      <c r="B3325" t="s">
        <v>2602</v>
      </c>
      <c r="C3325" t="s">
        <v>909</v>
      </c>
      <c r="D3325" t="s">
        <v>273</v>
      </c>
      <c r="E3325" t="s">
        <v>15</v>
      </c>
      <c r="F3325" t="s">
        <v>56</v>
      </c>
      <c r="G3325" t="s">
        <v>34</v>
      </c>
      <c r="H3325" t="s">
        <v>4497</v>
      </c>
      <c r="J3325">
        <v>22</v>
      </c>
    </row>
    <row r="3326" spans="1:10" x14ac:dyDescent="0.35">
      <c r="A3326">
        <v>6201100071653</v>
      </c>
      <c r="B3326" t="s">
        <v>3630</v>
      </c>
      <c r="C3326" t="s">
        <v>909</v>
      </c>
      <c r="D3326" t="s">
        <v>283</v>
      </c>
      <c r="E3326" t="s">
        <v>15</v>
      </c>
      <c r="F3326" t="s">
        <v>56</v>
      </c>
      <c r="G3326" t="s">
        <v>11</v>
      </c>
      <c r="H3326" t="s">
        <v>4497</v>
      </c>
      <c r="J3326">
        <v>2</v>
      </c>
    </row>
    <row r="3327" spans="1:10" x14ac:dyDescent="0.35">
      <c r="A3327">
        <v>6201100071684</v>
      </c>
      <c r="B3327" t="s">
        <v>273</v>
      </c>
      <c r="C3327" t="s">
        <v>114</v>
      </c>
      <c r="D3327" t="s">
        <v>273</v>
      </c>
      <c r="E3327" t="s">
        <v>15</v>
      </c>
      <c r="F3327" t="s">
        <v>56</v>
      </c>
      <c r="G3327" t="s">
        <v>16</v>
      </c>
      <c r="H3327" t="s">
        <v>4497</v>
      </c>
      <c r="J3327">
        <v>1</v>
      </c>
    </row>
    <row r="3328" spans="1:10" x14ac:dyDescent="0.35">
      <c r="A3328">
        <v>6201100071684</v>
      </c>
      <c r="B3328" t="s">
        <v>273</v>
      </c>
      <c r="C3328" t="s">
        <v>114</v>
      </c>
      <c r="D3328" t="s">
        <v>273</v>
      </c>
      <c r="E3328" t="s">
        <v>15</v>
      </c>
      <c r="F3328" t="s">
        <v>56</v>
      </c>
      <c r="G3328" t="s">
        <v>33</v>
      </c>
      <c r="H3328" t="s">
        <v>4497</v>
      </c>
      <c r="J3328">
        <v>50</v>
      </c>
    </row>
    <row r="3329" spans="1:10" x14ac:dyDescent="0.35">
      <c r="A3329">
        <v>6201100071684</v>
      </c>
      <c r="B3329" t="s">
        <v>273</v>
      </c>
      <c r="C3329" t="s">
        <v>114</v>
      </c>
      <c r="D3329" t="s">
        <v>273</v>
      </c>
      <c r="E3329" t="s">
        <v>15</v>
      </c>
      <c r="F3329" t="s">
        <v>56</v>
      </c>
      <c r="G3329" t="s">
        <v>34</v>
      </c>
      <c r="H3329" t="s">
        <v>4497</v>
      </c>
      <c r="J3329">
        <v>4</v>
      </c>
    </row>
    <row r="3330" spans="1:10" x14ac:dyDescent="0.35">
      <c r="A3330">
        <v>6201100071684</v>
      </c>
      <c r="B3330" t="s">
        <v>273</v>
      </c>
      <c r="C3330" t="s">
        <v>114</v>
      </c>
      <c r="D3330" t="s">
        <v>273</v>
      </c>
      <c r="E3330" t="s">
        <v>15</v>
      </c>
      <c r="F3330" t="s">
        <v>56</v>
      </c>
      <c r="G3330" t="s">
        <v>61</v>
      </c>
      <c r="H3330" t="s">
        <v>4497</v>
      </c>
      <c r="J3330">
        <v>648</v>
      </c>
    </row>
    <row r="3331" spans="1:10" x14ac:dyDescent="0.35">
      <c r="A3331">
        <v>6201100071691</v>
      </c>
      <c r="B3331" t="s">
        <v>3631</v>
      </c>
      <c r="C3331" t="s">
        <v>114</v>
      </c>
      <c r="D3331" t="s">
        <v>1044</v>
      </c>
      <c r="E3331" t="s">
        <v>15</v>
      </c>
      <c r="F3331" t="s">
        <v>56</v>
      </c>
      <c r="G3331" t="s">
        <v>117</v>
      </c>
      <c r="H3331" t="s">
        <v>4497</v>
      </c>
      <c r="J3331">
        <v>50</v>
      </c>
    </row>
    <row r="3332" spans="1:10" x14ac:dyDescent="0.35">
      <c r="A3332">
        <v>6201100071691</v>
      </c>
      <c r="B3332" t="s">
        <v>3631</v>
      </c>
      <c r="C3332" t="s">
        <v>114</v>
      </c>
      <c r="D3332" t="s">
        <v>1044</v>
      </c>
      <c r="E3332" t="s">
        <v>15</v>
      </c>
      <c r="F3332" t="s">
        <v>56</v>
      </c>
      <c r="G3332" t="s">
        <v>34</v>
      </c>
      <c r="H3332" t="s">
        <v>4497</v>
      </c>
      <c r="J3332">
        <v>1</v>
      </c>
    </row>
    <row r="3333" spans="1:10" x14ac:dyDescent="0.35">
      <c r="A3333">
        <v>6201100071691</v>
      </c>
      <c r="B3333" t="s">
        <v>3631</v>
      </c>
      <c r="C3333" t="s">
        <v>114</v>
      </c>
      <c r="D3333" t="s">
        <v>1044</v>
      </c>
      <c r="E3333" t="s">
        <v>15</v>
      </c>
      <c r="F3333" t="s">
        <v>56</v>
      </c>
      <c r="G3333" t="s">
        <v>150</v>
      </c>
      <c r="H3333" t="s">
        <v>4497</v>
      </c>
      <c r="J3333">
        <v>24</v>
      </c>
    </row>
    <row r="3334" spans="1:10" x14ac:dyDescent="0.35">
      <c r="A3334">
        <v>6201100071691</v>
      </c>
      <c r="B3334" t="s">
        <v>3631</v>
      </c>
      <c r="C3334" t="s">
        <v>114</v>
      </c>
      <c r="D3334" t="s">
        <v>1044</v>
      </c>
      <c r="E3334" t="s">
        <v>15</v>
      </c>
      <c r="F3334" t="s">
        <v>56</v>
      </c>
      <c r="G3334" t="s">
        <v>61</v>
      </c>
      <c r="H3334" t="s">
        <v>4497</v>
      </c>
      <c r="J3334">
        <v>695</v>
      </c>
    </row>
    <row r="3335" spans="1:10" x14ac:dyDescent="0.35">
      <c r="A3335">
        <v>6201100071707</v>
      </c>
      <c r="B3335" t="s">
        <v>853</v>
      </c>
      <c r="C3335" t="s">
        <v>114</v>
      </c>
      <c r="D3335" t="s">
        <v>283</v>
      </c>
      <c r="E3335" t="s">
        <v>15</v>
      </c>
      <c r="F3335" t="s">
        <v>56</v>
      </c>
      <c r="G3335" t="s">
        <v>11</v>
      </c>
      <c r="H3335" t="s">
        <v>4497</v>
      </c>
      <c r="J3335">
        <v>16</v>
      </c>
    </row>
    <row r="3336" spans="1:10" x14ac:dyDescent="0.35">
      <c r="A3336">
        <v>6201100071707</v>
      </c>
      <c r="B3336" t="s">
        <v>853</v>
      </c>
      <c r="C3336" t="s">
        <v>114</v>
      </c>
      <c r="D3336" t="s">
        <v>283</v>
      </c>
      <c r="E3336" t="s">
        <v>15</v>
      </c>
      <c r="F3336" t="s">
        <v>56</v>
      </c>
      <c r="G3336" t="s">
        <v>34</v>
      </c>
      <c r="H3336" t="s">
        <v>4497</v>
      </c>
      <c r="J3336">
        <v>1</v>
      </c>
    </row>
    <row r="3337" spans="1:10" x14ac:dyDescent="0.35">
      <c r="A3337">
        <v>6201100071707</v>
      </c>
      <c r="B3337" t="s">
        <v>853</v>
      </c>
      <c r="C3337" t="s">
        <v>114</v>
      </c>
      <c r="D3337" t="s">
        <v>283</v>
      </c>
      <c r="E3337" t="s">
        <v>15</v>
      </c>
      <c r="F3337" t="s">
        <v>56</v>
      </c>
      <c r="G3337" t="s">
        <v>61</v>
      </c>
      <c r="H3337" t="s">
        <v>4497</v>
      </c>
      <c r="J3337">
        <v>2</v>
      </c>
    </row>
    <row r="3338" spans="1:10" x14ac:dyDescent="0.35">
      <c r="A3338">
        <v>6201100071714</v>
      </c>
      <c r="B3338" t="s">
        <v>1940</v>
      </c>
      <c r="C3338" t="s">
        <v>114</v>
      </c>
      <c r="D3338" t="s">
        <v>24</v>
      </c>
      <c r="E3338" t="s">
        <v>15</v>
      </c>
      <c r="F3338" t="s">
        <v>25</v>
      </c>
      <c r="G3338" t="s">
        <v>61</v>
      </c>
      <c r="H3338" t="s">
        <v>4491</v>
      </c>
      <c r="J3338">
        <v>7</v>
      </c>
    </row>
    <row r="3339" spans="1:10" x14ac:dyDescent="0.35">
      <c r="A3339">
        <v>6201100071738</v>
      </c>
      <c r="B3339" t="s">
        <v>3632</v>
      </c>
      <c r="C3339" t="s">
        <v>447</v>
      </c>
      <c r="D3339" t="s">
        <v>273</v>
      </c>
      <c r="E3339" t="s">
        <v>15</v>
      </c>
      <c r="F3339" t="s">
        <v>56</v>
      </c>
      <c r="G3339" t="s">
        <v>61</v>
      </c>
      <c r="H3339" t="s">
        <v>4497</v>
      </c>
      <c r="J3339">
        <v>30</v>
      </c>
    </row>
    <row r="3340" spans="1:10" x14ac:dyDescent="0.35">
      <c r="A3340">
        <v>6201100071912</v>
      </c>
      <c r="B3340" t="s">
        <v>1291</v>
      </c>
      <c r="C3340" t="s">
        <v>83</v>
      </c>
      <c r="D3340" t="s">
        <v>273</v>
      </c>
      <c r="E3340" t="s">
        <v>15</v>
      </c>
      <c r="F3340" t="s">
        <v>56</v>
      </c>
      <c r="G3340" t="s">
        <v>22</v>
      </c>
      <c r="H3340" t="s">
        <v>4497</v>
      </c>
      <c r="J3340">
        <v>1</v>
      </c>
    </row>
    <row r="3341" spans="1:10" x14ac:dyDescent="0.35">
      <c r="A3341">
        <v>6201100071912</v>
      </c>
      <c r="B3341" t="s">
        <v>1291</v>
      </c>
      <c r="C3341" t="s">
        <v>83</v>
      </c>
      <c r="D3341" t="s">
        <v>273</v>
      </c>
      <c r="E3341" t="s">
        <v>15</v>
      </c>
      <c r="F3341" t="s">
        <v>56</v>
      </c>
      <c r="G3341" t="s">
        <v>61</v>
      </c>
      <c r="H3341" t="s">
        <v>4497</v>
      </c>
      <c r="J3341">
        <v>311</v>
      </c>
    </row>
    <row r="3342" spans="1:10" x14ac:dyDescent="0.35">
      <c r="A3342">
        <v>6201100072308</v>
      </c>
      <c r="B3342" t="s">
        <v>3461</v>
      </c>
      <c r="C3342" t="s">
        <v>83</v>
      </c>
      <c r="D3342" t="s">
        <v>24</v>
      </c>
      <c r="E3342" t="s">
        <v>15</v>
      </c>
      <c r="F3342" t="s">
        <v>25</v>
      </c>
      <c r="G3342" t="s">
        <v>61</v>
      </c>
      <c r="H3342" t="s">
        <v>4491</v>
      </c>
      <c r="J3342">
        <v>47</v>
      </c>
    </row>
    <row r="3343" spans="1:10" x14ac:dyDescent="0.35">
      <c r="A3343">
        <v>6201100350611</v>
      </c>
      <c r="B3343" t="s">
        <v>834</v>
      </c>
      <c r="C3343" t="s">
        <v>253</v>
      </c>
      <c r="D3343" t="s">
        <v>3633</v>
      </c>
      <c r="E3343" t="s">
        <v>61</v>
      </c>
      <c r="F3343" t="s">
        <v>3634</v>
      </c>
      <c r="G3343" t="s">
        <v>61</v>
      </c>
      <c r="H3343" t="s">
        <v>4974</v>
      </c>
      <c r="J3343">
        <v>1</v>
      </c>
    </row>
    <row r="3344" spans="1:10" x14ac:dyDescent="0.35">
      <c r="A3344">
        <v>6201100350628</v>
      </c>
      <c r="B3344" t="s">
        <v>3635</v>
      </c>
      <c r="C3344" t="s">
        <v>81</v>
      </c>
      <c r="D3344" t="s">
        <v>3633</v>
      </c>
      <c r="E3344" t="s">
        <v>61</v>
      </c>
      <c r="F3344" t="s">
        <v>3634</v>
      </c>
      <c r="G3344" t="s">
        <v>61</v>
      </c>
      <c r="H3344" t="s">
        <v>4974</v>
      </c>
      <c r="J3344">
        <v>63</v>
      </c>
    </row>
    <row r="3345" spans="1:10" x14ac:dyDescent="0.35">
      <c r="A3345">
        <v>6201101020025</v>
      </c>
      <c r="B3345" t="s">
        <v>544</v>
      </c>
      <c r="C3345" t="s">
        <v>192</v>
      </c>
      <c r="D3345" t="s">
        <v>415</v>
      </c>
      <c r="E3345" t="s">
        <v>61</v>
      </c>
      <c r="F3345" t="s">
        <v>416</v>
      </c>
      <c r="G3345" t="s">
        <v>61</v>
      </c>
      <c r="H3345" t="s">
        <v>4548</v>
      </c>
      <c r="J3345">
        <v>84</v>
      </c>
    </row>
    <row r="3346" spans="1:10" x14ac:dyDescent="0.35">
      <c r="A3346">
        <v>6201101020087</v>
      </c>
      <c r="B3346" t="s">
        <v>3636</v>
      </c>
      <c r="C3346" t="s">
        <v>114</v>
      </c>
      <c r="D3346" t="s">
        <v>415</v>
      </c>
      <c r="E3346" t="s">
        <v>61</v>
      </c>
      <c r="F3346" t="s">
        <v>416</v>
      </c>
      <c r="G3346" t="s">
        <v>61</v>
      </c>
      <c r="H3346" t="s">
        <v>4548</v>
      </c>
      <c r="J3346">
        <v>134</v>
      </c>
    </row>
    <row r="3347" spans="1:10" x14ac:dyDescent="0.35">
      <c r="A3347">
        <v>6201101020094</v>
      </c>
      <c r="B3347" t="s">
        <v>3636</v>
      </c>
      <c r="C3347" t="s">
        <v>81</v>
      </c>
      <c r="D3347" t="s">
        <v>415</v>
      </c>
      <c r="E3347" t="s">
        <v>61</v>
      </c>
      <c r="F3347" t="s">
        <v>416</v>
      </c>
      <c r="G3347" t="s">
        <v>61</v>
      </c>
      <c r="H3347" t="s">
        <v>4548</v>
      </c>
      <c r="J3347">
        <v>38</v>
      </c>
    </row>
    <row r="3348" spans="1:10" x14ac:dyDescent="0.35">
      <c r="A3348">
        <v>6201101021077</v>
      </c>
      <c r="B3348" t="s">
        <v>3636</v>
      </c>
      <c r="C3348" t="s">
        <v>114</v>
      </c>
      <c r="D3348" t="s">
        <v>415</v>
      </c>
      <c r="E3348" t="s">
        <v>61</v>
      </c>
      <c r="F3348" t="s">
        <v>416</v>
      </c>
      <c r="G3348" t="s">
        <v>61</v>
      </c>
      <c r="H3348" t="s">
        <v>4548</v>
      </c>
      <c r="J3348">
        <v>2</v>
      </c>
    </row>
    <row r="3349" spans="1:10" x14ac:dyDescent="0.35">
      <c r="A3349">
        <v>6201101060250</v>
      </c>
      <c r="B3349" t="s">
        <v>3637</v>
      </c>
      <c r="C3349" t="s">
        <v>2062</v>
      </c>
      <c r="D3349" t="s">
        <v>3446</v>
      </c>
      <c r="E3349" t="s">
        <v>61</v>
      </c>
      <c r="F3349" t="s">
        <v>3447</v>
      </c>
      <c r="G3349" t="s">
        <v>61</v>
      </c>
      <c r="H3349" t="s">
        <v>4933</v>
      </c>
      <c r="J3349">
        <v>2</v>
      </c>
    </row>
    <row r="3350" spans="1:10" x14ac:dyDescent="0.35">
      <c r="A3350">
        <v>6201101060342</v>
      </c>
      <c r="B3350" t="s">
        <v>3638</v>
      </c>
      <c r="C3350" t="s">
        <v>3639</v>
      </c>
      <c r="D3350" t="s">
        <v>2345</v>
      </c>
      <c r="E3350" t="s">
        <v>308</v>
      </c>
      <c r="F3350" t="s">
        <v>309</v>
      </c>
      <c r="G3350" t="s">
        <v>61</v>
      </c>
      <c r="H3350" t="s">
        <v>4529</v>
      </c>
      <c r="J3350">
        <v>27</v>
      </c>
    </row>
    <row r="3351" spans="1:10" x14ac:dyDescent="0.35">
      <c r="A3351">
        <v>6201101060366</v>
      </c>
      <c r="B3351" t="s">
        <v>2282</v>
      </c>
      <c r="C3351" t="s">
        <v>2368</v>
      </c>
      <c r="D3351" t="s">
        <v>3446</v>
      </c>
      <c r="E3351" t="s">
        <v>61</v>
      </c>
      <c r="F3351" t="s">
        <v>3447</v>
      </c>
      <c r="G3351" t="s">
        <v>34</v>
      </c>
      <c r="H3351" t="s">
        <v>4933</v>
      </c>
      <c r="J3351">
        <v>1</v>
      </c>
    </row>
    <row r="3352" spans="1:10" x14ac:dyDescent="0.35">
      <c r="A3352">
        <v>6201101060366</v>
      </c>
      <c r="B3352" t="s">
        <v>2282</v>
      </c>
      <c r="C3352" t="s">
        <v>2368</v>
      </c>
      <c r="D3352" t="s">
        <v>3446</v>
      </c>
      <c r="E3352" t="s">
        <v>61</v>
      </c>
      <c r="F3352" t="s">
        <v>3447</v>
      </c>
      <c r="G3352" t="s">
        <v>61</v>
      </c>
      <c r="H3352" t="s">
        <v>4933</v>
      </c>
      <c r="J3352">
        <v>37</v>
      </c>
    </row>
    <row r="3353" spans="1:10" x14ac:dyDescent="0.35">
      <c r="A3353">
        <v>6201672417934</v>
      </c>
      <c r="B3353" t="s">
        <v>3640</v>
      </c>
      <c r="C3353" t="s">
        <v>2479</v>
      </c>
      <c r="D3353" t="s">
        <v>1176</v>
      </c>
      <c r="E3353" t="s">
        <v>61</v>
      </c>
      <c r="F3353" t="s">
        <v>1070</v>
      </c>
      <c r="G3353" t="s">
        <v>61</v>
      </c>
      <c r="H3353" t="s">
        <v>4644</v>
      </c>
      <c r="J3353">
        <v>51</v>
      </c>
    </row>
    <row r="3354" spans="1:10" x14ac:dyDescent="0.35">
      <c r="A3354">
        <v>620213015297</v>
      </c>
      <c r="B3354" t="s">
        <v>3641</v>
      </c>
      <c r="C3354" t="s">
        <v>3642</v>
      </c>
      <c r="D3354" t="s">
        <v>639</v>
      </c>
      <c r="E3354" t="s">
        <v>640</v>
      </c>
      <c r="F3354" t="s">
        <v>641</v>
      </c>
      <c r="G3354" t="s">
        <v>16</v>
      </c>
      <c r="H3354" t="s">
        <v>4574</v>
      </c>
      <c r="J3354">
        <v>4</v>
      </c>
    </row>
    <row r="3355" spans="1:10" x14ac:dyDescent="0.35">
      <c r="A3355">
        <v>620213015457</v>
      </c>
      <c r="B3355" t="s">
        <v>3641</v>
      </c>
      <c r="C3355" t="s">
        <v>610</v>
      </c>
      <c r="D3355" t="s">
        <v>639</v>
      </c>
      <c r="E3355" t="s">
        <v>640</v>
      </c>
      <c r="F3355" t="s">
        <v>641</v>
      </c>
      <c r="G3355" t="s">
        <v>16</v>
      </c>
      <c r="H3355" t="s">
        <v>4574</v>
      </c>
      <c r="J3355">
        <v>10</v>
      </c>
    </row>
    <row r="3356" spans="1:10" x14ac:dyDescent="0.35">
      <c r="A3356">
        <v>620213015600</v>
      </c>
      <c r="B3356" t="s">
        <v>3641</v>
      </c>
      <c r="C3356" t="s">
        <v>3624</v>
      </c>
      <c r="D3356" t="s">
        <v>639</v>
      </c>
      <c r="E3356" t="s">
        <v>640</v>
      </c>
      <c r="F3356" t="s">
        <v>641</v>
      </c>
      <c r="G3356" t="s">
        <v>16</v>
      </c>
      <c r="H3356" t="s">
        <v>4574</v>
      </c>
      <c r="J3356">
        <v>3</v>
      </c>
    </row>
    <row r="3357" spans="1:10" x14ac:dyDescent="0.35">
      <c r="A3357">
        <v>620213250100</v>
      </c>
      <c r="B3357" t="s">
        <v>13</v>
      </c>
      <c r="C3357" t="s">
        <v>603</v>
      </c>
      <c r="D3357" t="s">
        <v>3643</v>
      </c>
      <c r="E3357" t="s">
        <v>640</v>
      </c>
      <c r="F3357" t="s">
        <v>641</v>
      </c>
      <c r="G3357" t="s">
        <v>16</v>
      </c>
      <c r="H3357" t="s">
        <v>4574</v>
      </c>
      <c r="J3357">
        <v>3</v>
      </c>
    </row>
    <row r="3358" spans="1:10" x14ac:dyDescent="0.35">
      <c r="A3358">
        <v>6203000036275</v>
      </c>
      <c r="B3358" t="s">
        <v>3644</v>
      </c>
      <c r="C3358" t="s">
        <v>272</v>
      </c>
      <c r="D3358" t="s">
        <v>3645</v>
      </c>
      <c r="E3358" t="s">
        <v>61</v>
      </c>
      <c r="F3358" t="s">
        <v>3646</v>
      </c>
      <c r="G3358" t="s">
        <v>61</v>
      </c>
      <c r="H3358" t="s">
        <v>4975</v>
      </c>
      <c r="J3358">
        <v>104</v>
      </c>
    </row>
    <row r="3359" spans="1:10" x14ac:dyDescent="0.35">
      <c r="A3359">
        <v>6203000080018</v>
      </c>
      <c r="B3359" t="s">
        <v>544</v>
      </c>
      <c r="C3359" t="s">
        <v>9</v>
      </c>
      <c r="D3359" t="s">
        <v>2717</v>
      </c>
      <c r="E3359" t="s">
        <v>61</v>
      </c>
      <c r="F3359" t="s">
        <v>2718</v>
      </c>
      <c r="G3359" t="s">
        <v>61</v>
      </c>
      <c r="H3359" t="s">
        <v>4834</v>
      </c>
      <c r="J3359">
        <v>56</v>
      </c>
    </row>
    <row r="3360" spans="1:10" x14ac:dyDescent="0.35">
      <c r="A3360">
        <v>6203000080032</v>
      </c>
      <c r="B3360" t="s">
        <v>262</v>
      </c>
      <c r="C3360" t="s">
        <v>192</v>
      </c>
      <c r="D3360" t="s">
        <v>2717</v>
      </c>
      <c r="E3360" t="s">
        <v>61</v>
      </c>
      <c r="F3360" t="s">
        <v>2718</v>
      </c>
      <c r="G3360" t="s">
        <v>150</v>
      </c>
      <c r="H3360" t="s">
        <v>4834</v>
      </c>
      <c r="J3360">
        <v>14</v>
      </c>
    </row>
    <row r="3361" spans="1:10" x14ac:dyDescent="0.35">
      <c r="A3361">
        <v>6203000080032</v>
      </c>
      <c r="B3361" t="s">
        <v>262</v>
      </c>
      <c r="C3361" t="s">
        <v>192</v>
      </c>
      <c r="D3361" t="s">
        <v>2717</v>
      </c>
      <c r="E3361" t="s">
        <v>61</v>
      </c>
      <c r="F3361" t="s">
        <v>2718</v>
      </c>
      <c r="G3361" t="s">
        <v>61</v>
      </c>
      <c r="H3361" t="s">
        <v>4834</v>
      </c>
      <c r="J3361">
        <v>49</v>
      </c>
    </row>
    <row r="3362" spans="1:10" x14ac:dyDescent="0.35">
      <c r="A3362">
        <v>6203000080124</v>
      </c>
      <c r="B3362" t="s">
        <v>509</v>
      </c>
      <c r="C3362" t="s">
        <v>38</v>
      </c>
      <c r="D3362" t="s">
        <v>2717</v>
      </c>
      <c r="E3362" t="s">
        <v>61</v>
      </c>
      <c r="F3362" t="s">
        <v>2718</v>
      </c>
      <c r="G3362" t="s">
        <v>61</v>
      </c>
      <c r="H3362" t="s">
        <v>4834</v>
      </c>
      <c r="J3362">
        <v>10</v>
      </c>
    </row>
    <row r="3363" spans="1:10" x14ac:dyDescent="0.35">
      <c r="A3363">
        <v>6203000080148</v>
      </c>
      <c r="B3363" t="s">
        <v>3647</v>
      </c>
      <c r="C3363" t="s">
        <v>909</v>
      </c>
      <c r="D3363" t="s">
        <v>2717</v>
      </c>
      <c r="E3363" t="s">
        <v>61</v>
      </c>
      <c r="F3363" t="s">
        <v>2718</v>
      </c>
      <c r="G3363" t="s">
        <v>61</v>
      </c>
      <c r="H3363" t="s">
        <v>4834</v>
      </c>
      <c r="J3363">
        <v>1</v>
      </c>
    </row>
    <row r="3364" spans="1:10" x14ac:dyDescent="0.35">
      <c r="A3364">
        <v>6203000080186</v>
      </c>
      <c r="B3364" t="s">
        <v>3648</v>
      </c>
      <c r="C3364" t="s">
        <v>38</v>
      </c>
      <c r="D3364" t="s">
        <v>2717</v>
      </c>
      <c r="E3364" t="s">
        <v>61</v>
      </c>
      <c r="F3364" t="s">
        <v>2718</v>
      </c>
      <c r="G3364" t="s">
        <v>61</v>
      </c>
      <c r="H3364" t="s">
        <v>4834</v>
      </c>
      <c r="J3364">
        <v>39</v>
      </c>
    </row>
    <row r="3365" spans="1:10" x14ac:dyDescent="0.35">
      <c r="A3365">
        <v>6203000080414</v>
      </c>
      <c r="B3365" t="s">
        <v>3649</v>
      </c>
      <c r="C3365" t="s">
        <v>38</v>
      </c>
      <c r="D3365" t="s">
        <v>2717</v>
      </c>
      <c r="E3365" t="s">
        <v>61</v>
      </c>
      <c r="F3365" t="s">
        <v>2718</v>
      </c>
      <c r="G3365" t="s">
        <v>61</v>
      </c>
      <c r="H3365" t="s">
        <v>4834</v>
      </c>
      <c r="J3365">
        <v>11</v>
      </c>
    </row>
    <row r="3366" spans="1:10" x14ac:dyDescent="0.35">
      <c r="A3366">
        <v>6203000080759</v>
      </c>
      <c r="B3366" t="s">
        <v>3650</v>
      </c>
      <c r="C3366" t="s">
        <v>38</v>
      </c>
      <c r="D3366" t="s">
        <v>2717</v>
      </c>
      <c r="E3366" t="s">
        <v>61</v>
      </c>
      <c r="F3366" t="s">
        <v>2718</v>
      </c>
      <c r="G3366" t="s">
        <v>61</v>
      </c>
      <c r="H3366" t="s">
        <v>4834</v>
      </c>
      <c r="J3366">
        <v>20</v>
      </c>
    </row>
    <row r="3367" spans="1:10" x14ac:dyDescent="0.35">
      <c r="A3367">
        <v>6203001380087</v>
      </c>
      <c r="B3367" t="s">
        <v>3651</v>
      </c>
      <c r="C3367" t="s">
        <v>458</v>
      </c>
      <c r="D3367" t="s">
        <v>3652</v>
      </c>
      <c r="E3367" t="s">
        <v>61</v>
      </c>
      <c r="F3367" t="s">
        <v>3653</v>
      </c>
      <c r="G3367" t="s">
        <v>61</v>
      </c>
      <c r="H3367" t="s">
        <v>4976</v>
      </c>
      <c r="J3367">
        <v>7</v>
      </c>
    </row>
    <row r="3368" spans="1:10" x14ac:dyDescent="0.35">
      <c r="A3368">
        <v>6203001630007</v>
      </c>
      <c r="B3368" t="s">
        <v>3654</v>
      </c>
      <c r="C3368" t="s">
        <v>3655</v>
      </c>
      <c r="D3368" t="s">
        <v>1238</v>
      </c>
      <c r="E3368" t="s">
        <v>61</v>
      </c>
      <c r="F3368" t="s">
        <v>1239</v>
      </c>
      <c r="G3368" t="s">
        <v>61</v>
      </c>
      <c r="H3368" t="s">
        <v>4671</v>
      </c>
      <c r="J3368">
        <v>2</v>
      </c>
    </row>
    <row r="3369" spans="1:10" x14ac:dyDescent="0.35">
      <c r="A3369">
        <v>6203001630014</v>
      </c>
      <c r="B3369" t="s">
        <v>167</v>
      </c>
      <c r="C3369" t="s">
        <v>2483</v>
      </c>
      <c r="D3369" t="s">
        <v>1238</v>
      </c>
      <c r="E3369" t="s">
        <v>61</v>
      </c>
      <c r="F3369" t="s">
        <v>1239</v>
      </c>
      <c r="G3369" t="s">
        <v>61</v>
      </c>
      <c r="H3369" t="s">
        <v>4671</v>
      </c>
      <c r="J3369">
        <v>4</v>
      </c>
    </row>
    <row r="3370" spans="1:10" x14ac:dyDescent="0.35">
      <c r="A3370">
        <v>6203001630045</v>
      </c>
      <c r="B3370" t="s">
        <v>887</v>
      </c>
      <c r="C3370" t="s">
        <v>3656</v>
      </c>
      <c r="D3370" t="s">
        <v>1238</v>
      </c>
      <c r="E3370" t="s">
        <v>61</v>
      </c>
      <c r="F3370" t="s">
        <v>1239</v>
      </c>
      <c r="G3370" t="s">
        <v>61</v>
      </c>
      <c r="H3370" t="s">
        <v>4671</v>
      </c>
      <c r="J3370">
        <v>19</v>
      </c>
    </row>
    <row r="3371" spans="1:10" x14ac:dyDescent="0.35">
      <c r="A3371">
        <v>6203001630045</v>
      </c>
      <c r="B3371" t="s">
        <v>887</v>
      </c>
      <c r="C3371" t="s">
        <v>3656</v>
      </c>
      <c r="D3371" t="s">
        <v>1238</v>
      </c>
      <c r="E3371" t="s">
        <v>61</v>
      </c>
      <c r="F3371" t="s">
        <v>1239</v>
      </c>
      <c r="G3371" t="s">
        <v>31</v>
      </c>
      <c r="H3371" t="s">
        <v>4671</v>
      </c>
      <c r="J3371">
        <v>1</v>
      </c>
    </row>
    <row r="3372" spans="1:10" x14ac:dyDescent="0.35">
      <c r="A3372">
        <v>6203001630052</v>
      </c>
      <c r="B3372" t="s">
        <v>3657</v>
      </c>
      <c r="C3372" t="s">
        <v>2244</v>
      </c>
      <c r="D3372" t="s">
        <v>1238</v>
      </c>
      <c r="E3372" t="s">
        <v>61</v>
      </c>
      <c r="F3372" t="s">
        <v>1239</v>
      </c>
      <c r="G3372" t="s">
        <v>61</v>
      </c>
      <c r="H3372" t="s">
        <v>4671</v>
      </c>
      <c r="J3372">
        <v>60</v>
      </c>
    </row>
    <row r="3373" spans="1:10" x14ac:dyDescent="0.35">
      <c r="A3373">
        <v>6203001630069</v>
      </c>
      <c r="B3373" t="s">
        <v>3658</v>
      </c>
      <c r="C3373" t="s">
        <v>2244</v>
      </c>
      <c r="D3373" t="s">
        <v>1238</v>
      </c>
      <c r="E3373" t="s">
        <v>61</v>
      </c>
      <c r="F3373" t="s">
        <v>1239</v>
      </c>
      <c r="G3373" t="s">
        <v>61</v>
      </c>
      <c r="H3373" t="s">
        <v>4671</v>
      </c>
      <c r="J3373">
        <v>25</v>
      </c>
    </row>
    <row r="3374" spans="1:10" x14ac:dyDescent="0.35">
      <c r="A3374">
        <v>6203001630076</v>
      </c>
      <c r="B3374" t="s">
        <v>3659</v>
      </c>
      <c r="C3374" t="s">
        <v>2483</v>
      </c>
      <c r="D3374" t="s">
        <v>1238</v>
      </c>
      <c r="E3374" t="s">
        <v>61</v>
      </c>
      <c r="F3374" t="s">
        <v>1239</v>
      </c>
      <c r="G3374" t="s">
        <v>61</v>
      </c>
      <c r="H3374" t="s">
        <v>4671</v>
      </c>
      <c r="J3374">
        <v>34</v>
      </c>
    </row>
    <row r="3375" spans="1:10" x14ac:dyDescent="0.35">
      <c r="A3375">
        <v>6203001630083</v>
      </c>
      <c r="B3375" t="s">
        <v>3660</v>
      </c>
      <c r="C3375" t="s">
        <v>2244</v>
      </c>
      <c r="D3375" t="s">
        <v>1238</v>
      </c>
      <c r="E3375" t="s">
        <v>61</v>
      </c>
      <c r="F3375" t="s">
        <v>1239</v>
      </c>
      <c r="G3375" t="s">
        <v>61</v>
      </c>
      <c r="H3375" t="s">
        <v>4671</v>
      </c>
      <c r="J3375">
        <v>79</v>
      </c>
    </row>
    <row r="3376" spans="1:10" x14ac:dyDescent="0.35">
      <c r="A3376">
        <v>6203001630090</v>
      </c>
      <c r="B3376" t="s">
        <v>3661</v>
      </c>
      <c r="C3376" t="s">
        <v>3655</v>
      </c>
      <c r="D3376" t="s">
        <v>1238</v>
      </c>
      <c r="E3376" t="s">
        <v>61</v>
      </c>
      <c r="F3376" t="s">
        <v>1239</v>
      </c>
      <c r="G3376" t="s">
        <v>61</v>
      </c>
      <c r="H3376" t="s">
        <v>4671</v>
      </c>
      <c r="J3376">
        <v>2</v>
      </c>
    </row>
    <row r="3377" spans="1:10" x14ac:dyDescent="0.35">
      <c r="A3377">
        <v>6203001630243</v>
      </c>
      <c r="B3377" t="s">
        <v>1922</v>
      </c>
      <c r="C3377" t="s">
        <v>849</v>
      </c>
      <c r="D3377" t="s">
        <v>1238</v>
      </c>
      <c r="E3377" t="s">
        <v>61</v>
      </c>
      <c r="F3377" t="s">
        <v>1239</v>
      </c>
      <c r="G3377" t="s">
        <v>150</v>
      </c>
      <c r="H3377" t="s">
        <v>4671</v>
      </c>
      <c r="J3377">
        <v>2</v>
      </c>
    </row>
    <row r="3378" spans="1:10" x14ac:dyDescent="0.35">
      <c r="A3378">
        <v>6203001630243</v>
      </c>
      <c r="B3378" t="s">
        <v>1922</v>
      </c>
      <c r="C3378" t="s">
        <v>849</v>
      </c>
      <c r="D3378" t="s">
        <v>1238</v>
      </c>
      <c r="E3378" t="s">
        <v>61</v>
      </c>
      <c r="F3378" t="s">
        <v>1239</v>
      </c>
      <c r="G3378" t="s">
        <v>61</v>
      </c>
      <c r="H3378" t="s">
        <v>4671</v>
      </c>
      <c r="J3378">
        <v>1</v>
      </c>
    </row>
    <row r="3379" spans="1:10" x14ac:dyDescent="0.35">
      <c r="A3379">
        <v>6203001630533</v>
      </c>
      <c r="B3379" t="s">
        <v>3662</v>
      </c>
      <c r="C3379" t="s">
        <v>2483</v>
      </c>
      <c r="D3379" t="s">
        <v>1238</v>
      </c>
      <c r="E3379" t="s">
        <v>61</v>
      </c>
      <c r="F3379" t="s">
        <v>1239</v>
      </c>
      <c r="G3379" t="s">
        <v>61</v>
      </c>
      <c r="H3379" t="s">
        <v>4671</v>
      </c>
      <c r="J3379">
        <v>2</v>
      </c>
    </row>
    <row r="3380" spans="1:10" x14ac:dyDescent="0.35">
      <c r="A3380">
        <v>6203001630632</v>
      </c>
      <c r="B3380" t="s">
        <v>3663</v>
      </c>
      <c r="C3380" t="s">
        <v>603</v>
      </c>
      <c r="D3380" t="s">
        <v>1238</v>
      </c>
      <c r="E3380" t="s">
        <v>61</v>
      </c>
      <c r="F3380" t="s">
        <v>1239</v>
      </c>
      <c r="G3380" t="s">
        <v>61</v>
      </c>
      <c r="H3380" t="s">
        <v>4671</v>
      </c>
      <c r="J3380">
        <v>10</v>
      </c>
    </row>
    <row r="3381" spans="1:10" x14ac:dyDescent="0.35">
      <c r="A3381">
        <v>6203001630649</v>
      </c>
      <c r="B3381" t="s">
        <v>3664</v>
      </c>
      <c r="C3381" t="s">
        <v>603</v>
      </c>
      <c r="D3381" t="s">
        <v>1238</v>
      </c>
      <c r="E3381" t="s">
        <v>61</v>
      </c>
      <c r="F3381" t="s">
        <v>1239</v>
      </c>
      <c r="G3381" t="s">
        <v>61</v>
      </c>
      <c r="H3381" t="s">
        <v>4671</v>
      </c>
      <c r="J3381">
        <v>116</v>
      </c>
    </row>
    <row r="3382" spans="1:10" x14ac:dyDescent="0.35">
      <c r="A3382">
        <v>6203001630656</v>
      </c>
      <c r="B3382" t="s">
        <v>1320</v>
      </c>
      <c r="C3382" t="s">
        <v>603</v>
      </c>
      <c r="D3382" t="s">
        <v>1238</v>
      </c>
      <c r="E3382" t="s">
        <v>61</v>
      </c>
      <c r="F3382" t="s">
        <v>1239</v>
      </c>
      <c r="G3382" t="s">
        <v>61</v>
      </c>
      <c r="H3382" t="s">
        <v>4671</v>
      </c>
      <c r="J3382">
        <v>159</v>
      </c>
    </row>
    <row r="3383" spans="1:10" x14ac:dyDescent="0.35">
      <c r="A3383">
        <v>6203001630731</v>
      </c>
      <c r="B3383" t="s">
        <v>3665</v>
      </c>
      <c r="C3383" t="s">
        <v>38</v>
      </c>
      <c r="D3383" t="s">
        <v>1238</v>
      </c>
      <c r="E3383" t="s">
        <v>61</v>
      </c>
      <c r="F3383" t="s">
        <v>1239</v>
      </c>
      <c r="G3383" t="s">
        <v>61</v>
      </c>
      <c r="H3383" t="s">
        <v>4671</v>
      </c>
      <c r="J3383">
        <v>10</v>
      </c>
    </row>
    <row r="3384" spans="1:10" x14ac:dyDescent="0.35">
      <c r="A3384">
        <v>6203001630854</v>
      </c>
      <c r="B3384" t="s">
        <v>3666</v>
      </c>
      <c r="C3384" t="s">
        <v>603</v>
      </c>
      <c r="D3384" t="s">
        <v>1238</v>
      </c>
      <c r="E3384" t="s">
        <v>61</v>
      </c>
      <c r="F3384" t="s">
        <v>1239</v>
      </c>
      <c r="G3384" t="s">
        <v>61</v>
      </c>
      <c r="H3384" t="s">
        <v>4671</v>
      </c>
      <c r="J3384">
        <v>1</v>
      </c>
    </row>
    <row r="3385" spans="1:10" x14ac:dyDescent="0.35">
      <c r="A3385">
        <v>6203001631066</v>
      </c>
      <c r="B3385" t="s">
        <v>3667</v>
      </c>
      <c r="C3385" t="s">
        <v>2483</v>
      </c>
      <c r="D3385" t="s">
        <v>1238</v>
      </c>
      <c r="E3385" t="s">
        <v>61</v>
      </c>
      <c r="F3385" t="s">
        <v>1239</v>
      </c>
      <c r="G3385" t="s">
        <v>61</v>
      </c>
      <c r="H3385" t="s">
        <v>4671</v>
      </c>
      <c r="J3385">
        <v>14</v>
      </c>
    </row>
    <row r="3386" spans="1:10" x14ac:dyDescent="0.35">
      <c r="A3386">
        <v>6203001631073</v>
      </c>
      <c r="B3386" t="s">
        <v>3668</v>
      </c>
      <c r="C3386" t="s">
        <v>2483</v>
      </c>
      <c r="D3386" t="s">
        <v>1238</v>
      </c>
      <c r="E3386" t="s">
        <v>61</v>
      </c>
      <c r="F3386" t="s">
        <v>1239</v>
      </c>
      <c r="G3386" t="s">
        <v>61</v>
      </c>
      <c r="H3386" t="s">
        <v>4671</v>
      </c>
      <c r="J3386">
        <v>33</v>
      </c>
    </row>
    <row r="3387" spans="1:10" x14ac:dyDescent="0.35">
      <c r="A3387">
        <v>6203001631219</v>
      </c>
      <c r="B3387" t="s">
        <v>3669</v>
      </c>
      <c r="C3387" t="s">
        <v>36</v>
      </c>
      <c r="D3387" t="s">
        <v>1238</v>
      </c>
      <c r="E3387" t="s">
        <v>61</v>
      </c>
      <c r="F3387" t="s">
        <v>1239</v>
      </c>
      <c r="G3387" t="s">
        <v>61</v>
      </c>
      <c r="H3387" t="s">
        <v>4671</v>
      </c>
      <c r="J3387">
        <v>3</v>
      </c>
    </row>
    <row r="3388" spans="1:10" x14ac:dyDescent="0.35">
      <c r="A3388">
        <v>6203003250173</v>
      </c>
      <c r="B3388" t="s">
        <v>1947</v>
      </c>
      <c r="C3388" t="s">
        <v>83</v>
      </c>
      <c r="D3388" t="s">
        <v>366</v>
      </c>
      <c r="E3388" t="s">
        <v>61</v>
      </c>
      <c r="F3388" t="s">
        <v>364</v>
      </c>
      <c r="G3388" t="s">
        <v>61</v>
      </c>
      <c r="H3388" t="s">
        <v>4540</v>
      </c>
      <c r="J3388">
        <v>20</v>
      </c>
    </row>
    <row r="3389" spans="1:10" x14ac:dyDescent="0.35">
      <c r="A3389">
        <v>6203003250180</v>
      </c>
      <c r="B3389" t="s">
        <v>3670</v>
      </c>
      <c r="C3389" t="s">
        <v>83</v>
      </c>
      <c r="D3389" t="s">
        <v>366</v>
      </c>
      <c r="E3389" t="s">
        <v>61</v>
      </c>
      <c r="F3389" t="s">
        <v>364</v>
      </c>
      <c r="G3389" t="s">
        <v>61</v>
      </c>
      <c r="H3389" t="s">
        <v>4540</v>
      </c>
      <c r="I3389">
        <v>22.5</v>
      </c>
      <c r="J3389">
        <v>135</v>
      </c>
    </row>
    <row r="3390" spans="1:10" x14ac:dyDescent="0.35">
      <c r="A3390">
        <v>6203003250180</v>
      </c>
      <c r="B3390" t="s">
        <v>3670</v>
      </c>
      <c r="C3390" t="s">
        <v>83</v>
      </c>
      <c r="D3390" t="s">
        <v>366</v>
      </c>
      <c r="E3390" t="s">
        <v>61</v>
      </c>
      <c r="F3390" t="s">
        <v>364</v>
      </c>
      <c r="G3390" t="s">
        <v>31</v>
      </c>
      <c r="H3390" t="s">
        <v>4540</v>
      </c>
      <c r="I3390">
        <v>22.5</v>
      </c>
      <c r="J3390">
        <v>1</v>
      </c>
    </row>
    <row r="3391" spans="1:10" x14ac:dyDescent="0.35">
      <c r="A3391">
        <v>6203003250203</v>
      </c>
      <c r="B3391" t="s">
        <v>3671</v>
      </c>
      <c r="C3391" t="s">
        <v>83</v>
      </c>
      <c r="D3391" t="s">
        <v>366</v>
      </c>
      <c r="E3391" t="s">
        <v>61</v>
      </c>
      <c r="F3391" t="s">
        <v>364</v>
      </c>
      <c r="G3391" t="s">
        <v>61</v>
      </c>
      <c r="H3391" t="s">
        <v>4540</v>
      </c>
      <c r="J3391">
        <v>20</v>
      </c>
    </row>
    <row r="3392" spans="1:10" x14ac:dyDescent="0.35">
      <c r="A3392">
        <v>6203003250210</v>
      </c>
      <c r="B3392" t="s">
        <v>3672</v>
      </c>
      <c r="C3392" t="s">
        <v>806</v>
      </c>
      <c r="D3392" t="s">
        <v>3673</v>
      </c>
      <c r="E3392" t="s">
        <v>61</v>
      </c>
      <c r="F3392" t="s">
        <v>364</v>
      </c>
      <c r="G3392" t="s">
        <v>61</v>
      </c>
      <c r="H3392" t="s">
        <v>4540</v>
      </c>
      <c r="J3392">
        <v>112</v>
      </c>
    </row>
    <row r="3393" spans="1:10" x14ac:dyDescent="0.35">
      <c r="A3393">
        <v>6203003250234</v>
      </c>
      <c r="B3393" t="s">
        <v>3674</v>
      </c>
      <c r="C3393" t="s">
        <v>83</v>
      </c>
      <c r="D3393" t="s">
        <v>363</v>
      </c>
      <c r="E3393" t="s">
        <v>61</v>
      </c>
      <c r="F3393" t="s">
        <v>364</v>
      </c>
      <c r="G3393" t="s">
        <v>61</v>
      </c>
      <c r="H3393" t="s">
        <v>4540</v>
      </c>
      <c r="J3393">
        <v>43</v>
      </c>
    </row>
    <row r="3394" spans="1:10" x14ac:dyDescent="0.35">
      <c r="A3394">
        <v>6203003250234</v>
      </c>
      <c r="B3394" t="s">
        <v>3674</v>
      </c>
      <c r="C3394" t="s">
        <v>83</v>
      </c>
      <c r="D3394" t="s">
        <v>363</v>
      </c>
      <c r="E3394" t="s">
        <v>61</v>
      </c>
      <c r="F3394" t="s">
        <v>364</v>
      </c>
      <c r="G3394" t="s">
        <v>31</v>
      </c>
      <c r="H3394" t="s">
        <v>4540</v>
      </c>
      <c r="J3394">
        <v>1</v>
      </c>
    </row>
    <row r="3395" spans="1:10" x14ac:dyDescent="0.35">
      <c r="A3395">
        <v>6203003250524</v>
      </c>
      <c r="B3395" t="s">
        <v>3675</v>
      </c>
      <c r="C3395" t="s">
        <v>83</v>
      </c>
      <c r="D3395" t="s">
        <v>366</v>
      </c>
      <c r="E3395" t="s">
        <v>61</v>
      </c>
      <c r="F3395" t="s">
        <v>364</v>
      </c>
      <c r="G3395" t="s">
        <v>61</v>
      </c>
      <c r="H3395" t="s">
        <v>4540</v>
      </c>
      <c r="I3395">
        <v>22.5</v>
      </c>
      <c r="J3395">
        <v>304</v>
      </c>
    </row>
    <row r="3396" spans="1:10" x14ac:dyDescent="0.35">
      <c r="A3396">
        <v>6203003250555</v>
      </c>
      <c r="B3396" t="s">
        <v>3675</v>
      </c>
      <c r="C3396" t="s">
        <v>38</v>
      </c>
      <c r="D3396" t="s">
        <v>366</v>
      </c>
      <c r="E3396" t="s">
        <v>61</v>
      </c>
      <c r="F3396" t="s">
        <v>364</v>
      </c>
      <c r="G3396" t="s">
        <v>61</v>
      </c>
      <c r="H3396" t="s">
        <v>4540</v>
      </c>
      <c r="J3396">
        <v>111</v>
      </c>
    </row>
    <row r="3397" spans="1:10" x14ac:dyDescent="0.35">
      <c r="A3397">
        <v>6203003250630</v>
      </c>
      <c r="B3397" t="s">
        <v>3676</v>
      </c>
      <c r="C3397" t="s">
        <v>38</v>
      </c>
      <c r="D3397" t="s">
        <v>366</v>
      </c>
      <c r="E3397" t="s">
        <v>61</v>
      </c>
      <c r="F3397" t="s">
        <v>364</v>
      </c>
      <c r="G3397" t="s">
        <v>150</v>
      </c>
      <c r="H3397" t="s">
        <v>4540</v>
      </c>
      <c r="J3397">
        <v>4</v>
      </c>
    </row>
    <row r="3398" spans="1:10" x14ac:dyDescent="0.35">
      <c r="A3398">
        <v>6203003250647</v>
      </c>
      <c r="B3398" t="s">
        <v>262</v>
      </c>
      <c r="C3398" t="s">
        <v>1095</v>
      </c>
      <c r="D3398" t="s">
        <v>366</v>
      </c>
      <c r="E3398" t="s">
        <v>61</v>
      </c>
      <c r="F3398" t="s">
        <v>364</v>
      </c>
      <c r="G3398" t="s">
        <v>150</v>
      </c>
      <c r="H3398" t="s">
        <v>4540</v>
      </c>
      <c r="J3398">
        <v>1</v>
      </c>
    </row>
    <row r="3399" spans="1:10" x14ac:dyDescent="0.35">
      <c r="A3399">
        <v>6203003250654</v>
      </c>
      <c r="B3399" t="s">
        <v>3677</v>
      </c>
      <c r="C3399" t="s">
        <v>38</v>
      </c>
      <c r="D3399" t="s">
        <v>363</v>
      </c>
      <c r="E3399" t="s">
        <v>61</v>
      </c>
      <c r="F3399" t="s">
        <v>364</v>
      </c>
      <c r="G3399" t="s">
        <v>61</v>
      </c>
      <c r="H3399" t="s">
        <v>4540</v>
      </c>
      <c r="J3399">
        <v>9</v>
      </c>
    </row>
    <row r="3400" spans="1:10" x14ac:dyDescent="0.35">
      <c r="A3400">
        <v>6203003250661</v>
      </c>
      <c r="B3400" t="s">
        <v>1643</v>
      </c>
      <c r="C3400" t="s">
        <v>83</v>
      </c>
      <c r="D3400" t="s">
        <v>2337</v>
      </c>
      <c r="E3400" t="s">
        <v>11</v>
      </c>
      <c r="F3400" t="s">
        <v>2338</v>
      </c>
      <c r="G3400" t="s">
        <v>61</v>
      </c>
      <c r="H3400" t="s">
        <v>4792</v>
      </c>
      <c r="J3400">
        <v>2</v>
      </c>
    </row>
    <row r="3401" spans="1:10" x14ac:dyDescent="0.35">
      <c r="A3401">
        <v>6203003250807</v>
      </c>
      <c r="B3401" t="s">
        <v>2398</v>
      </c>
      <c r="C3401" t="s">
        <v>253</v>
      </c>
      <c r="D3401" t="s">
        <v>3678</v>
      </c>
      <c r="E3401" t="s">
        <v>308</v>
      </c>
      <c r="F3401" t="s">
        <v>309</v>
      </c>
      <c r="G3401" t="s">
        <v>150</v>
      </c>
      <c r="H3401" t="s">
        <v>4529</v>
      </c>
      <c r="J3401">
        <v>1</v>
      </c>
    </row>
    <row r="3402" spans="1:10" x14ac:dyDescent="0.35">
      <c r="A3402">
        <v>6203003250807</v>
      </c>
      <c r="B3402" t="s">
        <v>2398</v>
      </c>
      <c r="C3402" t="s">
        <v>253</v>
      </c>
      <c r="D3402" t="s">
        <v>3678</v>
      </c>
      <c r="E3402" t="s">
        <v>308</v>
      </c>
      <c r="F3402" t="s">
        <v>309</v>
      </c>
      <c r="G3402" t="s">
        <v>61</v>
      </c>
      <c r="H3402" t="s">
        <v>4529</v>
      </c>
      <c r="J3402">
        <v>1</v>
      </c>
    </row>
    <row r="3403" spans="1:10" x14ac:dyDescent="0.35">
      <c r="A3403">
        <v>6203003250906</v>
      </c>
      <c r="B3403" t="s">
        <v>3679</v>
      </c>
      <c r="C3403" t="s">
        <v>38</v>
      </c>
      <c r="D3403" t="s">
        <v>363</v>
      </c>
      <c r="E3403" t="s">
        <v>61</v>
      </c>
      <c r="F3403" t="s">
        <v>364</v>
      </c>
      <c r="G3403" t="s">
        <v>61</v>
      </c>
      <c r="H3403" t="s">
        <v>4540</v>
      </c>
      <c r="J3403">
        <v>3</v>
      </c>
    </row>
    <row r="3404" spans="1:10" x14ac:dyDescent="0.35">
      <c r="A3404">
        <v>6203003250999</v>
      </c>
      <c r="B3404" t="s">
        <v>3680</v>
      </c>
      <c r="C3404" t="s">
        <v>38</v>
      </c>
      <c r="D3404" t="s">
        <v>3673</v>
      </c>
      <c r="E3404" t="s">
        <v>61</v>
      </c>
      <c r="F3404" t="s">
        <v>364</v>
      </c>
      <c r="G3404" t="s">
        <v>61</v>
      </c>
      <c r="H3404" t="s">
        <v>4540</v>
      </c>
      <c r="J3404">
        <v>13</v>
      </c>
    </row>
    <row r="3405" spans="1:10" x14ac:dyDescent="0.35">
      <c r="A3405">
        <v>6203003251019</v>
      </c>
      <c r="B3405" t="s">
        <v>3681</v>
      </c>
      <c r="C3405" t="s">
        <v>1095</v>
      </c>
      <c r="D3405" t="s">
        <v>366</v>
      </c>
      <c r="E3405" t="s">
        <v>61</v>
      </c>
      <c r="F3405" t="s">
        <v>364</v>
      </c>
      <c r="G3405" t="s">
        <v>150</v>
      </c>
      <c r="H3405" t="s">
        <v>4540</v>
      </c>
      <c r="J3405">
        <v>1</v>
      </c>
    </row>
    <row r="3406" spans="1:10" x14ac:dyDescent="0.35">
      <c r="A3406">
        <v>6203003251019</v>
      </c>
      <c r="B3406" t="s">
        <v>3681</v>
      </c>
      <c r="C3406" t="s">
        <v>1095</v>
      </c>
      <c r="D3406" t="s">
        <v>366</v>
      </c>
      <c r="E3406" t="s">
        <v>61</v>
      </c>
      <c r="F3406" t="s">
        <v>364</v>
      </c>
      <c r="G3406" t="s">
        <v>61</v>
      </c>
      <c r="H3406" t="s">
        <v>4540</v>
      </c>
      <c r="J3406">
        <v>968</v>
      </c>
    </row>
    <row r="3407" spans="1:10" x14ac:dyDescent="0.35">
      <c r="A3407">
        <v>6203003251033</v>
      </c>
      <c r="B3407" t="s">
        <v>3284</v>
      </c>
      <c r="C3407" t="s">
        <v>114</v>
      </c>
      <c r="D3407" t="s">
        <v>366</v>
      </c>
      <c r="E3407" t="s">
        <v>61</v>
      </c>
      <c r="F3407" t="s">
        <v>364</v>
      </c>
      <c r="G3407" t="s">
        <v>61</v>
      </c>
      <c r="H3407" t="s">
        <v>4540</v>
      </c>
      <c r="J3407">
        <v>360</v>
      </c>
    </row>
    <row r="3408" spans="1:10" x14ac:dyDescent="0.35">
      <c r="A3408">
        <v>6203003251118</v>
      </c>
      <c r="B3408" t="s">
        <v>3682</v>
      </c>
      <c r="C3408" t="s">
        <v>38</v>
      </c>
      <c r="D3408" t="s">
        <v>366</v>
      </c>
      <c r="E3408" t="s">
        <v>61</v>
      </c>
      <c r="F3408" t="s">
        <v>364</v>
      </c>
      <c r="G3408" t="s">
        <v>61</v>
      </c>
      <c r="H3408" t="s">
        <v>4540</v>
      </c>
      <c r="J3408">
        <v>60</v>
      </c>
    </row>
    <row r="3409" spans="1:10" x14ac:dyDescent="0.35">
      <c r="A3409">
        <v>6203003251224</v>
      </c>
      <c r="B3409" t="s">
        <v>3683</v>
      </c>
      <c r="C3409" t="s">
        <v>38</v>
      </c>
      <c r="D3409" t="s">
        <v>366</v>
      </c>
      <c r="E3409" t="s">
        <v>61</v>
      </c>
      <c r="F3409" t="s">
        <v>364</v>
      </c>
      <c r="G3409" t="s">
        <v>61</v>
      </c>
      <c r="H3409" t="s">
        <v>4540</v>
      </c>
      <c r="J3409">
        <v>87</v>
      </c>
    </row>
    <row r="3410" spans="1:10" x14ac:dyDescent="0.35">
      <c r="A3410">
        <v>6203003260004</v>
      </c>
      <c r="B3410" t="s">
        <v>1839</v>
      </c>
      <c r="C3410" t="s">
        <v>472</v>
      </c>
      <c r="D3410" t="s">
        <v>366</v>
      </c>
      <c r="E3410" t="s">
        <v>61</v>
      </c>
      <c r="F3410" t="s">
        <v>364</v>
      </c>
      <c r="G3410" t="s">
        <v>61</v>
      </c>
      <c r="H3410" t="s">
        <v>4540</v>
      </c>
      <c r="J3410">
        <v>274</v>
      </c>
    </row>
    <row r="3411" spans="1:10" x14ac:dyDescent="0.35">
      <c r="A3411">
        <v>6203003260011</v>
      </c>
      <c r="B3411" t="s">
        <v>262</v>
      </c>
      <c r="C3411" t="s">
        <v>9</v>
      </c>
      <c r="D3411" t="s">
        <v>366</v>
      </c>
      <c r="E3411" t="s">
        <v>61</v>
      </c>
      <c r="F3411" t="s">
        <v>364</v>
      </c>
      <c r="G3411" t="s">
        <v>61</v>
      </c>
      <c r="H3411" t="s">
        <v>4540</v>
      </c>
      <c r="J3411">
        <v>95</v>
      </c>
    </row>
    <row r="3412" spans="1:10" x14ac:dyDescent="0.35">
      <c r="A3412">
        <v>6203003260028</v>
      </c>
      <c r="B3412" t="s">
        <v>262</v>
      </c>
      <c r="C3412" t="s">
        <v>825</v>
      </c>
      <c r="D3412" t="s">
        <v>366</v>
      </c>
      <c r="E3412" t="s">
        <v>61</v>
      </c>
      <c r="F3412" t="s">
        <v>364</v>
      </c>
      <c r="G3412" t="s">
        <v>61</v>
      </c>
      <c r="H3412" t="s">
        <v>4540</v>
      </c>
      <c r="I3412">
        <v>40</v>
      </c>
      <c r="J3412">
        <v>278</v>
      </c>
    </row>
    <row r="3413" spans="1:10" x14ac:dyDescent="0.35">
      <c r="A3413">
        <v>6203003260110</v>
      </c>
      <c r="B3413" t="s">
        <v>485</v>
      </c>
      <c r="C3413" t="s">
        <v>801</v>
      </c>
      <c r="D3413" t="s">
        <v>366</v>
      </c>
      <c r="E3413" t="s">
        <v>61</v>
      </c>
      <c r="F3413" t="s">
        <v>364</v>
      </c>
      <c r="G3413" t="s">
        <v>61</v>
      </c>
      <c r="H3413" t="s">
        <v>4540</v>
      </c>
      <c r="I3413">
        <v>25</v>
      </c>
      <c r="J3413">
        <v>612</v>
      </c>
    </row>
    <row r="3414" spans="1:10" x14ac:dyDescent="0.35">
      <c r="A3414">
        <v>6203003260141</v>
      </c>
      <c r="B3414" t="s">
        <v>262</v>
      </c>
      <c r="C3414" t="s">
        <v>1068</v>
      </c>
      <c r="D3414" t="s">
        <v>366</v>
      </c>
      <c r="E3414" t="s">
        <v>61</v>
      </c>
      <c r="F3414" t="s">
        <v>364</v>
      </c>
      <c r="G3414" t="s">
        <v>61</v>
      </c>
      <c r="H3414" t="s">
        <v>4540</v>
      </c>
      <c r="J3414">
        <v>7</v>
      </c>
    </row>
    <row r="3415" spans="1:10" x14ac:dyDescent="0.35">
      <c r="A3415">
        <v>6203003260233</v>
      </c>
      <c r="B3415" t="s">
        <v>3684</v>
      </c>
      <c r="C3415" t="s">
        <v>9</v>
      </c>
      <c r="D3415" t="s">
        <v>3685</v>
      </c>
      <c r="E3415" t="s">
        <v>61</v>
      </c>
      <c r="F3415" t="s">
        <v>364</v>
      </c>
      <c r="G3415" t="s">
        <v>61</v>
      </c>
      <c r="H3415" t="s">
        <v>4540</v>
      </c>
      <c r="J3415">
        <v>50</v>
      </c>
    </row>
    <row r="3416" spans="1:10" x14ac:dyDescent="0.35">
      <c r="A3416">
        <v>6203003310679</v>
      </c>
      <c r="B3416" t="s">
        <v>2282</v>
      </c>
      <c r="C3416" t="s">
        <v>3686</v>
      </c>
      <c r="D3416" t="s">
        <v>3687</v>
      </c>
      <c r="E3416" t="s">
        <v>308</v>
      </c>
      <c r="F3416" t="s">
        <v>309</v>
      </c>
      <c r="G3416" t="s">
        <v>61</v>
      </c>
      <c r="H3416" t="s">
        <v>4529</v>
      </c>
      <c r="J3416">
        <v>1</v>
      </c>
    </row>
    <row r="3417" spans="1:10" x14ac:dyDescent="0.35">
      <c r="A3417">
        <v>6203003350088</v>
      </c>
      <c r="B3417" t="s">
        <v>3688</v>
      </c>
      <c r="C3417" t="s">
        <v>38</v>
      </c>
      <c r="D3417" t="s">
        <v>1169</v>
      </c>
      <c r="E3417" t="s">
        <v>61</v>
      </c>
      <c r="F3417" t="s">
        <v>1170</v>
      </c>
      <c r="G3417" t="s">
        <v>150</v>
      </c>
      <c r="H3417" t="s">
        <v>4660</v>
      </c>
      <c r="J3417">
        <v>1250</v>
      </c>
    </row>
    <row r="3418" spans="1:10" x14ac:dyDescent="0.35">
      <c r="A3418">
        <v>6203003350125</v>
      </c>
      <c r="B3418" t="s">
        <v>1862</v>
      </c>
      <c r="C3418" t="s">
        <v>472</v>
      </c>
      <c r="D3418" t="s">
        <v>1169</v>
      </c>
      <c r="E3418" t="s">
        <v>61</v>
      </c>
      <c r="F3418" t="s">
        <v>1170</v>
      </c>
      <c r="G3418" t="s">
        <v>150</v>
      </c>
      <c r="H3418" t="s">
        <v>4660</v>
      </c>
      <c r="J3418">
        <v>258</v>
      </c>
    </row>
    <row r="3419" spans="1:10" x14ac:dyDescent="0.35">
      <c r="A3419">
        <v>6203003350132</v>
      </c>
      <c r="B3419" t="s">
        <v>3689</v>
      </c>
      <c r="C3419" t="s">
        <v>83</v>
      </c>
      <c r="D3419" t="s">
        <v>1169</v>
      </c>
      <c r="E3419" t="s">
        <v>61</v>
      </c>
      <c r="F3419" t="s">
        <v>1170</v>
      </c>
      <c r="G3419" t="s">
        <v>150</v>
      </c>
      <c r="H3419" t="s">
        <v>4660</v>
      </c>
      <c r="J3419">
        <v>3</v>
      </c>
    </row>
    <row r="3420" spans="1:10" x14ac:dyDescent="0.35">
      <c r="A3420">
        <v>6203003350132</v>
      </c>
      <c r="B3420" t="s">
        <v>3689</v>
      </c>
      <c r="C3420" t="s">
        <v>83</v>
      </c>
      <c r="D3420" t="s">
        <v>1169</v>
      </c>
      <c r="E3420" t="s">
        <v>61</v>
      </c>
      <c r="F3420" t="s">
        <v>1170</v>
      </c>
      <c r="G3420" t="s">
        <v>61</v>
      </c>
      <c r="H3420" t="s">
        <v>4660</v>
      </c>
      <c r="J3420">
        <v>4</v>
      </c>
    </row>
    <row r="3421" spans="1:10" x14ac:dyDescent="0.35">
      <c r="A3421">
        <v>6203003350187</v>
      </c>
      <c r="B3421" t="s">
        <v>2336</v>
      </c>
      <c r="C3421" t="s">
        <v>909</v>
      </c>
      <c r="D3421" t="s">
        <v>1169</v>
      </c>
      <c r="E3421" t="s">
        <v>61</v>
      </c>
      <c r="F3421" t="s">
        <v>1170</v>
      </c>
      <c r="G3421" t="s">
        <v>34</v>
      </c>
      <c r="H3421" t="s">
        <v>4660</v>
      </c>
      <c r="J3421">
        <v>2</v>
      </c>
    </row>
    <row r="3422" spans="1:10" x14ac:dyDescent="0.35">
      <c r="A3422">
        <v>6203003350187</v>
      </c>
      <c r="B3422" t="s">
        <v>2336</v>
      </c>
      <c r="C3422" t="s">
        <v>909</v>
      </c>
      <c r="D3422" t="s">
        <v>1169</v>
      </c>
      <c r="E3422" t="s">
        <v>61</v>
      </c>
      <c r="F3422" t="s">
        <v>1170</v>
      </c>
      <c r="G3422" t="s">
        <v>150</v>
      </c>
      <c r="H3422" t="s">
        <v>4660</v>
      </c>
      <c r="J3422">
        <v>1</v>
      </c>
    </row>
    <row r="3423" spans="1:10" x14ac:dyDescent="0.35">
      <c r="A3423">
        <v>6203003350187</v>
      </c>
      <c r="B3423" t="s">
        <v>2336</v>
      </c>
      <c r="C3423" t="s">
        <v>909</v>
      </c>
      <c r="D3423" t="s">
        <v>1169</v>
      </c>
      <c r="E3423" t="s">
        <v>61</v>
      </c>
      <c r="F3423" t="s">
        <v>1170</v>
      </c>
      <c r="G3423" t="s">
        <v>61</v>
      </c>
      <c r="H3423" t="s">
        <v>4660</v>
      </c>
      <c r="J3423">
        <v>353</v>
      </c>
    </row>
    <row r="3424" spans="1:10" x14ac:dyDescent="0.35">
      <c r="A3424">
        <v>6203003350255</v>
      </c>
      <c r="B3424" t="s">
        <v>262</v>
      </c>
      <c r="C3424" t="s">
        <v>9</v>
      </c>
      <c r="D3424" t="s">
        <v>2528</v>
      </c>
      <c r="E3424" t="s">
        <v>34</v>
      </c>
      <c r="F3424" t="s">
        <v>2529</v>
      </c>
      <c r="G3424" t="s">
        <v>61</v>
      </c>
      <c r="H3424" t="s">
        <v>4809</v>
      </c>
      <c r="J3424">
        <v>21</v>
      </c>
    </row>
    <row r="3425" spans="1:10" x14ac:dyDescent="0.35">
      <c r="A3425">
        <v>6203003350279</v>
      </c>
      <c r="B3425" t="s">
        <v>3690</v>
      </c>
      <c r="C3425" t="s">
        <v>81</v>
      </c>
      <c r="D3425" t="s">
        <v>3691</v>
      </c>
      <c r="E3425" t="s">
        <v>61</v>
      </c>
      <c r="F3425" t="s">
        <v>1170</v>
      </c>
      <c r="G3425" t="s">
        <v>61</v>
      </c>
      <c r="H3425" t="s">
        <v>4660</v>
      </c>
      <c r="J3425">
        <v>11</v>
      </c>
    </row>
    <row r="3426" spans="1:10" x14ac:dyDescent="0.35">
      <c r="A3426">
        <v>6203003350279</v>
      </c>
      <c r="B3426" t="s">
        <v>3690</v>
      </c>
      <c r="C3426" t="s">
        <v>81</v>
      </c>
      <c r="D3426" t="s">
        <v>3691</v>
      </c>
      <c r="E3426" t="s">
        <v>61</v>
      </c>
      <c r="F3426" t="s">
        <v>1170</v>
      </c>
      <c r="G3426" t="s">
        <v>31</v>
      </c>
      <c r="H3426" t="s">
        <v>4660</v>
      </c>
      <c r="J3426">
        <v>1</v>
      </c>
    </row>
    <row r="3427" spans="1:10" x14ac:dyDescent="0.35">
      <c r="A3427">
        <v>6203003350545</v>
      </c>
      <c r="B3427" t="s">
        <v>2163</v>
      </c>
      <c r="C3427" t="s">
        <v>806</v>
      </c>
      <c r="D3427" t="s">
        <v>1169</v>
      </c>
      <c r="E3427" t="s">
        <v>61</v>
      </c>
      <c r="F3427" t="s">
        <v>1170</v>
      </c>
      <c r="G3427" t="s">
        <v>61</v>
      </c>
      <c r="H3427" t="s">
        <v>4660</v>
      </c>
      <c r="J3427">
        <v>138</v>
      </c>
    </row>
    <row r="3428" spans="1:10" x14ac:dyDescent="0.35">
      <c r="A3428">
        <v>6203003350552</v>
      </c>
      <c r="B3428" t="s">
        <v>3692</v>
      </c>
      <c r="C3428" t="s">
        <v>83</v>
      </c>
      <c r="D3428" t="s">
        <v>3693</v>
      </c>
      <c r="E3428" t="s">
        <v>61</v>
      </c>
      <c r="F3428" t="s">
        <v>1170</v>
      </c>
      <c r="G3428" t="s">
        <v>61</v>
      </c>
      <c r="H3428" t="s">
        <v>4660</v>
      </c>
      <c r="J3428">
        <v>176</v>
      </c>
    </row>
    <row r="3429" spans="1:10" x14ac:dyDescent="0.35">
      <c r="A3429">
        <v>6203003350620</v>
      </c>
      <c r="B3429" t="s">
        <v>3694</v>
      </c>
      <c r="C3429" t="s">
        <v>83</v>
      </c>
      <c r="D3429" t="s">
        <v>3693</v>
      </c>
      <c r="E3429" t="s">
        <v>61</v>
      </c>
      <c r="F3429" t="s">
        <v>1170</v>
      </c>
      <c r="G3429" t="s">
        <v>61</v>
      </c>
      <c r="H3429" t="s">
        <v>4660</v>
      </c>
      <c r="J3429">
        <v>72</v>
      </c>
    </row>
    <row r="3430" spans="1:10" x14ac:dyDescent="0.35">
      <c r="A3430">
        <v>6203003350651</v>
      </c>
      <c r="B3430" t="s">
        <v>3695</v>
      </c>
      <c r="C3430" t="s">
        <v>806</v>
      </c>
      <c r="D3430" t="s">
        <v>3693</v>
      </c>
      <c r="E3430" t="s">
        <v>61</v>
      </c>
      <c r="F3430" t="s">
        <v>1170</v>
      </c>
      <c r="G3430" t="s">
        <v>61</v>
      </c>
      <c r="H3430" t="s">
        <v>4660</v>
      </c>
      <c r="J3430">
        <v>104</v>
      </c>
    </row>
    <row r="3431" spans="1:10" x14ac:dyDescent="0.35">
      <c r="A3431">
        <v>6203003350712</v>
      </c>
      <c r="B3431" t="s">
        <v>3696</v>
      </c>
      <c r="C3431" t="s">
        <v>38</v>
      </c>
      <c r="D3431" t="s">
        <v>1169</v>
      </c>
      <c r="E3431" t="s">
        <v>61</v>
      </c>
      <c r="F3431" t="s">
        <v>1170</v>
      </c>
      <c r="G3431" t="s">
        <v>61</v>
      </c>
      <c r="H3431" t="s">
        <v>4660</v>
      </c>
      <c r="I3431">
        <v>26</v>
      </c>
      <c r="J3431">
        <v>164</v>
      </c>
    </row>
    <row r="3432" spans="1:10" x14ac:dyDescent="0.35">
      <c r="A3432">
        <v>6203003350743</v>
      </c>
      <c r="B3432" t="s">
        <v>3697</v>
      </c>
      <c r="C3432" t="s">
        <v>909</v>
      </c>
      <c r="D3432" t="s">
        <v>1169</v>
      </c>
      <c r="E3432" t="s">
        <v>61</v>
      </c>
      <c r="F3432" t="s">
        <v>1170</v>
      </c>
      <c r="G3432" t="s">
        <v>61</v>
      </c>
      <c r="H3432" t="s">
        <v>4660</v>
      </c>
      <c r="J3432">
        <v>10</v>
      </c>
    </row>
    <row r="3433" spans="1:10" x14ac:dyDescent="0.35">
      <c r="A3433">
        <v>6203003350798</v>
      </c>
      <c r="B3433" t="s">
        <v>3698</v>
      </c>
      <c r="C3433" t="s">
        <v>472</v>
      </c>
      <c r="D3433" t="s">
        <v>1169</v>
      </c>
      <c r="E3433" t="s">
        <v>61</v>
      </c>
      <c r="F3433" t="s">
        <v>1170</v>
      </c>
      <c r="G3433" t="s">
        <v>150</v>
      </c>
      <c r="H3433" t="s">
        <v>4660</v>
      </c>
      <c r="J3433">
        <v>84</v>
      </c>
    </row>
    <row r="3434" spans="1:10" x14ac:dyDescent="0.35">
      <c r="A3434">
        <v>6203003350842</v>
      </c>
      <c r="B3434" t="s">
        <v>1862</v>
      </c>
      <c r="C3434" t="s">
        <v>472</v>
      </c>
      <c r="D3434" t="s">
        <v>3699</v>
      </c>
      <c r="E3434" t="s">
        <v>308</v>
      </c>
      <c r="F3434" t="s">
        <v>309</v>
      </c>
      <c r="G3434" t="s">
        <v>150</v>
      </c>
      <c r="H3434" t="s">
        <v>4529</v>
      </c>
      <c r="J3434">
        <v>11</v>
      </c>
    </row>
    <row r="3435" spans="1:10" x14ac:dyDescent="0.35">
      <c r="A3435">
        <v>6203003350859</v>
      </c>
      <c r="B3435" t="s">
        <v>3700</v>
      </c>
      <c r="C3435" t="s">
        <v>83</v>
      </c>
      <c r="D3435" t="s">
        <v>3693</v>
      </c>
      <c r="E3435" t="s">
        <v>61</v>
      </c>
      <c r="F3435" t="s">
        <v>1170</v>
      </c>
      <c r="G3435" t="s">
        <v>150</v>
      </c>
      <c r="H3435" t="s">
        <v>4660</v>
      </c>
      <c r="J3435">
        <v>25</v>
      </c>
    </row>
    <row r="3436" spans="1:10" x14ac:dyDescent="0.35">
      <c r="A3436">
        <v>6203003350859</v>
      </c>
      <c r="B3436" t="s">
        <v>3700</v>
      </c>
      <c r="C3436" t="s">
        <v>83</v>
      </c>
      <c r="D3436" t="s">
        <v>3693</v>
      </c>
      <c r="E3436" t="s">
        <v>61</v>
      </c>
      <c r="F3436" t="s">
        <v>1170</v>
      </c>
      <c r="G3436" t="s">
        <v>61</v>
      </c>
      <c r="H3436" t="s">
        <v>4660</v>
      </c>
      <c r="J3436">
        <v>34</v>
      </c>
    </row>
    <row r="3437" spans="1:10" x14ac:dyDescent="0.35">
      <c r="A3437">
        <v>6203003350873</v>
      </c>
      <c r="B3437" t="s">
        <v>3701</v>
      </c>
      <c r="C3437" t="s">
        <v>83</v>
      </c>
      <c r="D3437" t="s">
        <v>3693</v>
      </c>
      <c r="E3437" t="s">
        <v>61</v>
      </c>
      <c r="F3437" t="s">
        <v>1170</v>
      </c>
      <c r="G3437" t="s">
        <v>61</v>
      </c>
      <c r="H3437" t="s">
        <v>4660</v>
      </c>
      <c r="J3437">
        <v>54</v>
      </c>
    </row>
    <row r="3438" spans="1:10" x14ac:dyDescent="0.35">
      <c r="A3438">
        <v>6203003460497</v>
      </c>
      <c r="B3438" t="s">
        <v>3702</v>
      </c>
      <c r="C3438" t="s">
        <v>38</v>
      </c>
      <c r="D3438" t="s">
        <v>3585</v>
      </c>
      <c r="E3438" t="s">
        <v>117</v>
      </c>
      <c r="F3438" t="s">
        <v>3586</v>
      </c>
      <c r="G3438" t="s">
        <v>117</v>
      </c>
      <c r="H3438" t="s">
        <v>4966</v>
      </c>
      <c r="J3438">
        <v>100</v>
      </c>
    </row>
    <row r="3439" spans="1:10" x14ac:dyDescent="0.35">
      <c r="A3439">
        <v>6203003460930</v>
      </c>
      <c r="B3439" t="s">
        <v>3703</v>
      </c>
      <c r="C3439" t="s">
        <v>272</v>
      </c>
      <c r="D3439" t="s">
        <v>3704</v>
      </c>
      <c r="E3439" t="s">
        <v>117</v>
      </c>
      <c r="F3439" t="s">
        <v>3705</v>
      </c>
      <c r="G3439" t="s">
        <v>117</v>
      </c>
      <c r="H3439" t="s">
        <v>4977</v>
      </c>
      <c r="J3439">
        <v>8</v>
      </c>
    </row>
    <row r="3440" spans="1:10" x14ac:dyDescent="0.35">
      <c r="A3440">
        <v>6203003460954</v>
      </c>
      <c r="B3440" t="s">
        <v>3706</v>
      </c>
      <c r="C3440" t="s">
        <v>272</v>
      </c>
      <c r="D3440" t="s">
        <v>3704</v>
      </c>
      <c r="E3440" t="s">
        <v>117</v>
      </c>
      <c r="F3440" t="s">
        <v>3705</v>
      </c>
      <c r="G3440" t="s">
        <v>117</v>
      </c>
      <c r="H3440" t="s">
        <v>4977</v>
      </c>
      <c r="J3440">
        <v>3</v>
      </c>
    </row>
    <row r="3441" spans="1:10" x14ac:dyDescent="0.35">
      <c r="A3441">
        <v>6203003857778</v>
      </c>
      <c r="B3441" t="s">
        <v>3707</v>
      </c>
      <c r="C3441" t="s">
        <v>38</v>
      </c>
      <c r="D3441" t="s">
        <v>363</v>
      </c>
      <c r="E3441" t="s">
        <v>61</v>
      </c>
      <c r="F3441" t="s">
        <v>364</v>
      </c>
      <c r="G3441" t="s">
        <v>61</v>
      </c>
      <c r="H3441" t="s">
        <v>4540</v>
      </c>
      <c r="J3441">
        <v>13</v>
      </c>
    </row>
    <row r="3442" spans="1:10" x14ac:dyDescent="0.35">
      <c r="A3442">
        <v>6203004530021</v>
      </c>
      <c r="B3442" t="s">
        <v>3708</v>
      </c>
      <c r="C3442" t="s">
        <v>472</v>
      </c>
      <c r="D3442" t="s">
        <v>3709</v>
      </c>
      <c r="E3442" t="s">
        <v>61</v>
      </c>
      <c r="F3442" t="s">
        <v>3710</v>
      </c>
      <c r="G3442" t="s">
        <v>61</v>
      </c>
      <c r="H3442" t="s">
        <v>4978</v>
      </c>
      <c r="J3442">
        <v>23</v>
      </c>
    </row>
    <row r="3443" spans="1:10" x14ac:dyDescent="0.35">
      <c r="A3443">
        <v>6203004570157</v>
      </c>
      <c r="B3443" t="s">
        <v>3711</v>
      </c>
      <c r="C3443" t="s">
        <v>38</v>
      </c>
      <c r="D3443" t="s">
        <v>3712</v>
      </c>
      <c r="E3443" t="s">
        <v>61</v>
      </c>
      <c r="F3443" t="s">
        <v>3713</v>
      </c>
      <c r="G3443" t="s">
        <v>61</v>
      </c>
      <c r="H3443" t="s">
        <v>4979</v>
      </c>
      <c r="J3443">
        <v>24</v>
      </c>
    </row>
    <row r="3444" spans="1:10" x14ac:dyDescent="0.35">
      <c r="A3444">
        <v>6203004570201</v>
      </c>
      <c r="B3444" t="s">
        <v>3714</v>
      </c>
      <c r="C3444" t="s">
        <v>173</v>
      </c>
      <c r="D3444" t="s">
        <v>3712</v>
      </c>
      <c r="E3444" t="s">
        <v>61</v>
      </c>
      <c r="F3444" t="s">
        <v>3713</v>
      </c>
      <c r="G3444" t="s">
        <v>61</v>
      </c>
      <c r="H3444" t="s">
        <v>4979</v>
      </c>
      <c r="J3444">
        <v>264</v>
      </c>
    </row>
    <row r="3445" spans="1:10" x14ac:dyDescent="0.35">
      <c r="A3445">
        <v>6203004610198</v>
      </c>
      <c r="B3445" t="s">
        <v>3715</v>
      </c>
      <c r="C3445" t="s">
        <v>3716</v>
      </c>
      <c r="D3445" t="s">
        <v>3512</v>
      </c>
      <c r="E3445" t="s">
        <v>61</v>
      </c>
      <c r="F3445" t="s">
        <v>3513</v>
      </c>
      <c r="G3445" t="s">
        <v>61</v>
      </c>
      <c r="H3445" t="s">
        <v>4949</v>
      </c>
      <c r="J3445">
        <v>31</v>
      </c>
    </row>
    <row r="3446" spans="1:10" x14ac:dyDescent="0.35">
      <c r="A3446">
        <v>6203004920006</v>
      </c>
      <c r="B3446" t="s">
        <v>212</v>
      </c>
      <c r="C3446" t="s">
        <v>114</v>
      </c>
      <c r="D3446" t="s">
        <v>3717</v>
      </c>
      <c r="E3446" t="s">
        <v>308</v>
      </c>
      <c r="F3446" t="s">
        <v>309</v>
      </c>
      <c r="G3446" t="s">
        <v>61</v>
      </c>
      <c r="H3446" t="s">
        <v>4529</v>
      </c>
      <c r="J3446">
        <v>22</v>
      </c>
    </row>
    <row r="3447" spans="1:10" x14ac:dyDescent="0.35">
      <c r="A3447">
        <v>6203005350314</v>
      </c>
      <c r="B3447" t="s">
        <v>3718</v>
      </c>
      <c r="C3447" t="s">
        <v>173</v>
      </c>
      <c r="D3447" t="s">
        <v>3719</v>
      </c>
      <c r="E3447" t="s">
        <v>117</v>
      </c>
      <c r="F3447" t="s">
        <v>3597</v>
      </c>
      <c r="G3447" t="s">
        <v>117</v>
      </c>
      <c r="H3447" t="s">
        <v>4968</v>
      </c>
      <c r="J3447">
        <v>4</v>
      </c>
    </row>
    <row r="3448" spans="1:10" x14ac:dyDescent="0.35">
      <c r="A3448">
        <v>6203005350338</v>
      </c>
      <c r="B3448" t="s">
        <v>3720</v>
      </c>
      <c r="C3448" t="s">
        <v>173</v>
      </c>
      <c r="D3448" t="s">
        <v>3719</v>
      </c>
      <c r="E3448" t="s">
        <v>117</v>
      </c>
      <c r="F3448" t="s">
        <v>3597</v>
      </c>
      <c r="G3448" t="s">
        <v>117</v>
      </c>
      <c r="H3448" t="s">
        <v>4968</v>
      </c>
      <c r="J3448">
        <v>3</v>
      </c>
    </row>
    <row r="3449" spans="1:10" x14ac:dyDescent="0.35">
      <c r="A3449">
        <v>6203005350475</v>
      </c>
      <c r="B3449" t="s">
        <v>3721</v>
      </c>
      <c r="C3449" t="s">
        <v>1115</v>
      </c>
      <c r="D3449" t="s">
        <v>3719</v>
      </c>
      <c r="E3449" t="s">
        <v>117</v>
      </c>
      <c r="F3449" t="s">
        <v>3597</v>
      </c>
      <c r="G3449" t="s">
        <v>117</v>
      </c>
      <c r="H3449" t="s">
        <v>4968</v>
      </c>
      <c r="J3449">
        <v>1</v>
      </c>
    </row>
    <row r="3450" spans="1:10" x14ac:dyDescent="0.35">
      <c r="A3450">
        <v>6203005350482</v>
      </c>
      <c r="B3450" t="s">
        <v>3722</v>
      </c>
      <c r="C3450" t="s">
        <v>627</v>
      </c>
      <c r="D3450" t="s">
        <v>3719</v>
      </c>
      <c r="E3450" t="s">
        <v>117</v>
      </c>
      <c r="F3450" t="s">
        <v>3597</v>
      </c>
      <c r="G3450" t="s">
        <v>117</v>
      </c>
      <c r="H3450" t="s">
        <v>4968</v>
      </c>
      <c r="J3450">
        <v>1</v>
      </c>
    </row>
    <row r="3451" spans="1:10" x14ac:dyDescent="0.35">
      <c r="A3451">
        <v>6203005350857</v>
      </c>
      <c r="B3451" t="s">
        <v>3723</v>
      </c>
      <c r="C3451" t="s">
        <v>38</v>
      </c>
      <c r="D3451" t="s">
        <v>3724</v>
      </c>
      <c r="E3451" t="s">
        <v>117</v>
      </c>
      <c r="F3451" t="s">
        <v>3597</v>
      </c>
      <c r="G3451" t="s">
        <v>117</v>
      </c>
      <c r="H3451" t="s">
        <v>4968</v>
      </c>
      <c r="J3451">
        <v>1</v>
      </c>
    </row>
    <row r="3452" spans="1:10" x14ac:dyDescent="0.35">
      <c r="A3452">
        <v>6203005352189</v>
      </c>
      <c r="B3452" t="s">
        <v>3725</v>
      </c>
      <c r="C3452" t="s">
        <v>272</v>
      </c>
      <c r="D3452" t="s">
        <v>3704</v>
      </c>
      <c r="E3452" t="s">
        <v>117</v>
      </c>
      <c r="F3452" t="s">
        <v>3705</v>
      </c>
      <c r="G3452" t="s">
        <v>117</v>
      </c>
      <c r="H3452" t="s">
        <v>4977</v>
      </c>
      <c r="J3452">
        <v>1</v>
      </c>
    </row>
    <row r="3453" spans="1:10" x14ac:dyDescent="0.35">
      <c r="A3453">
        <v>6203005570361</v>
      </c>
      <c r="B3453" t="s">
        <v>3726</v>
      </c>
      <c r="C3453" t="s">
        <v>173</v>
      </c>
      <c r="D3453" t="s">
        <v>3727</v>
      </c>
      <c r="E3453" t="s">
        <v>816</v>
      </c>
      <c r="F3453" t="s">
        <v>817</v>
      </c>
      <c r="G3453" t="s">
        <v>61</v>
      </c>
      <c r="H3453" t="s">
        <v>4598</v>
      </c>
      <c r="J3453">
        <v>31</v>
      </c>
    </row>
    <row r="3454" spans="1:10" x14ac:dyDescent="0.35">
      <c r="A3454">
        <v>6203005570408</v>
      </c>
      <c r="B3454" t="s">
        <v>3727</v>
      </c>
      <c r="C3454" t="s">
        <v>610</v>
      </c>
      <c r="D3454" t="s">
        <v>3727</v>
      </c>
      <c r="E3454" t="s">
        <v>816</v>
      </c>
      <c r="F3454" t="s">
        <v>817</v>
      </c>
      <c r="G3454" t="s">
        <v>61</v>
      </c>
      <c r="H3454" t="s">
        <v>4598</v>
      </c>
      <c r="J3454">
        <v>1</v>
      </c>
    </row>
    <row r="3455" spans="1:10" x14ac:dyDescent="0.35">
      <c r="A3455">
        <v>6203005572112</v>
      </c>
      <c r="B3455" t="s">
        <v>3728</v>
      </c>
      <c r="C3455" t="s">
        <v>36</v>
      </c>
      <c r="D3455" t="s">
        <v>3729</v>
      </c>
      <c r="E3455" t="s">
        <v>308</v>
      </c>
      <c r="F3455" t="s">
        <v>309</v>
      </c>
      <c r="G3455" t="s">
        <v>34</v>
      </c>
      <c r="H3455" t="s">
        <v>4529</v>
      </c>
      <c r="J3455">
        <v>1</v>
      </c>
    </row>
    <row r="3456" spans="1:10" x14ac:dyDescent="0.35">
      <c r="A3456">
        <v>6203005572112</v>
      </c>
      <c r="B3456" t="s">
        <v>3728</v>
      </c>
      <c r="C3456" t="s">
        <v>36</v>
      </c>
      <c r="D3456" t="s">
        <v>3729</v>
      </c>
      <c r="E3456" t="s">
        <v>308</v>
      </c>
      <c r="F3456" t="s">
        <v>309</v>
      </c>
      <c r="G3456" t="s">
        <v>61</v>
      </c>
      <c r="H3456" t="s">
        <v>4529</v>
      </c>
      <c r="J3456">
        <v>7</v>
      </c>
    </row>
    <row r="3457" spans="1:10" x14ac:dyDescent="0.35">
      <c r="A3457">
        <v>6203007290076</v>
      </c>
      <c r="B3457" t="s">
        <v>262</v>
      </c>
      <c r="C3457" t="s">
        <v>81</v>
      </c>
      <c r="D3457" t="s">
        <v>3730</v>
      </c>
      <c r="E3457" t="s">
        <v>61</v>
      </c>
      <c r="F3457" t="s">
        <v>3731</v>
      </c>
      <c r="G3457" t="s">
        <v>61</v>
      </c>
      <c r="H3457" t="s">
        <v>4980</v>
      </c>
      <c r="J3457">
        <v>21</v>
      </c>
    </row>
    <row r="3458" spans="1:10" x14ac:dyDescent="0.35">
      <c r="A3458">
        <v>6203007980106</v>
      </c>
      <c r="B3458" t="s">
        <v>3732</v>
      </c>
      <c r="C3458" t="s">
        <v>36</v>
      </c>
      <c r="D3458" t="s">
        <v>3733</v>
      </c>
      <c r="E3458" t="s">
        <v>61</v>
      </c>
      <c r="F3458" t="s">
        <v>3734</v>
      </c>
      <c r="G3458" t="s">
        <v>61</v>
      </c>
      <c r="H3458" t="s">
        <v>4981</v>
      </c>
      <c r="J3458">
        <v>52</v>
      </c>
    </row>
    <row r="3459" spans="1:10" x14ac:dyDescent="0.35">
      <c r="A3459">
        <v>6203008190498</v>
      </c>
      <c r="B3459" t="s">
        <v>544</v>
      </c>
      <c r="C3459" t="s">
        <v>81</v>
      </c>
      <c r="D3459" t="s">
        <v>3735</v>
      </c>
      <c r="E3459" t="s">
        <v>308</v>
      </c>
      <c r="F3459" t="s">
        <v>309</v>
      </c>
      <c r="G3459" t="s">
        <v>61</v>
      </c>
      <c r="H3459" t="s">
        <v>4529</v>
      </c>
      <c r="J3459">
        <v>21</v>
      </c>
    </row>
    <row r="3460" spans="1:10" x14ac:dyDescent="0.35">
      <c r="A3460">
        <v>6203008190504</v>
      </c>
      <c r="B3460" t="s">
        <v>544</v>
      </c>
      <c r="C3460" t="s">
        <v>9</v>
      </c>
      <c r="D3460" t="s">
        <v>3735</v>
      </c>
      <c r="E3460" t="s">
        <v>308</v>
      </c>
      <c r="F3460" t="s">
        <v>309</v>
      </c>
      <c r="G3460" t="s">
        <v>150</v>
      </c>
      <c r="H3460" t="s">
        <v>4529</v>
      </c>
      <c r="J3460">
        <v>1</v>
      </c>
    </row>
    <row r="3461" spans="1:10" x14ac:dyDescent="0.35">
      <c r="A3461">
        <v>6203008190504</v>
      </c>
      <c r="B3461" t="s">
        <v>544</v>
      </c>
      <c r="C3461" t="s">
        <v>9</v>
      </c>
      <c r="D3461" t="s">
        <v>3735</v>
      </c>
      <c r="E3461" t="s">
        <v>308</v>
      </c>
      <c r="F3461" t="s">
        <v>309</v>
      </c>
      <c r="G3461" t="s">
        <v>61</v>
      </c>
      <c r="H3461" t="s">
        <v>4529</v>
      </c>
      <c r="J3461">
        <v>21</v>
      </c>
    </row>
    <row r="3462" spans="1:10" x14ac:dyDescent="0.35">
      <c r="A3462">
        <v>6203008190580</v>
      </c>
      <c r="B3462" t="s">
        <v>3736</v>
      </c>
      <c r="C3462" t="s">
        <v>114</v>
      </c>
      <c r="D3462" t="s">
        <v>3735</v>
      </c>
      <c r="E3462" t="s">
        <v>308</v>
      </c>
      <c r="F3462" t="s">
        <v>309</v>
      </c>
      <c r="G3462" t="s">
        <v>61</v>
      </c>
      <c r="H3462" t="s">
        <v>4529</v>
      </c>
      <c r="J3462">
        <v>1</v>
      </c>
    </row>
    <row r="3463" spans="1:10" x14ac:dyDescent="0.35">
      <c r="A3463">
        <v>6203008950245</v>
      </c>
      <c r="B3463" t="s">
        <v>1463</v>
      </c>
      <c r="C3463" t="s">
        <v>81</v>
      </c>
      <c r="D3463" t="s">
        <v>3737</v>
      </c>
      <c r="E3463" t="s">
        <v>61</v>
      </c>
      <c r="F3463" t="s">
        <v>3738</v>
      </c>
      <c r="G3463" t="s">
        <v>34</v>
      </c>
      <c r="H3463" t="s">
        <v>4982</v>
      </c>
      <c r="J3463">
        <v>150</v>
      </c>
    </row>
    <row r="3464" spans="1:10" x14ac:dyDescent="0.35">
      <c r="A3464">
        <v>6203008950245</v>
      </c>
      <c r="B3464" t="s">
        <v>1463</v>
      </c>
      <c r="C3464" t="s">
        <v>81</v>
      </c>
      <c r="D3464" t="s">
        <v>3737</v>
      </c>
      <c r="E3464" t="s">
        <v>61</v>
      </c>
      <c r="F3464" t="s">
        <v>3738</v>
      </c>
      <c r="G3464" t="s">
        <v>61</v>
      </c>
      <c r="H3464" t="s">
        <v>4982</v>
      </c>
      <c r="J3464">
        <v>12</v>
      </c>
    </row>
    <row r="3465" spans="1:10" x14ac:dyDescent="0.35">
      <c r="A3465">
        <v>6203008950245</v>
      </c>
      <c r="B3465" t="s">
        <v>1463</v>
      </c>
      <c r="C3465" t="s">
        <v>81</v>
      </c>
      <c r="D3465" t="s">
        <v>3737</v>
      </c>
      <c r="E3465" t="s">
        <v>61</v>
      </c>
      <c r="F3465" t="s">
        <v>3738</v>
      </c>
      <c r="G3465" t="s">
        <v>73</v>
      </c>
      <c r="H3465" t="s">
        <v>4982</v>
      </c>
      <c r="J3465">
        <v>1</v>
      </c>
    </row>
    <row r="3466" spans="1:10" x14ac:dyDescent="0.35">
      <c r="A3466">
        <v>6203008950306</v>
      </c>
      <c r="B3466" t="s">
        <v>1412</v>
      </c>
      <c r="C3466" t="s">
        <v>3739</v>
      </c>
      <c r="D3466" t="s">
        <v>3737</v>
      </c>
      <c r="E3466" t="s">
        <v>61</v>
      </c>
      <c r="F3466" t="s">
        <v>3738</v>
      </c>
      <c r="G3466" t="s">
        <v>34</v>
      </c>
      <c r="H3466" t="s">
        <v>4982</v>
      </c>
      <c r="J3466">
        <v>1</v>
      </c>
    </row>
    <row r="3467" spans="1:10" x14ac:dyDescent="0.35">
      <c r="A3467">
        <v>6203008950306</v>
      </c>
      <c r="B3467" t="s">
        <v>1412</v>
      </c>
      <c r="C3467" t="s">
        <v>3739</v>
      </c>
      <c r="D3467" t="s">
        <v>3737</v>
      </c>
      <c r="E3467" t="s">
        <v>61</v>
      </c>
      <c r="F3467" t="s">
        <v>3738</v>
      </c>
      <c r="G3467" t="s">
        <v>61</v>
      </c>
      <c r="H3467" t="s">
        <v>4982</v>
      </c>
      <c r="J3467">
        <v>2</v>
      </c>
    </row>
    <row r="3468" spans="1:10" x14ac:dyDescent="0.35">
      <c r="A3468">
        <v>6203008951006</v>
      </c>
      <c r="B3468" t="s">
        <v>3740</v>
      </c>
      <c r="C3468" t="s">
        <v>1394</v>
      </c>
      <c r="D3468" t="s">
        <v>3741</v>
      </c>
      <c r="E3468" t="s">
        <v>2227</v>
      </c>
      <c r="F3468" t="s">
        <v>2228</v>
      </c>
      <c r="G3468" t="s">
        <v>61</v>
      </c>
      <c r="H3468" t="s">
        <v>4770</v>
      </c>
      <c r="J3468">
        <v>1</v>
      </c>
    </row>
    <row r="3469" spans="1:10" x14ac:dyDescent="0.35">
      <c r="A3469">
        <v>6203009160025</v>
      </c>
      <c r="B3469" t="s">
        <v>3742</v>
      </c>
      <c r="C3469" t="s">
        <v>36</v>
      </c>
      <c r="D3469" t="s">
        <v>3743</v>
      </c>
      <c r="E3469" t="s">
        <v>61</v>
      </c>
      <c r="F3469" t="s">
        <v>3744</v>
      </c>
      <c r="G3469" t="s">
        <v>61</v>
      </c>
      <c r="H3469" t="s">
        <v>4983</v>
      </c>
      <c r="I3469">
        <v>20</v>
      </c>
      <c r="J3469">
        <v>788</v>
      </c>
    </row>
    <row r="3470" spans="1:10" x14ac:dyDescent="0.35">
      <c r="A3470">
        <v>6203009790291</v>
      </c>
      <c r="B3470" t="s">
        <v>2229</v>
      </c>
      <c r="C3470" t="s">
        <v>81</v>
      </c>
      <c r="D3470" t="s">
        <v>3745</v>
      </c>
      <c r="E3470" t="s">
        <v>61</v>
      </c>
      <c r="F3470" t="s">
        <v>3746</v>
      </c>
      <c r="G3470" t="s">
        <v>61</v>
      </c>
      <c r="H3470" t="s">
        <v>4984</v>
      </c>
      <c r="J3470">
        <v>1</v>
      </c>
    </row>
    <row r="3471" spans="1:10" x14ac:dyDescent="0.35">
      <c r="A3471">
        <v>6203010360087</v>
      </c>
      <c r="B3471" t="s">
        <v>3747</v>
      </c>
      <c r="C3471" t="s">
        <v>36</v>
      </c>
      <c r="D3471" t="s">
        <v>3747</v>
      </c>
      <c r="E3471" t="s">
        <v>61</v>
      </c>
      <c r="F3471" t="s">
        <v>3748</v>
      </c>
      <c r="G3471" t="s">
        <v>61</v>
      </c>
      <c r="H3471" t="s">
        <v>4985</v>
      </c>
      <c r="J3471">
        <v>249</v>
      </c>
    </row>
    <row r="3472" spans="1:10" x14ac:dyDescent="0.35">
      <c r="A3472">
        <v>6203011060313</v>
      </c>
      <c r="B3472" t="s">
        <v>3749</v>
      </c>
      <c r="C3472" t="s">
        <v>2479</v>
      </c>
      <c r="D3472" t="s">
        <v>1176</v>
      </c>
      <c r="E3472" t="s">
        <v>61</v>
      </c>
      <c r="F3472" t="s">
        <v>1070</v>
      </c>
      <c r="G3472" t="s">
        <v>61</v>
      </c>
      <c r="H3472" t="s">
        <v>4644</v>
      </c>
      <c r="J3472">
        <v>11</v>
      </c>
    </row>
    <row r="3473" spans="1:10" x14ac:dyDescent="0.35">
      <c r="A3473">
        <v>6203011060320</v>
      </c>
      <c r="B3473" t="s">
        <v>262</v>
      </c>
      <c r="C3473" t="s">
        <v>1068</v>
      </c>
      <c r="D3473" t="s">
        <v>1069</v>
      </c>
      <c r="E3473" t="s">
        <v>61</v>
      </c>
      <c r="F3473" t="s">
        <v>1070</v>
      </c>
      <c r="G3473" t="s">
        <v>61</v>
      </c>
      <c r="H3473" t="s">
        <v>4644</v>
      </c>
      <c r="J3473">
        <v>19</v>
      </c>
    </row>
    <row r="3474" spans="1:10" x14ac:dyDescent="0.35">
      <c r="A3474">
        <v>6203011060337</v>
      </c>
      <c r="B3474" t="s">
        <v>544</v>
      </c>
      <c r="C3474" t="s">
        <v>2400</v>
      </c>
      <c r="D3474" t="s">
        <v>1069</v>
      </c>
      <c r="E3474" t="s">
        <v>61</v>
      </c>
      <c r="F3474" t="s">
        <v>1070</v>
      </c>
      <c r="G3474" t="s">
        <v>61</v>
      </c>
      <c r="H3474" t="s">
        <v>4644</v>
      </c>
      <c r="J3474">
        <v>48</v>
      </c>
    </row>
    <row r="3475" spans="1:10" x14ac:dyDescent="0.35">
      <c r="A3475">
        <v>6203011060344</v>
      </c>
      <c r="B3475" t="s">
        <v>544</v>
      </c>
      <c r="C3475" t="s">
        <v>1095</v>
      </c>
      <c r="D3475" t="s">
        <v>1069</v>
      </c>
      <c r="E3475" t="s">
        <v>61</v>
      </c>
      <c r="F3475" t="s">
        <v>1070</v>
      </c>
      <c r="G3475" t="s">
        <v>61</v>
      </c>
      <c r="H3475" t="s">
        <v>4644</v>
      </c>
      <c r="I3475">
        <v>32.5</v>
      </c>
      <c r="J3475">
        <v>1837</v>
      </c>
    </row>
    <row r="3476" spans="1:10" x14ac:dyDescent="0.35">
      <c r="A3476">
        <v>6203011060351</v>
      </c>
      <c r="B3476" t="s">
        <v>544</v>
      </c>
      <c r="C3476" t="s">
        <v>801</v>
      </c>
      <c r="D3476" t="s">
        <v>1069</v>
      </c>
      <c r="E3476" t="s">
        <v>61</v>
      </c>
      <c r="F3476" t="s">
        <v>1070</v>
      </c>
      <c r="G3476" t="s">
        <v>61</v>
      </c>
      <c r="H3476" t="s">
        <v>4644</v>
      </c>
      <c r="J3476">
        <v>278</v>
      </c>
    </row>
    <row r="3477" spans="1:10" x14ac:dyDescent="0.35">
      <c r="A3477">
        <v>6203011060368</v>
      </c>
      <c r="B3477" t="s">
        <v>544</v>
      </c>
      <c r="C3477" t="s">
        <v>114</v>
      </c>
      <c r="D3477" t="s">
        <v>1069</v>
      </c>
      <c r="E3477" t="s">
        <v>61</v>
      </c>
      <c r="F3477" t="s">
        <v>1070</v>
      </c>
      <c r="G3477" t="s">
        <v>61</v>
      </c>
      <c r="H3477" t="s">
        <v>4644</v>
      </c>
      <c r="I3477">
        <v>21</v>
      </c>
      <c r="J3477">
        <v>882</v>
      </c>
    </row>
    <row r="3478" spans="1:10" x14ac:dyDescent="0.35">
      <c r="A3478">
        <v>6203011060375</v>
      </c>
      <c r="B3478" t="s">
        <v>544</v>
      </c>
      <c r="C3478" t="s">
        <v>472</v>
      </c>
      <c r="D3478" t="s">
        <v>1069</v>
      </c>
      <c r="E3478" t="s">
        <v>61</v>
      </c>
      <c r="F3478" t="s">
        <v>1070</v>
      </c>
      <c r="G3478" t="s">
        <v>61</v>
      </c>
      <c r="H3478" t="s">
        <v>4644</v>
      </c>
      <c r="J3478">
        <v>80</v>
      </c>
    </row>
    <row r="3479" spans="1:10" x14ac:dyDescent="0.35">
      <c r="A3479">
        <v>6203011060382</v>
      </c>
      <c r="B3479" t="s">
        <v>544</v>
      </c>
      <c r="C3479" t="s">
        <v>9</v>
      </c>
      <c r="D3479" t="s">
        <v>1069</v>
      </c>
      <c r="E3479" t="s">
        <v>61</v>
      </c>
      <c r="F3479" t="s">
        <v>1070</v>
      </c>
      <c r="G3479" t="s">
        <v>61</v>
      </c>
      <c r="H3479" t="s">
        <v>4644</v>
      </c>
      <c r="J3479">
        <v>52</v>
      </c>
    </row>
    <row r="3480" spans="1:10" x14ac:dyDescent="0.35">
      <c r="A3480">
        <v>6203011060429</v>
      </c>
      <c r="B3480" t="s">
        <v>295</v>
      </c>
      <c r="C3480" t="s">
        <v>272</v>
      </c>
      <c r="D3480" t="s">
        <v>1176</v>
      </c>
      <c r="E3480" t="s">
        <v>61</v>
      </c>
      <c r="F3480" t="s">
        <v>1070</v>
      </c>
      <c r="G3480" t="s">
        <v>150</v>
      </c>
      <c r="H3480" t="s">
        <v>4644</v>
      </c>
      <c r="J3480">
        <v>3</v>
      </c>
    </row>
    <row r="3481" spans="1:10" x14ac:dyDescent="0.35">
      <c r="A3481">
        <v>6203011060429</v>
      </c>
      <c r="B3481" t="s">
        <v>295</v>
      </c>
      <c r="C3481" t="s">
        <v>272</v>
      </c>
      <c r="D3481" t="s">
        <v>1176</v>
      </c>
      <c r="E3481" t="s">
        <v>61</v>
      </c>
      <c r="F3481" t="s">
        <v>1070</v>
      </c>
      <c r="G3481" t="s">
        <v>61</v>
      </c>
      <c r="H3481" t="s">
        <v>4644</v>
      </c>
      <c r="J3481">
        <v>25</v>
      </c>
    </row>
    <row r="3482" spans="1:10" x14ac:dyDescent="0.35">
      <c r="A3482">
        <v>6203011060436</v>
      </c>
      <c r="B3482" t="s">
        <v>3650</v>
      </c>
      <c r="C3482" t="s">
        <v>38</v>
      </c>
      <c r="D3482" t="s">
        <v>1176</v>
      </c>
      <c r="E3482" t="s">
        <v>61</v>
      </c>
      <c r="F3482" t="s">
        <v>1070</v>
      </c>
      <c r="G3482" t="s">
        <v>11</v>
      </c>
      <c r="H3482" t="s">
        <v>4644</v>
      </c>
      <c r="I3482">
        <v>24</v>
      </c>
      <c r="J3482">
        <v>14</v>
      </c>
    </row>
    <row r="3483" spans="1:10" x14ac:dyDescent="0.35">
      <c r="A3483">
        <v>6203011060436</v>
      </c>
      <c r="B3483" t="s">
        <v>3650</v>
      </c>
      <c r="C3483" t="s">
        <v>38</v>
      </c>
      <c r="D3483" t="s">
        <v>1176</v>
      </c>
      <c r="E3483" t="s">
        <v>61</v>
      </c>
      <c r="F3483" t="s">
        <v>1070</v>
      </c>
      <c r="G3483" t="s">
        <v>33</v>
      </c>
      <c r="H3483" t="s">
        <v>4644</v>
      </c>
      <c r="I3483">
        <v>24</v>
      </c>
      <c r="J3483">
        <v>332</v>
      </c>
    </row>
    <row r="3484" spans="1:10" x14ac:dyDescent="0.35">
      <c r="A3484">
        <v>6203011060436</v>
      </c>
      <c r="B3484" t="s">
        <v>3650</v>
      </c>
      <c r="C3484" t="s">
        <v>38</v>
      </c>
      <c r="D3484" t="s">
        <v>1176</v>
      </c>
      <c r="E3484" t="s">
        <v>61</v>
      </c>
      <c r="F3484" t="s">
        <v>1070</v>
      </c>
      <c r="G3484" t="s">
        <v>61</v>
      </c>
      <c r="H3484" t="s">
        <v>4644</v>
      </c>
      <c r="I3484">
        <v>24</v>
      </c>
      <c r="J3484">
        <v>437</v>
      </c>
    </row>
    <row r="3485" spans="1:10" x14ac:dyDescent="0.35">
      <c r="A3485">
        <v>6203011060474</v>
      </c>
      <c r="B3485" t="s">
        <v>3750</v>
      </c>
      <c r="C3485" t="s">
        <v>1573</v>
      </c>
      <c r="D3485" t="s">
        <v>1176</v>
      </c>
      <c r="E3485" t="s">
        <v>61</v>
      </c>
      <c r="F3485" t="s">
        <v>1070</v>
      </c>
      <c r="G3485" t="s">
        <v>61</v>
      </c>
      <c r="H3485" t="s">
        <v>4644</v>
      </c>
      <c r="J3485">
        <v>37</v>
      </c>
    </row>
    <row r="3486" spans="1:10" x14ac:dyDescent="0.35">
      <c r="A3486">
        <v>6203011060665</v>
      </c>
      <c r="B3486" t="s">
        <v>3751</v>
      </c>
      <c r="C3486" t="s">
        <v>2479</v>
      </c>
      <c r="D3486" t="s">
        <v>1176</v>
      </c>
      <c r="E3486" t="s">
        <v>61</v>
      </c>
      <c r="F3486" t="s">
        <v>1070</v>
      </c>
      <c r="G3486" t="s">
        <v>61</v>
      </c>
      <c r="H3486" t="s">
        <v>4644</v>
      </c>
      <c r="J3486">
        <v>46</v>
      </c>
    </row>
    <row r="3487" spans="1:10" x14ac:dyDescent="0.35">
      <c r="A3487">
        <v>6203011060801</v>
      </c>
      <c r="B3487" t="s">
        <v>3752</v>
      </c>
      <c r="C3487" t="s">
        <v>38</v>
      </c>
      <c r="D3487" t="s">
        <v>1176</v>
      </c>
      <c r="E3487" t="s">
        <v>61</v>
      </c>
      <c r="F3487" t="s">
        <v>1070</v>
      </c>
      <c r="G3487" t="s">
        <v>117</v>
      </c>
      <c r="H3487" t="s">
        <v>4644</v>
      </c>
      <c r="J3487">
        <v>1</v>
      </c>
    </row>
    <row r="3488" spans="1:10" x14ac:dyDescent="0.35">
      <c r="A3488">
        <v>6203011060801</v>
      </c>
      <c r="B3488" t="s">
        <v>3752</v>
      </c>
      <c r="C3488" t="s">
        <v>38</v>
      </c>
      <c r="D3488" t="s">
        <v>1176</v>
      </c>
      <c r="E3488" t="s">
        <v>61</v>
      </c>
      <c r="F3488" t="s">
        <v>1070</v>
      </c>
      <c r="G3488" t="s">
        <v>33</v>
      </c>
      <c r="H3488" t="s">
        <v>4644</v>
      </c>
      <c r="J3488">
        <v>1</v>
      </c>
    </row>
    <row r="3489" spans="1:10" x14ac:dyDescent="0.35">
      <c r="A3489">
        <v>6203011060801</v>
      </c>
      <c r="B3489" t="s">
        <v>3752</v>
      </c>
      <c r="C3489" t="s">
        <v>38</v>
      </c>
      <c r="D3489" t="s">
        <v>1176</v>
      </c>
      <c r="E3489" t="s">
        <v>61</v>
      </c>
      <c r="F3489" t="s">
        <v>1070</v>
      </c>
      <c r="G3489" t="s">
        <v>34</v>
      </c>
      <c r="H3489" t="s">
        <v>4644</v>
      </c>
      <c r="J3489">
        <v>19</v>
      </c>
    </row>
    <row r="3490" spans="1:10" x14ac:dyDescent="0.35">
      <c r="A3490">
        <v>6203011060801</v>
      </c>
      <c r="B3490" t="s">
        <v>3752</v>
      </c>
      <c r="C3490" t="s">
        <v>38</v>
      </c>
      <c r="D3490" t="s">
        <v>1176</v>
      </c>
      <c r="E3490" t="s">
        <v>61</v>
      </c>
      <c r="F3490" t="s">
        <v>1070</v>
      </c>
      <c r="G3490" t="s">
        <v>150</v>
      </c>
      <c r="H3490" t="s">
        <v>4644</v>
      </c>
      <c r="J3490">
        <v>148</v>
      </c>
    </row>
    <row r="3491" spans="1:10" x14ac:dyDescent="0.35">
      <c r="A3491">
        <v>6203011060801</v>
      </c>
      <c r="B3491" t="s">
        <v>3752</v>
      </c>
      <c r="C3491" t="s">
        <v>38</v>
      </c>
      <c r="D3491" t="s">
        <v>1176</v>
      </c>
      <c r="E3491" t="s">
        <v>61</v>
      </c>
      <c r="F3491" t="s">
        <v>1070</v>
      </c>
      <c r="G3491" t="s">
        <v>61</v>
      </c>
      <c r="H3491" t="s">
        <v>4644</v>
      </c>
      <c r="J3491">
        <v>280</v>
      </c>
    </row>
    <row r="3492" spans="1:10" x14ac:dyDescent="0.35">
      <c r="A3492">
        <v>6203011060801</v>
      </c>
      <c r="B3492" t="s">
        <v>3752</v>
      </c>
      <c r="C3492" t="s">
        <v>38</v>
      </c>
      <c r="D3492" t="s">
        <v>1176</v>
      </c>
      <c r="E3492" t="s">
        <v>61</v>
      </c>
      <c r="F3492" t="s">
        <v>1070</v>
      </c>
      <c r="G3492" t="s">
        <v>31</v>
      </c>
      <c r="H3492" t="s">
        <v>4644</v>
      </c>
      <c r="J3492">
        <v>38</v>
      </c>
    </row>
    <row r="3493" spans="1:10" x14ac:dyDescent="0.35">
      <c r="A3493">
        <v>620301106081</v>
      </c>
      <c r="B3493" t="s">
        <v>3683</v>
      </c>
      <c r="C3493" t="s">
        <v>38</v>
      </c>
      <c r="D3493" t="s">
        <v>1176</v>
      </c>
      <c r="E3493" t="s">
        <v>61</v>
      </c>
      <c r="F3493" t="s">
        <v>1070</v>
      </c>
      <c r="G3493" t="s">
        <v>34</v>
      </c>
      <c r="H3493" t="s">
        <v>4644</v>
      </c>
      <c r="J3493">
        <v>47</v>
      </c>
    </row>
    <row r="3494" spans="1:10" x14ac:dyDescent="0.35">
      <c r="A3494">
        <v>620301106081</v>
      </c>
      <c r="B3494" t="s">
        <v>3683</v>
      </c>
      <c r="C3494" t="s">
        <v>38</v>
      </c>
      <c r="D3494" t="s">
        <v>1176</v>
      </c>
      <c r="E3494" t="s">
        <v>61</v>
      </c>
      <c r="F3494" t="s">
        <v>1070</v>
      </c>
      <c r="G3494" t="s">
        <v>150</v>
      </c>
      <c r="H3494" t="s">
        <v>4644</v>
      </c>
      <c r="J3494">
        <v>1</v>
      </c>
    </row>
    <row r="3495" spans="1:10" x14ac:dyDescent="0.35">
      <c r="A3495">
        <v>620301106081</v>
      </c>
      <c r="B3495" t="s">
        <v>3683</v>
      </c>
      <c r="C3495" t="s">
        <v>38</v>
      </c>
      <c r="D3495" t="s">
        <v>1176</v>
      </c>
      <c r="E3495" t="s">
        <v>61</v>
      </c>
      <c r="F3495" t="s">
        <v>1070</v>
      </c>
      <c r="G3495" t="s">
        <v>61</v>
      </c>
      <c r="H3495" t="s">
        <v>4644</v>
      </c>
      <c r="J3495">
        <v>26</v>
      </c>
    </row>
    <row r="3496" spans="1:10" x14ac:dyDescent="0.35">
      <c r="A3496">
        <v>6203011060856</v>
      </c>
      <c r="B3496" t="s">
        <v>1011</v>
      </c>
      <c r="C3496" t="s">
        <v>38</v>
      </c>
      <c r="D3496" t="s">
        <v>607</v>
      </c>
      <c r="E3496" t="s">
        <v>22</v>
      </c>
      <c r="F3496" t="s">
        <v>608</v>
      </c>
      <c r="G3496" t="s">
        <v>61</v>
      </c>
      <c r="H3496" t="s">
        <v>4568</v>
      </c>
      <c r="J3496">
        <v>28</v>
      </c>
    </row>
    <row r="3497" spans="1:10" x14ac:dyDescent="0.35">
      <c r="A3497">
        <v>6203011060894</v>
      </c>
      <c r="B3497" t="s">
        <v>2491</v>
      </c>
      <c r="C3497" t="s">
        <v>38</v>
      </c>
      <c r="D3497" t="s">
        <v>1176</v>
      </c>
      <c r="E3497" t="s">
        <v>61</v>
      </c>
      <c r="F3497" t="s">
        <v>1070</v>
      </c>
      <c r="G3497" t="s">
        <v>61</v>
      </c>
      <c r="H3497" t="s">
        <v>4644</v>
      </c>
      <c r="J3497">
        <v>228</v>
      </c>
    </row>
    <row r="3498" spans="1:10" x14ac:dyDescent="0.35">
      <c r="A3498">
        <v>6203011061082</v>
      </c>
      <c r="B3498" t="s">
        <v>3541</v>
      </c>
      <c r="C3498" t="s">
        <v>36</v>
      </c>
      <c r="D3498" t="s">
        <v>3753</v>
      </c>
      <c r="E3498" t="s">
        <v>61</v>
      </c>
      <c r="F3498" t="s">
        <v>1070</v>
      </c>
      <c r="G3498" t="s">
        <v>61</v>
      </c>
      <c r="H3498" t="s">
        <v>4644</v>
      </c>
      <c r="J3498">
        <v>5</v>
      </c>
    </row>
    <row r="3499" spans="1:10" x14ac:dyDescent="0.35">
      <c r="A3499">
        <v>6203011061273</v>
      </c>
      <c r="B3499" t="s">
        <v>3754</v>
      </c>
      <c r="C3499" t="s">
        <v>1805</v>
      </c>
      <c r="D3499" t="s">
        <v>1176</v>
      </c>
      <c r="E3499" t="s">
        <v>61</v>
      </c>
      <c r="F3499" t="s">
        <v>1070</v>
      </c>
      <c r="G3499" t="s">
        <v>61</v>
      </c>
      <c r="H3499" t="s">
        <v>4644</v>
      </c>
      <c r="J3499">
        <v>3</v>
      </c>
    </row>
    <row r="3500" spans="1:10" x14ac:dyDescent="0.35">
      <c r="A3500">
        <v>6203011061327</v>
      </c>
      <c r="B3500" t="s">
        <v>3755</v>
      </c>
      <c r="C3500" t="s">
        <v>9</v>
      </c>
      <c r="D3500" t="s">
        <v>1176</v>
      </c>
      <c r="E3500" t="s">
        <v>61</v>
      </c>
      <c r="F3500" t="s">
        <v>1070</v>
      </c>
      <c r="G3500" t="s">
        <v>33</v>
      </c>
      <c r="H3500" t="s">
        <v>4644</v>
      </c>
      <c r="I3500">
        <v>21.5</v>
      </c>
      <c r="J3500">
        <v>44</v>
      </c>
    </row>
    <row r="3501" spans="1:10" x14ac:dyDescent="0.35">
      <c r="A3501">
        <v>6203011061327</v>
      </c>
      <c r="B3501" t="s">
        <v>3755</v>
      </c>
      <c r="C3501" t="s">
        <v>9</v>
      </c>
      <c r="D3501" t="s">
        <v>1176</v>
      </c>
      <c r="E3501" t="s">
        <v>61</v>
      </c>
      <c r="F3501" t="s">
        <v>1070</v>
      </c>
      <c r="G3501" t="s">
        <v>150</v>
      </c>
      <c r="H3501" t="s">
        <v>4644</v>
      </c>
      <c r="I3501">
        <v>21.5</v>
      </c>
      <c r="J3501">
        <v>26</v>
      </c>
    </row>
    <row r="3502" spans="1:10" x14ac:dyDescent="0.35">
      <c r="A3502">
        <v>6203011061327</v>
      </c>
      <c r="B3502" t="s">
        <v>3755</v>
      </c>
      <c r="C3502" t="s">
        <v>9</v>
      </c>
      <c r="D3502" t="s">
        <v>1176</v>
      </c>
      <c r="E3502" t="s">
        <v>61</v>
      </c>
      <c r="F3502" t="s">
        <v>1070</v>
      </c>
      <c r="G3502" t="s">
        <v>61</v>
      </c>
      <c r="H3502" t="s">
        <v>4644</v>
      </c>
      <c r="I3502">
        <v>21.5</v>
      </c>
      <c r="J3502">
        <v>215</v>
      </c>
    </row>
    <row r="3503" spans="1:10" x14ac:dyDescent="0.35">
      <c r="A3503">
        <v>6203011061341</v>
      </c>
      <c r="B3503" t="s">
        <v>3640</v>
      </c>
      <c r="C3503" t="s">
        <v>2479</v>
      </c>
      <c r="D3503" t="s">
        <v>1176</v>
      </c>
      <c r="E3503" t="s">
        <v>61</v>
      </c>
      <c r="F3503" t="s">
        <v>1070</v>
      </c>
      <c r="G3503" t="s">
        <v>61</v>
      </c>
      <c r="H3503" t="s">
        <v>4644</v>
      </c>
      <c r="J3503">
        <v>255</v>
      </c>
    </row>
    <row r="3504" spans="1:10" x14ac:dyDescent="0.35">
      <c r="A3504">
        <v>6203011061358</v>
      </c>
      <c r="B3504" t="s">
        <v>3756</v>
      </c>
      <c r="C3504" t="s">
        <v>909</v>
      </c>
      <c r="D3504" t="s">
        <v>3757</v>
      </c>
      <c r="E3504" t="s">
        <v>61</v>
      </c>
      <c r="F3504" t="s">
        <v>1070</v>
      </c>
      <c r="G3504" t="s">
        <v>150</v>
      </c>
      <c r="H3504" t="s">
        <v>4644</v>
      </c>
      <c r="J3504">
        <v>1</v>
      </c>
    </row>
    <row r="3505" spans="1:10" x14ac:dyDescent="0.35">
      <c r="A3505">
        <v>6203011061358</v>
      </c>
      <c r="B3505" t="s">
        <v>3756</v>
      </c>
      <c r="C3505" t="s">
        <v>909</v>
      </c>
      <c r="D3505" t="s">
        <v>3757</v>
      </c>
      <c r="E3505" t="s">
        <v>61</v>
      </c>
      <c r="F3505" t="s">
        <v>1070</v>
      </c>
      <c r="G3505" t="s">
        <v>61</v>
      </c>
      <c r="H3505" t="s">
        <v>4644</v>
      </c>
      <c r="J3505">
        <v>79</v>
      </c>
    </row>
    <row r="3506" spans="1:10" x14ac:dyDescent="0.35">
      <c r="A3506">
        <v>6203011061365</v>
      </c>
      <c r="B3506" t="s">
        <v>3758</v>
      </c>
      <c r="C3506" t="s">
        <v>38</v>
      </c>
      <c r="D3506" t="s">
        <v>1176</v>
      </c>
      <c r="E3506" t="s">
        <v>61</v>
      </c>
      <c r="F3506" t="s">
        <v>1070</v>
      </c>
      <c r="G3506" t="s">
        <v>33</v>
      </c>
      <c r="H3506" t="s">
        <v>4644</v>
      </c>
      <c r="J3506">
        <v>290</v>
      </c>
    </row>
    <row r="3507" spans="1:10" x14ac:dyDescent="0.35">
      <c r="A3507">
        <v>6203011061365</v>
      </c>
      <c r="B3507" t="s">
        <v>3758</v>
      </c>
      <c r="C3507" t="s">
        <v>38</v>
      </c>
      <c r="D3507" t="s">
        <v>1176</v>
      </c>
      <c r="E3507" t="s">
        <v>61</v>
      </c>
      <c r="F3507" t="s">
        <v>1070</v>
      </c>
      <c r="G3507" t="s">
        <v>34</v>
      </c>
      <c r="H3507" t="s">
        <v>4644</v>
      </c>
      <c r="J3507">
        <v>48</v>
      </c>
    </row>
    <row r="3508" spans="1:10" x14ac:dyDescent="0.35">
      <c r="A3508">
        <v>6203011061365</v>
      </c>
      <c r="B3508" t="s">
        <v>3758</v>
      </c>
      <c r="C3508" t="s">
        <v>38</v>
      </c>
      <c r="D3508" t="s">
        <v>1176</v>
      </c>
      <c r="E3508" t="s">
        <v>61</v>
      </c>
      <c r="F3508" t="s">
        <v>1070</v>
      </c>
      <c r="G3508" t="s">
        <v>61</v>
      </c>
      <c r="H3508" t="s">
        <v>4644</v>
      </c>
      <c r="J3508">
        <v>122</v>
      </c>
    </row>
    <row r="3509" spans="1:10" x14ac:dyDescent="0.35">
      <c r="A3509">
        <v>6203011061365</v>
      </c>
      <c r="B3509" t="s">
        <v>3758</v>
      </c>
      <c r="C3509" t="s">
        <v>38</v>
      </c>
      <c r="D3509" t="s">
        <v>1176</v>
      </c>
      <c r="E3509" t="s">
        <v>61</v>
      </c>
      <c r="F3509" t="s">
        <v>1070</v>
      </c>
      <c r="G3509" t="s">
        <v>31</v>
      </c>
      <c r="H3509" t="s">
        <v>4644</v>
      </c>
      <c r="J3509">
        <v>76</v>
      </c>
    </row>
    <row r="3510" spans="1:10" x14ac:dyDescent="0.35">
      <c r="A3510">
        <v>6203011061365</v>
      </c>
      <c r="B3510" t="s">
        <v>3758</v>
      </c>
      <c r="C3510" t="s">
        <v>38</v>
      </c>
      <c r="D3510" t="s">
        <v>1176</v>
      </c>
      <c r="E3510" t="s">
        <v>61</v>
      </c>
      <c r="F3510" t="s">
        <v>1070</v>
      </c>
      <c r="G3510" t="s">
        <v>578</v>
      </c>
      <c r="H3510" t="s">
        <v>4644</v>
      </c>
      <c r="J3510">
        <v>1</v>
      </c>
    </row>
    <row r="3511" spans="1:10" x14ac:dyDescent="0.35">
      <c r="A3511">
        <v>6203011061457</v>
      </c>
      <c r="B3511" t="s">
        <v>3759</v>
      </c>
      <c r="C3511" t="s">
        <v>38</v>
      </c>
      <c r="D3511" t="s">
        <v>1176</v>
      </c>
      <c r="E3511" t="s">
        <v>61</v>
      </c>
      <c r="F3511" t="s">
        <v>1070</v>
      </c>
      <c r="G3511" t="s">
        <v>117</v>
      </c>
      <c r="H3511" t="s">
        <v>4644</v>
      </c>
      <c r="J3511">
        <v>52</v>
      </c>
    </row>
    <row r="3512" spans="1:10" x14ac:dyDescent="0.35">
      <c r="A3512">
        <v>6203011061457</v>
      </c>
      <c r="B3512" t="s">
        <v>3759</v>
      </c>
      <c r="C3512" t="s">
        <v>38</v>
      </c>
      <c r="D3512" t="s">
        <v>1176</v>
      </c>
      <c r="E3512" t="s">
        <v>61</v>
      </c>
      <c r="F3512" t="s">
        <v>1070</v>
      </c>
      <c r="G3512" t="s">
        <v>150</v>
      </c>
      <c r="H3512" t="s">
        <v>4644</v>
      </c>
      <c r="J3512">
        <v>1</v>
      </c>
    </row>
    <row r="3513" spans="1:10" x14ac:dyDescent="0.35">
      <c r="A3513">
        <v>6203011061457</v>
      </c>
      <c r="B3513" t="s">
        <v>3759</v>
      </c>
      <c r="C3513" t="s">
        <v>38</v>
      </c>
      <c r="D3513" t="s">
        <v>1176</v>
      </c>
      <c r="E3513" t="s">
        <v>61</v>
      </c>
      <c r="F3513" t="s">
        <v>1070</v>
      </c>
      <c r="G3513" t="s">
        <v>61</v>
      </c>
      <c r="H3513" t="s">
        <v>4644</v>
      </c>
      <c r="J3513">
        <v>205</v>
      </c>
    </row>
    <row r="3514" spans="1:10" x14ac:dyDescent="0.35">
      <c r="A3514">
        <v>6203011061464</v>
      </c>
      <c r="B3514" t="s">
        <v>3760</v>
      </c>
      <c r="C3514" t="s">
        <v>38</v>
      </c>
      <c r="D3514" t="s">
        <v>1176</v>
      </c>
      <c r="E3514" t="s">
        <v>61</v>
      </c>
      <c r="F3514" t="s">
        <v>1070</v>
      </c>
      <c r="G3514" t="s">
        <v>61</v>
      </c>
      <c r="H3514" t="s">
        <v>4644</v>
      </c>
      <c r="J3514">
        <v>2</v>
      </c>
    </row>
    <row r="3515" spans="1:10" x14ac:dyDescent="0.35">
      <c r="A3515">
        <v>6203011061570</v>
      </c>
      <c r="B3515" t="s">
        <v>3761</v>
      </c>
      <c r="C3515" t="s">
        <v>38</v>
      </c>
      <c r="D3515" t="s">
        <v>3357</v>
      </c>
      <c r="E3515" t="s">
        <v>308</v>
      </c>
      <c r="F3515" t="s">
        <v>309</v>
      </c>
      <c r="G3515" t="s">
        <v>34</v>
      </c>
      <c r="H3515" t="s">
        <v>4529</v>
      </c>
      <c r="J3515">
        <v>2</v>
      </c>
    </row>
    <row r="3516" spans="1:10" x14ac:dyDescent="0.35">
      <c r="A3516">
        <v>6203011061662</v>
      </c>
      <c r="B3516" t="s">
        <v>3762</v>
      </c>
      <c r="C3516" t="s">
        <v>1805</v>
      </c>
      <c r="D3516" t="s">
        <v>1176</v>
      </c>
      <c r="E3516" t="s">
        <v>61</v>
      </c>
      <c r="F3516" t="s">
        <v>1070</v>
      </c>
      <c r="G3516" t="s">
        <v>61</v>
      </c>
      <c r="H3516" t="s">
        <v>4644</v>
      </c>
      <c r="J3516">
        <v>200</v>
      </c>
    </row>
    <row r="3517" spans="1:10" x14ac:dyDescent="0.35">
      <c r="A3517">
        <v>6203011061716</v>
      </c>
      <c r="B3517" t="s">
        <v>3763</v>
      </c>
      <c r="C3517" t="s">
        <v>9</v>
      </c>
      <c r="D3517" t="s">
        <v>1176</v>
      </c>
      <c r="E3517" t="s">
        <v>61</v>
      </c>
      <c r="F3517" t="s">
        <v>1070</v>
      </c>
      <c r="G3517" t="s">
        <v>33</v>
      </c>
      <c r="H3517" t="s">
        <v>4644</v>
      </c>
      <c r="I3517">
        <v>21.5</v>
      </c>
      <c r="J3517">
        <v>21</v>
      </c>
    </row>
    <row r="3518" spans="1:10" x14ac:dyDescent="0.35">
      <c r="A3518">
        <v>6203011061716</v>
      </c>
      <c r="B3518" t="s">
        <v>3763</v>
      </c>
      <c r="C3518" t="s">
        <v>9</v>
      </c>
      <c r="D3518" t="s">
        <v>1176</v>
      </c>
      <c r="E3518" t="s">
        <v>61</v>
      </c>
      <c r="F3518" t="s">
        <v>1070</v>
      </c>
      <c r="G3518" t="s">
        <v>61</v>
      </c>
      <c r="H3518" t="s">
        <v>4644</v>
      </c>
      <c r="I3518">
        <v>21.5</v>
      </c>
      <c r="J3518">
        <v>94</v>
      </c>
    </row>
    <row r="3519" spans="1:10" x14ac:dyDescent="0.35">
      <c r="A3519">
        <v>6203011061716</v>
      </c>
      <c r="B3519" t="s">
        <v>3763</v>
      </c>
      <c r="C3519" t="s">
        <v>9</v>
      </c>
      <c r="D3519" t="s">
        <v>1176</v>
      </c>
      <c r="E3519" t="s">
        <v>61</v>
      </c>
      <c r="F3519" t="s">
        <v>1070</v>
      </c>
      <c r="G3519" t="s">
        <v>31</v>
      </c>
      <c r="H3519" t="s">
        <v>4644</v>
      </c>
      <c r="I3519">
        <v>21.5</v>
      </c>
      <c r="J3519">
        <v>2</v>
      </c>
    </row>
    <row r="3520" spans="1:10" x14ac:dyDescent="0.35">
      <c r="A3520">
        <v>6203011061716</v>
      </c>
      <c r="B3520" t="s">
        <v>3763</v>
      </c>
      <c r="C3520" t="s">
        <v>9</v>
      </c>
      <c r="D3520" t="s">
        <v>1176</v>
      </c>
      <c r="E3520" t="s">
        <v>61</v>
      </c>
      <c r="F3520" t="s">
        <v>1070</v>
      </c>
      <c r="G3520" t="s">
        <v>578</v>
      </c>
      <c r="H3520" t="s">
        <v>4644</v>
      </c>
      <c r="I3520">
        <v>21.5</v>
      </c>
      <c r="J3520">
        <v>2</v>
      </c>
    </row>
    <row r="3521" spans="1:10" x14ac:dyDescent="0.35">
      <c r="A3521">
        <v>6203011061747</v>
      </c>
      <c r="B3521" t="s">
        <v>3764</v>
      </c>
      <c r="C3521" t="s">
        <v>38</v>
      </c>
      <c r="D3521" t="s">
        <v>1176</v>
      </c>
      <c r="E3521" t="s">
        <v>61</v>
      </c>
      <c r="F3521" t="s">
        <v>1070</v>
      </c>
      <c r="G3521" t="s">
        <v>61</v>
      </c>
      <c r="H3521" t="s">
        <v>4644</v>
      </c>
      <c r="J3521">
        <v>14</v>
      </c>
    </row>
    <row r="3522" spans="1:10" x14ac:dyDescent="0.35">
      <c r="A3522">
        <v>6203011061747</v>
      </c>
      <c r="B3522" t="s">
        <v>3764</v>
      </c>
      <c r="C3522" t="s">
        <v>38</v>
      </c>
      <c r="D3522" t="s">
        <v>1176</v>
      </c>
      <c r="E3522" t="s">
        <v>61</v>
      </c>
      <c r="F3522" t="s">
        <v>1070</v>
      </c>
      <c r="G3522" t="s">
        <v>31</v>
      </c>
      <c r="H3522" t="s">
        <v>4644</v>
      </c>
      <c r="J3522">
        <v>5</v>
      </c>
    </row>
    <row r="3523" spans="1:10" x14ac:dyDescent="0.35">
      <c r="A3523">
        <v>6203011061792</v>
      </c>
      <c r="B3523" t="s">
        <v>3765</v>
      </c>
      <c r="C3523" t="s">
        <v>2479</v>
      </c>
      <c r="D3523" t="s">
        <v>1176</v>
      </c>
      <c r="E3523" t="s">
        <v>61</v>
      </c>
      <c r="F3523" t="s">
        <v>1070</v>
      </c>
      <c r="G3523" t="s">
        <v>61</v>
      </c>
      <c r="H3523" t="s">
        <v>4644</v>
      </c>
      <c r="J3523">
        <v>296</v>
      </c>
    </row>
    <row r="3524" spans="1:10" x14ac:dyDescent="0.35">
      <c r="A3524">
        <v>6203011061839</v>
      </c>
      <c r="B3524" t="s">
        <v>1011</v>
      </c>
      <c r="C3524" t="s">
        <v>38</v>
      </c>
      <c r="D3524" t="s">
        <v>1176</v>
      </c>
      <c r="E3524" t="s">
        <v>61</v>
      </c>
      <c r="F3524" t="s">
        <v>1070</v>
      </c>
      <c r="G3524" t="s">
        <v>61</v>
      </c>
      <c r="H3524" t="s">
        <v>4644</v>
      </c>
      <c r="J3524">
        <v>212</v>
      </c>
    </row>
    <row r="3525" spans="1:10" x14ac:dyDescent="0.35">
      <c r="A3525">
        <v>6203011061846</v>
      </c>
      <c r="B3525" t="s">
        <v>668</v>
      </c>
      <c r="C3525" t="s">
        <v>9</v>
      </c>
      <c r="D3525" t="s">
        <v>1176</v>
      </c>
      <c r="E3525" t="s">
        <v>61</v>
      </c>
      <c r="F3525" t="s">
        <v>1070</v>
      </c>
      <c r="G3525" t="s">
        <v>61</v>
      </c>
      <c r="H3525" t="s">
        <v>4644</v>
      </c>
      <c r="I3525">
        <v>21.5</v>
      </c>
      <c r="J3525">
        <v>163</v>
      </c>
    </row>
    <row r="3526" spans="1:10" x14ac:dyDescent="0.35">
      <c r="A3526">
        <v>6203011061853</v>
      </c>
      <c r="B3526" t="s">
        <v>3766</v>
      </c>
      <c r="C3526" t="s">
        <v>83</v>
      </c>
      <c r="D3526" t="s">
        <v>539</v>
      </c>
      <c r="E3526" t="s">
        <v>15</v>
      </c>
      <c r="F3526" t="s">
        <v>14</v>
      </c>
      <c r="G3526" t="s">
        <v>61</v>
      </c>
      <c r="H3526" t="s">
        <v>4489</v>
      </c>
      <c r="I3526">
        <v>17.5</v>
      </c>
      <c r="J3526">
        <v>139</v>
      </c>
    </row>
    <row r="3527" spans="1:10" x14ac:dyDescent="0.35">
      <c r="A3527">
        <v>6203011061877</v>
      </c>
      <c r="B3527" t="s">
        <v>3767</v>
      </c>
      <c r="C3527" t="s">
        <v>94</v>
      </c>
      <c r="D3527" t="s">
        <v>1176</v>
      </c>
      <c r="E3527" t="s">
        <v>61</v>
      </c>
      <c r="F3527" t="s">
        <v>1070</v>
      </c>
      <c r="G3527" t="s">
        <v>61</v>
      </c>
      <c r="H3527" t="s">
        <v>4644</v>
      </c>
      <c r="J3527">
        <v>5</v>
      </c>
    </row>
    <row r="3528" spans="1:10" x14ac:dyDescent="0.35">
      <c r="A3528">
        <v>6203011061884</v>
      </c>
      <c r="B3528" t="s">
        <v>3768</v>
      </c>
      <c r="C3528" t="s">
        <v>909</v>
      </c>
      <c r="D3528" t="s">
        <v>1176</v>
      </c>
      <c r="E3528" t="s">
        <v>61</v>
      </c>
      <c r="F3528" t="s">
        <v>1070</v>
      </c>
      <c r="G3528" t="s">
        <v>61</v>
      </c>
      <c r="H3528" t="s">
        <v>4644</v>
      </c>
      <c r="J3528">
        <v>22</v>
      </c>
    </row>
    <row r="3529" spans="1:10" x14ac:dyDescent="0.35">
      <c r="A3529">
        <v>6203011061938</v>
      </c>
      <c r="B3529" t="s">
        <v>3769</v>
      </c>
      <c r="C3529" t="s">
        <v>2479</v>
      </c>
      <c r="D3529" t="s">
        <v>1176</v>
      </c>
      <c r="E3529" t="s">
        <v>61</v>
      </c>
      <c r="F3529" t="s">
        <v>1070</v>
      </c>
      <c r="G3529" t="s">
        <v>61</v>
      </c>
      <c r="H3529" t="s">
        <v>4644</v>
      </c>
      <c r="J3529">
        <v>31</v>
      </c>
    </row>
    <row r="3530" spans="1:10" x14ac:dyDescent="0.35">
      <c r="A3530">
        <v>6203011670093</v>
      </c>
      <c r="B3530" t="s">
        <v>3770</v>
      </c>
      <c r="C3530" t="s">
        <v>43</v>
      </c>
      <c r="D3530" t="s">
        <v>3771</v>
      </c>
      <c r="E3530" t="s">
        <v>61</v>
      </c>
      <c r="F3530" t="s">
        <v>3772</v>
      </c>
      <c r="G3530" t="s">
        <v>61</v>
      </c>
      <c r="H3530" t="s">
        <v>4986</v>
      </c>
      <c r="J3530">
        <v>8</v>
      </c>
    </row>
    <row r="3531" spans="1:10" x14ac:dyDescent="0.35">
      <c r="A3531">
        <v>6203011910014</v>
      </c>
      <c r="B3531" t="s">
        <v>3773</v>
      </c>
      <c r="C3531" t="s">
        <v>1374</v>
      </c>
      <c r="D3531" t="s">
        <v>3774</v>
      </c>
      <c r="E3531" t="s">
        <v>61</v>
      </c>
      <c r="F3531" t="s">
        <v>3775</v>
      </c>
      <c r="G3531" t="s">
        <v>61</v>
      </c>
      <c r="H3531" t="s">
        <v>4987</v>
      </c>
      <c r="J3531">
        <v>7</v>
      </c>
    </row>
    <row r="3532" spans="1:10" x14ac:dyDescent="0.35">
      <c r="A3532">
        <v>6203011910014</v>
      </c>
      <c r="B3532" t="s">
        <v>3773</v>
      </c>
      <c r="C3532" t="s">
        <v>1374</v>
      </c>
      <c r="D3532" t="s">
        <v>3774</v>
      </c>
      <c r="E3532" t="s">
        <v>61</v>
      </c>
      <c r="F3532" t="s">
        <v>3775</v>
      </c>
      <c r="G3532" t="s">
        <v>31</v>
      </c>
      <c r="H3532" t="s">
        <v>4987</v>
      </c>
      <c r="J3532">
        <v>1</v>
      </c>
    </row>
    <row r="3533" spans="1:10" x14ac:dyDescent="0.35">
      <c r="A3533">
        <v>6203011990047</v>
      </c>
      <c r="B3533" t="s">
        <v>3776</v>
      </c>
      <c r="C3533" t="s">
        <v>173</v>
      </c>
      <c r="D3533" t="s">
        <v>3777</v>
      </c>
      <c r="E3533" t="s">
        <v>61</v>
      </c>
      <c r="F3533" t="s">
        <v>3778</v>
      </c>
      <c r="G3533" t="s">
        <v>150</v>
      </c>
      <c r="H3533" t="s">
        <v>4988</v>
      </c>
      <c r="J3533">
        <v>8</v>
      </c>
    </row>
    <row r="3534" spans="1:10" x14ac:dyDescent="0.35">
      <c r="A3534">
        <v>6203011990047</v>
      </c>
      <c r="B3534" t="s">
        <v>3776</v>
      </c>
      <c r="C3534" t="s">
        <v>173</v>
      </c>
      <c r="D3534" t="s">
        <v>3777</v>
      </c>
      <c r="E3534" t="s">
        <v>61</v>
      </c>
      <c r="F3534" t="s">
        <v>3778</v>
      </c>
      <c r="G3534" t="s">
        <v>61</v>
      </c>
      <c r="H3534" t="s">
        <v>4988</v>
      </c>
      <c r="J3534">
        <v>1155</v>
      </c>
    </row>
    <row r="3535" spans="1:10" x14ac:dyDescent="0.35">
      <c r="A3535">
        <v>6203012300005</v>
      </c>
      <c r="B3535" t="s">
        <v>544</v>
      </c>
      <c r="C3535" t="s">
        <v>81</v>
      </c>
      <c r="D3535" t="s">
        <v>3779</v>
      </c>
      <c r="E3535" t="s">
        <v>61</v>
      </c>
      <c r="F3535" t="s">
        <v>85</v>
      </c>
      <c r="G3535" t="s">
        <v>61</v>
      </c>
      <c r="H3535" t="s">
        <v>4503</v>
      </c>
      <c r="J3535">
        <v>291</v>
      </c>
    </row>
    <row r="3536" spans="1:10" x14ac:dyDescent="0.35">
      <c r="A3536">
        <v>6203012300029</v>
      </c>
      <c r="B3536" t="s">
        <v>3780</v>
      </c>
      <c r="C3536" t="s">
        <v>83</v>
      </c>
      <c r="D3536" t="s">
        <v>414</v>
      </c>
      <c r="E3536" t="s">
        <v>61</v>
      </c>
      <c r="F3536" t="s">
        <v>85</v>
      </c>
      <c r="G3536" t="s">
        <v>61</v>
      </c>
      <c r="H3536" t="s">
        <v>4503</v>
      </c>
      <c r="I3536">
        <v>27.5</v>
      </c>
      <c r="J3536">
        <v>428</v>
      </c>
    </row>
    <row r="3537" spans="1:10" x14ac:dyDescent="0.35">
      <c r="A3537">
        <v>6203012300036</v>
      </c>
      <c r="B3537" t="s">
        <v>1011</v>
      </c>
      <c r="C3537" t="s">
        <v>806</v>
      </c>
      <c r="D3537" t="s">
        <v>3781</v>
      </c>
      <c r="E3537" t="s">
        <v>61</v>
      </c>
      <c r="F3537" t="s">
        <v>85</v>
      </c>
      <c r="G3537" t="s">
        <v>61</v>
      </c>
      <c r="H3537" t="s">
        <v>4503</v>
      </c>
      <c r="J3537">
        <v>71</v>
      </c>
    </row>
    <row r="3538" spans="1:10" x14ac:dyDescent="0.35">
      <c r="A3538">
        <v>6203012300043</v>
      </c>
      <c r="B3538" t="s">
        <v>1944</v>
      </c>
      <c r="C3538" t="s">
        <v>83</v>
      </c>
      <c r="D3538" t="s">
        <v>414</v>
      </c>
      <c r="E3538" t="s">
        <v>61</v>
      </c>
      <c r="F3538" t="s">
        <v>85</v>
      </c>
      <c r="G3538" t="s">
        <v>61</v>
      </c>
      <c r="H3538" t="s">
        <v>4503</v>
      </c>
      <c r="I3538">
        <v>24</v>
      </c>
      <c r="J3538">
        <v>500</v>
      </c>
    </row>
    <row r="3539" spans="1:10" x14ac:dyDescent="0.35">
      <c r="A3539">
        <v>6203012300074</v>
      </c>
      <c r="B3539" t="s">
        <v>2597</v>
      </c>
      <c r="C3539" t="s">
        <v>83</v>
      </c>
      <c r="D3539" t="s">
        <v>414</v>
      </c>
      <c r="E3539" t="s">
        <v>61</v>
      </c>
      <c r="F3539" t="s">
        <v>85</v>
      </c>
      <c r="G3539" t="s">
        <v>61</v>
      </c>
      <c r="H3539" t="s">
        <v>4503</v>
      </c>
      <c r="J3539">
        <v>244</v>
      </c>
    </row>
    <row r="3540" spans="1:10" x14ac:dyDescent="0.35">
      <c r="A3540">
        <v>6203012300180</v>
      </c>
      <c r="B3540" t="s">
        <v>544</v>
      </c>
      <c r="C3540" t="s">
        <v>9</v>
      </c>
      <c r="D3540" t="s">
        <v>3779</v>
      </c>
      <c r="E3540" t="s">
        <v>61</v>
      </c>
      <c r="F3540" t="s">
        <v>85</v>
      </c>
      <c r="G3540" t="s">
        <v>61</v>
      </c>
      <c r="H3540" t="s">
        <v>4503</v>
      </c>
      <c r="J3540">
        <v>27</v>
      </c>
    </row>
    <row r="3541" spans="1:10" x14ac:dyDescent="0.35">
      <c r="A3541">
        <v>6203012300197</v>
      </c>
      <c r="B3541" t="s">
        <v>544</v>
      </c>
      <c r="C3541" t="s">
        <v>3782</v>
      </c>
      <c r="D3541" t="s">
        <v>3779</v>
      </c>
      <c r="E3541" t="s">
        <v>61</v>
      </c>
      <c r="F3541" t="s">
        <v>85</v>
      </c>
      <c r="G3541" t="s">
        <v>61</v>
      </c>
      <c r="H3541" t="s">
        <v>4503</v>
      </c>
      <c r="J3541">
        <v>28</v>
      </c>
    </row>
    <row r="3542" spans="1:10" x14ac:dyDescent="0.35">
      <c r="A3542">
        <v>6203012300210</v>
      </c>
      <c r="B3542" t="s">
        <v>544</v>
      </c>
      <c r="C3542" t="s">
        <v>114</v>
      </c>
      <c r="D3542" t="s">
        <v>3783</v>
      </c>
      <c r="E3542" t="s">
        <v>61</v>
      </c>
      <c r="F3542" t="s">
        <v>85</v>
      </c>
      <c r="G3542" t="s">
        <v>61</v>
      </c>
      <c r="H3542" t="s">
        <v>4503</v>
      </c>
      <c r="J3542">
        <v>146</v>
      </c>
    </row>
    <row r="3543" spans="1:10" x14ac:dyDescent="0.35">
      <c r="A3543">
        <v>6203012300227</v>
      </c>
      <c r="B3543" t="s">
        <v>262</v>
      </c>
      <c r="C3543" t="s">
        <v>192</v>
      </c>
      <c r="D3543" t="s">
        <v>3779</v>
      </c>
      <c r="E3543" t="s">
        <v>61</v>
      </c>
      <c r="F3543" t="s">
        <v>85</v>
      </c>
      <c r="G3543" t="s">
        <v>61</v>
      </c>
      <c r="H3543" t="s">
        <v>4503</v>
      </c>
      <c r="J3543">
        <v>265</v>
      </c>
    </row>
    <row r="3544" spans="1:10" x14ac:dyDescent="0.35">
      <c r="A3544">
        <v>6203012300364</v>
      </c>
      <c r="B3544" t="s">
        <v>3784</v>
      </c>
      <c r="C3544" t="s">
        <v>36</v>
      </c>
      <c r="D3544" t="s">
        <v>414</v>
      </c>
      <c r="E3544" t="s">
        <v>61</v>
      </c>
      <c r="F3544" t="s">
        <v>85</v>
      </c>
      <c r="G3544" t="s">
        <v>61</v>
      </c>
      <c r="H3544" t="s">
        <v>4503</v>
      </c>
      <c r="J3544">
        <v>98</v>
      </c>
    </row>
    <row r="3545" spans="1:10" x14ac:dyDescent="0.35">
      <c r="A3545">
        <v>6203012300388</v>
      </c>
      <c r="B3545" t="s">
        <v>1320</v>
      </c>
      <c r="C3545" t="s">
        <v>36</v>
      </c>
      <c r="D3545" t="s">
        <v>3785</v>
      </c>
      <c r="E3545" t="s">
        <v>61</v>
      </c>
      <c r="F3545" t="s">
        <v>85</v>
      </c>
      <c r="G3545" t="s">
        <v>61</v>
      </c>
      <c r="H3545" t="s">
        <v>4503</v>
      </c>
      <c r="J3545">
        <v>143</v>
      </c>
    </row>
    <row r="3546" spans="1:10" x14ac:dyDescent="0.35">
      <c r="A3546">
        <v>6203012300395</v>
      </c>
      <c r="B3546" t="s">
        <v>3786</v>
      </c>
      <c r="C3546" t="s">
        <v>1154</v>
      </c>
      <c r="D3546" t="s">
        <v>414</v>
      </c>
      <c r="E3546" t="s">
        <v>61</v>
      </c>
      <c r="F3546" t="s">
        <v>85</v>
      </c>
      <c r="G3546" t="s">
        <v>61</v>
      </c>
      <c r="H3546" t="s">
        <v>4503</v>
      </c>
      <c r="J3546">
        <v>145</v>
      </c>
    </row>
    <row r="3547" spans="1:10" x14ac:dyDescent="0.35">
      <c r="A3547">
        <v>6203012300418</v>
      </c>
      <c r="B3547" t="s">
        <v>3787</v>
      </c>
      <c r="C3547" t="s">
        <v>1154</v>
      </c>
      <c r="D3547" t="s">
        <v>414</v>
      </c>
      <c r="E3547" t="s">
        <v>61</v>
      </c>
      <c r="F3547" t="s">
        <v>85</v>
      </c>
      <c r="G3547" t="s">
        <v>61</v>
      </c>
      <c r="H3547" t="s">
        <v>4503</v>
      </c>
      <c r="J3547">
        <v>5</v>
      </c>
    </row>
    <row r="3548" spans="1:10" x14ac:dyDescent="0.35">
      <c r="A3548">
        <v>6203012300456</v>
      </c>
      <c r="B3548" t="s">
        <v>3788</v>
      </c>
      <c r="C3548" t="s">
        <v>1154</v>
      </c>
      <c r="D3548" t="s">
        <v>414</v>
      </c>
      <c r="E3548" t="s">
        <v>61</v>
      </c>
      <c r="F3548" t="s">
        <v>85</v>
      </c>
      <c r="G3548" t="s">
        <v>61</v>
      </c>
      <c r="H3548" t="s">
        <v>4503</v>
      </c>
      <c r="I3548">
        <v>27.5</v>
      </c>
      <c r="J3548">
        <v>50</v>
      </c>
    </row>
    <row r="3549" spans="1:10" x14ac:dyDescent="0.35">
      <c r="A3549">
        <v>6203012300500</v>
      </c>
      <c r="B3549" t="s">
        <v>3715</v>
      </c>
      <c r="C3549" t="s">
        <v>3789</v>
      </c>
      <c r="D3549" t="s">
        <v>3779</v>
      </c>
      <c r="E3549" t="s">
        <v>61</v>
      </c>
      <c r="F3549" t="s">
        <v>85</v>
      </c>
      <c r="G3549" t="s">
        <v>61</v>
      </c>
      <c r="H3549" t="s">
        <v>4503</v>
      </c>
      <c r="J3549">
        <v>3</v>
      </c>
    </row>
    <row r="3550" spans="1:10" x14ac:dyDescent="0.35">
      <c r="A3550">
        <v>6203012300517</v>
      </c>
      <c r="B3550" t="s">
        <v>3790</v>
      </c>
      <c r="C3550" t="s">
        <v>83</v>
      </c>
      <c r="D3550" t="s">
        <v>414</v>
      </c>
      <c r="E3550" t="s">
        <v>61</v>
      </c>
      <c r="F3550" t="s">
        <v>85</v>
      </c>
      <c r="G3550" t="s">
        <v>61</v>
      </c>
      <c r="H3550" t="s">
        <v>4503</v>
      </c>
      <c r="J3550">
        <v>104</v>
      </c>
    </row>
    <row r="3551" spans="1:10" x14ac:dyDescent="0.35">
      <c r="A3551">
        <v>6203012300548</v>
      </c>
      <c r="B3551" t="s">
        <v>3791</v>
      </c>
      <c r="C3551" t="s">
        <v>83</v>
      </c>
      <c r="D3551" t="s">
        <v>414</v>
      </c>
      <c r="E3551" t="s">
        <v>61</v>
      </c>
      <c r="F3551" t="s">
        <v>85</v>
      </c>
      <c r="G3551" t="s">
        <v>61</v>
      </c>
      <c r="H3551" t="s">
        <v>4503</v>
      </c>
      <c r="J3551">
        <v>1041</v>
      </c>
    </row>
    <row r="3552" spans="1:10" x14ac:dyDescent="0.35">
      <c r="A3552">
        <v>6203012300579</v>
      </c>
      <c r="B3552" t="s">
        <v>84</v>
      </c>
      <c r="C3552" t="s">
        <v>1154</v>
      </c>
      <c r="D3552" t="s">
        <v>414</v>
      </c>
      <c r="E3552" t="s">
        <v>61</v>
      </c>
      <c r="F3552" t="s">
        <v>85</v>
      </c>
      <c r="G3552" t="s">
        <v>61</v>
      </c>
      <c r="H3552" t="s">
        <v>4503</v>
      </c>
      <c r="J3552">
        <v>166</v>
      </c>
    </row>
    <row r="3553" spans="1:10" x14ac:dyDescent="0.35">
      <c r="A3553">
        <v>6203012300593</v>
      </c>
      <c r="B3553" t="s">
        <v>3792</v>
      </c>
      <c r="C3553" t="s">
        <v>2244</v>
      </c>
      <c r="D3553" t="s">
        <v>3785</v>
      </c>
      <c r="E3553" t="s">
        <v>61</v>
      </c>
      <c r="F3553" t="s">
        <v>85</v>
      </c>
      <c r="G3553" t="s">
        <v>61</v>
      </c>
      <c r="H3553" t="s">
        <v>4503</v>
      </c>
      <c r="J3553">
        <v>2</v>
      </c>
    </row>
    <row r="3554" spans="1:10" x14ac:dyDescent="0.35">
      <c r="A3554">
        <v>6203012300630</v>
      </c>
      <c r="B3554" t="s">
        <v>544</v>
      </c>
      <c r="C3554" t="s">
        <v>192</v>
      </c>
      <c r="D3554" t="s">
        <v>3779</v>
      </c>
      <c r="E3554" t="s">
        <v>61</v>
      </c>
      <c r="F3554" t="s">
        <v>85</v>
      </c>
      <c r="G3554" t="s">
        <v>61</v>
      </c>
      <c r="H3554" t="s">
        <v>4503</v>
      </c>
      <c r="J3554">
        <v>380</v>
      </c>
    </row>
    <row r="3555" spans="1:10" x14ac:dyDescent="0.35">
      <c r="A3555">
        <v>6203012300876</v>
      </c>
      <c r="B3555" t="s">
        <v>3793</v>
      </c>
      <c r="C3555" t="s">
        <v>385</v>
      </c>
      <c r="D3555" t="s">
        <v>414</v>
      </c>
      <c r="E3555" t="s">
        <v>61</v>
      </c>
      <c r="F3555" t="s">
        <v>85</v>
      </c>
      <c r="G3555" t="s">
        <v>61</v>
      </c>
      <c r="H3555" t="s">
        <v>4503</v>
      </c>
      <c r="J3555">
        <v>54</v>
      </c>
    </row>
    <row r="3556" spans="1:10" x14ac:dyDescent="0.35">
      <c r="A3556">
        <v>6203012300920</v>
      </c>
      <c r="B3556" t="s">
        <v>3794</v>
      </c>
      <c r="C3556" t="s">
        <v>1154</v>
      </c>
      <c r="D3556" t="s">
        <v>414</v>
      </c>
      <c r="E3556" t="s">
        <v>61</v>
      </c>
      <c r="F3556" t="s">
        <v>85</v>
      </c>
      <c r="G3556" t="s">
        <v>61</v>
      </c>
      <c r="H3556" t="s">
        <v>4503</v>
      </c>
      <c r="J3556">
        <v>10</v>
      </c>
    </row>
    <row r="3557" spans="1:10" x14ac:dyDescent="0.35">
      <c r="A3557">
        <v>6203012300937</v>
      </c>
      <c r="B3557" t="s">
        <v>3795</v>
      </c>
      <c r="C3557" t="s">
        <v>806</v>
      </c>
      <c r="D3557" t="s">
        <v>414</v>
      </c>
      <c r="E3557" t="s">
        <v>61</v>
      </c>
      <c r="F3557" t="s">
        <v>85</v>
      </c>
      <c r="G3557" t="s">
        <v>61</v>
      </c>
      <c r="H3557" t="s">
        <v>4503</v>
      </c>
      <c r="J3557">
        <v>219</v>
      </c>
    </row>
    <row r="3558" spans="1:10" x14ac:dyDescent="0.35">
      <c r="A3558">
        <v>6203012301323</v>
      </c>
      <c r="B3558" t="s">
        <v>668</v>
      </c>
      <c r="C3558" t="s">
        <v>83</v>
      </c>
      <c r="D3558" t="s">
        <v>414</v>
      </c>
      <c r="E3558" t="s">
        <v>61</v>
      </c>
      <c r="F3558" t="s">
        <v>85</v>
      </c>
      <c r="G3558" t="s">
        <v>61</v>
      </c>
      <c r="H3558" t="s">
        <v>4503</v>
      </c>
      <c r="J3558">
        <v>35</v>
      </c>
    </row>
    <row r="3559" spans="1:10" x14ac:dyDescent="0.35">
      <c r="A3559">
        <v>6203012301446</v>
      </c>
      <c r="B3559" t="s">
        <v>947</v>
      </c>
      <c r="C3559" t="s">
        <v>1095</v>
      </c>
      <c r="D3559" t="s">
        <v>3779</v>
      </c>
      <c r="E3559" t="s">
        <v>61</v>
      </c>
      <c r="F3559" t="s">
        <v>85</v>
      </c>
      <c r="G3559" t="s">
        <v>61</v>
      </c>
      <c r="H3559" t="s">
        <v>4503</v>
      </c>
      <c r="J3559">
        <v>6</v>
      </c>
    </row>
    <row r="3560" spans="1:10" x14ac:dyDescent="0.35">
      <c r="A3560">
        <v>6203012960230</v>
      </c>
      <c r="B3560" t="s">
        <v>3796</v>
      </c>
      <c r="C3560" t="s">
        <v>81</v>
      </c>
      <c r="D3560" t="s">
        <v>3797</v>
      </c>
      <c r="E3560" t="s">
        <v>788</v>
      </c>
      <c r="F3560" t="s">
        <v>3798</v>
      </c>
      <c r="G3560" t="s">
        <v>61</v>
      </c>
      <c r="H3560" t="s">
        <v>4989</v>
      </c>
      <c r="J3560">
        <v>30</v>
      </c>
    </row>
    <row r="3561" spans="1:10" x14ac:dyDescent="0.35">
      <c r="A3561">
        <v>6203012970093</v>
      </c>
      <c r="B3561" t="s">
        <v>2887</v>
      </c>
      <c r="C3561" t="s">
        <v>43</v>
      </c>
      <c r="D3561" t="s">
        <v>1040</v>
      </c>
      <c r="E3561" t="s">
        <v>1041</v>
      </c>
      <c r="F3561" t="s">
        <v>1042</v>
      </c>
      <c r="G3561" t="s">
        <v>61</v>
      </c>
      <c r="H3561" t="s">
        <v>4642</v>
      </c>
      <c r="J3561">
        <v>9</v>
      </c>
    </row>
    <row r="3562" spans="1:10" x14ac:dyDescent="0.35">
      <c r="A3562">
        <v>6203012970222</v>
      </c>
      <c r="B3562" t="s">
        <v>3799</v>
      </c>
      <c r="C3562" t="s">
        <v>2089</v>
      </c>
      <c r="D3562" t="s">
        <v>1040</v>
      </c>
      <c r="E3562" t="s">
        <v>1041</v>
      </c>
      <c r="F3562" t="s">
        <v>1042</v>
      </c>
      <c r="G3562" t="s">
        <v>61</v>
      </c>
      <c r="H3562" t="s">
        <v>4642</v>
      </c>
      <c r="J3562">
        <v>1</v>
      </c>
    </row>
    <row r="3563" spans="1:10" x14ac:dyDescent="0.35">
      <c r="A3563">
        <v>6203012970345</v>
      </c>
      <c r="B3563" t="s">
        <v>3800</v>
      </c>
      <c r="C3563" t="s">
        <v>43</v>
      </c>
      <c r="D3563" t="s">
        <v>3800</v>
      </c>
      <c r="E3563" t="s">
        <v>1041</v>
      </c>
      <c r="F3563" t="s">
        <v>1042</v>
      </c>
      <c r="G3563" t="s">
        <v>61</v>
      </c>
      <c r="H3563" t="s">
        <v>4642</v>
      </c>
      <c r="J3563">
        <v>28</v>
      </c>
    </row>
    <row r="3564" spans="1:10" x14ac:dyDescent="0.35">
      <c r="A3564">
        <v>6203012970499</v>
      </c>
      <c r="B3564" t="s">
        <v>3800</v>
      </c>
      <c r="C3564" t="s">
        <v>43</v>
      </c>
      <c r="D3564" t="s">
        <v>3800</v>
      </c>
      <c r="E3564" t="s">
        <v>1041</v>
      </c>
      <c r="F3564" t="s">
        <v>1042</v>
      </c>
      <c r="G3564" t="s">
        <v>61</v>
      </c>
      <c r="H3564" t="s">
        <v>4642</v>
      </c>
      <c r="J3564">
        <v>24</v>
      </c>
    </row>
    <row r="3565" spans="1:10" x14ac:dyDescent="0.35">
      <c r="A3565">
        <v>6203012970710</v>
      </c>
      <c r="B3565" t="s">
        <v>2887</v>
      </c>
      <c r="C3565" t="s">
        <v>9</v>
      </c>
      <c r="D3565" t="s">
        <v>1040</v>
      </c>
      <c r="E3565" t="s">
        <v>1041</v>
      </c>
      <c r="F3565" t="s">
        <v>1042</v>
      </c>
      <c r="G3565" t="s">
        <v>61</v>
      </c>
      <c r="H3565" t="s">
        <v>4642</v>
      </c>
      <c r="J3565">
        <v>10</v>
      </c>
    </row>
    <row r="3566" spans="1:10" x14ac:dyDescent="0.35">
      <c r="A3566">
        <v>6203012970857</v>
      </c>
      <c r="B3566" t="s">
        <v>3801</v>
      </c>
      <c r="C3566" t="s">
        <v>69</v>
      </c>
      <c r="D3566" t="s">
        <v>1040</v>
      </c>
      <c r="E3566" t="s">
        <v>1041</v>
      </c>
      <c r="F3566" t="s">
        <v>1042</v>
      </c>
      <c r="G3566" t="s">
        <v>61</v>
      </c>
      <c r="H3566" t="s">
        <v>4642</v>
      </c>
      <c r="J3566">
        <v>13</v>
      </c>
    </row>
    <row r="3567" spans="1:10" x14ac:dyDescent="0.35">
      <c r="A3567">
        <v>6203013230004</v>
      </c>
      <c r="B3567" t="s">
        <v>485</v>
      </c>
      <c r="C3567" t="s">
        <v>192</v>
      </c>
      <c r="D3567" t="s">
        <v>1018</v>
      </c>
      <c r="E3567" t="s">
        <v>61</v>
      </c>
      <c r="F3567" t="s">
        <v>1019</v>
      </c>
      <c r="G3567" t="s">
        <v>61</v>
      </c>
      <c r="H3567" t="s">
        <v>4637</v>
      </c>
      <c r="J3567">
        <v>2034</v>
      </c>
    </row>
    <row r="3568" spans="1:10" x14ac:dyDescent="0.35">
      <c r="A3568">
        <v>6203013230011</v>
      </c>
      <c r="B3568" t="s">
        <v>3802</v>
      </c>
      <c r="C3568" t="s">
        <v>9</v>
      </c>
      <c r="D3568" t="s">
        <v>1018</v>
      </c>
      <c r="E3568" t="s">
        <v>61</v>
      </c>
      <c r="F3568" t="s">
        <v>1019</v>
      </c>
      <c r="G3568" t="s">
        <v>34</v>
      </c>
      <c r="H3568" t="s">
        <v>4637</v>
      </c>
      <c r="J3568">
        <v>1</v>
      </c>
    </row>
    <row r="3569" spans="1:10" x14ac:dyDescent="0.35">
      <c r="A3569">
        <v>6203013230011</v>
      </c>
      <c r="B3569" t="s">
        <v>3802</v>
      </c>
      <c r="C3569" t="s">
        <v>9</v>
      </c>
      <c r="D3569" t="s">
        <v>1018</v>
      </c>
      <c r="E3569" t="s">
        <v>61</v>
      </c>
      <c r="F3569" t="s">
        <v>1019</v>
      </c>
      <c r="G3569" t="s">
        <v>61</v>
      </c>
      <c r="H3569" t="s">
        <v>4637</v>
      </c>
      <c r="J3569">
        <v>701</v>
      </c>
    </row>
    <row r="3570" spans="1:10" x14ac:dyDescent="0.35">
      <c r="A3570">
        <v>6203013230028</v>
      </c>
      <c r="B3570" t="s">
        <v>1018</v>
      </c>
      <c r="C3570" t="s">
        <v>603</v>
      </c>
      <c r="D3570" t="s">
        <v>1018</v>
      </c>
      <c r="E3570" t="s">
        <v>61</v>
      </c>
      <c r="F3570" t="s">
        <v>1019</v>
      </c>
      <c r="G3570" t="s">
        <v>61</v>
      </c>
      <c r="H3570" t="s">
        <v>4637</v>
      </c>
      <c r="J3570">
        <v>180</v>
      </c>
    </row>
    <row r="3571" spans="1:10" x14ac:dyDescent="0.35">
      <c r="A3571">
        <v>6203013471629</v>
      </c>
      <c r="B3571" t="s">
        <v>3803</v>
      </c>
      <c r="C3571" t="s">
        <v>806</v>
      </c>
      <c r="D3571" t="s">
        <v>3804</v>
      </c>
      <c r="E3571" t="s">
        <v>61</v>
      </c>
      <c r="F3571" t="s">
        <v>3805</v>
      </c>
      <c r="G3571" t="s">
        <v>61</v>
      </c>
      <c r="H3571" t="s">
        <v>4990</v>
      </c>
      <c r="J3571">
        <v>1</v>
      </c>
    </row>
    <row r="3572" spans="1:10" x14ac:dyDescent="0.35">
      <c r="A3572">
        <v>6203013471667</v>
      </c>
      <c r="B3572" t="s">
        <v>3806</v>
      </c>
      <c r="C3572" t="s">
        <v>38</v>
      </c>
      <c r="D3572" t="s">
        <v>1169</v>
      </c>
      <c r="E3572" t="s">
        <v>61</v>
      </c>
      <c r="F3572" t="s">
        <v>1170</v>
      </c>
      <c r="G3572" t="s">
        <v>150</v>
      </c>
      <c r="H3572" t="s">
        <v>4660</v>
      </c>
      <c r="J3572">
        <v>6</v>
      </c>
    </row>
    <row r="3573" spans="1:10" x14ac:dyDescent="0.35">
      <c r="A3573">
        <v>6203013770005</v>
      </c>
      <c r="B3573" t="s">
        <v>485</v>
      </c>
      <c r="C3573" t="s">
        <v>9</v>
      </c>
      <c r="D3573" t="s">
        <v>420</v>
      </c>
      <c r="E3573" t="s">
        <v>61</v>
      </c>
      <c r="F3573" t="s">
        <v>421</v>
      </c>
      <c r="G3573" t="s">
        <v>61</v>
      </c>
      <c r="H3573" t="s">
        <v>4549</v>
      </c>
      <c r="J3573">
        <v>206</v>
      </c>
    </row>
    <row r="3574" spans="1:10" x14ac:dyDescent="0.35">
      <c r="A3574">
        <v>6203013770012</v>
      </c>
      <c r="B3574" t="s">
        <v>544</v>
      </c>
      <c r="C3574" t="s">
        <v>81</v>
      </c>
      <c r="D3574" t="s">
        <v>420</v>
      </c>
      <c r="E3574" t="s">
        <v>61</v>
      </c>
      <c r="F3574" t="s">
        <v>421</v>
      </c>
      <c r="G3574" t="s">
        <v>1201</v>
      </c>
      <c r="H3574" t="s">
        <v>4549</v>
      </c>
      <c r="I3574">
        <v>31.5</v>
      </c>
      <c r="J3574">
        <v>1</v>
      </c>
    </row>
    <row r="3575" spans="1:10" x14ac:dyDescent="0.35">
      <c r="A3575">
        <v>6203013770012</v>
      </c>
      <c r="B3575" t="s">
        <v>544</v>
      </c>
      <c r="C3575" t="s">
        <v>81</v>
      </c>
      <c r="D3575" t="s">
        <v>420</v>
      </c>
      <c r="E3575" t="s">
        <v>61</v>
      </c>
      <c r="F3575" t="s">
        <v>421</v>
      </c>
      <c r="G3575" t="s">
        <v>61</v>
      </c>
      <c r="H3575" t="s">
        <v>4549</v>
      </c>
      <c r="I3575">
        <v>31.5</v>
      </c>
      <c r="J3575">
        <v>1271</v>
      </c>
    </row>
    <row r="3576" spans="1:10" x14ac:dyDescent="0.35">
      <c r="A3576">
        <v>6203013770029</v>
      </c>
      <c r="B3576" t="s">
        <v>1839</v>
      </c>
      <c r="C3576" t="s">
        <v>192</v>
      </c>
      <c r="D3576" t="s">
        <v>420</v>
      </c>
      <c r="E3576" t="s">
        <v>61</v>
      </c>
      <c r="F3576" t="s">
        <v>421</v>
      </c>
      <c r="G3576" t="s">
        <v>61</v>
      </c>
      <c r="H3576" t="s">
        <v>4549</v>
      </c>
      <c r="J3576">
        <v>105</v>
      </c>
    </row>
    <row r="3577" spans="1:10" x14ac:dyDescent="0.35">
      <c r="A3577">
        <v>6203013770043</v>
      </c>
      <c r="B3577" t="s">
        <v>1240</v>
      </c>
      <c r="C3577" t="s">
        <v>3789</v>
      </c>
      <c r="D3577" t="s">
        <v>420</v>
      </c>
      <c r="E3577" t="s">
        <v>61</v>
      </c>
      <c r="F3577" t="s">
        <v>421</v>
      </c>
      <c r="G3577" t="s">
        <v>61</v>
      </c>
      <c r="H3577" t="s">
        <v>4549</v>
      </c>
      <c r="J3577">
        <v>56</v>
      </c>
    </row>
    <row r="3578" spans="1:10" x14ac:dyDescent="0.35">
      <c r="A3578">
        <v>6203013770050</v>
      </c>
      <c r="B3578" t="s">
        <v>3715</v>
      </c>
      <c r="C3578" t="s">
        <v>3716</v>
      </c>
      <c r="D3578" t="s">
        <v>420</v>
      </c>
      <c r="E3578" t="s">
        <v>61</v>
      </c>
      <c r="F3578" t="s">
        <v>421</v>
      </c>
      <c r="G3578" t="s">
        <v>61</v>
      </c>
      <c r="H3578" t="s">
        <v>4549</v>
      </c>
      <c r="J3578">
        <v>3</v>
      </c>
    </row>
    <row r="3579" spans="1:10" x14ac:dyDescent="0.35">
      <c r="A3579">
        <v>6203013770067</v>
      </c>
      <c r="B3579" t="s">
        <v>3807</v>
      </c>
      <c r="C3579" t="s">
        <v>83</v>
      </c>
      <c r="D3579" t="s">
        <v>3808</v>
      </c>
      <c r="E3579" t="s">
        <v>61</v>
      </c>
      <c r="F3579" t="s">
        <v>421</v>
      </c>
      <c r="G3579" t="s">
        <v>61</v>
      </c>
      <c r="H3579" t="s">
        <v>4549</v>
      </c>
      <c r="J3579">
        <v>17</v>
      </c>
    </row>
    <row r="3580" spans="1:10" x14ac:dyDescent="0.35">
      <c r="A3580">
        <v>6203014960115</v>
      </c>
      <c r="B3580" t="s">
        <v>3809</v>
      </c>
      <c r="C3580" t="s">
        <v>36</v>
      </c>
      <c r="D3580" t="s">
        <v>3810</v>
      </c>
      <c r="E3580" t="s">
        <v>61</v>
      </c>
      <c r="F3580" t="s">
        <v>3811</v>
      </c>
      <c r="G3580" t="s">
        <v>61</v>
      </c>
      <c r="H3580" t="s">
        <v>4991</v>
      </c>
      <c r="J3580">
        <v>8</v>
      </c>
    </row>
    <row r="3581" spans="1:10" x14ac:dyDescent="0.35">
      <c r="A3581">
        <v>6203015450011</v>
      </c>
      <c r="B3581" t="s">
        <v>947</v>
      </c>
      <c r="C3581" t="s">
        <v>9</v>
      </c>
      <c r="D3581" t="s">
        <v>3812</v>
      </c>
      <c r="E3581" t="s">
        <v>61</v>
      </c>
      <c r="F3581" t="s">
        <v>3813</v>
      </c>
      <c r="G3581" t="s">
        <v>61</v>
      </c>
      <c r="H3581" t="s">
        <v>4992</v>
      </c>
      <c r="J3581">
        <v>9</v>
      </c>
    </row>
    <row r="3582" spans="1:10" x14ac:dyDescent="0.35">
      <c r="A3582">
        <v>6203015450028</v>
      </c>
      <c r="B3582" t="s">
        <v>947</v>
      </c>
      <c r="C3582" t="s">
        <v>192</v>
      </c>
      <c r="D3582" t="s">
        <v>3812</v>
      </c>
      <c r="E3582" t="s">
        <v>61</v>
      </c>
      <c r="F3582" t="s">
        <v>3813</v>
      </c>
      <c r="G3582" t="s">
        <v>61</v>
      </c>
      <c r="H3582" t="s">
        <v>4992</v>
      </c>
      <c r="J3582">
        <v>361</v>
      </c>
    </row>
    <row r="3583" spans="1:10" x14ac:dyDescent="0.35">
      <c r="A3583">
        <v>6203015450042</v>
      </c>
      <c r="B3583" t="s">
        <v>3814</v>
      </c>
      <c r="C3583" t="s">
        <v>801</v>
      </c>
      <c r="D3583" t="s">
        <v>3812</v>
      </c>
      <c r="E3583" t="s">
        <v>61</v>
      </c>
      <c r="F3583" t="s">
        <v>3813</v>
      </c>
      <c r="G3583" t="s">
        <v>61</v>
      </c>
      <c r="H3583" t="s">
        <v>4992</v>
      </c>
      <c r="J3583">
        <v>50</v>
      </c>
    </row>
    <row r="3584" spans="1:10" x14ac:dyDescent="0.35">
      <c r="A3584">
        <v>6203015760233</v>
      </c>
      <c r="B3584" t="s">
        <v>3815</v>
      </c>
      <c r="C3584" t="s">
        <v>253</v>
      </c>
      <c r="D3584" t="s">
        <v>452</v>
      </c>
      <c r="E3584" t="s">
        <v>15</v>
      </c>
      <c r="F3584" t="s">
        <v>14</v>
      </c>
      <c r="G3584" t="s">
        <v>61</v>
      </c>
      <c r="H3584" t="s">
        <v>4489</v>
      </c>
      <c r="J3584">
        <v>4</v>
      </c>
    </row>
    <row r="3585" spans="1:10" x14ac:dyDescent="0.35">
      <c r="A3585">
        <v>6203016100007</v>
      </c>
      <c r="B3585" t="s">
        <v>3816</v>
      </c>
      <c r="C3585" t="s">
        <v>36</v>
      </c>
      <c r="D3585" t="s">
        <v>3816</v>
      </c>
      <c r="E3585" t="s">
        <v>61</v>
      </c>
      <c r="F3585" t="s">
        <v>3817</v>
      </c>
      <c r="G3585" t="s">
        <v>34</v>
      </c>
      <c r="H3585" t="s">
        <v>4993</v>
      </c>
      <c r="J3585">
        <v>6</v>
      </c>
    </row>
    <row r="3586" spans="1:10" x14ac:dyDescent="0.35">
      <c r="A3586">
        <v>6203016100007</v>
      </c>
      <c r="B3586" t="s">
        <v>3816</v>
      </c>
      <c r="C3586" t="s">
        <v>36</v>
      </c>
      <c r="D3586" t="s">
        <v>3816</v>
      </c>
      <c r="E3586" t="s">
        <v>61</v>
      </c>
      <c r="F3586" t="s">
        <v>3817</v>
      </c>
      <c r="G3586" t="s">
        <v>61</v>
      </c>
      <c r="H3586" t="s">
        <v>4993</v>
      </c>
      <c r="J3586">
        <v>44</v>
      </c>
    </row>
    <row r="3587" spans="1:10" x14ac:dyDescent="0.35">
      <c r="A3587">
        <v>6203016100007</v>
      </c>
      <c r="B3587" t="s">
        <v>3816</v>
      </c>
      <c r="C3587" t="s">
        <v>36</v>
      </c>
      <c r="D3587" t="s">
        <v>3816</v>
      </c>
      <c r="E3587" t="s">
        <v>61</v>
      </c>
      <c r="F3587" t="s">
        <v>3817</v>
      </c>
      <c r="G3587" t="s">
        <v>31</v>
      </c>
      <c r="H3587" t="s">
        <v>4993</v>
      </c>
      <c r="J3587">
        <v>17</v>
      </c>
    </row>
    <row r="3588" spans="1:10" x14ac:dyDescent="0.35">
      <c r="A3588">
        <v>6203016120036</v>
      </c>
      <c r="B3588" t="s">
        <v>3818</v>
      </c>
      <c r="C3588" t="s">
        <v>9</v>
      </c>
      <c r="D3588" t="s">
        <v>1215</v>
      </c>
      <c r="E3588" t="s">
        <v>61</v>
      </c>
      <c r="F3588" t="s">
        <v>1216</v>
      </c>
      <c r="G3588" t="s">
        <v>61</v>
      </c>
      <c r="H3588" t="s">
        <v>4666</v>
      </c>
      <c r="J3588">
        <v>2</v>
      </c>
    </row>
    <row r="3589" spans="1:10" x14ac:dyDescent="0.35">
      <c r="A3589">
        <v>6203016120050</v>
      </c>
      <c r="B3589" t="s">
        <v>3819</v>
      </c>
      <c r="C3589" t="s">
        <v>1175</v>
      </c>
      <c r="D3589" t="s">
        <v>2609</v>
      </c>
      <c r="E3589" t="s">
        <v>61</v>
      </c>
      <c r="F3589" t="s">
        <v>1216</v>
      </c>
      <c r="G3589" t="s">
        <v>61</v>
      </c>
      <c r="H3589" t="s">
        <v>4666</v>
      </c>
      <c r="J3589">
        <v>6</v>
      </c>
    </row>
    <row r="3590" spans="1:10" x14ac:dyDescent="0.35">
      <c r="A3590">
        <v>6203016120067</v>
      </c>
      <c r="B3590" t="s">
        <v>857</v>
      </c>
      <c r="C3590" t="s">
        <v>1175</v>
      </c>
      <c r="D3590" t="s">
        <v>2609</v>
      </c>
      <c r="E3590" t="s">
        <v>61</v>
      </c>
      <c r="F3590" t="s">
        <v>1216</v>
      </c>
      <c r="G3590" t="s">
        <v>61</v>
      </c>
      <c r="H3590" t="s">
        <v>4666</v>
      </c>
      <c r="J3590">
        <v>18</v>
      </c>
    </row>
    <row r="3591" spans="1:10" x14ac:dyDescent="0.35">
      <c r="A3591">
        <v>6203016120067</v>
      </c>
      <c r="B3591" t="s">
        <v>857</v>
      </c>
      <c r="C3591" t="s">
        <v>1175</v>
      </c>
      <c r="D3591" t="s">
        <v>2609</v>
      </c>
      <c r="E3591" t="s">
        <v>61</v>
      </c>
      <c r="F3591" t="s">
        <v>1216</v>
      </c>
      <c r="G3591" t="s">
        <v>31</v>
      </c>
      <c r="H3591" t="s">
        <v>4666</v>
      </c>
      <c r="J3591">
        <v>1</v>
      </c>
    </row>
    <row r="3592" spans="1:10" x14ac:dyDescent="0.35">
      <c r="A3592">
        <v>6203016120081</v>
      </c>
      <c r="B3592" t="s">
        <v>3820</v>
      </c>
      <c r="C3592" t="s">
        <v>1175</v>
      </c>
      <c r="D3592" t="s">
        <v>2609</v>
      </c>
      <c r="E3592" t="s">
        <v>61</v>
      </c>
      <c r="F3592" t="s">
        <v>1216</v>
      </c>
      <c r="G3592" t="s">
        <v>61</v>
      </c>
      <c r="H3592" t="s">
        <v>4666</v>
      </c>
      <c r="J3592">
        <v>2</v>
      </c>
    </row>
    <row r="3593" spans="1:10" x14ac:dyDescent="0.35">
      <c r="A3593">
        <v>6203016120104</v>
      </c>
      <c r="B3593" t="s">
        <v>1109</v>
      </c>
      <c r="C3593" t="s">
        <v>1175</v>
      </c>
      <c r="D3593" t="s">
        <v>1215</v>
      </c>
      <c r="E3593" t="s">
        <v>61</v>
      </c>
      <c r="F3593" t="s">
        <v>1216</v>
      </c>
      <c r="G3593" t="s">
        <v>61</v>
      </c>
      <c r="H3593" t="s">
        <v>4666</v>
      </c>
      <c r="J3593">
        <v>2</v>
      </c>
    </row>
    <row r="3594" spans="1:10" x14ac:dyDescent="0.35">
      <c r="A3594">
        <v>6203016120142</v>
      </c>
      <c r="B3594" t="s">
        <v>3821</v>
      </c>
      <c r="C3594" t="s">
        <v>431</v>
      </c>
      <c r="D3594" t="s">
        <v>1215</v>
      </c>
      <c r="E3594" t="s">
        <v>61</v>
      </c>
      <c r="F3594" t="s">
        <v>1216</v>
      </c>
      <c r="G3594" t="s">
        <v>61</v>
      </c>
      <c r="H3594" t="s">
        <v>4666</v>
      </c>
      <c r="J3594">
        <v>1</v>
      </c>
    </row>
    <row r="3595" spans="1:10" x14ac:dyDescent="0.35">
      <c r="A3595">
        <v>6203016660006</v>
      </c>
      <c r="B3595" t="s">
        <v>3822</v>
      </c>
      <c r="C3595" t="s">
        <v>825</v>
      </c>
      <c r="D3595" t="s">
        <v>3823</v>
      </c>
      <c r="E3595" t="s">
        <v>61</v>
      </c>
      <c r="F3595" t="s">
        <v>3824</v>
      </c>
      <c r="G3595" t="s">
        <v>61</v>
      </c>
      <c r="H3595" t="s">
        <v>4994</v>
      </c>
      <c r="J3595">
        <v>21</v>
      </c>
    </row>
    <row r="3596" spans="1:10" x14ac:dyDescent="0.35">
      <c r="A3596">
        <v>6203016870016</v>
      </c>
      <c r="B3596" t="s">
        <v>262</v>
      </c>
      <c r="C3596" t="s">
        <v>9</v>
      </c>
      <c r="D3596" t="s">
        <v>3006</v>
      </c>
      <c r="E3596" t="s">
        <v>61</v>
      </c>
      <c r="F3596" t="s">
        <v>3007</v>
      </c>
      <c r="G3596" t="s">
        <v>61</v>
      </c>
      <c r="H3596" t="s">
        <v>4867</v>
      </c>
      <c r="J3596">
        <v>74</v>
      </c>
    </row>
    <row r="3597" spans="1:10" x14ac:dyDescent="0.35">
      <c r="A3597">
        <v>6203016870023</v>
      </c>
      <c r="B3597" t="s">
        <v>262</v>
      </c>
      <c r="C3597" t="s">
        <v>81</v>
      </c>
      <c r="D3597" t="s">
        <v>3006</v>
      </c>
      <c r="E3597" t="s">
        <v>61</v>
      </c>
      <c r="F3597" t="s">
        <v>3007</v>
      </c>
      <c r="G3597" t="s">
        <v>61</v>
      </c>
      <c r="H3597" t="s">
        <v>4867</v>
      </c>
      <c r="J3597">
        <v>46</v>
      </c>
    </row>
    <row r="3598" spans="1:10" x14ac:dyDescent="0.35">
      <c r="A3598">
        <v>6203016870030</v>
      </c>
      <c r="B3598" t="s">
        <v>262</v>
      </c>
      <c r="C3598" t="s">
        <v>825</v>
      </c>
      <c r="D3598" t="s">
        <v>415</v>
      </c>
      <c r="E3598" t="s">
        <v>61</v>
      </c>
      <c r="F3598" t="s">
        <v>416</v>
      </c>
      <c r="G3598" t="s">
        <v>61</v>
      </c>
      <c r="H3598" t="s">
        <v>4548</v>
      </c>
      <c r="I3598">
        <v>40</v>
      </c>
      <c r="J3598">
        <v>10</v>
      </c>
    </row>
    <row r="3599" spans="1:10" x14ac:dyDescent="0.35">
      <c r="A3599">
        <v>6203017590364</v>
      </c>
      <c r="B3599" t="s">
        <v>3825</v>
      </c>
      <c r="C3599" t="s">
        <v>253</v>
      </c>
      <c r="D3599" t="s">
        <v>1661</v>
      </c>
      <c r="E3599" t="s">
        <v>308</v>
      </c>
      <c r="F3599" t="s">
        <v>309</v>
      </c>
      <c r="G3599" t="s">
        <v>61</v>
      </c>
      <c r="H3599" t="s">
        <v>4529</v>
      </c>
      <c r="J3599">
        <v>2</v>
      </c>
    </row>
    <row r="3600" spans="1:10" x14ac:dyDescent="0.35">
      <c r="A3600">
        <v>6203017920017</v>
      </c>
      <c r="B3600" t="s">
        <v>262</v>
      </c>
      <c r="C3600" t="s">
        <v>1173</v>
      </c>
      <c r="D3600" t="s">
        <v>3826</v>
      </c>
      <c r="E3600" t="s">
        <v>117</v>
      </c>
      <c r="F3600" t="s">
        <v>3827</v>
      </c>
      <c r="G3600" t="s">
        <v>117</v>
      </c>
      <c r="H3600" t="s">
        <v>4995</v>
      </c>
      <c r="J3600">
        <v>50</v>
      </c>
    </row>
    <row r="3601" spans="1:10" x14ac:dyDescent="0.35">
      <c r="A3601">
        <v>6203018120027</v>
      </c>
      <c r="B3601" t="s">
        <v>3284</v>
      </c>
      <c r="C3601" t="s">
        <v>814</v>
      </c>
      <c r="D3601" t="s">
        <v>3828</v>
      </c>
      <c r="E3601" t="s">
        <v>61</v>
      </c>
      <c r="F3601" t="s">
        <v>3829</v>
      </c>
      <c r="G3601" t="s">
        <v>117</v>
      </c>
      <c r="H3601" t="s">
        <v>4996</v>
      </c>
      <c r="J3601">
        <v>45</v>
      </c>
    </row>
    <row r="3602" spans="1:10" x14ac:dyDescent="0.35">
      <c r="A3602">
        <v>6203018120027</v>
      </c>
      <c r="B3602" t="s">
        <v>3284</v>
      </c>
      <c r="C3602" t="s">
        <v>814</v>
      </c>
      <c r="D3602" t="s">
        <v>3828</v>
      </c>
      <c r="E3602" t="s">
        <v>61</v>
      </c>
      <c r="F3602" t="s">
        <v>3829</v>
      </c>
      <c r="G3602" t="s">
        <v>61</v>
      </c>
      <c r="H3602" t="s">
        <v>4996</v>
      </c>
      <c r="J3602">
        <v>276</v>
      </c>
    </row>
    <row r="3603" spans="1:10" x14ac:dyDescent="0.35">
      <c r="A3603">
        <v>6203018120027</v>
      </c>
      <c r="B3603" t="s">
        <v>3284</v>
      </c>
      <c r="C3603" t="s">
        <v>814</v>
      </c>
      <c r="D3603" t="s">
        <v>3828</v>
      </c>
      <c r="E3603" t="s">
        <v>61</v>
      </c>
      <c r="F3603" t="s">
        <v>3829</v>
      </c>
      <c r="G3603" t="s">
        <v>31</v>
      </c>
      <c r="H3603" t="s">
        <v>4996</v>
      </c>
      <c r="J3603">
        <v>81</v>
      </c>
    </row>
    <row r="3604" spans="1:10" x14ac:dyDescent="0.35">
      <c r="A3604">
        <v>6203018220079</v>
      </c>
      <c r="B3604" t="s">
        <v>3830</v>
      </c>
      <c r="C3604" t="s">
        <v>83</v>
      </c>
      <c r="D3604" t="s">
        <v>3536</v>
      </c>
      <c r="E3604" t="s">
        <v>11</v>
      </c>
      <c r="F3604" t="s">
        <v>3537</v>
      </c>
      <c r="G3604" t="s">
        <v>61</v>
      </c>
      <c r="H3604" t="s">
        <v>4956</v>
      </c>
      <c r="J3604">
        <v>51</v>
      </c>
    </row>
    <row r="3605" spans="1:10" x14ac:dyDescent="0.35">
      <c r="A3605">
        <v>6203018220123</v>
      </c>
      <c r="B3605" t="s">
        <v>3831</v>
      </c>
      <c r="C3605" t="s">
        <v>1084</v>
      </c>
      <c r="D3605" t="s">
        <v>414</v>
      </c>
      <c r="E3605" t="s">
        <v>61</v>
      </c>
      <c r="F3605" t="s">
        <v>85</v>
      </c>
      <c r="G3605" t="s">
        <v>61</v>
      </c>
      <c r="H3605" t="s">
        <v>4503</v>
      </c>
      <c r="J3605">
        <v>1111</v>
      </c>
    </row>
    <row r="3606" spans="1:10" x14ac:dyDescent="0.35">
      <c r="A3606">
        <v>6203018220130</v>
      </c>
      <c r="B3606" t="s">
        <v>3060</v>
      </c>
      <c r="C3606" t="s">
        <v>83</v>
      </c>
      <c r="D3606" t="s">
        <v>414</v>
      </c>
      <c r="E3606" t="s">
        <v>61</v>
      </c>
      <c r="F3606" t="s">
        <v>85</v>
      </c>
      <c r="G3606" t="s">
        <v>61</v>
      </c>
      <c r="H3606" t="s">
        <v>4503</v>
      </c>
      <c r="I3606">
        <v>24</v>
      </c>
      <c r="J3606">
        <v>5654</v>
      </c>
    </row>
    <row r="3607" spans="1:10" x14ac:dyDescent="0.35">
      <c r="A3607">
        <v>6203018220130</v>
      </c>
      <c r="B3607" t="s">
        <v>3060</v>
      </c>
      <c r="C3607" t="s">
        <v>83</v>
      </c>
      <c r="D3607" t="s">
        <v>414</v>
      </c>
      <c r="E3607" t="s">
        <v>61</v>
      </c>
      <c r="F3607" t="s">
        <v>85</v>
      </c>
      <c r="G3607" t="s">
        <v>31</v>
      </c>
      <c r="H3607" t="s">
        <v>4503</v>
      </c>
      <c r="I3607">
        <v>24</v>
      </c>
      <c r="J3607">
        <v>1</v>
      </c>
    </row>
    <row r="3608" spans="1:10" x14ac:dyDescent="0.35">
      <c r="A3608">
        <v>6203018220154</v>
      </c>
      <c r="B3608" t="s">
        <v>3830</v>
      </c>
      <c r="C3608" t="s">
        <v>1154</v>
      </c>
      <c r="D3608" t="s">
        <v>3536</v>
      </c>
      <c r="E3608" t="s">
        <v>11</v>
      </c>
      <c r="F3608" t="s">
        <v>3537</v>
      </c>
      <c r="G3608" t="s">
        <v>61</v>
      </c>
      <c r="H3608" t="s">
        <v>4956</v>
      </c>
      <c r="J3608">
        <v>21</v>
      </c>
    </row>
    <row r="3609" spans="1:10" x14ac:dyDescent="0.35">
      <c r="A3609">
        <v>6203018220420</v>
      </c>
      <c r="B3609" t="s">
        <v>3832</v>
      </c>
      <c r="C3609" t="s">
        <v>83</v>
      </c>
      <c r="D3609" t="s">
        <v>84</v>
      </c>
      <c r="E3609" t="s">
        <v>61</v>
      </c>
      <c r="F3609" t="s">
        <v>85</v>
      </c>
      <c r="G3609" t="s">
        <v>61</v>
      </c>
      <c r="H3609" t="s">
        <v>4503</v>
      </c>
      <c r="J3609">
        <v>56</v>
      </c>
    </row>
    <row r="3610" spans="1:10" x14ac:dyDescent="0.35">
      <c r="A3610">
        <v>6203018220505</v>
      </c>
      <c r="B3610" t="s">
        <v>3833</v>
      </c>
      <c r="C3610">
        <v>300</v>
      </c>
      <c r="D3610" t="s">
        <v>3781</v>
      </c>
      <c r="E3610" t="s">
        <v>61</v>
      </c>
      <c r="F3610" t="s">
        <v>85</v>
      </c>
      <c r="G3610" t="s">
        <v>61</v>
      </c>
      <c r="H3610" t="s">
        <v>4503</v>
      </c>
      <c r="J3610">
        <v>1</v>
      </c>
    </row>
    <row r="3611" spans="1:10" x14ac:dyDescent="0.35">
      <c r="A3611">
        <v>6203018220529</v>
      </c>
      <c r="B3611" t="s">
        <v>3835</v>
      </c>
      <c r="C3611" t="s">
        <v>38</v>
      </c>
      <c r="D3611" t="s">
        <v>414</v>
      </c>
      <c r="E3611" t="s">
        <v>61</v>
      </c>
      <c r="F3611" t="s">
        <v>85</v>
      </c>
      <c r="G3611" t="s">
        <v>61</v>
      </c>
      <c r="H3611" t="s">
        <v>4503</v>
      </c>
      <c r="J3611">
        <v>2</v>
      </c>
    </row>
    <row r="3612" spans="1:10" x14ac:dyDescent="0.35">
      <c r="A3612">
        <v>6203018220550</v>
      </c>
      <c r="B3612" t="s">
        <v>413</v>
      </c>
      <c r="C3612" t="s">
        <v>38</v>
      </c>
      <c r="D3612" t="s">
        <v>414</v>
      </c>
      <c r="E3612" t="s">
        <v>61</v>
      </c>
      <c r="F3612" t="s">
        <v>85</v>
      </c>
      <c r="G3612" t="s">
        <v>61</v>
      </c>
      <c r="H3612" t="s">
        <v>4503</v>
      </c>
      <c r="J3612">
        <v>12</v>
      </c>
    </row>
    <row r="3613" spans="1:10" x14ac:dyDescent="0.35">
      <c r="A3613">
        <v>6203018220567</v>
      </c>
      <c r="B3613" t="s">
        <v>593</v>
      </c>
      <c r="C3613" t="s">
        <v>38</v>
      </c>
      <c r="D3613" t="s">
        <v>414</v>
      </c>
      <c r="E3613" t="s">
        <v>61</v>
      </c>
      <c r="F3613" t="s">
        <v>85</v>
      </c>
      <c r="G3613" t="s">
        <v>61</v>
      </c>
      <c r="H3613" t="s">
        <v>4503</v>
      </c>
      <c r="J3613">
        <v>3</v>
      </c>
    </row>
    <row r="3614" spans="1:10" x14ac:dyDescent="0.35">
      <c r="A3614">
        <v>6203018220574</v>
      </c>
      <c r="B3614" t="s">
        <v>3836</v>
      </c>
      <c r="C3614" t="s">
        <v>38</v>
      </c>
      <c r="D3614" t="s">
        <v>414</v>
      </c>
      <c r="E3614" t="s">
        <v>61</v>
      </c>
      <c r="F3614" t="s">
        <v>85</v>
      </c>
      <c r="G3614" t="s">
        <v>61</v>
      </c>
      <c r="H3614" t="s">
        <v>4503</v>
      </c>
      <c r="J3614">
        <v>4</v>
      </c>
    </row>
    <row r="3615" spans="1:10" x14ac:dyDescent="0.35">
      <c r="A3615">
        <v>6203018460093</v>
      </c>
      <c r="B3615" t="s">
        <v>3837</v>
      </c>
      <c r="C3615" t="s">
        <v>419</v>
      </c>
      <c r="D3615" t="s">
        <v>3838</v>
      </c>
      <c r="E3615" t="s">
        <v>308</v>
      </c>
      <c r="F3615" t="s">
        <v>309</v>
      </c>
      <c r="G3615" t="s">
        <v>61</v>
      </c>
      <c r="H3615" t="s">
        <v>4529</v>
      </c>
      <c r="J3615">
        <v>45</v>
      </c>
    </row>
    <row r="3616" spans="1:10" x14ac:dyDescent="0.35">
      <c r="A3616">
        <v>6203018460109</v>
      </c>
      <c r="B3616" t="s">
        <v>3839</v>
      </c>
      <c r="C3616" t="s">
        <v>43</v>
      </c>
      <c r="D3616" t="s">
        <v>3838</v>
      </c>
      <c r="E3616" t="s">
        <v>308</v>
      </c>
      <c r="F3616" t="s">
        <v>309</v>
      </c>
      <c r="G3616" t="s">
        <v>61</v>
      </c>
      <c r="H3616" t="s">
        <v>4529</v>
      </c>
      <c r="J3616">
        <v>19</v>
      </c>
    </row>
    <row r="3617" spans="1:10" x14ac:dyDescent="0.35">
      <c r="A3617">
        <v>6203018460314</v>
      </c>
      <c r="B3617" t="s">
        <v>3840</v>
      </c>
      <c r="C3617" t="s">
        <v>919</v>
      </c>
      <c r="D3617" t="s">
        <v>3838</v>
      </c>
      <c r="E3617" t="s">
        <v>308</v>
      </c>
      <c r="F3617" t="s">
        <v>309</v>
      </c>
      <c r="G3617" t="s">
        <v>61</v>
      </c>
      <c r="H3617" t="s">
        <v>4529</v>
      </c>
      <c r="J3617">
        <v>6</v>
      </c>
    </row>
    <row r="3618" spans="1:10" x14ac:dyDescent="0.35">
      <c r="A3618">
        <v>6203018460697</v>
      </c>
      <c r="B3618" t="s">
        <v>3841</v>
      </c>
      <c r="C3618" t="s">
        <v>419</v>
      </c>
      <c r="D3618" t="s">
        <v>3838</v>
      </c>
      <c r="E3618" t="s">
        <v>308</v>
      </c>
      <c r="F3618" t="s">
        <v>309</v>
      </c>
      <c r="G3618" t="s">
        <v>61</v>
      </c>
      <c r="H3618" t="s">
        <v>4529</v>
      </c>
      <c r="J3618">
        <v>1</v>
      </c>
    </row>
    <row r="3619" spans="1:10" x14ac:dyDescent="0.35">
      <c r="A3619">
        <v>6203022190009</v>
      </c>
      <c r="B3619" t="s">
        <v>3842</v>
      </c>
      <c r="C3619" t="s">
        <v>909</v>
      </c>
      <c r="D3619" t="s">
        <v>3357</v>
      </c>
      <c r="E3619" t="s">
        <v>308</v>
      </c>
      <c r="F3619" t="s">
        <v>309</v>
      </c>
      <c r="G3619" t="s">
        <v>61</v>
      </c>
      <c r="H3619" t="s">
        <v>4529</v>
      </c>
      <c r="J3619">
        <v>4</v>
      </c>
    </row>
    <row r="3620" spans="1:10" x14ac:dyDescent="0.35">
      <c r="A3620">
        <v>6203022840003</v>
      </c>
      <c r="B3620" t="s">
        <v>544</v>
      </c>
      <c r="C3620" t="s">
        <v>114</v>
      </c>
      <c r="D3620" t="s">
        <v>3843</v>
      </c>
      <c r="E3620" t="s">
        <v>308</v>
      </c>
      <c r="F3620" t="s">
        <v>309</v>
      </c>
      <c r="G3620" t="s">
        <v>150</v>
      </c>
      <c r="H3620" t="s">
        <v>4529</v>
      </c>
      <c r="J3620">
        <v>1</v>
      </c>
    </row>
    <row r="3621" spans="1:10" x14ac:dyDescent="0.35">
      <c r="A3621">
        <v>6203022840003</v>
      </c>
      <c r="B3621" t="s">
        <v>544</v>
      </c>
      <c r="C3621" t="s">
        <v>114</v>
      </c>
      <c r="D3621" t="s">
        <v>3843</v>
      </c>
      <c r="E3621" t="s">
        <v>308</v>
      </c>
      <c r="F3621" t="s">
        <v>309</v>
      </c>
      <c r="G3621" t="s">
        <v>61</v>
      </c>
      <c r="H3621" t="s">
        <v>4529</v>
      </c>
      <c r="J3621">
        <v>8</v>
      </c>
    </row>
    <row r="3622" spans="1:10" x14ac:dyDescent="0.35">
      <c r="A3622">
        <v>6203022840003</v>
      </c>
      <c r="B3622" t="s">
        <v>544</v>
      </c>
      <c r="C3622" t="s">
        <v>114</v>
      </c>
      <c r="D3622" t="s">
        <v>3843</v>
      </c>
      <c r="E3622" t="s">
        <v>308</v>
      </c>
      <c r="F3622" t="s">
        <v>309</v>
      </c>
      <c r="G3622" t="s">
        <v>31</v>
      </c>
      <c r="H3622" t="s">
        <v>4529</v>
      </c>
      <c r="J3622">
        <v>4</v>
      </c>
    </row>
    <row r="3623" spans="1:10" x14ac:dyDescent="0.35">
      <c r="A3623">
        <v>6203022840010</v>
      </c>
      <c r="B3623" t="s">
        <v>3844</v>
      </c>
      <c r="C3623" t="s">
        <v>3845</v>
      </c>
      <c r="D3623" t="s">
        <v>3843</v>
      </c>
      <c r="E3623" t="s">
        <v>308</v>
      </c>
      <c r="F3623" t="s">
        <v>309</v>
      </c>
      <c r="G3623" t="s">
        <v>61</v>
      </c>
      <c r="H3623" t="s">
        <v>4529</v>
      </c>
      <c r="J3623">
        <v>3</v>
      </c>
    </row>
    <row r="3624" spans="1:10" x14ac:dyDescent="0.35">
      <c r="A3624">
        <v>6203023810005</v>
      </c>
      <c r="B3624" t="s">
        <v>3846</v>
      </c>
      <c r="C3624" t="s">
        <v>3847</v>
      </c>
      <c r="D3624" t="s">
        <v>3699</v>
      </c>
      <c r="E3624" t="s">
        <v>308</v>
      </c>
      <c r="F3624" t="s">
        <v>309</v>
      </c>
      <c r="G3624" t="s">
        <v>61</v>
      </c>
      <c r="H3624" t="s">
        <v>4529</v>
      </c>
      <c r="J3624">
        <v>57</v>
      </c>
    </row>
    <row r="3625" spans="1:10" x14ac:dyDescent="0.35">
      <c r="A3625">
        <v>6203023810012</v>
      </c>
      <c r="B3625" t="s">
        <v>3848</v>
      </c>
      <c r="C3625" t="s">
        <v>1173</v>
      </c>
      <c r="D3625" t="s">
        <v>3699</v>
      </c>
      <c r="E3625" t="s">
        <v>308</v>
      </c>
      <c r="F3625" t="s">
        <v>309</v>
      </c>
      <c r="G3625" t="s">
        <v>61</v>
      </c>
      <c r="H3625" t="s">
        <v>4529</v>
      </c>
      <c r="J3625">
        <v>13</v>
      </c>
    </row>
    <row r="3626" spans="1:10" x14ac:dyDescent="0.35">
      <c r="A3626">
        <v>6203024500004</v>
      </c>
      <c r="B3626" t="s">
        <v>235</v>
      </c>
      <c r="C3626" t="s">
        <v>9</v>
      </c>
      <c r="D3626" t="s">
        <v>3849</v>
      </c>
      <c r="E3626" t="s">
        <v>61</v>
      </c>
      <c r="F3626" t="s">
        <v>3850</v>
      </c>
      <c r="G3626" t="s">
        <v>61</v>
      </c>
      <c r="H3626" t="s">
        <v>4997</v>
      </c>
      <c r="J3626">
        <v>15</v>
      </c>
    </row>
    <row r="3627" spans="1:10" x14ac:dyDescent="0.35">
      <c r="A3627">
        <v>6203024500011</v>
      </c>
      <c r="B3627" t="s">
        <v>235</v>
      </c>
      <c r="C3627" t="s">
        <v>81</v>
      </c>
      <c r="D3627" t="s">
        <v>3849</v>
      </c>
      <c r="E3627" t="s">
        <v>61</v>
      </c>
      <c r="F3627" t="s">
        <v>3850</v>
      </c>
      <c r="G3627" t="s">
        <v>61</v>
      </c>
      <c r="H3627" t="s">
        <v>4997</v>
      </c>
      <c r="J3627">
        <v>15</v>
      </c>
    </row>
    <row r="3628" spans="1:10" x14ac:dyDescent="0.35">
      <c r="A3628">
        <v>6203033020104</v>
      </c>
      <c r="B3628" t="s">
        <v>3851</v>
      </c>
      <c r="C3628" t="s">
        <v>3852</v>
      </c>
      <c r="D3628" t="s">
        <v>3853</v>
      </c>
      <c r="E3628" t="s">
        <v>61</v>
      </c>
      <c r="F3628" t="s">
        <v>3854</v>
      </c>
      <c r="G3628" t="s">
        <v>61</v>
      </c>
      <c r="H3628" t="s">
        <v>4998</v>
      </c>
      <c r="J3628">
        <v>21</v>
      </c>
    </row>
    <row r="3629" spans="1:10" x14ac:dyDescent="0.35">
      <c r="A3629">
        <v>6203033020111</v>
      </c>
      <c r="B3629" t="s">
        <v>3855</v>
      </c>
      <c r="C3629" t="s">
        <v>3782</v>
      </c>
      <c r="D3629" t="s">
        <v>3853</v>
      </c>
      <c r="E3629" t="s">
        <v>61</v>
      </c>
      <c r="F3629" t="s">
        <v>3854</v>
      </c>
      <c r="G3629" t="s">
        <v>150</v>
      </c>
      <c r="H3629" t="s">
        <v>4998</v>
      </c>
      <c r="I3629">
        <v>30</v>
      </c>
      <c r="J3629">
        <v>2</v>
      </c>
    </row>
    <row r="3630" spans="1:10" x14ac:dyDescent="0.35">
      <c r="A3630">
        <v>6203033020111</v>
      </c>
      <c r="B3630" t="s">
        <v>3855</v>
      </c>
      <c r="C3630" t="s">
        <v>3782</v>
      </c>
      <c r="D3630" t="s">
        <v>3853</v>
      </c>
      <c r="E3630" t="s">
        <v>61</v>
      </c>
      <c r="F3630" t="s">
        <v>3854</v>
      </c>
      <c r="G3630" t="s">
        <v>61</v>
      </c>
      <c r="H3630" t="s">
        <v>4998</v>
      </c>
      <c r="I3630">
        <v>30</v>
      </c>
      <c r="J3630">
        <v>124</v>
      </c>
    </row>
    <row r="3631" spans="1:10" x14ac:dyDescent="0.35">
      <c r="A3631">
        <v>6203036830083</v>
      </c>
      <c r="B3631" t="s">
        <v>3715</v>
      </c>
      <c r="C3631" t="s">
        <v>1095</v>
      </c>
      <c r="D3631" t="s">
        <v>3856</v>
      </c>
      <c r="E3631" t="s">
        <v>61</v>
      </c>
      <c r="F3631" t="s">
        <v>3857</v>
      </c>
      <c r="G3631" t="s">
        <v>61</v>
      </c>
      <c r="H3631" t="s">
        <v>4999</v>
      </c>
      <c r="J3631">
        <v>3</v>
      </c>
    </row>
    <row r="3632" spans="1:10" x14ac:dyDescent="0.35">
      <c r="A3632">
        <v>6203036830113</v>
      </c>
      <c r="B3632" t="s">
        <v>3858</v>
      </c>
      <c r="C3632" t="s">
        <v>192</v>
      </c>
      <c r="D3632" t="s">
        <v>3856</v>
      </c>
      <c r="E3632" t="s">
        <v>61</v>
      </c>
      <c r="F3632" t="s">
        <v>3857</v>
      </c>
      <c r="G3632" t="s">
        <v>61</v>
      </c>
      <c r="H3632" t="s">
        <v>4999</v>
      </c>
      <c r="J3632">
        <v>6</v>
      </c>
    </row>
    <row r="3633" spans="1:10" x14ac:dyDescent="0.35">
      <c r="A3633">
        <v>6203041740001</v>
      </c>
      <c r="B3633" t="s">
        <v>3859</v>
      </c>
      <c r="C3633" t="s">
        <v>3860</v>
      </c>
      <c r="D3633" t="s">
        <v>1176</v>
      </c>
      <c r="E3633" t="s">
        <v>61</v>
      </c>
      <c r="F3633" t="s">
        <v>1070</v>
      </c>
      <c r="G3633" t="s">
        <v>61</v>
      </c>
      <c r="H3633" t="s">
        <v>4644</v>
      </c>
      <c r="J3633">
        <v>1</v>
      </c>
    </row>
    <row r="3634" spans="1:10" x14ac:dyDescent="0.35">
      <c r="A3634">
        <v>6203049500027</v>
      </c>
      <c r="B3634" t="s">
        <v>3861</v>
      </c>
      <c r="C3634" t="s">
        <v>1173</v>
      </c>
      <c r="D3634" t="s">
        <v>3861</v>
      </c>
      <c r="E3634" t="s">
        <v>308</v>
      </c>
      <c r="F3634" t="s">
        <v>309</v>
      </c>
      <c r="G3634" t="s">
        <v>117</v>
      </c>
      <c r="H3634" t="s">
        <v>4529</v>
      </c>
      <c r="J3634">
        <v>51</v>
      </c>
    </row>
    <row r="3635" spans="1:10" x14ac:dyDescent="0.35">
      <c r="A3635">
        <v>6204000036012</v>
      </c>
      <c r="B3635" t="s">
        <v>3644</v>
      </c>
      <c r="C3635" t="s">
        <v>326</v>
      </c>
      <c r="D3635" t="s">
        <v>3645</v>
      </c>
      <c r="E3635" t="s">
        <v>61</v>
      </c>
      <c r="F3635" t="s">
        <v>3646</v>
      </c>
      <c r="G3635" t="s">
        <v>61</v>
      </c>
      <c r="H3635" t="s">
        <v>4975</v>
      </c>
      <c r="J3635">
        <v>9</v>
      </c>
    </row>
    <row r="3636" spans="1:10" x14ac:dyDescent="0.35">
      <c r="A3636">
        <v>6204000078012</v>
      </c>
      <c r="B3636" t="s">
        <v>3862</v>
      </c>
      <c r="C3636" t="s">
        <v>326</v>
      </c>
      <c r="D3636" t="s">
        <v>3645</v>
      </c>
      <c r="E3636" t="s">
        <v>61</v>
      </c>
      <c r="F3636" t="s">
        <v>3646</v>
      </c>
      <c r="G3636" t="s">
        <v>61</v>
      </c>
      <c r="H3636" t="s">
        <v>4975</v>
      </c>
      <c r="J3636">
        <v>6</v>
      </c>
    </row>
    <row r="3637" spans="1:10" x14ac:dyDescent="0.35">
      <c r="A3637">
        <v>6204000099017</v>
      </c>
      <c r="B3637" t="s">
        <v>3284</v>
      </c>
      <c r="C3637" t="s">
        <v>192</v>
      </c>
      <c r="D3637" t="s">
        <v>3863</v>
      </c>
      <c r="E3637" t="s">
        <v>308</v>
      </c>
      <c r="F3637" t="s">
        <v>309</v>
      </c>
      <c r="G3637" t="s">
        <v>61</v>
      </c>
      <c r="H3637" t="s">
        <v>4529</v>
      </c>
      <c r="J3637">
        <v>22</v>
      </c>
    </row>
    <row r="3638" spans="1:10" x14ac:dyDescent="0.35">
      <c r="A3638">
        <v>6204000110002</v>
      </c>
      <c r="B3638" t="s">
        <v>3864</v>
      </c>
      <c r="C3638" t="s">
        <v>472</v>
      </c>
      <c r="D3638" t="s">
        <v>3865</v>
      </c>
      <c r="E3638" t="s">
        <v>61</v>
      </c>
      <c r="F3638" t="s">
        <v>3866</v>
      </c>
      <c r="G3638" t="s">
        <v>61</v>
      </c>
      <c r="H3638" t="s">
        <v>5000</v>
      </c>
      <c r="J3638">
        <v>63</v>
      </c>
    </row>
    <row r="3639" spans="1:10" x14ac:dyDescent="0.35">
      <c r="A3639">
        <v>6204000110019</v>
      </c>
      <c r="B3639" t="s">
        <v>3867</v>
      </c>
      <c r="C3639" t="s">
        <v>114</v>
      </c>
      <c r="D3639" t="s">
        <v>3865</v>
      </c>
      <c r="E3639" t="s">
        <v>61</v>
      </c>
      <c r="F3639" t="s">
        <v>3866</v>
      </c>
      <c r="G3639" t="s">
        <v>61</v>
      </c>
      <c r="H3639" t="s">
        <v>5000</v>
      </c>
      <c r="J3639">
        <v>177</v>
      </c>
    </row>
    <row r="3640" spans="1:10" x14ac:dyDescent="0.35">
      <c r="A3640">
        <v>6204000110026</v>
      </c>
      <c r="B3640" t="s">
        <v>3867</v>
      </c>
      <c r="C3640" t="s">
        <v>192</v>
      </c>
      <c r="D3640" t="s">
        <v>3865</v>
      </c>
      <c r="E3640" t="s">
        <v>61</v>
      </c>
      <c r="F3640" t="s">
        <v>3866</v>
      </c>
      <c r="G3640" t="s">
        <v>61</v>
      </c>
      <c r="H3640" t="s">
        <v>5000</v>
      </c>
      <c r="J3640">
        <v>251</v>
      </c>
    </row>
    <row r="3641" spans="1:10" x14ac:dyDescent="0.35">
      <c r="A3641">
        <v>6204000307037</v>
      </c>
      <c r="B3641" t="s">
        <v>3868</v>
      </c>
      <c r="C3641" t="s">
        <v>36</v>
      </c>
      <c r="D3641" t="s">
        <v>3869</v>
      </c>
      <c r="E3641" t="s">
        <v>61</v>
      </c>
      <c r="F3641" t="s">
        <v>3870</v>
      </c>
      <c r="G3641" t="s">
        <v>61</v>
      </c>
      <c r="H3641" t="s">
        <v>5001</v>
      </c>
      <c r="J3641">
        <v>234</v>
      </c>
    </row>
    <row r="3642" spans="1:10" x14ac:dyDescent="0.35">
      <c r="A3642">
        <v>6204000347309</v>
      </c>
      <c r="B3642" t="s">
        <v>3284</v>
      </c>
      <c r="C3642" t="s">
        <v>825</v>
      </c>
      <c r="D3642" t="s">
        <v>1840</v>
      </c>
      <c r="E3642" t="s">
        <v>308</v>
      </c>
      <c r="F3642" t="s">
        <v>309</v>
      </c>
      <c r="G3642" t="s">
        <v>61</v>
      </c>
      <c r="H3642" t="s">
        <v>4529</v>
      </c>
      <c r="J3642">
        <v>4</v>
      </c>
    </row>
    <row r="3643" spans="1:10" x14ac:dyDescent="0.35">
      <c r="A3643">
        <v>6204000498018</v>
      </c>
      <c r="B3643" t="s">
        <v>3715</v>
      </c>
      <c r="C3643" t="s">
        <v>253</v>
      </c>
      <c r="D3643" t="s">
        <v>3871</v>
      </c>
      <c r="E3643" t="s">
        <v>61</v>
      </c>
      <c r="F3643" t="s">
        <v>3872</v>
      </c>
      <c r="G3643" t="s">
        <v>61</v>
      </c>
      <c r="H3643" t="s">
        <v>5002</v>
      </c>
      <c r="J3643">
        <v>46</v>
      </c>
    </row>
    <row r="3644" spans="1:10" x14ac:dyDescent="0.35">
      <c r="A3644">
        <v>621033967506</v>
      </c>
      <c r="B3644" t="s">
        <v>3873</v>
      </c>
      <c r="C3644" t="s">
        <v>9</v>
      </c>
      <c r="D3644" t="s">
        <v>643</v>
      </c>
      <c r="E3644" t="s">
        <v>34</v>
      </c>
      <c r="F3644" t="s">
        <v>644</v>
      </c>
      <c r="G3644" t="s">
        <v>34</v>
      </c>
      <c r="H3644" t="s">
        <v>4575</v>
      </c>
      <c r="J3644">
        <v>70</v>
      </c>
    </row>
    <row r="3645" spans="1:10" x14ac:dyDescent="0.35">
      <c r="A3645">
        <v>621033997503</v>
      </c>
      <c r="B3645" t="s">
        <v>3874</v>
      </c>
      <c r="C3645" t="s">
        <v>903</v>
      </c>
      <c r="D3645" t="s">
        <v>643</v>
      </c>
      <c r="E3645" t="s">
        <v>34</v>
      </c>
      <c r="F3645" t="s">
        <v>644</v>
      </c>
      <c r="G3645" t="s">
        <v>34</v>
      </c>
      <c r="H3645" t="s">
        <v>4575</v>
      </c>
      <c r="J3645">
        <v>38</v>
      </c>
    </row>
    <row r="3646" spans="1:10" x14ac:dyDescent="0.35">
      <c r="A3646">
        <v>6213003351732</v>
      </c>
      <c r="B3646" t="s">
        <v>3689</v>
      </c>
      <c r="C3646" t="s">
        <v>83</v>
      </c>
      <c r="D3646" t="s">
        <v>1169</v>
      </c>
      <c r="E3646" t="s">
        <v>61</v>
      </c>
      <c r="F3646" t="s">
        <v>1170</v>
      </c>
      <c r="G3646" t="s">
        <v>150</v>
      </c>
      <c r="H3646" t="s">
        <v>4660</v>
      </c>
      <c r="J3646">
        <v>8</v>
      </c>
    </row>
    <row r="3647" spans="1:10" x14ac:dyDescent="0.35">
      <c r="A3647">
        <v>6213003351732</v>
      </c>
      <c r="B3647" t="s">
        <v>3689</v>
      </c>
      <c r="C3647" t="s">
        <v>83</v>
      </c>
      <c r="D3647" t="s">
        <v>1169</v>
      </c>
      <c r="E3647" t="s">
        <v>61</v>
      </c>
      <c r="F3647" t="s">
        <v>1170</v>
      </c>
      <c r="G3647" t="s">
        <v>61</v>
      </c>
      <c r="H3647" t="s">
        <v>4660</v>
      </c>
      <c r="J3647">
        <v>25</v>
      </c>
    </row>
    <row r="3648" spans="1:10" x14ac:dyDescent="0.35">
      <c r="A3648">
        <v>6222000506014</v>
      </c>
      <c r="B3648" t="s">
        <v>3875</v>
      </c>
      <c r="C3648" t="s">
        <v>81</v>
      </c>
      <c r="D3648" t="s">
        <v>3876</v>
      </c>
      <c r="E3648" t="s">
        <v>22</v>
      </c>
      <c r="F3648" t="s">
        <v>3877</v>
      </c>
      <c r="G3648" t="s">
        <v>150</v>
      </c>
      <c r="H3648" t="s">
        <v>5003</v>
      </c>
      <c r="J3648">
        <v>24</v>
      </c>
    </row>
    <row r="3649" spans="1:10" x14ac:dyDescent="0.35">
      <c r="A3649">
        <v>6222000506014</v>
      </c>
      <c r="B3649" t="s">
        <v>3875</v>
      </c>
      <c r="C3649" t="s">
        <v>81</v>
      </c>
      <c r="D3649" t="s">
        <v>3876</v>
      </c>
      <c r="E3649" t="s">
        <v>22</v>
      </c>
      <c r="F3649" t="s">
        <v>3877</v>
      </c>
      <c r="G3649" t="s">
        <v>31</v>
      </c>
      <c r="H3649" t="s">
        <v>5003</v>
      </c>
      <c r="J3649">
        <v>1</v>
      </c>
    </row>
    <row r="3650" spans="1:10" x14ac:dyDescent="0.35">
      <c r="A3650">
        <v>6222000506045</v>
      </c>
      <c r="B3650" t="s">
        <v>3216</v>
      </c>
      <c r="C3650" t="s">
        <v>3878</v>
      </c>
      <c r="D3650" t="s">
        <v>3879</v>
      </c>
      <c r="E3650" t="s">
        <v>3453</v>
      </c>
      <c r="F3650" t="s">
        <v>3880</v>
      </c>
      <c r="G3650" t="s">
        <v>150</v>
      </c>
      <c r="H3650" t="s">
        <v>5004</v>
      </c>
      <c r="J3650">
        <v>16</v>
      </c>
    </row>
    <row r="3651" spans="1:10" x14ac:dyDescent="0.35">
      <c r="A3651">
        <v>6222000506946</v>
      </c>
      <c r="B3651" t="s">
        <v>2229</v>
      </c>
      <c r="C3651" t="s">
        <v>75</v>
      </c>
      <c r="D3651" t="s">
        <v>3879</v>
      </c>
      <c r="E3651" t="s">
        <v>3453</v>
      </c>
      <c r="F3651" t="s">
        <v>3880</v>
      </c>
      <c r="G3651" t="s">
        <v>34</v>
      </c>
      <c r="H3651" t="s">
        <v>5004</v>
      </c>
      <c r="J3651">
        <v>1</v>
      </c>
    </row>
    <row r="3652" spans="1:10" x14ac:dyDescent="0.35">
      <c r="A3652">
        <v>6222000506946</v>
      </c>
      <c r="B3652" t="s">
        <v>2229</v>
      </c>
      <c r="C3652" t="s">
        <v>75</v>
      </c>
      <c r="D3652" t="s">
        <v>3879</v>
      </c>
      <c r="E3652" t="s">
        <v>3453</v>
      </c>
      <c r="F3652" t="s">
        <v>3880</v>
      </c>
      <c r="G3652" t="s">
        <v>150</v>
      </c>
      <c r="H3652" t="s">
        <v>5004</v>
      </c>
      <c r="J3652">
        <v>125</v>
      </c>
    </row>
    <row r="3653" spans="1:10" x14ac:dyDescent="0.35">
      <c r="A3653">
        <v>6222000512282</v>
      </c>
      <c r="B3653" t="s">
        <v>3881</v>
      </c>
      <c r="C3653" t="s">
        <v>81</v>
      </c>
      <c r="D3653" t="s">
        <v>3879</v>
      </c>
      <c r="E3653" t="s">
        <v>3453</v>
      </c>
      <c r="F3653" t="s">
        <v>3880</v>
      </c>
      <c r="G3653" t="s">
        <v>150</v>
      </c>
      <c r="H3653" t="s">
        <v>5004</v>
      </c>
      <c r="J3653">
        <v>6</v>
      </c>
    </row>
    <row r="3654" spans="1:10" x14ac:dyDescent="0.35">
      <c r="A3654">
        <v>6222000518345</v>
      </c>
      <c r="B3654" t="s">
        <v>3216</v>
      </c>
      <c r="C3654" t="s">
        <v>801</v>
      </c>
      <c r="D3654" t="s">
        <v>3879</v>
      </c>
      <c r="E3654" t="s">
        <v>3453</v>
      </c>
      <c r="F3654" t="s">
        <v>3880</v>
      </c>
      <c r="G3654" t="s">
        <v>150</v>
      </c>
      <c r="H3654" t="s">
        <v>5004</v>
      </c>
      <c r="J3654">
        <v>15</v>
      </c>
    </row>
    <row r="3655" spans="1:10" x14ac:dyDescent="0.35">
      <c r="A3655">
        <v>6222000518369</v>
      </c>
      <c r="B3655" t="s">
        <v>1412</v>
      </c>
      <c r="C3655" t="s">
        <v>2008</v>
      </c>
      <c r="D3655" t="s">
        <v>2717</v>
      </c>
      <c r="E3655" t="s">
        <v>61</v>
      </c>
      <c r="F3655" t="s">
        <v>2718</v>
      </c>
      <c r="G3655" t="s">
        <v>150</v>
      </c>
      <c r="H3655" t="s">
        <v>4834</v>
      </c>
      <c r="J3655">
        <v>1</v>
      </c>
    </row>
    <row r="3656" spans="1:10" x14ac:dyDescent="0.35">
      <c r="A3656">
        <v>6223001930549</v>
      </c>
      <c r="B3656" t="s">
        <v>70</v>
      </c>
      <c r="C3656">
        <v>0.6</v>
      </c>
      <c r="D3656" t="s">
        <v>222</v>
      </c>
      <c r="E3656" t="s">
        <v>71</v>
      </c>
      <c r="F3656" t="s">
        <v>72</v>
      </c>
      <c r="G3656" t="s">
        <v>3453</v>
      </c>
      <c r="H3656" t="s">
        <v>4501</v>
      </c>
      <c r="J3656">
        <v>5</v>
      </c>
    </row>
    <row r="3657" spans="1:10" x14ac:dyDescent="0.35">
      <c r="A3657">
        <v>6224000016401</v>
      </c>
      <c r="B3657" t="s">
        <v>3882</v>
      </c>
      <c r="C3657" t="s">
        <v>159</v>
      </c>
      <c r="D3657" t="s">
        <v>677</v>
      </c>
      <c r="E3657" t="s">
        <v>308</v>
      </c>
      <c r="F3657" t="s">
        <v>309</v>
      </c>
      <c r="G3657" t="s">
        <v>150</v>
      </c>
      <c r="H3657" t="s">
        <v>4529</v>
      </c>
      <c r="J3657">
        <v>3</v>
      </c>
    </row>
    <row r="3658" spans="1:10" x14ac:dyDescent="0.35">
      <c r="A3658">
        <v>6224000250126</v>
      </c>
      <c r="B3658" t="s">
        <v>3883</v>
      </c>
      <c r="C3658" t="s">
        <v>454</v>
      </c>
      <c r="D3658" t="s">
        <v>3884</v>
      </c>
      <c r="E3658" t="s">
        <v>41</v>
      </c>
      <c r="F3658" t="s">
        <v>3885</v>
      </c>
      <c r="G3658" t="s">
        <v>41</v>
      </c>
      <c r="H3658" t="s">
        <v>5005</v>
      </c>
      <c r="J3658">
        <v>342</v>
      </c>
    </row>
    <row r="3659" spans="1:10" x14ac:dyDescent="0.35">
      <c r="A3659">
        <v>6224001143571</v>
      </c>
      <c r="B3659" t="s">
        <v>3886</v>
      </c>
      <c r="C3659" t="s">
        <v>2008</v>
      </c>
      <c r="D3659" t="s">
        <v>3887</v>
      </c>
      <c r="E3659" t="s">
        <v>308</v>
      </c>
      <c r="F3659" t="s">
        <v>309</v>
      </c>
      <c r="G3659" t="s">
        <v>150</v>
      </c>
      <c r="H3659" t="s">
        <v>4529</v>
      </c>
      <c r="J3659">
        <v>5</v>
      </c>
    </row>
    <row r="3660" spans="1:10" x14ac:dyDescent="0.35">
      <c r="A3660">
        <v>6224008361503</v>
      </c>
      <c r="B3660" t="s">
        <v>3888</v>
      </c>
      <c r="C3660" t="s">
        <v>877</v>
      </c>
      <c r="D3660" t="s">
        <v>3452</v>
      </c>
      <c r="E3660" t="s">
        <v>3453</v>
      </c>
      <c r="F3660" t="s">
        <v>3454</v>
      </c>
      <c r="G3660" t="s">
        <v>150</v>
      </c>
      <c r="H3660" t="s">
        <v>4935</v>
      </c>
      <c r="J3660">
        <v>17</v>
      </c>
    </row>
    <row r="3661" spans="1:10" x14ac:dyDescent="0.35">
      <c r="A3661">
        <v>6224009217090</v>
      </c>
      <c r="B3661" t="s">
        <v>3889</v>
      </c>
      <c r="C3661" t="s">
        <v>110</v>
      </c>
      <c r="D3661" t="s">
        <v>3890</v>
      </c>
      <c r="E3661" t="s">
        <v>22</v>
      </c>
      <c r="F3661" t="s">
        <v>3891</v>
      </c>
      <c r="G3661" t="s">
        <v>150</v>
      </c>
      <c r="H3661" t="s">
        <v>5006</v>
      </c>
      <c r="J3661">
        <v>6</v>
      </c>
    </row>
    <row r="3662" spans="1:10" x14ac:dyDescent="0.35">
      <c r="A3662">
        <v>6224009697045</v>
      </c>
      <c r="B3662" t="s">
        <v>3886</v>
      </c>
      <c r="C3662" t="s">
        <v>110</v>
      </c>
      <c r="D3662" t="s">
        <v>3887</v>
      </c>
      <c r="E3662" t="s">
        <v>308</v>
      </c>
      <c r="F3662" t="s">
        <v>309</v>
      </c>
      <c r="G3662" t="s">
        <v>150</v>
      </c>
      <c r="H3662" t="s">
        <v>4529</v>
      </c>
      <c r="J3662">
        <v>2</v>
      </c>
    </row>
    <row r="3663" spans="1:10" x14ac:dyDescent="0.35">
      <c r="A3663">
        <v>622687882405</v>
      </c>
      <c r="B3663" t="s">
        <v>235</v>
      </c>
      <c r="C3663" t="s">
        <v>9</v>
      </c>
      <c r="D3663" t="s">
        <v>227</v>
      </c>
      <c r="E3663" t="s">
        <v>16</v>
      </c>
      <c r="F3663" t="s">
        <v>228</v>
      </c>
      <c r="G3663" t="s">
        <v>16</v>
      </c>
      <c r="H3663" t="s">
        <v>4522</v>
      </c>
      <c r="J3663">
        <v>8</v>
      </c>
    </row>
    <row r="3664" spans="1:10" x14ac:dyDescent="0.35">
      <c r="A3664">
        <v>6236000611586</v>
      </c>
      <c r="B3664" t="s">
        <v>3892</v>
      </c>
      <c r="C3664" t="s">
        <v>2015</v>
      </c>
      <c r="D3664" t="s">
        <v>3893</v>
      </c>
      <c r="E3664" t="s">
        <v>41</v>
      </c>
      <c r="F3664" t="s">
        <v>3894</v>
      </c>
      <c r="G3664" t="s">
        <v>41</v>
      </c>
      <c r="H3664" t="s">
        <v>5007</v>
      </c>
      <c r="J3664">
        <v>51</v>
      </c>
    </row>
    <row r="3665" spans="1:10" x14ac:dyDescent="0.35">
      <c r="A3665">
        <v>624573101270</v>
      </c>
      <c r="B3665" t="s">
        <v>1834</v>
      </c>
      <c r="C3665" t="s">
        <v>96</v>
      </c>
      <c r="D3665" t="s">
        <v>3895</v>
      </c>
      <c r="E3665" t="s">
        <v>15</v>
      </c>
      <c r="F3665" t="s">
        <v>144</v>
      </c>
      <c r="G3665" t="s">
        <v>16</v>
      </c>
      <c r="H3665" t="s">
        <v>4515</v>
      </c>
      <c r="J3665">
        <v>1</v>
      </c>
    </row>
    <row r="3666" spans="1:10" x14ac:dyDescent="0.35">
      <c r="A3666">
        <v>624573101270</v>
      </c>
      <c r="B3666" t="s">
        <v>1834</v>
      </c>
      <c r="C3666" t="s">
        <v>96</v>
      </c>
      <c r="D3666" t="s">
        <v>3895</v>
      </c>
      <c r="E3666" t="s">
        <v>15</v>
      </c>
      <c r="F3666" t="s">
        <v>144</v>
      </c>
      <c r="G3666" t="s">
        <v>34</v>
      </c>
      <c r="H3666" t="s">
        <v>4515</v>
      </c>
      <c r="J3666">
        <v>100</v>
      </c>
    </row>
    <row r="3667" spans="1:10" x14ac:dyDescent="0.35">
      <c r="A3667">
        <v>6253015500018</v>
      </c>
      <c r="B3667" t="s">
        <v>3896</v>
      </c>
      <c r="C3667" t="s">
        <v>603</v>
      </c>
      <c r="D3667" t="s">
        <v>3897</v>
      </c>
      <c r="E3667" t="s">
        <v>308</v>
      </c>
      <c r="F3667" t="s">
        <v>309</v>
      </c>
      <c r="G3667" t="s">
        <v>2604</v>
      </c>
      <c r="H3667" t="s">
        <v>4529</v>
      </c>
      <c r="J3667">
        <v>4</v>
      </c>
    </row>
    <row r="3668" spans="1:10" x14ac:dyDescent="0.35">
      <c r="A3668">
        <v>6253015500223</v>
      </c>
      <c r="B3668" t="s">
        <v>3896</v>
      </c>
      <c r="C3668" t="s">
        <v>272</v>
      </c>
      <c r="D3668" t="s">
        <v>3897</v>
      </c>
      <c r="E3668" t="s">
        <v>308</v>
      </c>
      <c r="F3668" t="s">
        <v>309</v>
      </c>
      <c r="G3668" t="s">
        <v>22</v>
      </c>
      <c r="H3668" t="s">
        <v>4529</v>
      </c>
      <c r="J3668">
        <v>3</v>
      </c>
    </row>
    <row r="3669" spans="1:10" x14ac:dyDescent="0.35">
      <c r="A3669">
        <v>6253015500223</v>
      </c>
      <c r="B3669" t="s">
        <v>3896</v>
      </c>
      <c r="C3669" t="s">
        <v>272</v>
      </c>
      <c r="D3669" t="s">
        <v>3897</v>
      </c>
      <c r="E3669" t="s">
        <v>308</v>
      </c>
      <c r="F3669" t="s">
        <v>309</v>
      </c>
      <c r="G3669" t="s">
        <v>2604</v>
      </c>
      <c r="H3669" t="s">
        <v>4529</v>
      </c>
      <c r="J3669">
        <v>2</v>
      </c>
    </row>
    <row r="3670" spans="1:10" x14ac:dyDescent="0.35">
      <c r="A3670">
        <v>6253500771411</v>
      </c>
      <c r="B3670" t="s">
        <v>3472</v>
      </c>
      <c r="C3670" t="s">
        <v>110</v>
      </c>
      <c r="D3670" t="s">
        <v>3898</v>
      </c>
      <c r="E3670" t="s">
        <v>41</v>
      </c>
      <c r="F3670" t="s">
        <v>3899</v>
      </c>
      <c r="G3670" t="s">
        <v>41</v>
      </c>
      <c r="H3670" t="s">
        <v>5008</v>
      </c>
      <c r="J3670">
        <v>64</v>
      </c>
    </row>
    <row r="3671" spans="1:10" x14ac:dyDescent="0.35">
      <c r="A3671">
        <v>6256712000089</v>
      </c>
      <c r="B3671" t="s">
        <v>3900</v>
      </c>
      <c r="C3671" t="s">
        <v>9</v>
      </c>
      <c r="D3671" t="s">
        <v>3901</v>
      </c>
      <c r="E3671" t="s">
        <v>31</v>
      </c>
      <c r="F3671" t="s">
        <v>3902</v>
      </c>
      <c r="G3671" t="s">
        <v>31</v>
      </c>
      <c r="H3671" t="s">
        <v>5009</v>
      </c>
      <c r="J3671">
        <v>29</v>
      </c>
    </row>
    <row r="3672" spans="1:10" x14ac:dyDescent="0.35">
      <c r="A3672">
        <v>625671200889</v>
      </c>
      <c r="B3672" t="s">
        <v>3284</v>
      </c>
      <c r="C3672" t="s">
        <v>253</v>
      </c>
      <c r="D3672" t="s">
        <v>3901</v>
      </c>
      <c r="E3672" t="s">
        <v>31</v>
      </c>
      <c r="F3672" t="s">
        <v>3902</v>
      </c>
      <c r="G3672" t="s">
        <v>31</v>
      </c>
      <c r="H3672" t="s">
        <v>5009</v>
      </c>
      <c r="J3672">
        <v>1</v>
      </c>
    </row>
    <row r="3673" spans="1:10" x14ac:dyDescent="0.35">
      <c r="A3673">
        <v>626570616665</v>
      </c>
      <c r="B3673" t="s">
        <v>544</v>
      </c>
      <c r="C3673" t="s">
        <v>114</v>
      </c>
      <c r="D3673" t="s">
        <v>651</v>
      </c>
      <c r="E3673" t="s">
        <v>61</v>
      </c>
      <c r="F3673" t="s">
        <v>652</v>
      </c>
      <c r="G3673" t="s">
        <v>61</v>
      </c>
      <c r="H3673" t="s">
        <v>4576</v>
      </c>
      <c r="J3673">
        <v>50</v>
      </c>
    </row>
    <row r="3674" spans="1:10" x14ac:dyDescent="0.35">
      <c r="A3674">
        <v>626570616672</v>
      </c>
      <c r="B3674" t="s">
        <v>544</v>
      </c>
      <c r="C3674" t="s">
        <v>472</v>
      </c>
      <c r="D3674" t="s">
        <v>651</v>
      </c>
      <c r="E3674" t="s">
        <v>61</v>
      </c>
      <c r="F3674" t="s">
        <v>652</v>
      </c>
      <c r="G3674" t="s">
        <v>61</v>
      </c>
      <c r="H3674" t="s">
        <v>4576</v>
      </c>
      <c r="J3674">
        <v>20</v>
      </c>
    </row>
    <row r="3675" spans="1:10" x14ac:dyDescent="0.35">
      <c r="A3675">
        <v>626570622444</v>
      </c>
      <c r="B3675" t="s">
        <v>3858</v>
      </c>
      <c r="C3675" t="s">
        <v>192</v>
      </c>
      <c r="D3675" t="s">
        <v>651</v>
      </c>
      <c r="E3675" t="s">
        <v>61</v>
      </c>
      <c r="F3675" t="s">
        <v>652</v>
      </c>
      <c r="G3675" t="s">
        <v>61</v>
      </c>
      <c r="H3675" t="s">
        <v>4576</v>
      </c>
      <c r="J3675">
        <v>63</v>
      </c>
    </row>
    <row r="3676" spans="1:10" x14ac:dyDescent="0.35">
      <c r="A3676">
        <v>627098163334</v>
      </c>
      <c r="B3676" t="s">
        <v>127</v>
      </c>
      <c r="C3676" t="s">
        <v>128</v>
      </c>
      <c r="D3676" t="s">
        <v>655</v>
      </c>
      <c r="E3676" t="s">
        <v>16</v>
      </c>
      <c r="F3676" t="s">
        <v>656</v>
      </c>
      <c r="G3676" t="s">
        <v>16</v>
      </c>
      <c r="H3676" t="s">
        <v>4577</v>
      </c>
      <c r="J3676">
        <v>8</v>
      </c>
    </row>
    <row r="3677" spans="1:10" x14ac:dyDescent="0.35">
      <c r="A3677">
        <v>6291021210514</v>
      </c>
      <c r="B3677" t="s">
        <v>262</v>
      </c>
      <c r="C3677" t="s">
        <v>192</v>
      </c>
      <c r="D3677" t="s">
        <v>3903</v>
      </c>
      <c r="E3677" t="s">
        <v>1761</v>
      </c>
      <c r="F3677" t="s">
        <v>3904</v>
      </c>
      <c r="G3677" t="s">
        <v>34</v>
      </c>
      <c r="H3677" t="s">
        <v>5010</v>
      </c>
      <c r="J3677">
        <v>2016</v>
      </c>
    </row>
    <row r="3678" spans="1:10" x14ac:dyDescent="0.35">
      <c r="A3678">
        <v>6291026000721</v>
      </c>
      <c r="B3678" t="s">
        <v>3905</v>
      </c>
      <c r="C3678" t="s">
        <v>943</v>
      </c>
      <c r="D3678" t="s">
        <v>3906</v>
      </c>
      <c r="E3678" t="s">
        <v>1761</v>
      </c>
      <c r="F3678" t="s">
        <v>3907</v>
      </c>
      <c r="G3678" t="s">
        <v>150</v>
      </c>
      <c r="H3678" t="s">
        <v>5011</v>
      </c>
      <c r="J3678">
        <v>24</v>
      </c>
    </row>
    <row r="3679" spans="1:10" x14ac:dyDescent="0.35">
      <c r="A3679">
        <v>6291103084132</v>
      </c>
      <c r="B3679" t="s">
        <v>3908</v>
      </c>
      <c r="C3679" t="s">
        <v>3909</v>
      </c>
      <c r="D3679" t="s">
        <v>3910</v>
      </c>
      <c r="E3679" t="s">
        <v>308</v>
      </c>
      <c r="F3679" t="s">
        <v>309</v>
      </c>
      <c r="G3679" t="s">
        <v>578</v>
      </c>
      <c r="H3679" t="s">
        <v>4529</v>
      </c>
      <c r="J3679">
        <v>2</v>
      </c>
    </row>
    <row r="3680" spans="1:10" x14ac:dyDescent="0.35">
      <c r="A3680">
        <v>6291103084712</v>
      </c>
      <c r="B3680" t="s">
        <v>2704</v>
      </c>
      <c r="C3680" t="s">
        <v>2682</v>
      </c>
      <c r="D3680" t="s">
        <v>3911</v>
      </c>
      <c r="E3680" t="s">
        <v>308</v>
      </c>
      <c r="F3680" t="s">
        <v>309</v>
      </c>
      <c r="G3680" t="s">
        <v>117</v>
      </c>
      <c r="H3680" t="s">
        <v>4529</v>
      </c>
      <c r="J3680">
        <v>5</v>
      </c>
    </row>
    <row r="3681" spans="1:10" x14ac:dyDescent="0.35">
      <c r="A3681">
        <v>6291103085207</v>
      </c>
      <c r="B3681" t="s">
        <v>3912</v>
      </c>
      <c r="C3681" t="s">
        <v>2682</v>
      </c>
      <c r="D3681" t="s">
        <v>3911</v>
      </c>
      <c r="E3681" t="s">
        <v>308</v>
      </c>
      <c r="F3681" t="s">
        <v>309</v>
      </c>
      <c r="G3681" t="s">
        <v>117</v>
      </c>
      <c r="H3681" t="s">
        <v>4529</v>
      </c>
      <c r="J3681">
        <v>12</v>
      </c>
    </row>
    <row r="3682" spans="1:10" x14ac:dyDescent="0.35">
      <c r="A3682">
        <v>6291104001336</v>
      </c>
      <c r="B3682" t="s">
        <v>3913</v>
      </c>
      <c r="C3682" t="s">
        <v>83</v>
      </c>
      <c r="D3682" t="s">
        <v>3914</v>
      </c>
      <c r="E3682" t="s">
        <v>1041</v>
      </c>
      <c r="F3682" t="s">
        <v>3915</v>
      </c>
      <c r="G3682" t="s">
        <v>150</v>
      </c>
      <c r="H3682" t="s">
        <v>5012</v>
      </c>
      <c r="J3682">
        <v>1</v>
      </c>
    </row>
    <row r="3683" spans="1:10" x14ac:dyDescent="0.35">
      <c r="A3683">
        <v>6291104001336</v>
      </c>
      <c r="B3683" t="s">
        <v>3913</v>
      </c>
      <c r="C3683" t="s">
        <v>83</v>
      </c>
      <c r="D3683" t="s">
        <v>3914</v>
      </c>
      <c r="E3683" t="s">
        <v>1041</v>
      </c>
      <c r="F3683" t="s">
        <v>3915</v>
      </c>
      <c r="G3683" t="s">
        <v>31</v>
      </c>
      <c r="H3683" t="s">
        <v>5012</v>
      </c>
      <c r="J3683">
        <v>7</v>
      </c>
    </row>
    <row r="3684" spans="1:10" x14ac:dyDescent="0.35">
      <c r="A3684">
        <v>6291104887343</v>
      </c>
      <c r="B3684" t="s">
        <v>3916</v>
      </c>
      <c r="C3684" t="s">
        <v>1738</v>
      </c>
      <c r="D3684" t="s">
        <v>3917</v>
      </c>
      <c r="E3684" t="s">
        <v>3918</v>
      </c>
      <c r="F3684" t="s">
        <v>3919</v>
      </c>
      <c r="G3684" t="s">
        <v>150</v>
      </c>
      <c r="H3684" t="s">
        <v>5013</v>
      </c>
      <c r="J3684">
        <v>3</v>
      </c>
    </row>
    <row r="3685" spans="1:10" x14ac:dyDescent="0.35">
      <c r="A3685">
        <v>6291104887367</v>
      </c>
      <c r="B3685" t="s">
        <v>3920</v>
      </c>
      <c r="C3685" t="s">
        <v>9</v>
      </c>
      <c r="D3685" t="s">
        <v>3917</v>
      </c>
      <c r="E3685" t="s">
        <v>3918</v>
      </c>
      <c r="F3685" t="s">
        <v>3919</v>
      </c>
      <c r="G3685" t="s">
        <v>150</v>
      </c>
      <c r="H3685" t="s">
        <v>5013</v>
      </c>
      <c r="J3685">
        <v>5</v>
      </c>
    </row>
    <row r="3686" spans="1:10" x14ac:dyDescent="0.35">
      <c r="A3686">
        <v>6291105240734</v>
      </c>
      <c r="B3686" t="s">
        <v>3284</v>
      </c>
      <c r="C3686" t="s">
        <v>825</v>
      </c>
      <c r="D3686" t="s">
        <v>3921</v>
      </c>
      <c r="E3686" t="s">
        <v>150</v>
      </c>
      <c r="F3686" t="s">
        <v>3922</v>
      </c>
      <c r="G3686" t="s">
        <v>150</v>
      </c>
      <c r="H3686" t="s">
        <v>5014</v>
      </c>
      <c r="J3686">
        <v>37</v>
      </c>
    </row>
    <row r="3687" spans="1:10" x14ac:dyDescent="0.35">
      <c r="A3687">
        <v>6291107817545</v>
      </c>
      <c r="B3687" t="s">
        <v>3923</v>
      </c>
      <c r="C3687" t="s">
        <v>2147</v>
      </c>
      <c r="D3687" t="s">
        <v>590</v>
      </c>
      <c r="E3687" t="s">
        <v>34</v>
      </c>
      <c r="F3687" t="s">
        <v>591</v>
      </c>
      <c r="G3687" t="s">
        <v>34</v>
      </c>
      <c r="H3687" t="s">
        <v>4564</v>
      </c>
      <c r="J3687">
        <v>4</v>
      </c>
    </row>
    <row r="3688" spans="1:10" x14ac:dyDescent="0.35">
      <c r="A3688">
        <v>6297000522005</v>
      </c>
      <c r="B3688" t="s">
        <v>1217</v>
      </c>
      <c r="C3688" t="s">
        <v>81</v>
      </c>
      <c r="D3688" t="s">
        <v>1218</v>
      </c>
      <c r="E3688" t="s">
        <v>130</v>
      </c>
      <c r="F3688" t="s">
        <v>878</v>
      </c>
      <c r="G3688" t="s">
        <v>150</v>
      </c>
      <c r="H3688" t="s">
        <v>4612</v>
      </c>
      <c r="J3688">
        <v>7</v>
      </c>
    </row>
    <row r="3689" spans="1:10" x14ac:dyDescent="0.35">
      <c r="A3689">
        <v>6299109254825</v>
      </c>
      <c r="B3689" t="s">
        <v>446</v>
      </c>
      <c r="C3689" t="s">
        <v>192</v>
      </c>
      <c r="D3689" t="s">
        <v>448</v>
      </c>
      <c r="E3689" t="s">
        <v>117</v>
      </c>
      <c r="F3689" t="s">
        <v>449</v>
      </c>
      <c r="G3689" t="s">
        <v>117</v>
      </c>
      <c r="H3689" t="s">
        <v>4552</v>
      </c>
      <c r="J3689">
        <v>15</v>
      </c>
    </row>
    <row r="3690" spans="1:10" x14ac:dyDescent="0.35">
      <c r="A3690">
        <v>632565000159</v>
      </c>
      <c r="B3690" t="s">
        <v>212</v>
      </c>
      <c r="C3690" t="s">
        <v>9</v>
      </c>
      <c r="D3690" t="s">
        <v>3924</v>
      </c>
      <c r="E3690" t="s">
        <v>15</v>
      </c>
      <c r="F3690" t="s">
        <v>3925</v>
      </c>
      <c r="G3690" t="s">
        <v>16</v>
      </c>
      <c r="H3690" t="s">
        <v>5015</v>
      </c>
      <c r="J3690">
        <v>3</v>
      </c>
    </row>
    <row r="3691" spans="1:10" x14ac:dyDescent="0.35">
      <c r="A3691">
        <v>6422294001022</v>
      </c>
      <c r="B3691" t="s">
        <v>1158</v>
      </c>
      <c r="C3691" t="s">
        <v>192</v>
      </c>
      <c r="D3691" t="s">
        <v>3926</v>
      </c>
      <c r="E3691" t="s">
        <v>308</v>
      </c>
      <c r="F3691" t="s">
        <v>309</v>
      </c>
      <c r="G3691" t="s">
        <v>464</v>
      </c>
      <c r="H3691" t="s">
        <v>4529</v>
      </c>
      <c r="J3691">
        <v>1</v>
      </c>
    </row>
    <row r="3692" spans="1:10" x14ac:dyDescent="0.35">
      <c r="A3692">
        <v>645230057334</v>
      </c>
      <c r="B3692" t="s">
        <v>3927</v>
      </c>
      <c r="C3692" t="s">
        <v>3928</v>
      </c>
      <c r="D3692" t="s">
        <v>171</v>
      </c>
      <c r="E3692" t="s">
        <v>15</v>
      </c>
      <c r="F3692" t="s">
        <v>172</v>
      </c>
      <c r="G3692" t="s">
        <v>15</v>
      </c>
      <c r="H3692" t="s">
        <v>4517</v>
      </c>
      <c r="J3692">
        <v>1</v>
      </c>
    </row>
    <row r="3693" spans="1:10" x14ac:dyDescent="0.35">
      <c r="A3693">
        <v>6554522535402</v>
      </c>
      <c r="B3693" t="s">
        <v>485</v>
      </c>
      <c r="C3693" t="s">
        <v>192</v>
      </c>
      <c r="D3693" t="s">
        <v>3605</v>
      </c>
      <c r="E3693" t="s">
        <v>31</v>
      </c>
      <c r="F3693" t="s">
        <v>3606</v>
      </c>
      <c r="G3693" t="s">
        <v>150</v>
      </c>
      <c r="H3693" t="s">
        <v>4971</v>
      </c>
      <c r="J3693">
        <v>3</v>
      </c>
    </row>
    <row r="3694" spans="1:10" x14ac:dyDescent="0.35">
      <c r="A3694">
        <v>6554522535402</v>
      </c>
      <c r="B3694" t="s">
        <v>485</v>
      </c>
      <c r="C3694" t="s">
        <v>192</v>
      </c>
      <c r="D3694" t="s">
        <v>3605</v>
      </c>
      <c r="E3694" t="s">
        <v>31</v>
      </c>
      <c r="F3694" t="s">
        <v>3606</v>
      </c>
      <c r="G3694" t="s">
        <v>31</v>
      </c>
      <c r="H3694" t="s">
        <v>4971</v>
      </c>
      <c r="J3694">
        <v>83</v>
      </c>
    </row>
    <row r="3695" spans="1:10" x14ac:dyDescent="0.35">
      <c r="A3695">
        <v>6635932146522</v>
      </c>
      <c r="B3695" t="s">
        <v>485</v>
      </c>
      <c r="C3695" t="s">
        <v>253</v>
      </c>
      <c r="D3695" t="s">
        <v>3929</v>
      </c>
      <c r="E3695" t="s">
        <v>31</v>
      </c>
      <c r="F3695" t="s">
        <v>3929</v>
      </c>
      <c r="G3695" t="s">
        <v>31</v>
      </c>
      <c r="H3695" t="s">
        <v>5016</v>
      </c>
      <c r="J3695">
        <v>52</v>
      </c>
    </row>
    <row r="3696" spans="1:10" x14ac:dyDescent="0.35">
      <c r="A3696">
        <v>67057788</v>
      </c>
      <c r="B3696" t="s">
        <v>589</v>
      </c>
      <c r="C3696" t="s">
        <v>114</v>
      </c>
      <c r="D3696" t="s">
        <v>3930</v>
      </c>
      <c r="E3696" t="s">
        <v>34</v>
      </c>
      <c r="F3696" t="s">
        <v>2402</v>
      </c>
      <c r="G3696" t="s">
        <v>34</v>
      </c>
      <c r="H3696" t="s">
        <v>4796</v>
      </c>
      <c r="J3696">
        <v>82</v>
      </c>
    </row>
    <row r="3697" spans="1:10" x14ac:dyDescent="0.35">
      <c r="A3697">
        <v>671785101000</v>
      </c>
      <c r="B3697" t="s">
        <v>212</v>
      </c>
      <c r="C3697" t="s">
        <v>81</v>
      </c>
      <c r="D3697" t="s">
        <v>713</v>
      </c>
      <c r="E3697" t="s">
        <v>16</v>
      </c>
      <c r="F3697" t="s">
        <v>714</v>
      </c>
      <c r="G3697" t="s">
        <v>16</v>
      </c>
      <c r="H3697" t="s">
        <v>4584</v>
      </c>
      <c r="J3697">
        <v>1</v>
      </c>
    </row>
    <row r="3698" spans="1:10" x14ac:dyDescent="0.35">
      <c r="A3698">
        <v>671785201007</v>
      </c>
      <c r="B3698" t="s">
        <v>713</v>
      </c>
      <c r="C3698" t="s">
        <v>1598</v>
      </c>
      <c r="D3698" t="s">
        <v>713</v>
      </c>
      <c r="E3698" t="s">
        <v>16</v>
      </c>
      <c r="F3698" t="s">
        <v>714</v>
      </c>
      <c r="G3698" t="s">
        <v>16</v>
      </c>
      <c r="H3698" t="s">
        <v>4584</v>
      </c>
      <c r="J3698">
        <v>1</v>
      </c>
    </row>
    <row r="3699" spans="1:10" x14ac:dyDescent="0.35">
      <c r="A3699">
        <v>671785400004</v>
      </c>
      <c r="B3699" t="s">
        <v>212</v>
      </c>
      <c r="C3699" t="s">
        <v>3931</v>
      </c>
      <c r="D3699" t="s">
        <v>713</v>
      </c>
      <c r="E3699" t="s">
        <v>16</v>
      </c>
      <c r="F3699" t="s">
        <v>714</v>
      </c>
      <c r="G3699" t="s">
        <v>16</v>
      </c>
      <c r="H3699" t="s">
        <v>4584</v>
      </c>
      <c r="J3699">
        <v>1</v>
      </c>
    </row>
    <row r="3700" spans="1:10" x14ac:dyDescent="0.35">
      <c r="A3700">
        <v>671785501008</v>
      </c>
      <c r="B3700" t="s">
        <v>212</v>
      </c>
      <c r="C3700" t="s">
        <v>9</v>
      </c>
      <c r="D3700" t="s">
        <v>713</v>
      </c>
      <c r="E3700" t="s">
        <v>16</v>
      </c>
      <c r="F3700" t="s">
        <v>714</v>
      </c>
      <c r="G3700" t="s">
        <v>16</v>
      </c>
      <c r="H3700" t="s">
        <v>4584</v>
      </c>
      <c r="J3700">
        <v>4</v>
      </c>
    </row>
    <row r="3701" spans="1:10" x14ac:dyDescent="0.35">
      <c r="A3701">
        <v>671785710004</v>
      </c>
      <c r="B3701" t="s">
        <v>3932</v>
      </c>
      <c r="C3701" t="s">
        <v>146</v>
      </c>
      <c r="D3701" t="s">
        <v>713</v>
      </c>
      <c r="E3701" t="s">
        <v>16</v>
      </c>
      <c r="F3701" t="s">
        <v>714</v>
      </c>
      <c r="G3701" t="s">
        <v>16</v>
      </c>
      <c r="H3701" t="s">
        <v>4584</v>
      </c>
      <c r="J3701">
        <v>3</v>
      </c>
    </row>
    <row r="3702" spans="1:10" x14ac:dyDescent="0.35">
      <c r="A3702">
        <v>674511451592</v>
      </c>
      <c r="B3702" t="s">
        <v>3933</v>
      </c>
      <c r="C3702" t="s">
        <v>253</v>
      </c>
      <c r="D3702" t="s">
        <v>852</v>
      </c>
      <c r="E3702" t="s">
        <v>308</v>
      </c>
      <c r="F3702" t="s">
        <v>309</v>
      </c>
      <c r="G3702" t="s">
        <v>11</v>
      </c>
      <c r="H3702" t="s">
        <v>4529</v>
      </c>
      <c r="J3702">
        <v>5</v>
      </c>
    </row>
    <row r="3703" spans="1:10" x14ac:dyDescent="0.35">
      <c r="A3703">
        <v>67888337</v>
      </c>
      <c r="B3703" t="s">
        <v>201</v>
      </c>
      <c r="C3703" t="s">
        <v>200</v>
      </c>
      <c r="D3703" t="s">
        <v>194</v>
      </c>
      <c r="E3703" t="s">
        <v>16</v>
      </c>
      <c r="F3703" t="s">
        <v>195</v>
      </c>
      <c r="G3703" t="s">
        <v>16</v>
      </c>
      <c r="H3703" t="s">
        <v>4519</v>
      </c>
      <c r="J3703">
        <v>1</v>
      </c>
    </row>
    <row r="3704" spans="1:10" x14ac:dyDescent="0.35">
      <c r="A3704">
        <v>6804000347301</v>
      </c>
      <c r="B3704" t="s">
        <v>3934</v>
      </c>
      <c r="C3704" t="s">
        <v>1374</v>
      </c>
      <c r="D3704" t="s">
        <v>1840</v>
      </c>
      <c r="E3704" t="s">
        <v>308</v>
      </c>
      <c r="F3704" t="s">
        <v>309</v>
      </c>
      <c r="G3704" t="s">
        <v>61</v>
      </c>
      <c r="H3704" t="s">
        <v>4529</v>
      </c>
      <c r="J3704">
        <v>1</v>
      </c>
    </row>
    <row r="3705" spans="1:10" x14ac:dyDescent="0.35">
      <c r="A3705">
        <v>6805698924300</v>
      </c>
      <c r="B3705" t="s">
        <v>592</v>
      </c>
      <c r="C3705">
        <v>1.5</v>
      </c>
      <c r="D3705" t="s">
        <v>2448</v>
      </c>
      <c r="E3705" t="s">
        <v>15</v>
      </c>
      <c r="F3705" t="s">
        <v>2449</v>
      </c>
      <c r="G3705" t="s">
        <v>34</v>
      </c>
      <c r="H3705" t="s">
        <v>4804</v>
      </c>
      <c r="J3705">
        <v>1</v>
      </c>
    </row>
    <row r="3706" spans="1:10" x14ac:dyDescent="0.35">
      <c r="A3706">
        <v>6814618820332</v>
      </c>
      <c r="B3706" t="s">
        <v>3935</v>
      </c>
      <c r="C3706" t="s">
        <v>2335</v>
      </c>
      <c r="D3706" t="s">
        <v>2895</v>
      </c>
      <c r="E3706" t="s">
        <v>71</v>
      </c>
      <c r="F3706" t="s">
        <v>72</v>
      </c>
      <c r="G3706" t="s">
        <v>41</v>
      </c>
      <c r="H3706" t="s">
        <v>4501</v>
      </c>
      <c r="J3706">
        <v>50</v>
      </c>
    </row>
    <row r="3707" spans="1:10" x14ac:dyDescent="0.35">
      <c r="A3707">
        <v>6822322153004</v>
      </c>
      <c r="B3707" t="s">
        <v>3936</v>
      </c>
      <c r="C3707" t="s">
        <v>36</v>
      </c>
      <c r="D3707" t="s">
        <v>3937</v>
      </c>
      <c r="E3707" t="s">
        <v>31</v>
      </c>
      <c r="F3707" t="s">
        <v>3938</v>
      </c>
      <c r="G3707" t="s">
        <v>31</v>
      </c>
      <c r="H3707" t="s">
        <v>5017</v>
      </c>
      <c r="J3707">
        <v>55</v>
      </c>
    </row>
    <row r="3708" spans="1:10" x14ac:dyDescent="0.35">
      <c r="A3708">
        <v>6866702868584</v>
      </c>
      <c r="B3708" t="s">
        <v>852</v>
      </c>
      <c r="C3708" t="s">
        <v>114</v>
      </c>
      <c r="D3708" t="s">
        <v>3939</v>
      </c>
      <c r="E3708" t="s">
        <v>308</v>
      </c>
      <c r="F3708" t="s">
        <v>309</v>
      </c>
      <c r="G3708" t="s">
        <v>31</v>
      </c>
      <c r="H3708" t="s">
        <v>4529</v>
      </c>
      <c r="J3708">
        <v>11</v>
      </c>
    </row>
    <row r="3709" spans="1:10" x14ac:dyDescent="0.35">
      <c r="A3709">
        <v>6900077057201</v>
      </c>
      <c r="B3709" t="s">
        <v>3940</v>
      </c>
      <c r="C3709" t="s">
        <v>36</v>
      </c>
      <c r="D3709" t="s">
        <v>3941</v>
      </c>
      <c r="E3709" t="s">
        <v>1041</v>
      </c>
      <c r="F3709" t="s">
        <v>3942</v>
      </c>
      <c r="G3709" t="s">
        <v>34</v>
      </c>
      <c r="H3709" t="s">
        <v>5018</v>
      </c>
      <c r="J3709">
        <v>1</v>
      </c>
    </row>
    <row r="3710" spans="1:10" x14ac:dyDescent="0.35">
      <c r="A3710">
        <v>6906978201064</v>
      </c>
      <c r="B3710" t="s">
        <v>3943</v>
      </c>
      <c r="C3710" t="s">
        <v>192</v>
      </c>
      <c r="D3710" t="s">
        <v>3856</v>
      </c>
      <c r="E3710" t="s">
        <v>61</v>
      </c>
      <c r="F3710" t="s">
        <v>3857</v>
      </c>
      <c r="G3710" t="s">
        <v>117</v>
      </c>
      <c r="H3710" t="s">
        <v>4999</v>
      </c>
      <c r="J3710">
        <v>1</v>
      </c>
    </row>
    <row r="3711" spans="1:10" x14ac:dyDescent="0.35">
      <c r="A3711">
        <v>6906978201064</v>
      </c>
      <c r="B3711" t="s">
        <v>3943</v>
      </c>
      <c r="C3711" t="s">
        <v>192</v>
      </c>
      <c r="D3711" t="s">
        <v>3856</v>
      </c>
      <c r="E3711" t="s">
        <v>61</v>
      </c>
      <c r="F3711" t="s">
        <v>3857</v>
      </c>
      <c r="G3711" t="s">
        <v>61</v>
      </c>
      <c r="H3711" t="s">
        <v>4999</v>
      </c>
      <c r="J3711">
        <v>88</v>
      </c>
    </row>
    <row r="3712" spans="1:10" x14ac:dyDescent="0.35">
      <c r="A3712">
        <v>69191206</v>
      </c>
      <c r="B3712" t="s">
        <v>3944</v>
      </c>
      <c r="C3712" t="s">
        <v>877</v>
      </c>
      <c r="D3712" t="s">
        <v>3945</v>
      </c>
      <c r="E3712" t="s">
        <v>637</v>
      </c>
      <c r="F3712" t="s">
        <v>3946</v>
      </c>
      <c r="G3712" t="s">
        <v>41</v>
      </c>
      <c r="H3712" t="s">
        <v>5019</v>
      </c>
      <c r="J3712">
        <v>23</v>
      </c>
    </row>
    <row r="3713" spans="1:10" x14ac:dyDescent="0.35">
      <c r="A3713">
        <v>6920459993798</v>
      </c>
      <c r="B3713" t="s">
        <v>3947</v>
      </c>
      <c r="C3713" t="s">
        <v>9</v>
      </c>
      <c r="D3713" t="s">
        <v>3948</v>
      </c>
      <c r="E3713" t="s">
        <v>1041</v>
      </c>
      <c r="F3713" t="s">
        <v>3948</v>
      </c>
      <c r="G3713" t="s">
        <v>34</v>
      </c>
      <c r="H3713" t="s">
        <v>5020</v>
      </c>
      <c r="J3713">
        <v>1</v>
      </c>
    </row>
    <row r="3714" spans="1:10" x14ac:dyDescent="0.35">
      <c r="A3714">
        <v>6920583012570</v>
      </c>
      <c r="B3714" t="s">
        <v>3949</v>
      </c>
      <c r="C3714" t="s">
        <v>272</v>
      </c>
      <c r="D3714" t="s">
        <v>586</v>
      </c>
      <c r="E3714" t="s">
        <v>578</v>
      </c>
      <c r="F3714" t="s">
        <v>579</v>
      </c>
      <c r="G3714" t="s">
        <v>61</v>
      </c>
      <c r="H3714" t="s">
        <v>4563</v>
      </c>
      <c r="J3714">
        <v>1</v>
      </c>
    </row>
    <row r="3715" spans="1:10" x14ac:dyDescent="0.35">
      <c r="A3715">
        <v>6920790011298</v>
      </c>
      <c r="B3715" t="s">
        <v>3950</v>
      </c>
      <c r="C3715" t="s">
        <v>1175</v>
      </c>
      <c r="D3715" t="s">
        <v>3951</v>
      </c>
      <c r="E3715" t="s">
        <v>1041</v>
      </c>
      <c r="F3715" t="s">
        <v>3952</v>
      </c>
      <c r="G3715" t="s">
        <v>117</v>
      </c>
      <c r="H3715" t="s">
        <v>5021</v>
      </c>
      <c r="J3715">
        <v>50</v>
      </c>
    </row>
    <row r="3716" spans="1:10" x14ac:dyDescent="0.35">
      <c r="A3716">
        <v>6921168509256</v>
      </c>
      <c r="B3716" t="s">
        <v>549</v>
      </c>
      <c r="C3716" t="s">
        <v>623</v>
      </c>
      <c r="D3716" t="s">
        <v>3953</v>
      </c>
      <c r="E3716" t="s">
        <v>1041</v>
      </c>
      <c r="F3716" t="s">
        <v>3954</v>
      </c>
      <c r="G3716" t="s">
        <v>34</v>
      </c>
      <c r="H3716" t="s">
        <v>5022</v>
      </c>
      <c r="J3716">
        <v>1</v>
      </c>
    </row>
    <row r="3717" spans="1:10" x14ac:dyDescent="0.35">
      <c r="A3717">
        <v>6921168509256</v>
      </c>
      <c r="B3717" t="s">
        <v>549</v>
      </c>
      <c r="C3717" t="s">
        <v>623</v>
      </c>
      <c r="D3717" t="s">
        <v>3953</v>
      </c>
      <c r="E3717" t="s">
        <v>1041</v>
      </c>
      <c r="F3717" t="s">
        <v>3954</v>
      </c>
      <c r="G3717" t="s">
        <v>31</v>
      </c>
      <c r="H3717" t="s">
        <v>5022</v>
      </c>
      <c r="J3717">
        <v>50</v>
      </c>
    </row>
    <row r="3718" spans="1:10" x14ac:dyDescent="0.35">
      <c r="A3718">
        <v>6921237234263</v>
      </c>
      <c r="B3718" t="s">
        <v>384</v>
      </c>
      <c r="C3718" t="s">
        <v>3291</v>
      </c>
      <c r="D3718" t="s">
        <v>3955</v>
      </c>
      <c r="E3718" t="s">
        <v>3956</v>
      </c>
      <c r="F3718" t="s">
        <v>3957</v>
      </c>
      <c r="G3718" t="s">
        <v>117</v>
      </c>
      <c r="H3718" t="s">
        <v>5023</v>
      </c>
      <c r="J3718">
        <v>47</v>
      </c>
    </row>
    <row r="3719" spans="1:10" x14ac:dyDescent="0.35">
      <c r="A3719">
        <v>6921294308549</v>
      </c>
      <c r="B3719" t="s">
        <v>3958</v>
      </c>
      <c r="C3719" t="s">
        <v>9</v>
      </c>
      <c r="D3719" t="s">
        <v>474</v>
      </c>
      <c r="E3719" t="s">
        <v>130</v>
      </c>
      <c r="F3719" t="s">
        <v>475</v>
      </c>
      <c r="G3719" t="s">
        <v>150</v>
      </c>
      <c r="H3719" t="s">
        <v>4557</v>
      </c>
      <c r="J3719">
        <v>1</v>
      </c>
    </row>
    <row r="3720" spans="1:10" x14ac:dyDescent="0.35">
      <c r="A3720">
        <v>6922868289257</v>
      </c>
      <c r="B3720" t="s">
        <v>3959</v>
      </c>
      <c r="C3720" t="s">
        <v>458</v>
      </c>
      <c r="D3720" t="s">
        <v>3960</v>
      </c>
      <c r="E3720" t="s">
        <v>117</v>
      </c>
      <c r="F3720" t="s">
        <v>3961</v>
      </c>
      <c r="G3720" t="s">
        <v>117</v>
      </c>
      <c r="H3720" t="s">
        <v>5024</v>
      </c>
      <c r="J3720">
        <v>89</v>
      </c>
    </row>
    <row r="3721" spans="1:10" x14ac:dyDescent="0.35">
      <c r="A3721">
        <v>6923589281018</v>
      </c>
      <c r="B3721" t="s">
        <v>3962</v>
      </c>
      <c r="C3721" t="s">
        <v>192</v>
      </c>
      <c r="D3721" t="s">
        <v>3963</v>
      </c>
      <c r="E3721" t="s">
        <v>31</v>
      </c>
      <c r="F3721" t="s">
        <v>3964</v>
      </c>
      <c r="G3721" t="s">
        <v>31</v>
      </c>
      <c r="H3721" t="s">
        <v>5025</v>
      </c>
      <c r="J3721">
        <v>11</v>
      </c>
    </row>
    <row r="3722" spans="1:10" x14ac:dyDescent="0.35">
      <c r="A3722">
        <v>69235894</v>
      </c>
      <c r="B3722" t="s">
        <v>3559</v>
      </c>
      <c r="C3722" t="s">
        <v>1598</v>
      </c>
      <c r="D3722" t="s">
        <v>3963</v>
      </c>
      <c r="E3722" t="s">
        <v>31</v>
      </c>
      <c r="F3722" t="s">
        <v>3964</v>
      </c>
      <c r="G3722" t="s">
        <v>11</v>
      </c>
      <c r="H3722" t="s">
        <v>5025</v>
      </c>
      <c r="J3722">
        <v>1</v>
      </c>
    </row>
    <row r="3723" spans="1:10" x14ac:dyDescent="0.35">
      <c r="A3723">
        <v>6923589421018</v>
      </c>
      <c r="B3723" t="s">
        <v>852</v>
      </c>
      <c r="C3723" t="s">
        <v>1374</v>
      </c>
      <c r="D3723" t="s">
        <v>3963</v>
      </c>
      <c r="E3723" t="s">
        <v>31</v>
      </c>
      <c r="F3723" t="s">
        <v>3964</v>
      </c>
      <c r="G3723" t="s">
        <v>11</v>
      </c>
      <c r="H3723" t="s">
        <v>5025</v>
      </c>
      <c r="J3723">
        <v>2</v>
      </c>
    </row>
    <row r="3724" spans="1:10" x14ac:dyDescent="0.35">
      <c r="A3724">
        <v>6923589421018</v>
      </c>
      <c r="B3724" t="s">
        <v>852</v>
      </c>
      <c r="C3724" t="s">
        <v>1374</v>
      </c>
      <c r="D3724" t="s">
        <v>3963</v>
      </c>
      <c r="E3724" t="s">
        <v>31</v>
      </c>
      <c r="F3724" t="s">
        <v>3964</v>
      </c>
      <c r="G3724" t="s">
        <v>150</v>
      </c>
      <c r="H3724" t="s">
        <v>5025</v>
      </c>
      <c r="J3724">
        <v>7</v>
      </c>
    </row>
    <row r="3725" spans="1:10" x14ac:dyDescent="0.35">
      <c r="A3725">
        <v>6923589421018</v>
      </c>
      <c r="B3725" t="s">
        <v>852</v>
      </c>
      <c r="C3725" t="s">
        <v>1374</v>
      </c>
      <c r="D3725" t="s">
        <v>3963</v>
      </c>
      <c r="E3725" t="s">
        <v>31</v>
      </c>
      <c r="F3725" t="s">
        <v>3964</v>
      </c>
      <c r="G3725" t="s">
        <v>31</v>
      </c>
      <c r="H3725" t="s">
        <v>5025</v>
      </c>
      <c r="J3725">
        <v>15</v>
      </c>
    </row>
    <row r="3726" spans="1:10" x14ac:dyDescent="0.35">
      <c r="A3726">
        <v>692681366874</v>
      </c>
      <c r="B3726" t="s">
        <v>1063</v>
      </c>
      <c r="C3726" t="s">
        <v>326</v>
      </c>
      <c r="D3726" t="s">
        <v>3965</v>
      </c>
      <c r="E3726" t="s">
        <v>117</v>
      </c>
      <c r="F3726" t="s">
        <v>3966</v>
      </c>
      <c r="G3726" t="s">
        <v>117</v>
      </c>
      <c r="H3726" t="s">
        <v>5026</v>
      </c>
      <c r="J3726">
        <v>55</v>
      </c>
    </row>
    <row r="3727" spans="1:10" x14ac:dyDescent="0.35">
      <c r="A3727">
        <v>6930773400292</v>
      </c>
      <c r="B3727" t="s">
        <v>3967</v>
      </c>
      <c r="C3727" t="s">
        <v>36</v>
      </c>
      <c r="D3727" t="s">
        <v>2356</v>
      </c>
      <c r="E3727" t="s">
        <v>34</v>
      </c>
      <c r="F3727" t="s">
        <v>2357</v>
      </c>
      <c r="G3727" t="s">
        <v>34</v>
      </c>
      <c r="H3727" t="s">
        <v>4795</v>
      </c>
      <c r="J3727">
        <v>1</v>
      </c>
    </row>
    <row r="3728" spans="1:10" x14ac:dyDescent="0.35">
      <c r="A3728">
        <v>6930773400308</v>
      </c>
      <c r="B3728" t="s">
        <v>3968</v>
      </c>
      <c r="C3728" t="s">
        <v>472</v>
      </c>
      <c r="D3728" t="s">
        <v>2356</v>
      </c>
      <c r="E3728" t="s">
        <v>34</v>
      </c>
      <c r="F3728" t="s">
        <v>2357</v>
      </c>
      <c r="G3728" t="s">
        <v>34</v>
      </c>
      <c r="H3728" t="s">
        <v>4795</v>
      </c>
      <c r="J3728">
        <v>60</v>
      </c>
    </row>
    <row r="3729" spans="1:10" x14ac:dyDescent="0.35">
      <c r="A3729">
        <v>6930773400315</v>
      </c>
      <c r="B3729" t="s">
        <v>3969</v>
      </c>
      <c r="C3729" t="s">
        <v>603</v>
      </c>
      <c r="D3729" t="s">
        <v>2356</v>
      </c>
      <c r="E3729" t="s">
        <v>34</v>
      </c>
      <c r="F3729" t="s">
        <v>2357</v>
      </c>
      <c r="G3729" t="s">
        <v>34</v>
      </c>
      <c r="H3729" t="s">
        <v>4795</v>
      </c>
      <c r="J3729">
        <v>4</v>
      </c>
    </row>
    <row r="3730" spans="1:10" x14ac:dyDescent="0.35">
      <c r="A3730">
        <v>6930773400346</v>
      </c>
      <c r="B3730" t="s">
        <v>3970</v>
      </c>
      <c r="C3730" t="s">
        <v>758</v>
      </c>
      <c r="D3730" t="s">
        <v>2356</v>
      </c>
      <c r="E3730" t="s">
        <v>34</v>
      </c>
      <c r="F3730" t="s">
        <v>2357</v>
      </c>
      <c r="G3730" t="s">
        <v>11</v>
      </c>
      <c r="H3730" t="s">
        <v>4795</v>
      </c>
      <c r="J3730">
        <v>5</v>
      </c>
    </row>
    <row r="3731" spans="1:10" x14ac:dyDescent="0.35">
      <c r="A3731">
        <v>6930773400346</v>
      </c>
      <c r="B3731" t="s">
        <v>3970</v>
      </c>
      <c r="C3731" t="s">
        <v>758</v>
      </c>
      <c r="D3731" t="s">
        <v>2356</v>
      </c>
      <c r="E3731" t="s">
        <v>34</v>
      </c>
      <c r="F3731" t="s">
        <v>2357</v>
      </c>
      <c r="G3731" t="s">
        <v>34</v>
      </c>
      <c r="H3731" t="s">
        <v>4795</v>
      </c>
      <c r="J3731">
        <v>1</v>
      </c>
    </row>
    <row r="3732" spans="1:10" x14ac:dyDescent="0.35">
      <c r="A3732">
        <v>6930773400353</v>
      </c>
      <c r="B3732" t="s">
        <v>3971</v>
      </c>
      <c r="C3732" t="s">
        <v>758</v>
      </c>
      <c r="D3732" t="s">
        <v>2356</v>
      </c>
      <c r="E3732" t="s">
        <v>34</v>
      </c>
      <c r="F3732" t="s">
        <v>2357</v>
      </c>
      <c r="G3732" t="s">
        <v>34</v>
      </c>
      <c r="H3732" t="s">
        <v>4795</v>
      </c>
      <c r="J3732">
        <v>2</v>
      </c>
    </row>
    <row r="3733" spans="1:10" x14ac:dyDescent="0.35">
      <c r="A3733">
        <v>6930773412066</v>
      </c>
      <c r="B3733" t="s">
        <v>3972</v>
      </c>
      <c r="C3733" t="s">
        <v>385</v>
      </c>
      <c r="D3733" t="s">
        <v>2356</v>
      </c>
      <c r="E3733" t="s">
        <v>34</v>
      </c>
      <c r="F3733" t="s">
        <v>2357</v>
      </c>
      <c r="G3733" t="s">
        <v>34</v>
      </c>
      <c r="H3733" t="s">
        <v>4795</v>
      </c>
      <c r="J3733">
        <v>1</v>
      </c>
    </row>
    <row r="3734" spans="1:10" x14ac:dyDescent="0.35">
      <c r="A3734">
        <v>6930773500145</v>
      </c>
      <c r="B3734" t="s">
        <v>3973</v>
      </c>
      <c r="C3734" t="s">
        <v>1637</v>
      </c>
      <c r="D3734" t="s">
        <v>2356</v>
      </c>
      <c r="E3734" t="s">
        <v>34</v>
      </c>
      <c r="F3734" t="s">
        <v>2357</v>
      </c>
      <c r="G3734" t="s">
        <v>34</v>
      </c>
      <c r="H3734" t="s">
        <v>4795</v>
      </c>
      <c r="J3734">
        <v>1</v>
      </c>
    </row>
    <row r="3735" spans="1:10" x14ac:dyDescent="0.35">
      <c r="A3735">
        <v>6933610104094</v>
      </c>
      <c r="B3735" t="s">
        <v>2014</v>
      </c>
      <c r="C3735" t="s">
        <v>758</v>
      </c>
      <c r="D3735" t="s">
        <v>1356</v>
      </c>
      <c r="E3735" t="s">
        <v>308</v>
      </c>
      <c r="F3735" t="s">
        <v>309</v>
      </c>
      <c r="G3735" t="s">
        <v>34</v>
      </c>
      <c r="H3735" t="s">
        <v>4529</v>
      </c>
      <c r="J3735">
        <v>9</v>
      </c>
    </row>
    <row r="3736" spans="1:10" x14ac:dyDescent="0.35">
      <c r="A3736">
        <v>6935236000033</v>
      </c>
      <c r="B3736" t="s">
        <v>3277</v>
      </c>
      <c r="C3736" t="s">
        <v>192</v>
      </c>
      <c r="D3736" t="s">
        <v>3974</v>
      </c>
      <c r="E3736" t="s">
        <v>31</v>
      </c>
      <c r="F3736" t="s">
        <v>3975</v>
      </c>
      <c r="G3736" t="s">
        <v>31</v>
      </c>
      <c r="H3736" t="s">
        <v>5027</v>
      </c>
      <c r="J3736">
        <v>40</v>
      </c>
    </row>
    <row r="3737" spans="1:10" x14ac:dyDescent="0.35">
      <c r="A3737">
        <v>6935236000057</v>
      </c>
      <c r="B3737" t="s">
        <v>485</v>
      </c>
      <c r="C3737" t="s">
        <v>9</v>
      </c>
      <c r="D3737" t="s">
        <v>1933</v>
      </c>
      <c r="E3737" t="s">
        <v>15</v>
      </c>
      <c r="F3737" t="s">
        <v>14</v>
      </c>
      <c r="G3737" t="s">
        <v>31</v>
      </c>
      <c r="H3737" t="s">
        <v>4489</v>
      </c>
      <c r="J3737">
        <v>89</v>
      </c>
    </row>
    <row r="3738" spans="1:10" x14ac:dyDescent="0.35">
      <c r="A3738">
        <v>6935655122842</v>
      </c>
      <c r="B3738" t="s">
        <v>3976</v>
      </c>
      <c r="C3738" t="s">
        <v>758</v>
      </c>
      <c r="D3738" t="s">
        <v>3977</v>
      </c>
      <c r="E3738" t="s">
        <v>1041</v>
      </c>
      <c r="F3738" t="s">
        <v>3978</v>
      </c>
      <c r="G3738" t="s">
        <v>117</v>
      </c>
      <c r="H3738" t="s">
        <v>5028</v>
      </c>
      <c r="J3738">
        <v>50</v>
      </c>
    </row>
    <row r="3739" spans="1:10" x14ac:dyDescent="0.35">
      <c r="A3739">
        <v>6943826709198</v>
      </c>
      <c r="B3739" t="s">
        <v>3979</v>
      </c>
      <c r="C3739" t="s">
        <v>2407</v>
      </c>
      <c r="D3739" t="s">
        <v>3980</v>
      </c>
      <c r="E3739" t="s">
        <v>1041</v>
      </c>
      <c r="F3739" t="s">
        <v>3981</v>
      </c>
      <c r="G3739" t="s">
        <v>41</v>
      </c>
      <c r="H3739" t="s">
        <v>5029</v>
      </c>
      <c r="J3739">
        <v>102</v>
      </c>
    </row>
    <row r="3740" spans="1:10" x14ac:dyDescent="0.35">
      <c r="A3740">
        <v>6943826709259</v>
      </c>
      <c r="B3740" t="s">
        <v>3982</v>
      </c>
      <c r="C3740" t="s">
        <v>568</v>
      </c>
      <c r="D3740" t="s">
        <v>3980</v>
      </c>
      <c r="E3740" t="s">
        <v>1041</v>
      </c>
      <c r="F3740" t="s">
        <v>3981</v>
      </c>
      <c r="G3740" t="s">
        <v>41</v>
      </c>
      <c r="H3740" t="s">
        <v>5029</v>
      </c>
      <c r="J3740">
        <v>51</v>
      </c>
    </row>
    <row r="3741" spans="1:10" x14ac:dyDescent="0.35">
      <c r="A3741">
        <v>6952581701118</v>
      </c>
      <c r="B3741" t="s">
        <v>3983</v>
      </c>
      <c r="C3741" t="s">
        <v>909</v>
      </c>
      <c r="D3741" t="s">
        <v>3984</v>
      </c>
      <c r="E3741" t="s">
        <v>308</v>
      </c>
      <c r="F3741" t="s">
        <v>309</v>
      </c>
      <c r="G3741" t="s">
        <v>61</v>
      </c>
      <c r="H3741" t="s">
        <v>4529</v>
      </c>
      <c r="J3741">
        <v>1</v>
      </c>
    </row>
    <row r="3742" spans="1:10" x14ac:dyDescent="0.35">
      <c r="A3742">
        <v>6954574930109</v>
      </c>
      <c r="B3742" t="s">
        <v>3985</v>
      </c>
      <c r="C3742" t="s">
        <v>1582</v>
      </c>
      <c r="D3742" t="s">
        <v>3986</v>
      </c>
      <c r="E3742" t="s">
        <v>1041</v>
      </c>
      <c r="F3742" t="s">
        <v>1042</v>
      </c>
      <c r="G3742" t="s">
        <v>41</v>
      </c>
      <c r="H3742" t="s">
        <v>4642</v>
      </c>
      <c r="J3742">
        <v>100</v>
      </c>
    </row>
    <row r="3743" spans="1:10" x14ac:dyDescent="0.35">
      <c r="A3743">
        <v>6959749712580</v>
      </c>
      <c r="B3743" t="s">
        <v>3987</v>
      </c>
      <c r="C3743" t="s">
        <v>630</v>
      </c>
      <c r="D3743" t="s">
        <v>3988</v>
      </c>
      <c r="E3743" t="s">
        <v>308</v>
      </c>
      <c r="F3743" t="s">
        <v>309</v>
      </c>
      <c r="G3743" t="s">
        <v>61</v>
      </c>
      <c r="H3743" t="s">
        <v>4529</v>
      </c>
      <c r="J3743">
        <v>2</v>
      </c>
    </row>
    <row r="3744" spans="1:10" x14ac:dyDescent="0.35">
      <c r="A3744">
        <v>6960553910222</v>
      </c>
      <c r="B3744" t="s">
        <v>3989</v>
      </c>
      <c r="C3744">
        <v>350</v>
      </c>
      <c r="D3744" t="s">
        <v>2356</v>
      </c>
      <c r="E3744" t="s">
        <v>34</v>
      </c>
      <c r="F3744" t="s">
        <v>2357</v>
      </c>
      <c r="G3744" t="s">
        <v>34</v>
      </c>
      <c r="H3744" t="s">
        <v>4795</v>
      </c>
      <c r="J3744">
        <v>1</v>
      </c>
    </row>
    <row r="3745" spans="1:10" x14ac:dyDescent="0.35">
      <c r="A3745">
        <v>6969228800127</v>
      </c>
      <c r="B3745" t="s">
        <v>3991</v>
      </c>
      <c r="C3745" t="s">
        <v>458</v>
      </c>
      <c r="D3745" t="s">
        <v>3145</v>
      </c>
      <c r="E3745" t="s">
        <v>308</v>
      </c>
      <c r="F3745" t="s">
        <v>309</v>
      </c>
      <c r="G3745" t="s">
        <v>41</v>
      </c>
      <c r="H3745" t="s">
        <v>4529</v>
      </c>
      <c r="J3745">
        <v>31</v>
      </c>
    </row>
    <row r="3746" spans="1:10" x14ac:dyDescent="0.35">
      <c r="A3746">
        <v>6969930023692</v>
      </c>
      <c r="B3746" t="s">
        <v>3992</v>
      </c>
      <c r="C3746" t="s">
        <v>36</v>
      </c>
      <c r="D3746" t="s">
        <v>3993</v>
      </c>
      <c r="E3746" t="s">
        <v>16</v>
      </c>
      <c r="F3746" t="s">
        <v>3994</v>
      </c>
      <c r="G3746" t="s">
        <v>150</v>
      </c>
      <c r="H3746" t="s">
        <v>5030</v>
      </c>
      <c r="J3746">
        <v>40</v>
      </c>
    </row>
    <row r="3747" spans="1:10" x14ac:dyDescent="0.35">
      <c r="A3747">
        <v>6970733780033</v>
      </c>
      <c r="B3747" t="s">
        <v>3995</v>
      </c>
      <c r="C3747" t="s">
        <v>9</v>
      </c>
      <c r="D3747" t="s">
        <v>3996</v>
      </c>
      <c r="E3747" t="s">
        <v>921</v>
      </c>
      <c r="F3747" t="s">
        <v>3997</v>
      </c>
      <c r="G3747" t="s">
        <v>921</v>
      </c>
      <c r="H3747" t="s">
        <v>5031</v>
      </c>
      <c r="J3747">
        <v>1</v>
      </c>
    </row>
    <row r="3748" spans="1:10" x14ac:dyDescent="0.35">
      <c r="A3748">
        <v>6970733780033</v>
      </c>
      <c r="B3748" t="s">
        <v>3995</v>
      </c>
      <c r="C3748" t="s">
        <v>9</v>
      </c>
      <c r="D3748" t="s">
        <v>3996</v>
      </c>
      <c r="E3748" t="s">
        <v>921</v>
      </c>
      <c r="F3748" t="s">
        <v>3997</v>
      </c>
      <c r="G3748" t="s">
        <v>31</v>
      </c>
      <c r="H3748" t="s">
        <v>5031</v>
      </c>
      <c r="J3748">
        <v>10</v>
      </c>
    </row>
    <row r="3749" spans="1:10" x14ac:dyDescent="0.35">
      <c r="A3749">
        <v>6971006991040</v>
      </c>
      <c r="B3749" t="s">
        <v>2924</v>
      </c>
      <c r="C3749" t="s">
        <v>1141</v>
      </c>
      <c r="D3749" t="s">
        <v>3998</v>
      </c>
      <c r="E3749" t="s">
        <v>41</v>
      </c>
      <c r="F3749" t="s">
        <v>3999</v>
      </c>
      <c r="G3749" t="s">
        <v>41</v>
      </c>
      <c r="H3749" t="s">
        <v>5032</v>
      </c>
      <c r="J3749">
        <v>25</v>
      </c>
    </row>
    <row r="3750" spans="1:10" x14ac:dyDescent="0.35">
      <c r="A3750">
        <v>697896010185</v>
      </c>
      <c r="B3750" t="s">
        <v>4000</v>
      </c>
      <c r="C3750" t="s">
        <v>230</v>
      </c>
      <c r="D3750" t="s">
        <v>4001</v>
      </c>
      <c r="E3750" t="s">
        <v>15</v>
      </c>
      <c r="F3750" t="s">
        <v>4002</v>
      </c>
      <c r="G3750" t="s">
        <v>150</v>
      </c>
      <c r="H3750" t="s">
        <v>5033</v>
      </c>
      <c r="J3750">
        <v>10</v>
      </c>
    </row>
    <row r="3751" spans="1:10" x14ac:dyDescent="0.35">
      <c r="A3751">
        <v>7001723214371</v>
      </c>
      <c r="B3751" t="s">
        <v>4003</v>
      </c>
      <c r="C3751" t="s">
        <v>9</v>
      </c>
      <c r="D3751" t="s">
        <v>2192</v>
      </c>
      <c r="E3751" t="s">
        <v>73</v>
      </c>
      <c r="F3751" t="s">
        <v>2103</v>
      </c>
      <c r="G3751" t="s">
        <v>34</v>
      </c>
      <c r="H3751" t="s">
        <v>4760</v>
      </c>
      <c r="J3751">
        <v>1</v>
      </c>
    </row>
    <row r="3752" spans="1:10" x14ac:dyDescent="0.35">
      <c r="A3752">
        <v>7004759470643</v>
      </c>
      <c r="B3752" t="s">
        <v>4004</v>
      </c>
      <c r="C3752" t="s">
        <v>4005</v>
      </c>
      <c r="D3752" t="s">
        <v>1436</v>
      </c>
      <c r="E3752" t="s">
        <v>15</v>
      </c>
      <c r="F3752" t="s">
        <v>1227</v>
      </c>
      <c r="G3752" t="s">
        <v>22</v>
      </c>
      <c r="H3752" t="s">
        <v>4668</v>
      </c>
      <c r="J3752">
        <v>1</v>
      </c>
    </row>
    <row r="3753" spans="1:10" x14ac:dyDescent="0.35">
      <c r="A3753">
        <v>7009647547988</v>
      </c>
      <c r="B3753" t="s">
        <v>4006</v>
      </c>
      <c r="C3753" t="s">
        <v>38</v>
      </c>
      <c r="D3753" t="s">
        <v>1176</v>
      </c>
      <c r="E3753" t="s">
        <v>61</v>
      </c>
      <c r="F3753" t="s">
        <v>1070</v>
      </c>
      <c r="G3753" t="s">
        <v>61</v>
      </c>
      <c r="H3753" t="s">
        <v>4644</v>
      </c>
      <c r="J3753">
        <v>50</v>
      </c>
    </row>
    <row r="3754" spans="1:10" x14ac:dyDescent="0.35">
      <c r="A3754">
        <v>7012422123239</v>
      </c>
      <c r="B3754" t="s">
        <v>4007</v>
      </c>
      <c r="C3754" t="s">
        <v>659</v>
      </c>
      <c r="D3754" t="s">
        <v>1059</v>
      </c>
      <c r="E3754" t="s">
        <v>15</v>
      </c>
      <c r="F3754" t="s">
        <v>56</v>
      </c>
      <c r="G3754" t="s">
        <v>22</v>
      </c>
      <c r="H3754" t="s">
        <v>4497</v>
      </c>
      <c r="J3754">
        <v>1</v>
      </c>
    </row>
    <row r="3755" spans="1:10" x14ac:dyDescent="0.35">
      <c r="A3755">
        <v>7016519005217</v>
      </c>
      <c r="B3755" t="s">
        <v>4008</v>
      </c>
      <c r="C3755" t="s">
        <v>253</v>
      </c>
      <c r="D3755" t="s">
        <v>3605</v>
      </c>
      <c r="E3755" t="s">
        <v>31</v>
      </c>
      <c r="F3755" t="s">
        <v>3606</v>
      </c>
      <c r="G3755" t="s">
        <v>31</v>
      </c>
      <c r="H3755" t="s">
        <v>4971</v>
      </c>
      <c r="J3755">
        <v>2</v>
      </c>
    </row>
    <row r="3756" spans="1:10" x14ac:dyDescent="0.35">
      <c r="A3756">
        <v>7016555885286</v>
      </c>
      <c r="B3756" t="s">
        <v>1811</v>
      </c>
      <c r="C3756" t="s">
        <v>9</v>
      </c>
      <c r="D3756" t="s">
        <v>3605</v>
      </c>
      <c r="E3756" t="s">
        <v>31</v>
      </c>
      <c r="F3756" t="s">
        <v>3606</v>
      </c>
      <c r="G3756" t="s">
        <v>31</v>
      </c>
      <c r="H3756" t="s">
        <v>4971</v>
      </c>
      <c r="J3756">
        <v>21</v>
      </c>
    </row>
    <row r="3757" spans="1:10" x14ac:dyDescent="0.35">
      <c r="A3757">
        <v>7021413729824</v>
      </c>
      <c r="B3757" t="s">
        <v>4009</v>
      </c>
      <c r="C3757" t="s">
        <v>272</v>
      </c>
      <c r="D3757" t="s">
        <v>474</v>
      </c>
      <c r="E3757" t="s">
        <v>130</v>
      </c>
      <c r="F3757" t="s">
        <v>475</v>
      </c>
      <c r="G3757" t="s">
        <v>22</v>
      </c>
      <c r="H3757" t="s">
        <v>4557</v>
      </c>
      <c r="J3757">
        <v>1</v>
      </c>
    </row>
    <row r="3758" spans="1:10" x14ac:dyDescent="0.35">
      <c r="A3758">
        <v>7033002210989</v>
      </c>
      <c r="B3758" t="s">
        <v>4010</v>
      </c>
      <c r="C3758" t="s">
        <v>472</v>
      </c>
      <c r="D3758" t="s">
        <v>1238</v>
      </c>
      <c r="E3758" t="s">
        <v>61</v>
      </c>
      <c r="F3758" t="s">
        <v>1239</v>
      </c>
      <c r="G3758" t="s">
        <v>41</v>
      </c>
      <c r="H3758" t="s">
        <v>4671</v>
      </c>
      <c r="J3758">
        <v>3</v>
      </c>
    </row>
    <row r="3759" spans="1:10" x14ac:dyDescent="0.35">
      <c r="A3759">
        <v>7033006570423</v>
      </c>
      <c r="B3759" t="s">
        <v>4011</v>
      </c>
      <c r="C3759" t="s">
        <v>3070</v>
      </c>
      <c r="D3759" t="s">
        <v>3035</v>
      </c>
      <c r="E3759" t="s">
        <v>41</v>
      </c>
      <c r="F3759" t="s">
        <v>456</v>
      </c>
      <c r="G3759" t="s">
        <v>41</v>
      </c>
      <c r="H3759" t="s">
        <v>4553</v>
      </c>
      <c r="J3759">
        <v>36</v>
      </c>
    </row>
    <row r="3760" spans="1:10" x14ac:dyDescent="0.35">
      <c r="A3760">
        <v>7077004800304</v>
      </c>
      <c r="B3760" t="s">
        <v>8</v>
      </c>
      <c r="C3760" t="s">
        <v>909</v>
      </c>
      <c r="D3760" t="s">
        <v>4012</v>
      </c>
      <c r="E3760" t="s">
        <v>4013</v>
      </c>
      <c r="F3760" t="s">
        <v>4014</v>
      </c>
      <c r="G3760" t="s">
        <v>11</v>
      </c>
      <c r="H3760" t="s">
        <v>5034</v>
      </c>
      <c r="J3760">
        <v>1</v>
      </c>
    </row>
    <row r="3761" spans="1:10" x14ac:dyDescent="0.35">
      <c r="A3761">
        <v>7077004800502</v>
      </c>
      <c r="B3761" t="s">
        <v>8</v>
      </c>
      <c r="C3761" t="s">
        <v>9</v>
      </c>
      <c r="D3761" t="s">
        <v>4012</v>
      </c>
      <c r="E3761" t="s">
        <v>4013</v>
      </c>
      <c r="F3761" t="s">
        <v>4014</v>
      </c>
      <c r="G3761" t="s">
        <v>11</v>
      </c>
      <c r="H3761" t="s">
        <v>5034</v>
      </c>
      <c r="J3761">
        <v>170</v>
      </c>
    </row>
    <row r="3762" spans="1:10" x14ac:dyDescent="0.35">
      <c r="A3762">
        <v>7125569312777</v>
      </c>
      <c r="B3762" t="s">
        <v>4015</v>
      </c>
      <c r="C3762" t="s">
        <v>9</v>
      </c>
      <c r="D3762" t="s">
        <v>4016</v>
      </c>
      <c r="E3762" t="s">
        <v>117</v>
      </c>
      <c r="F3762" t="s">
        <v>4017</v>
      </c>
      <c r="G3762" t="s">
        <v>117</v>
      </c>
      <c r="H3762" t="s">
        <v>5035</v>
      </c>
      <c r="J3762">
        <v>1</v>
      </c>
    </row>
    <row r="3763" spans="1:10" x14ac:dyDescent="0.35">
      <c r="A3763">
        <v>7162106950047</v>
      </c>
      <c r="B3763" t="s">
        <v>4018</v>
      </c>
      <c r="C3763" t="s">
        <v>9</v>
      </c>
      <c r="D3763" t="s">
        <v>1570</v>
      </c>
      <c r="E3763" t="s">
        <v>22</v>
      </c>
      <c r="F3763" t="s">
        <v>1568</v>
      </c>
      <c r="G3763" t="s">
        <v>61</v>
      </c>
      <c r="H3763" t="s">
        <v>4700</v>
      </c>
      <c r="J3763">
        <v>1</v>
      </c>
    </row>
    <row r="3764" spans="1:10" x14ac:dyDescent="0.35">
      <c r="A3764">
        <v>7171000010016</v>
      </c>
      <c r="B3764" t="s">
        <v>4019</v>
      </c>
      <c r="C3764" t="s">
        <v>253</v>
      </c>
      <c r="D3764" t="s">
        <v>852</v>
      </c>
      <c r="E3764" t="s">
        <v>308</v>
      </c>
      <c r="F3764" t="s">
        <v>309</v>
      </c>
      <c r="G3764" t="s">
        <v>11</v>
      </c>
      <c r="H3764" t="s">
        <v>4529</v>
      </c>
      <c r="J3764">
        <v>5</v>
      </c>
    </row>
    <row r="3765" spans="1:10" x14ac:dyDescent="0.35">
      <c r="A3765">
        <v>7172106130028</v>
      </c>
      <c r="B3765" t="s">
        <v>4020</v>
      </c>
      <c r="C3765" t="s">
        <v>110</v>
      </c>
      <c r="D3765" t="s">
        <v>417</v>
      </c>
      <c r="E3765" t="s">
        <v>387</v>
      </c>
      <c r="F3765" t="s">
        <v>3575</v>
      </c>
      <c r="G3765" t="s">
        <v>387</v>
      </c>
      <c r="H3765" t="s">
        <v>4965</v>
      </c>
      <c r="J3765">
        <v>1</v>
      </c>
    </row>
    <row r="3766" spans="1:10" x14ac:dyDescent="0.35">
      <c r="A3766">
        <v>7174000078109</v>
      </c>
      <c r="B3766" t="s">
        <v>4021</v>
      </c>
      <c r="C3766" t="s">
        <v>9</v>
      </c>
      <c r="D3766" t="s">
        <v>924</v>
      </c>
      <c r="E3766" t="s">
        <v>150</v>
      </c>
      <c r="F3766" t="s">
        <v>925</v>
      </c>
      <c r="G3766" t="s">
        <v>150</v>
      </c>
      <c r="H3766" t="s">
        <v>4619</v>
      </c>
      <c r="J3766">
        <v>10</v>
      </c>
    </row>
    <row r="3767" spans="1:10" x14ac:dyDescent="0.35">
      <c r="A3767">
        <v>7174000078215</v>
      </c>
      <c r="B3767" t="s">
        <v>4022</v>
      </c>
      <c r="C3767" t="s">
        <v>272</v>
      </c>
      <c r="D3767" t="s">
        <v>924</v>
      </c>
      <c r="E3767" t="s">
        <v>150</v>
      </c>
      <c r="F3767" t="s">
        <v>925</v>
      </c>
      <c r="G3767" t="s">
        <v>150</v>
      </c>
      <c r="H3767" t="s">
        <v>4619</v>
      </c>
      <c r="J3767">
        <v>5</v>
      </c>
    </row>
    <row r="3768" spans="1:10" x14ac:dyDescent="0.35">
      <c r="A3768">
        <v>7174000089167</v>
      </c>
      <c r="B3768" t="s">
        <v>544</v>
      </c>
      <c r="C3768" t="s">
        <v>9</v>
      </c>
      <c r="D3768" t="s">
        <v>2629</v>
      </c>
      <c r="E3768" t="s">
        <v>547</v>
      </c>
      <c r="F3768" t="s">
        <v>548</v>
      </c>
      <c r="G3768" t="s">
        <v>11</v>
      </c>
      <c r="H3768" t="s">
        <v>4561</v>
      </c>
      <c r="J3768">
        <v>17</v>
      </c>
    </row>
    <row r="3769" spans="1:10" x14ac:dyDescent="0.35">
      <c r="A3769">
        <v>7174000105133</v>
      </c>
      <c r="B3769" t="s">
        <v>4023</v>
      </c>
      <c r="C3769" t="s">
        <v>272</v>
      </c>
      <c r="D3769" t="s">
        <v>3317</v>
      </c>
      <c r="E3769" t="s">
        <v>150</v>
      </c>
      <c r="F3769" t="s">
        <v>3318</v>
      </c>
      <c r="G3769" t="s">
        <v>150</v>
      </c>
      <c r="H3769" t="s">
        <v>4906</v>
      </c>
      <c r="J3769">
        <v>2</v>
      </c>
    </row>
    <row r="3770" spans="1:10" x14ac:dyDescent="0.35">
      <c r="A3770">
        <v>7174000108004</v>
      </c>
      <c r="B3770" t="s">
        <v>897</v>
      </c>
      <c r="C3770" t="s">
        <v>9</v>
      </c>
      <c r="D3770" t="s">
        <v>3522</v>
      </c>
      <c r="E3770" t="s">
        <v>11</v>
      </c>
      <c r="F3770" t="s">
        <v>3523</v>
      </c>
      <c r="G3770" t="s">
        <v>11</v>
      </c>
      <c r="H3770" t="s">
        <v>4952</v>
      </c>
      <c r="J3770">
        <v>1</v>
      </c>
    </row>
    <row r="3771" spans="1:10" x14ac:dyDescent="0.35">
      <c r="A3771">
        <v>7174000108011</v>
      </c>
      <c r="B3771" t="s">
        <v>857</v>
      </c>
      <c r="C3771" t="s">
        <v>9</v>
      </c>
      <c r="D3771" t="s">
        <v>3522</v>
      </c>
      <c r="E3771" t="s">
        <v>11</v>
      </c>
      <c r="F3771" t="s">
        <v>3523</v>
      </c>
      <c r="G3771" t="s">
        <v>11</v>
      </c>
      <c r="H3771" t="s">
        <v>4952</v>
      </c>
      <c r="J3771">
        <v>1</v>
      </c>
    </row>
    <row r="3772" spans="1:10" x14ac:dyDescent="0.35">
      <c r="A3772">
        <v>7174000108028</v>
      </c>
      <c r="B3772" t="s">
        <v>897</v>
      </c>
      <c r="C3772" t="s">
        <v>385</v>
      </c>
      <c r="D3772" t="s">
        <v>3522</v>
      </c>
      <c r="E3772" t="s">
        <v>11</v>
      </c>
      <c r="F3772" t="s">
        <v>3523</v>
      </c>
      <c r="G3772" t="s">
        <v>11</v>
      </c>
      <c r="H3772" t="s">
        <v>4952</v>
      </c>
      <c r="J3772">
        <v>3</v>
      </c>
    </row>
    <row r="3773" spans="1:10" x14ac:dyDescent="0.35">
      <c r="A3773">
        <v>7174000108202</v>
      </c>
      <c r="B3773" t="s">
        <v>897</v>
      </c>
      <c r="C3773" t="s">
        <v>272</v>
      </c>
      <c r="D3773" t="s">
        <v>3522</v>
      </c>
      <c r="E3773" t="s">
        <v>11</v>
      </c>
      <c r="F3773" t="s">
        <v>3523</v>
      </c>
      <c r="G3773" t="s">
        <v>11</v>
      </c>
      <c r="H3773" t="s">
        <v>4952</v>
      </c>
      <c r="J3773">
        <v>3</v>
      </c>
    </row>
    <row r="3774" spans="1:10" x14ac:dyDescent="0.35">
      <c r="A3774">
        <v>7174000108219</v>
      </c>
      <c r="B3774" t="s">
        <v>857</v>
      </c>
      <c r="C3774" t="s">
        <v>272</v>
      </c>
      <c r="D3774" t="s">
        <v>3522</v>
      </c>
      <c r="E3774" t="s">
        <v>11</v>
      </c>
      <c r="F3774" t="s">
        <v>3523</v>
      </c>
      <c r="G3774" t="s">
        <v>11</v>
      </c>
      <c r="H3774" t="s">
        <v>4952</v>
      </c>
      <c r="J3774">
        <v>2</v>
      </c>
    </row>
    <row r="3775" spans="1:10" x14ac:dyDescent="0.35">
      <c r="A3775">
        <v>7174000118089</v>
      </c>
      <c r="B3775" t="s">
        <v>834</v>
      </c>
      <c r="C3775" t="s">
        <v>81</v>
      </c>
      <c r="D3775" t="s">
        <v>4024</v>
      </c>
      <c r="E3775" t="s">
        <v>11</v>
      </c>
      <c r="F3775" t="s">
        <v>4025</v>
      </c>
      <c r="G3775" t="s">
        <v>11</v>
      </c>
      <c r="H3775" t="s">
        <v>5036</v>
      </c>
      <c r="J3775">
        <v>8</v>
      </c>
    </row>
    <row r="3776" spans="1:10" x14ac:dyDescent="0.35">
      <c r="A3776">
        <v>7174000692084</v>
      </c>
      <c r="B3776" t="s">
        <v>626</v>
      </c>
      <c r="C3776" t="s">
        <v>385</v>
      </c>
      <c r="D3776" t="s">
        <v>3487</v>
      </c>
      <c r="E3776" t="s">
        <v>11</v>
      </c>
      <c r="F3776" t="s">
        <v>3488</v>
      </c>
      <c r="G3776" t="s">
        <v>11</v>
      </c>
      <c r="H3776" t="s">
        <v>4942</v>
      </c>
      <c r="J3776">
        <v>7</v>
      </c>
    </row>
    <row r="3777" spans="1:10" x14ac:dyDescent="0.35">
      <c r="A3777">
        <v>7174000692084</v>
      </c>
      <c r="B3777" t="s">
        <v>626</v>
      </c>
      <c r="C3777" t="s">
        <v>385</v>
      </c>
      <c r="D3777" t="s">
        <v>3487</v>
      </c>
      <c r="E3777" t="s">
        <v>11</v>
      </c>
      <c r="F3777" t="s">
        <v>3488</v>
      </c>
      <c r="G3777" t="s">
        <v>150</v>
      </c>
      <c r="H3777" t="s">
        <v>4942</v>
      </c>
      <c r="J3777">
        <v>1</v>
      </c>
    </row>
    <row r="3778" spans="1:10" x14ac:dyDescent="0.35">
      <c r="A3778">
        <v>7174001053006</v>
      </c>
      <c r="B3778" t="s">
        <v>262</v>
      </c>
      <c r="C3778" t="s">
        <v>9</v>
      </c>
      <c r="D3778" t="s">
        <v>4026</v>
      </c>
      <c r="E3778" t="s">
        <v>11</v>
      </c>
      <c r="F3778" t="s">
        <v>4027</v>
      </c>
      <c r="G3778" t="s">
        <v>11</v>
      </c>
      <c r="H3778" t="s">
        <v>5037</v>
      </c>
      <c r="J3778">
        <v>46</v>
      </c>
    </row>
    <row r="3779" spans="1:10" x14ac:dyDescent="0.35">
      <c r="A3779">
        <v>7174001053013</v>
      </c>
      <c r="B3779" t="s">
        <v>262</v>
      </c>
      <c r="C3779" t="s">
        <v>3511</v>
      </c>
      <c r="D3779" t="s">
        <v>4026</v>
      </c>
      <c r="E3779" t="s">
        <v>11</v>
      </c>
      <c r="F3779" t="s">
        <v>4027</v>
      </c>
      <c r="G3779" t="s">
        <v>11</v>
      </c>
      <c r="H3779" t="s">
        <v>5037</v>
      </c>
      <c r="J3779">
        <v>18</v>
      </c>
    </row>
    <row r="3780" spans="1:10" x14ac:dyDescent="0.35">
      <c r="A3780">
        <v>7174001053020</v>
      </c>
      <c r="B3780" t="s">
        <v>262</v>
      </c>
      <c r="C3780" t="s">
        <v>192</v>
      </c>
      <c r="D3780" t="s">
        <v>4026</v>
      </c>
      <c r="E3780" t="s">
        <v>11</v>
      </c>
      <c r="F3780" t="s">
        <v>4027</v>
      </c>
      <c r="G3780" t="s">
        <v>11</v>
      </c>
      <c r="H3780" t="s">
        <v>5037</v>
      </c>
      <c r="J3780">
        <v>23</v>
      </c>
    </row>
    <row r="3781" spans="1:10" x14ac:dyDescent="0.35">
      <c r="A3781">
        <v>7174001196055</v>
      </c>
      <c r="B3781" t="s">
        <v>4028</v>
      </c>
      <c r="C3781" t="s">
        <v>253</v>
      </c>
      <c r="D3781" t="s">
        <v>4029</v>
      </c>
      <c r="E3781" t="s">
        <v>308</v>
      </c>
      <c r="F3781" t="s">
        <v>309</v>
      </c>
      <c r="G3781" t="s">
        <v>11</v>
      </c>
      <c r="H3781" t="s">
        <v>4529</v>
      </c>
      <c r="J3781">
        <v>63</v>
      </c>
    </row>
    <row r="3782" spans="1:10" x14ac:dyDescent="0.35">
      <c r="A3782">
        <v>7174001196062</v>
      </c>
      <c r="B3782" t="s">
        <v>4030</v>
      </c>
      <c r="C3782" t="s">
        <v>81</v>
      </c>
      <c r="D3782" t="s">
        <v>4029</v>
      </c>
      <c r="E3782" t="s">
        <v>308</v>
      </c>
      <c r="F3782" t="s">
        <v>309</v>
      </c>
      <c r="G3782" t="s">
        <v>11</v>
      </c>
      <c r="H3782" t="s">
        <v>4529</v>
      </c>
      <c r="J3782">
        <v>9</v>
      </c>
    </row>
    <row r="3783" spans="1:10" x14ac:dyDescent="0.35">
      <c r="A3783">
        <v>71808338</v>
      </c>
      <c r="B3783" t="s">
        <v>213</v>
      </c>
      <c r="C3783" t="s">
        <v>472</v>
      </c>
      <c r="D3783" t="s">
        <v>473</v>
      </c>
      <c r="E3783" t="s">
        <v>41</v>
      </c>
      <c r="F3783" t="s">
        <v>456</v>
      </c>
      <c r="G3783" t="s">
        <v>41</v>
      </c>
      <c r="H3783" t="s">
        <v>4553</v>
      </c>
      <c r="J3783">
        <v>27</v>
      </c>
    </row>
    <row r="3784" spans="1:10" x14ac:dyDescent="0.35">
      <c r="A3784">
        <v>7181221034166</v>
      </c>
      <c r="B3784" t="s">
        <v>4031</v>
      </c>
      <c r="C3784" t="s">
        <v>9</v>
      </c>
      <c r="D3784" t="s">
        <v>4032</v>
      </c>
      <c r="E3784" t="s">
        <v>308</v>
      </c>
      <c r="F3784" t="s">
        <v>309</v>
      </c>
      <c r="G3784" t="s">
        <v>34</v>
      </c>
      <c r="H3784" t="s">
        <v>4529</v>
      </c>
      <c r="J3784">
        <v>1</v>
      </c>
    </row>
    <row r="3785" spans="1:10" x14ac:dyDescent="0.35">
      <c r="A3785">
        <v>7187552563894</v>
      </c>
      <c r="B3785" t="s">
        <v>4033</v>
      </c>
      <c r="C3785" t="s">
        <v>801</v>
      </c>
      <c r="D3785" t="s">
        <v>4016</v>
      </c>
      <c r="E3785" t="s">
        <v>117</v>
      </c>
      <c r="F3785" t="s">
        <v>4017</v>
      </c>
      <c r="G3785" t="s">
        <v>117</v>
      </c>
      <c r="H3785" t="s">
        <v>5035</v>
      </c>
      <c r="J3785">
        <v>1</v>
      </c>
    </row>
    <row r="3786" spans="1:10" x14ac:dyDescent="0.35">
      <c r="A3786">
        <v>7215011220221</v>
      </c>
      <c r="B3786" t="s">
        <v>82</v>
      </c>
      <c r="C3786" t="s">
        <v>38</v>
      </c>
      <c r="D3786" t="s">
        <v>84</v>
      </c>
      <c r="E3786" t="s">
        <v>61</v>
      </c>
      <c r="F3786" t="s">
        <v>85</v>
      </c>
      <c r="G3786" t="s">
        <v>61</v>
      </c>
      <c r="H3786" t="s">
        <v>4503</v>
      </c>
      <c r="J3786">
        <v>2</v>
      </c>
    </row>
    <row r="3787" spans="1:10" x14ac:dyDescent="0.35">
      <c r="A3787">
        <v>7215104350651</v>
      </c>
      <c r="B3787" t="s">
        <v>1917</v>
      </c>
      <c r="C3787" t="s">
        <v>806</v>
      </c>
      <c r="D3787" t="s">
        <v>3693</v>
      </c>
      <c r="E3787" t="s">
        <v>61</v>
      </c>
      <c r="F3787" t="s">
        <v>1170</v>
      </c>
      <c r="G3787" t="s">
        <v>61</v>
      </c>
      <c r="H3787" t="s">
        <v>4660</v>
      </c>
      <c r="J3787">
        <v>3</v>
      </c>
    </row>
    <row r="3788" spans="1:10" x14ac:dyDescent="0.35">
      <c r="A3788">
        <v>7215111220220</v>
      </c>
      <c r="B3788" t="s">
        <v>82</v>
      </c>
      <c r="C3788" t="s">
        <v>38</v>
      </c>
      <c r="D3788" t="s">
        <v>84</v>
      </c>
      <c r="E3788" t="s">
        <v>61</v>
      </c>
      <c r="F3788" t="s">
        <v>85</v>
      </c>
      <c r="G3788" t="s">
        <v>61</v>
      </c>
      <c r="H3788" t="s">
        <v>4503</v>
      </c>
      <c r="J3788">
        <v>1</v>
      </c>
    </row>
    <row r="3789" spans="1:10" x14ac:dyDescent="0.35">
      <c r="A3789">
        <v>722777707523</v>
      </c>
      <c r="B3789" t="s">
        <v>380</v>
      </c>
      <c r="C3789" t="s">
        <v>4034</v>
      </c>
      <c r="D3789" t="s">
        <v>811</v>
      </c>
      <c r="E3789" t="s">
        <v>117</v>
      </c>
      <c r="F3789" t="s">
        <v>695</v>
      </c>
      <c r="G3789" t="s">
        <v>117</v>
      </c>
      <c r="H3789" t="s">
        <v>4582</v>
      </c>
      <c r="J3789">
        <v>6</v>
      </c>
    </row>
    <row r="3790" spans="1:10" x14ac:dyDescent="0.35">
      <c r="A3790">
        <v>728028483192</v>
      </c>
      <c r="B3790" t="s">
        <v>4035</v>
      </c>
      <c r="C3790" t="s">
        <v>1738</v>
      </c>
      <c r="D3790" t="s">
        <v>4036</v>
      </c>
      <c r="E3790" t="s">
        <v>33</v>
      </c>
      <c r="F3790" t="s">
        <v>4037</v>
      </c>
      <c r="G3790" t="s">
        <v>33</v>
      </c>
      <c r="H3790" t="s">
        <v>5038</v>
      </c>
      <c r="J3790">
        <v>215</v>
      </c>
    </row>
    <row r="3791" spans="1:10" x14ac:dyDescent="0.35">
      <c r="A3791">
        <v>728028491876</v>
      </c>
      <c r="B3791" t="s">
        <v>4035</v>
      </c>
      <c r="C3791" t="s">
        <v>814</v>
      </c>
      <c r="D3791" t="s">
        <v>815</v>
      </c>
      <c r="E3791" t="s">
        <v>816</v>
      </c>
      <c r="F3791" t="s">
        <v>817</v>
      </c>
      <c r="G3791" t="s">
        <v>33</v>
      </c>
      <c r="H3791" t="s">
        <v>4598</v>
      </c>
      <c r="J3791">
        <v>66</v>
      </c>
    </row>
    <row r="3792" spans="1:10" x14ac:dyDescent="0.35">
      <c r="A3792">
        <v>7348008697796</v>
      </c>
      <c r="B3792" t="s">
        <v>4038</v>
      </c>
      <c r="C3792" t="s">
        <v>603</v>
      </c>
      <c r="D3792" t="s">
        <v>4039</v>
      </c>
      <c r="E3792" t="s">
        <v>578</v>
      </c>
      <c r="F3792" t="s">
        <v>2250</v>
      </c>
      <c r="G3792" t="s">
        <v>41</v>
      </c>
      <c r="H3792" t="s">
        <v>4775</v>
      </c>
      <c r="J3792">
        <v>28</v>
      </c>
    </row>
    <row r="3793" spans="1:10" x14ac:dyDescent="0.35">
      <c r="A3793">
        <v>7348008697796</v>
      </c>
      <c r="B3793" t="s">
        <v>4038</v>
      </c>
      <c r="C3793" t="s">
        <v>603</v>
      </c>
      <c r="D3793" t="s">
        <v>4039</v>
      </c>
      <c r="E3793" t="s">
        <v>578</v>
      </c>
      <c r="F3793" t="s">
        <v>2250</v>
      </c>
      <c r="G3793" t="s">
        <v>33</v>
      </c>
      <c r="H3793" t="s">
        <v>4775</v>
      </c>
      <c r="J3793">
        <v>278</v>
      </c>
    </row>
    <row r="3794" spans="1:10" x14ac:dyDescent="0.35">
      <c r="A3794">
        <v>7348008697796</v>
      </c>
      <c r="B3794" t="s">
        <v>4038</v>
      </c>
      <c r="C3794" t="s">
        <v>603</v>
      </c>
      <c r="D3794" t="s">
        <v>4039</v>
      </c>
      <c r="E3794" t="s">
        <v>578</v>
      </c>
      <c r="F3794" t="s">
        <v>2250</v>
      </c>
      <c r="G3794" t="s">
        <v>34</v>
      </c>
      <c r="H3794" t="s">
        <v>4775</v>
      </c>
      <c r="J3794">
        <v>62</v>
      </c>
    </row>
    <row r="3795" spans="1:10" x14ac:dyDescent="0.35">
      <c r="A3795">
        <v>7414211057655</v>
      </c>
      <c r="B3795" t="s">
        <v>3825</v>
      </c>
      <c r="C3795" t="s">
        <v>9</v>
      </c>
      <c r="D3795" t="s">
        <v>4040</v>
      </c>
      <c r="E3795" t="s">
        <v>308</v>
      </c>
      <c r="F3795" t="s">
        <v>309</v>
      </c>
      <c r="G3795" t="s">
        <v>34</v>
      </c>
      <c r="H3795" t="s">
        <v>4529</v>
      </c>
      <c r="J3795">
        <v>1</v>
      </c>
    </row>
    <row r="3796" spans="1:10" x14ac:dyDescent="0.35">
      <c r="A3796">
        <v>743690030581</v>
      </c>
      <c r="B3796" t="s">
        <v>4041</v>
      </c>
      <c r="C3796" t="s">
        <v>4042</v>
      </c>
      <c r="D3796" t="s">
        <v>4043</v>
      </c>
      <c r="E3796" t="s">
        <v>308</v>
      </c>
      <c r="F3796" t="s">
        <v>309</v>
      </c>
      <c r="G3796" t="s">
        <v>150</v>
      </c>
      <c r="H3796" t="s">
        <v>4529</v>
      </c>
      <c r="J3796">
        <v>4</v>
      </c>
    </row>
    <row r="3797" spans="1:10" x14ac:dyDescent="0.35">
      <c r="A3797">
        <v>7451143860458</v>
      </c>
      <c r="B3797" t="s">
        <v>8</v>
      </c>
      <c r="C3797" t="s">
        <v>9</v>
      </c>
      <c r="D3797" t="s">
        <v>4044</v>
      </c>
      <c r="E3797" t="s">
        <v>11</v>
      </c>
      <c r="F3797" t="s">
        <v>4045</v>
      </c>
      <c r="G3797" t="s">
        <v>11</v>
      </c>
      <c r="H3797" t="s">
        <v>5039</v>
      </c>
      <c r="J3797">
        <v>59</v>
      </c>
    </row>
    <row r="3798" spans="1:10" x14ac:dyDescent="0.35">
      <c r="A3798">
        <v>7571817687188</v>
      </c>
      <c r="B3798" t="s">
        <v>1016</v>
      </c>
      <c r="C3798" t="s">
        <v>38</v>
      </c>
      <c r="D3798" t="s">
        <v>14</v>
      </c>
      <c r="E3798" t="s">
        <v>15</v>
      </c>
      <c r="F3798" t="s">
        <v>14</v>
      </c>
      <c r="G3798" t="s">
        <v>41</v>
      </c>
      <c r="H3798" t="s">
        <v>4489</v>
      </c>
      <c r="J3798">
        <v>1</v>
      </c>
    </row>
    <row r="3799" spans="1:10" x14ac:dyDescent="0.35">
      <c r="A3799">
        <v>7613031214839</v>
      </c>
      <c r="B3799" t="s">
        <v>1151</v>
      </c>
      <c r="C3799" t="s">
        <v>81</v>
      </c>
      <c r="D3799" t="s">
        <v>650</v>
      </c>
      <c r="E3799" t="s">
        <v>71</v>
      </c>
      <c r="F3799" t="s">
        <v>72</v>
      </c>
      <c r="G3799" t="s">
        <v>22</v>
      </c>
      <c r="H3799" t="s">
        <v>4501</v>
      </c>
      <c r="J3799">
        <v>1</v>
      </c>
    </row>
    <row r="3800" spans="1:10" x14ac:dyDescent="0.35">
      <c r="A3800">
        <v>7613034302328</v>
      </c>
      <c r="B3800" t="s">
        <v>1151</v>
      </c>
      <c r="C3800" t="s">
        <v>9</v>
      </c>
      <c r="D3800" t="s">
        <v>650</v>
      </c>
      <c r="E3800" t="s">
        <v>71</v>
      </c>
      <c r="F3800" t="s">
        <v>72</v>
      </c>
      <c r="G3800" t="s">
        <v>22</v>
      </c>
      <c r="H3800" t="s">
        <v>4501</v>
      </c>
      <c r="J3800">
        <v>1</v>
      </c>
    </row>
    <row r="3801" spans="1:10" x14ac:dyDescent="0.35">
      <c r="A3801">
        <v>7613037076622</v>
      </c>
      <c r="B3801" t="s">
        <v>1050</v>
      </c>
      <c r="C3801" t="s">
        <v>192</v>
      </c>
      <c r="D3801" t="s">
        <v>222</v>
      </c>
      <c r="E3801" t="s">
        <v>71</v>
      </c>
      <c r="F3801" t="s">
        <v>72</v>
      </c>
      <c r="G3801" t="s">
        <v>22</v>
      </c>
      <c r="H3801" t="s">
        <v>4501</v>
      </c>
      <c r="J3801">
        <v>1</v>
      </c>
    </row>
    <row r="3802" spans="1:10" x14ac:dyDescent="0.35">
      <c r="A3802">
        <v>7613039869123</v>
      </c>
      <c r="B3802" t="s">
        <v>4046</v>
      </c>
      <c r="C3802" t="s">
        <v>568</v>
      </c>
      <c r="D3802" t="s">
        <v>70</v>
      </c>
      <c r="E3802" t="s">
        <v>71</v>
      </c>
      <c r="F3802" t="s">
        <v>72</v>
      </c>
      <c r="G3802" t="s">
        <v>22</v>
      </c>
      <c r="H3802" t="s">
        <v>4501</v>
      </c>
      <c r="J3802">
        <v>1</v>
      </c>
    </row>
    <row r="3803" spans="1:10" x14ac:dyDescent="0.35">
      <c r="A3803">
        <v>7622010000790</v>
      </c>
      <c r="B3803" t="s">
        <v>4047</v>
      </c>
      <c r="C3803" t="s">
        <v>967</v>
      </c>
      <c r="D3803" t="s">
        <v>613</v>
      </c>
      <c r="E3803" t="s">
        <v>15</v>
      </c>
      <c r="F3803" t="s">
        <v>460</v>
      </c>
      <c r="G3803" t="s">
        <v>41</v>
      </c>
      <c r="H3803" t="s">
        <v>4554</v>
      </c>
      <c r="J3803">
        <v>11</v>
      </c>
    </row>
    <row r="3804" spans="1:10" x14ac:dyDescent="0.35">
      <c r="A3804">
        <v>7622110481116</v>
      </c>
      <c r="B3804" t="s">
        <v>4048</v>
      </c>
      <c r="C3804" t="s">
        <v>4049</v>
      </c>
      <c r="D3804" t="s">
        <v>613</v>
      </c>
      <c r="E3804" t="s">
        <v>15</v>
      </c>
      <c r="F3804" t="s">
        <v>460</v>
      </c>
      <c r="G3804" t="s">
        <v>22</v>
      </c>
      <c r="H3804" t="s">
        <v>4554</v>
      </c>
      <c r="J3804">
        <v>1</v>
      </c>
    </row>
    <row r="3805" spans="1:10" x14ac:dyDescent="0.35">
      <c r="A3805">
        <v>7622201701376</v>
      </c>
      <c r="B3805" t="s">
        <v>4050</v>
      </c>
      <c r="C3805" t="s">
        <v>559</v>
      </c>
      <c r="D3805" t="s">
        <v>4051</v>
      </c>
      <c r="E3805" t="s">
        <v>15</v>
      </c>
      <c r="F3805" t="s">
        <v>460</v>
      </c>
      <c r="G3805" t="s">
        <v>22</v>
      </c>
      <c r="H3805" t="s">
        <v>4554</v>
      </c>
      <c r="J3805">
        <v>1</v>
      </c>
    </row>
    <row r="3806" spans="1:10" x14ac:dyDescent="0.35">
      <c r="A3806">
        <v>7622201746742</v>
      </c>
      <c r="B3806" t="s">
        <v>4052</v>
      </c>
      <c r="C3806" t="s">
        <v>4053</v>
      </c>
      <c r="D3806" t="s">
        <v>613</v>
      </c>
      <c r="E3806" t="s">
        <v>15</v>
      </c>
      <c r="F3806" t="s">
        <v>460</v>
      </c>
      <c r="G3806" t="s">
        <v>22</v>
      </c>
      <c r="H3806" t="s">
        <v>4554</v>
      </c>
      <c r="J3806">
        <v>1</v>
      </c>
    </row>
    <row r="3807" spans="1:10" x14ac:dyDescent="0.35">
      <c r="A3807">
        <v>7622202224317</v>
      </c>
      <c r="B3807" t="s">
        <v>4054</v>
      </c>
      <c r="C3807" t="s">
        <v>4055</v>
      </c>
      <c r="D3807" t="s">
        <v>613</v>
      </c>
      <c r="E3807" t="s">
        <v>15</v>
      </c>
      <c r="F3807" t="s">
        <v>460</v>
      </c>
      <c r="G3807" t="s">
        <v>22</v>
      </c>
      <c r="H3807" t="s">
        <v>4554</v>
      </c>
      <c r="J3807">
        <v>1</v>
      </c>
    </row>
    <row r="3808" spans="1:10" x14ac:dyDescent="0.35">
      <c r="A3808">
        <v>7622210644800</v>
      </c>
      <c r="B3808" t="s">
        <v>4056</v>
      </c>
      <c r="C3808" t="s">
        <v>4057</v>
      </c>
      <c r="D3808" t="s">
        <v>613</v>
      </c>
      <c r="E3808" t="s">
        <v>15</v>
      </c>
      <c r="F3808" t="s">
        <v>460</v>
      </c>
      <c r="G3808" t="s">
        <v>22</v>
      </c>
      <c r="H3808" t="s">
        <v>4554</v>
      </c>
      <c r="J3808">
        <v>1</v>
      </c>
    </row>
    <row r="3809" spans="1:10" x14ac:dyDescent="0.35">
      <c r="A3809">
        <v>7622210882974</v>
      </c>
      <c r="B3809" t="s">
        <v>1235</v>
      </c>
      <c r="C3809" t="s">
        <v>565</v>
      </c>
      <c r="D3809" t="s">
        <v>613</v>
      </c>
      <c r="E3809" t="s">
        <v>15</v>
      </c>
      <c r="F3809" t="s">
        <v>460</v>
      </c>
      <c r="G3809" t="s">
        <v>22</v>
      </c>
      <c r="H3809" t="s">
        <v>4554</v>
      </c>
      <c r="J3809">
        <v>1</v>
      </c>
    </row>
    <row r="3810" spans="1:10" x14ac:dyDescent="0.35">
      <c r="A3810">
        <v>7622300743703</v>
      </c>
      <c r="B3810" t="s">
        <v>4058</v>
      </c>
      <c r="C3810" t="s">
        <v>1258</v>
      </c>
      <c r="D3810" t="s">
        <v>613</v>
      </c>
      <c r="E3810" t="s">
        <v>15</v>
      </c>
      <c r="F3810" t="s">
        <v>460</v>
      </c>
      <c r="G3810" t="s">
        <v>22</v>
      </c>
      <c r="H3810" t="s">
        <v>4554</v>
      </c>
      <c r="J3810">
        <v>1</v>
      </c>
    </row>
    <row r="3811" spans="1:10" x14ac:dyDescent="0.35">
      <c r="A3811">
        <v>7702090022711</v>
      </c>
      <c r="B3811" t="s">
        <v>4059</v>
      </c>
      <c r="C3811" t="s">
        <v>114</v>
      </c>
      <c r="D3811" t="s">
        <v>4060</v>
      </c>
      <c r="E3811" t="s">
        <v>780</v>
      </c>
      <c r="F3811" t="s">
        <v>4061</v>
      </c>
      <c r="G3811" t="s">
        <v>780</v>
      </c>
      <c r="H3811" t="s">
        <v>5040</v>
      </c>
      <c r="J3811">
        <v>7</v>
      </c>
    </row>
    <row r="3812" spans="1:10" x14ac:dyDescent="0.35">
      <c r="A3812">
        <v>7702090069761</v>
      </c>
      <c r="B3812" t="s">
        <v>4059</v>
      </c>
      <c r="C3812" t="s">
        <v>81</v>
      </c>
      <c r="D3812" t="s">
        <v>4060</v>
      </c>
      <c r="E3812" t="s">
        <v>780</v>
      </c>
      <c r="F3812" t="s">
        <v>4061</v>
      </c>
      <c r="G3812" t="s">
        <v>780</v>
      </c>
      <c r="H3812" t="s">
        <v>5040</v>
      </c>
      <c r="J3812">
        <v>1</v>
      </c>
    </row>
    <row r="3813" spans="1:10" x14ac:dyDescent="0.35">
      <c r="A3813">
        <v>7702090073065</v>
      </c>
      <c r="B3813" t="s">
        <v>4059</v>
      </c>
      <c r="C3813" t="s">
        <v>38</v>
      </c>
      <c r="D3813" t="s">
        <v>4060</v>
      </c>
      <c r="E3813" t="s">
        <v>780</v>
      </c>
      <c r="F3813" t="s">
        <v>4061</v>
      </c>
      <c r="G3813" t="s">
        <v>780</v>
      </c>
      <c r="H3813" t="s">
        <v>5040</v>
      </c>
      <c r="J3813">
        <v>1</v>
      </c>
    </row>
    <row r="3814" spans="1:10" x14ac:dyDescent="0.35">
      <c r="A3814">
        <v>7702192224051</v>
      </c>
      <c r="B3814" t="s">
        <v>4062</v>
      </c>
      <c r="C3814">
        <v>500</v>
      </c>
      <c r="D3814" t="s">
        <v>55</v>
      </c>
      <c r="E3814" t="s">
        <v>15</v>
      </c>
      <c r="F3814" t="s">
        <v>56</v>
      </c>
      <c r="G3814" t="s">
        <v>780</v>
      </c>
      <c r="H3814" t="s">
        <v>4497</v>
      </c>
      <c r="J3814">
        <v>1</v>
      </c>
    </row>
    <row r="3815" spans="1:10" x14ac:dyDescent="0.35">
      <c r="A3815">
        <v>7702192422051</v>
      </c>
      <c r="B3815" t="s">
        <v>4063</v>
      </c>
      <c r="C3815" t="s">
        <v>9</v>
      </c>
      <c r="D3815" t="s">
        <v>55</v>
      </c>
      <c r="E3815" t="s">
        <v>15</v>
      </c>
      <c r="F3815" t="s">
        <v>56</v>
      </c>
      <c r="G3815" t="s">
        <v>780</v>
      </c>
      <c r="H3815" t="s">
        <v>4497</v>
      </c>
      <c r="J3815">
        <v>1</v>
      </c>
    </row>
    <row r="3816" spans="1:10" x14ac:dyDescent="0.35">
      <c r="A3816">
        <v>7702535009994</v>
      </c>
      <c r="B3816" t="s">
        <v>4064</v>
      </c>
      <c r="C3816" t="s">
        <v>9</v>
      </c>
      <c r="D3816" t="s">
        <v>707</v>
      </c>
      <c r="E3816" t="s">
        <v>15</v>
      </c>
      <c r="F3816" t="s">
        <v>14</v>
      </c>
      <c r="G3816" t="s">
        <v>780</v>
      </c>
      <c r="H3816" t="s">
        <v>4489</v>
      </c>
      <c r="J3816">
        <v>3</v>
      </c>
    </row>
    <row r="3817" spans="1:10" x14ac:dyDescent="0.35">
      <c r="A3817">
        <v>7702535011089</v>
      </c>
      <c r="B3817" t="s">
        <v>4065</v>
      </c>
      <c r="C3817" t="s">
        <v>83</v>
      </c>
      <c r="D3817" t="s">
        <v>14</v>
      </c>
      <c r="E3817" t="s">
        <v>15</v>
      </c>
      <c r="F3817" t="s">
        <v>14</v>
      </c>
      <c r="G3817" t="s">
        <v>780</v>
      </c>
      <c r="H3817" t="s">
        <v>4489</v>
      </c>
      <c r="J3817">
        <v>2</v>
      </c>
    </row>
    <row r="3818" spans="1:10" x14ac:dyDescent="0.35">
      <c r="A3818">
        <v>7702535024423</v>
      </c>
      <c r="B3818" t="s">
        <v>4066</v>
      </c>
      <c r="C3818">
        <v>3</v>
      </c>
      <c r="D3818" t="s">
        <v>14</v>
      </c>
      <c r="E3818" t="s">
        <v>15</v>
      </c>
      <c r="F3818" t="s">
        <v>14</v>
      </c>
      <c r="G3818" t="s">
        <v>780</v>
      </c>
      <c r="H3818" t="s">
        <v>4489</v>
      </c>
      <c r="J3818">
        <v>1</v>
      </c>
    </row>
    <row r="3819" spans="1:10" x14ac:dyDescent="0.35">
      <c r="A3819">
        <v>7702609005372</v>
      </c>
      <c r="B3819" t="s">
        <v>461</v>
      </c>
      <c r="C3819" t="s">
        <v>114</v>
      </c>
      <c r="D3819" t="s">
        <v>4068</v>
      </c>
      <c r="E3819" t="s">
        <v>15</v>
      </c>
      <c r="F3819" t="s">
        <v>14</v>
      </c>
      <c r="G3819" t="s">
        <v>780</v>
      </c>
      <c r="H3819" t="s">
        <v>4489</v>
      </c>
      <c r="J3819">
        <v>1</v>
      </c>
    </row>
    <row r="3820" spans="1:10" x14ac:dyDescent="0.35">
      <c r="A3820">
        <v>776103000222</v>
      </c>
      <c r="B3820" t="s">
        <v>127</v>
      </c>
      <c r="C3820" t="s">
        <v>66</v>
      </c>
      <c r="D3820" t="s">
        <v>330</v>
      </c>
      <c r="E3820" t="s">
        <v>22</v>
      </c>
      <c r="F3820" t="s">
        <v>328</v>
      </c>
      <c r="G3820" t="s">
        <v>16</v>
      </c>
      <c r="H3820" t="s">
        <v>4533</v>
      </c>
      <c r="J3820">
        <v>4</v>
      </c>
    </row>
    <row r="3821" spans="1:10" x14ac:dyDescent="0.35">
      <c r="A3821">
        <v>776103000239</v>
      </c>
      <c r="B3821" t="s">
        <v>127</v>
      </c>
      <c r="C3821" t="s">
        <v>36</v>
      </c>
      <c r="D3821" t="s">
        <v>330</v>
      </c>
      <c r="E3821" t="s">
        <v>22</v>
      </c>
      <c r="F3821" t="s">
        <v>328</v>
      </c>
      <c r="G3821" t="s">
        <v>16</v>
      </c>
      <c r="H3821" t="s">
        <v>4533</v>
      </c>
      <c r="J3821">
        <v>8</v>
      </c>
    </row>
    <row r="3822" spans="1:10" x14ac:dyDescent="0.35">
      <c r="A3822">
        <v>776103000246</v>
      </c>
      <c r="B3822" t="s">
        <v>127</v>
      </c>
      <c r="C3822" t="s">
        <v>128</v>
      </c>
      <c r="D3822" t="s">
        <v>330</v>
      </c>
      <c r="E3822" t="s">
        <v>22</v>
      </c>
      <c r="F3822" t="s">
        <v>328</v>
      </c>
      <c r="G3822" t="s">
        <v>16</v>
      </c>
      <c r="H3822" t="s">
        <v>4533</v>
      </c>
      <c r="J3822">
        <v>14</v>
      </c>
    </row>
    <row r="3823" spans="1:10" x14ac:dyDescent="0.35">
      <c r="A3823">
        <v>77661258</v>
      </c>
      <c r="B3823" t="s">
        <v>4069</v>
      </c>
      <c r="C3823" t="s">
        <v>110</v>
      </c>
      <c r="D3823" t="s">
        <v>420</v>
      </c>
      <c r="E3823" t="s">
        <v>61</v>
      </c>
      <c r="F3823" t="s">
        <v>421</v>
      </c>
      <c r="G3823" t="s">
        <v>61</v>
      </c>
      <c r="H3823" t="s">
        <v>4549</v>
      </c>
      <c r="J3823">
        <v>1</v>
      </c>
    </row>
    <row r="3824" spans="1:10" x14ac:dyDescent="0.35">
      <c r="A3824">
        <v>7791918071055</v>
      </c>
      <c r="B3824" t="s">
        <v>4070</v>
      </c>
      <c r="C3824" t="s">
        <v>603</v>
      </c>
      <c r="D3824" t="s">
        <v>379</v>
      </c>
      <c r="E3824" t="s">
        <v>117</v>
      </c>
      <c r="F3824" t="s">
        <v>377</v>
      </c>
      <c r="G3824" t="s">
        <v>117</v>
      </c>
      <c r="H3824" t="s">
        <v>4542</v>
      </c>
      <c r="J3824">
        <v>1</v>
      </c>
    </row>
    <row r="3825" spans="1:10" x14ac:dyDescent="0.35">
      <c r="A3825">
        <v>7798065730033</v>
      </c>
      <c r="B3825" t="s">
        <v>4071</v>
      </c>
      <c r="C3825" t="s">
        <v>78</v>
      </c>
      <c r="D3825" t="s">
        <v>4072</v>
      </c>
      <c r="E3825" t="s">
        <v>4073</v>
      </c>
      <c r="F3825" t="s">
        <v>4074</v>
      </c>
      <c r="G3825" t="s">
        <v>61</v>
      </c>
      <c r="H3825" t="s">
        <v>5041</v>
      </c>
      <c r="J3825">
        <v>1</v>
      </c>
    </row>
    <row r="3826" spans="1:10" x14ac:dyDescent="0.35">
      <c r="A3826">
        <v>7798065730033</v>
      </c>
      <c r="B3826" t="s">
        <v>4071</v>
      </c>
      <c r="C3826" t="s">
        <v>78</v>
      </c>
      <c r="D3826" t="s">
        <v>4072</v>
      </c>
      <c r="E3826" t="s">
        <v>4073</v>
      </c>
      <c r="F3826" t="s">
        <v>4074</v>
      </c>
      <c r="G3826" t="s">
        <v>31</v>
      </c>
      <c r="H3826" t="s">
        <v>5041</v>
      </c>
      <c r="J3826">
        <v>5</v>
      </c>
    </row>
    <row r="3827" spans="1:10" x14ac:dyDescent="0.35">
      <c r="A3827">
        <v>7801620006891</v>
      </c>
      <c r="B3827" t="s">
        <v>276</v>
      </c>
      <c r="C3827" t="s">
        <v>1296</v>
      </c>
      <c r="D3827" t="s">
        <v>273</v>
      </c>
      <c r="E3827" t="s">
        <v>15</v>
      </c>
      <c r="F3827" t="s">
        <v>56</v>
      </c>
      <c r="G3827" t="s">
        <v>4075</v>
      </c>
      <c r="H3827" t="s">
        <v>4497</v>
      </c>
      <c r="J3827">
        <v>1</v>
      </c>
    </row>
    <row r="3828" spans="1:10" x14ac:dyDescent="0.35">
      <c r="A3828">
        <v>781159624551</v>
      </c>
      <c r="B3828" t="s">
        <v>4076</v>
      </c>
      <c r="C3828" t="s">
        <v>9</v>
      </c>
      <c r="D3828" t="s">
        <v>698</v>
      </c>
      <c r="E3828" t="s">
        <v>34</v>
      </c>
      <c r="F3828" t="s">
        <v>699</v>
      </c>
      <c r="G3828" t="s">
        <v>34</v>
      </c>
      <c r="H3828" t="s">
        <v>4583</v>
      </c>
      <c r="J3828">
        <v>91</v>
      </c>
    </row>
    <row r="3829" spans="1:10" x14ac:dyDescent="0.35">
      <c r="A3829">
        <v>781159624551</v>
      </c>
      <c r="B3829" t="s">
        <v>4076</v>
      </c>
      <c r="C3829" t="s">
        <v>9</v>
      </c>
      <c r="D3829" t="s">
        <v>698</v>
      </c>
      <c r="E3829" t="s">
        <v>34</v>
      </c>
      <c r="F3829" t="s">
        <v>699</v>
      </c>
      <c r="G3829" t="s">
        <v>150</v>
      </c>
      <c r="H3829" t="s">
        <v>4583</v>
      </c>
      <c r="J3829">
        <v>1</v>
      </c>
    </row>
    <row r="3830" spans="1:10" x14ac:dyDescent="0.35">
      <c r="A3830">
        <v>7811596245514</v>
      </c>
      <c r="B3830" t="s">
        <v>4077</v>
      </c>
      <c r="C3830" t="s">
        <v>9</v>
      </c>
      <c r="D3830" t="s">
        <v>698</v>
      </c>
      <c r="E3830" t="s">
        <v>34</v>
      </c>
      <c r="F3830" t="s">
        <v>699</v>
      </c>
      <c r="G3830" t="s">
        <v>34</v>
      </c>
      <c r="H3830" t="s">
        <v>4583</v>
      </c>
      <c r="J3830">
        <v>62</v>
      </c>
    </row>
    <row r="3831" spans="1:10" x14ac:dyDescent="0.35">
      <c r="A3831">
        <v>781159624582</v>
      </c>
      <c r="B3831" t="s">
        <v>4078</v>
      </c>
      <c r="C3831" t="s">
        <v>9</v>
      </c>
      <c r="D3831" t="s">
        <v>698</v>
      </c>
      <c r="E3831" t="s">
        <v>34</v>
      </c>
      <c r="F3831" t="s">
        <v>699</v>
      </c>
      <c r="G3831" t="s">
        <v>34</v>
      </c>
      <c r="H3831" t="s">
        <v>4583</v>
      </c>
      <c r="J3831">
        <v>6</v>
      </c>
    </row>
    <row r="3832" spans="1:10" x14ac:dyDescent="0.35">
      <c r="A3832">
        <v>781159921117</v>
      </c>
      <c r="B3832" t="s">
        <v>4079</v>
      </c>
      <c r="C3832" t="s">
        <v>9</v>
      </c>
      <c r="D3832" t="s">
        <v>698</v>
      </c>
      <c r="E3832" t="s">
        <v>34</v>
      </c>
      <c r="F3832" t="s">
        <v>699</v>
      </c>
      <c r="G3832" t="s">
        <v>34</v>
      </c>
      <c r="H3832" t="s">
        <v>4583</v>
      </c>
      <c r="J3832">
        <v>188</v>
      </c>
    </row>
    <row r="3833" spans="1:10" x14ac:dyDescent="0.35">
      <c r="A3833">
        <v>7811599211172</v>
      </c>
      <c r="B3833" t="s">
        <v>2553</v>
      </c>
      <c r="C3833" t="s">
        <v>9</v>
      </c>
      <c r="D3833" t="s">
        <v>698</v>
      </c>
      <c r="E3833" t="s">
        <v>34</v>
      </c>
      <c r="F3833" t="s">
        <v>699</v>
      </c>
      <c r="G3833" t="s">
        <v>34</v>
      </c>
      <c r="H3833" t="s">
        <v>4583</v>
      </c>
      <c r="J3833">
        <v>1</v>
      </c>
    </row>
    <row r="3834" spans="1:10" x14ac:dyDescent="0.35">
      <c r="A3834">
        <v>781159921124</v>
      </c>
      <c r="B3834" t="s">
        <v>4080</v>
      </c>
      <c r="C3834" t="s">
        <v>9</v>
      </c>
      <c r="D3834" t="s">
        <v>698</v>
      </c>
      <c r="E3834" t="s">
        <v>34</v>
      </c>
      <c r="F3834" t="s">
        <v>699</v>
      </c>
      <c r="G3834" t="s">
        <v>34</v>
      </c>
      <c r="H3834" t="s">
        <v>4583</v>
      </c>
      <c r="J3834">
        <v>71</v>
      </c>
    </row>
    <row r="3835" spans="1:10" x14ac:dyDescent="0.35">
      <c r="A3835">
        <v>781159921148</v>
      </c>
      <c r="B3835" t="s">
        <v>1895</v>
      </c>
      <c r="C3835" t="s">
        <v>9</v>
      </c>
      <c r="D3835" t="s">
        <v>698</v>
      </c>
      <c r="E3835" t="s">
        <v>34</v>
      </c>
      <c r="F3835" t="s">
        <v>699</v>
      </c>
      <c r="G3835" t="s">
        <v>34</v>
      </c>
      <c r="H3835" t="s">
        <v>4583</v>
      </c>
      <c r="J3835">
        <v>275</v>
      </c>
    </row>
    <row r="3836" spans="1:10" x14ac:dyDescent="0.35">
      <c r="A3836">
        <v>7811599211554</v>
      </c>
      <c r="B3836" t="s">
        <v>1851</v>
      </c>
      <c r="C3836" t="s">
        <v>9</v>
      </c>
      <c r="D3836" t="s">
        <v>698</v>
      </c>
      <c r="E3836" t="s">
        <v>34</v>
      </c>
      <c r="F3836" t="s">
        <v>699</v>
      </c>
      <c r="G3836" t="s">
        <v>34</v>
      </c>
      <c r="H3836" t="s">
        <v>4583</v>
      </c>
      <c r="J3836">
        <v>90</v>
      </c>
    </row>
    <row r="3837" spans="1:10" x14ac:dyDescent="0.35">
      <c r="A3837">
        <v>781159921162</v>
      </c>
      <c r="B3837" t="s">
        <v>4081</v>
      </c>
      <c r="C3837" t="s">
        <v>9</v>
      </c>
      <c r="D3837" t="s">
        <v>698</v>
      </c>
      <c r="E3837" t="s">
        <v>34</v>
      </c>
      <c r="F3837" t="s">
        <v>699</v>
      </c>
      <c r="G3837" t="s">
        <v>34</v>
      </c>
      <c r="H3837" t="s">
        <v>4583</v>
      </c>
      <c r="J3837">
        <v>29</v>
      </c>
    </row>
    <row r="3838" spans="1:10" x14ac:dyDescent="0.35">
      <c r="A3838">
        <v>781159921186</v>
      </c>
      <c r="B3838" t="s">
        <v>295</v>
      </c>
      <c r="C3838" t="s">
        <v>9</v>
      </c>
      <c r="D3838" t="s">
        <v>698</v>
      </c>
      <c r="E3838" t="s">
        <v>34</v>
      </c>
      <c r="F3838" t="s">
        <v>699</v>
      </c>
      <c r="G3838" t="s">
        <v>34</v>
      </c>
      <c r="H3838" t="s">
        <v>4583</v>
      </c>
      <c r="J3838">
        <v>19</v>
      </c>
    </row>
    <row r="3839" spans="1:10" x14ac:dyDescent="0.35">
      <c r="A3839">
        <v>7811599214487</v>
      </c>
      <c r="B3839" t="s">
        <v>2818</v>
      </c>
      <c r="C3839" t="s">
        <v>9</v>
      </c>
      <c r="D3839" t="s">
        <v>698</v>
      </c>
      <c r="E3839" t="s">
        <v>34</v>
      </c>
      <c r="F3839" t="s">
        <v>699</v>
      </c>
      <c r="G3839" t="s">
        <v>34</v>
      </c>
      <c r="H3839" t="s">
        <v>4583</v>
      </c>
      <c r="J3839">
        <v>55</v>
      </c>
    </row>
    <row r="3840" spans="1:10" x14ac:dyDescent="0.35">
      <c r="A3840">
        <v>78461000</v>
      </c>
      <c r="B3840" t="s">
        <v>4069</v>
      </c>
      <c r="C3840" t="s">
        <v>9</v>
      </c>
      <c r="D3840" t="s">
        <v>420</v>
      </c>
      <c r="E3840" t="s">
        <v>61</v>
      </c>
      <c r="F3840" t="s">
        <v>421</v>
      </c>
      <c r="G3840" t="s">
        <v>61</v>
      </c>
      <c r="H3840" t="s">
        <v>4549</v>
      </c>
      <c r="J3840">
        <v>1</v>
      </c>
    </row>
    <row r="3841" spans="1:10" x14ac:dyDescent="0.35">
      <c r="A3841">
        <v>7850893200116</v>
      </c>
      <c r="B3841" t="s">
        <v>4082</v>
      </c>
      <c r="C3841" t="s">
        <v>110</v>
      </c>
      <c r="D3841" t="s">
        <v>4083</v>
      </c>
      <c r="E3841" t="s">
        <v>117</v>
      </c>
      <c r="F3841" t="s">
        <v>2405</v>
      </c>
      <c r="G3841" t="s">
        <v>117</v>
      </c>
      <c r="H3841" t="s">
        <v>4797</v>
      </c>
      <c r="J3841">
        <v>1</v>
      </c>
    </row>
    <row r="3842" spans="1:10" x14ac:dyDescent="0.35">
      <c r="A3842">
        <v>7850893200239</v>
      </c>
      <c r="B3842" t="s">
        <v>4084</v>
      </c>
      <c r="C3842" t="s">
        <v>272</v>
      </c>
      <c r="D3842" t="s">
        <v>4085</v>
      </c>
      <c r="E3842" t="s">
        <v>117</v>
      </c>
      <c r="F3842" t="s">
        <v>2405</v>
      </c>
      <c r="G3842" t="s">
        <v>117</v>
      </c>
      <c r="H3842" t="s">
        <v>4797</v>
      </c>
      <c r="J3842">
        <v>1</v>
      </c>
    </row>
    <row r="3843" spans="1:10" x14ac:dyDescent="0.35">
      <c r="A3843">
        <v>7850893200246</v>
      </c>
      <c r="B3843" t="s">
        <v>2643</v>
      </c>
      <c r="C3843" t="s">
        <v>1118</v>
      </c>
      <c r="D3843" t="s">
        <v>4086</v>
      </c>
      <c r="E3843" t="s">
        <v>117</v>
      </c>
      <c r="F3843" t="s">
        <v>2405</v>
      </c>
      <c r="G3843" t="s">
        <v>117</v>
      </c>
      <c r="H3843" t="s">
        <v>4797</v>
      </c>
      <c r="J3843">
        <v>4</v>
      </c>
    </row>
    <row r="3844" spans="1:10" x14ac:dyDescent="0.35">
      <c r="A3844">
        <v>7850893200611</v>
      </c>
      <c r="B3844" t="s">
        <v>510</v>
      </c>
      <c r="C3844" t="s">
        <v>1184</v>
      </c>
      <c r="D3844" t="s">
        <v>2404</v>
      </c>
      <c r="E3844" t="s">
        <v>117</v>
      </c>
      <c r="F3844" t="s">
        <v>2405</v>
      </c>
      <c r="G3844" t="s">
        <v>117</v>
      </c>
      <c r="H3844" t="s">
        <v>4797</v>
      </c>
      <c r="J3844">
        <v>5</v>
      </c>
    </row>
    <row r="3845" spans="1:10" x14ac:dyDescent="0.35">
      <c r="A3845">
        <v>7850893200628</v>
      </c>
      <c r="B3845" t="s">
        <v>510</v>
      </c>
      <c r="C3845" t="s">
        <v>2008</v>
      </c>
      <c r="D3845" t="s">
        <v>2404</v>
      </c>
      <c r="E3845" t="s">
        <v>117</v>
      </c>
      <c r="F3845" t="s">
        <v>2405</v>
      </c>
      <c r="G3845" t="s">
        <v>117</v>
      </c>
      <c r="H3845" t="s">
        <v>4797</v>
      </c>
      <c r="J3845">
        <v>9</v>
      </c>
    </row>
    <row r="3846" spans="1:10" x14ac:dyDescent="0.35">
      <c r="A3846">
        <v>786162650115</v>
      </c>
      <c r="B3846" t="s">
        <v>4087</v>
      </c>
      <c r="C3846" t="s">
        <v>53</v>
      </c>
      <c r="D3846" t="s">
        <v>917</v>
      </c>
      <c r="E3846" t="s">
        <v>15</v>
      </c>
      <c r="F3846" t="s">
        <v>14</v>
      </c>
      <c r="G3846" t="s">
        <v>16</v>
      </c>
      <c r="H3846" t="s">
        <v>4489</v>
      </c>
      <c r="J3846">
        <v>5</v>
      </c>
    </row>
    <row r="3847" spans="1:10" x14ac:dyDescent="0.35">
      <c r="A3847">
        <v>786162650139</v>
      </c>
      <c r="B3847" t="s">
        <v>4088</v>
      </c>
      <c r="C3847" t="s">
        <v>53</v>
      </c>
      <c r="D3847" t="s">
        <v>917</v>
      </c>
      <c r="E3847" t="s">
        <v>15</v>
      </c>
      <c r="F3847" t="s">
        <v>14</v>
      </c>
      <c r="G3847" t="s">
        <v>16</v>
      </c>
      <c r="H3847" t="s">
        <v>4489</v>
      </c>
      <c r="J3847">
        <v>1</v>
      </c>
    </row>
    <row r="3848" spans="1:10" x14ac:dyDescent="0.35">
      <c r="A3848">
        <v>786162650139</v>
      </c>
      <c r="B3848" t="s">
        <v>4088</v>
      </c>
      <c r="C3848" t="s">
        <v>53</v>
      </c>
      <c r="D3848" t="s">
        <v>917</v>
      </c>
      <c r="E3848" t="s">
        <v>15</v>
      </c>
      <c r="F3848" t="s">
        <v>14</v>
      </c>
      <c r="G3848" t="s">
        <v>33</v>
      </c>
      <c r="H3848" t="s">
        <v>4489</v>
      </c>
      <c r="J3848">
        <v>9</v>
      </c>
    </row>
    <row r="3849" spans="1:10" x14ac:dyDescent="0.35">
      <c r="A3849">
        <v>786162650351</v>
      </c>
      <c r="B3849" t="s">
        <v>4089</v>
      </c>
      <c r="C3849" t="s">
        <v>53</v>
      </c>
      <c r="D3849" t="s">
        <v>914</v>
      </c>
      <c r="E3849" t="s">
        <v>15</v>
      </c>
      <c r="F3849" t="s">
        <v>14</v>
      </c>
      <c r="G3849" t="s">
        <v>16</v>
      </c>
      <c r="H3849" t="s">
        <v>4489</v>
      </c>
      <c r="J3849">
        <v>12</v>
      </c>
    </row>
    <row r="3850" spans="1:10" x14ac:dyDescent="0.35">
      <c r="A3850">
        <v>786162651525</v>
      </c>
      <c r="B3850" t="s">
        <v>4090</v>
      </c>
      <c r="C3850" t="s">
        <v>110</v>
      </c>
      <c r="D3850" t="s">
        <v>914</v>
      </c>
      <c r="E3850" t="s">
        <v>15</v>
      </c>
      <c r="F3850" t="s">
        <v>14</v>
      </c>
      <c r="G3850" t="s">
        <v>16</v>
      </c>
      <c r="H3850" t="s">
        <v>4489</v>
      </c>
      <c r="J3850">
        <v>3</v>
      </c>
    </row>
    <row r="3851" spans="1:10" x14ac:dyDescent="0.35">
      <c r="A3851">
        <v>7872696303450</v>
      </c>
      <c r="B3851" t="s">
        <v>446</v>
      </c>
      <c r="C3851" t="s">
        <v>825</v>
      </c>
      <c r="D3851" t="s">
        <v>4091</v>
      </c>
      <c r="E3851" t="s">
        <v>117</v>
      </c>
      <c r="F3851" t="s">
        <v>2880</v>
      </c>
      <c r="G3851" t="s">
        <v>117</v>
      </c>
      <c r="H3851" t="s">
        <v>4855</v>
      </c>
      <c r="J3851">
        <v>2</v>
      </c>
    </row>
    <row r="3852" spans="1:10" x14ac:dyDescent="0.35">
      <c r="A3852">
        <v>7891024027622</v>
      </c>
      <c r="B3852" t="s">
        <v>4092</v>
      </c>
      <c r="C3852" t="s">
        <v>9</v>
      </c>
      <c r="D3852" t="s">
        <v>2107</v>
      </c>
      <c r="E3852" t="s">
        <v>15</v>
      </c>
      <c r="F3852" t="s">
        <v>2108</v>
      </c>
      <c r="G3852" t="s">
        <v>4093</v>
      </c>
      <c r="H3852" t="s">
        <v>4761</v>
      </c>
      <c r="J3852">
        <v>1</v>
      </c>
    </row>
    <row r="3853" spans="1:10" x14ac:dyDescent="0.35">
      <c r="A3853">
        <v>7891962000725</v>
      </c>
      <c r="B3853" t="s">
        <v>4094</v>
      </c>
      <c r="C3853" t="s">
        <v>454</v>
      </c>
      <c r="D3853" t="s">
        <v>4095</v>
      </c>
      <c r="E3853" t="s">
        <v>308</v>
      </c>
      <c r="F3853" t="s">
        <v>309</v>
      </c>
      <c r="G3853" t="s">
        <v>34</v>
      </c>
      <c r="H3853" t="s">
        <v>4529</v>
      </c>
      <c r="J3853">
        <v>1</v>
      </c>
    </row>
    <row r="3854" spans="1:10" x14ac:dyDescent="0.35">
      <c r="A3854">
        <v>7891962058399</v>
      </c>
      <c r="B3854" t="s">
        <v>4096</v>
      </c>
      <c r="C3854" t="s">
        <v>1680</v>
      </c>
      <c r="D3854" t="s">
        <v>4095</v>
      </c>
      <c r="E3854" t="s">
        <v>308</v>
      </c>
      <c r="F3854" t="s">
        <v>309</v>
      </c>
      <c r="G3854" t="s">
        <v>34</v>
      </c>
      <c r="H3854" t="s">
        <v>4529</v>
      </c>
      <c r="J3854">
        <v>1</v>
      </c>
    </row>
    <row r="3855" spans="1:10" x14ac:dyDescent="0.35">
      <c r="A3855">
        <v>7893000050785</v>
      </c>
      <c r="B3855" t="s">
        <v>4097</v>
      </c>
      <c r="C3855" t="s">
        <v>102</v>
      </c>
      <c r="D3855" t="s">
        <v>4098</v>
      </c>
      <c r="E3855" t="s">
        <v>4093</v>
      </c>
      <c r="F3855" t="s">
        <v>4099</v>
      </c>
      <c r="G3855" t="s">
        <v>41</v>
      </c>
      <c r="H3855" t="s">
        <v>5042</v>
      </c>
      <c r="J3855">
        <v>40</v>
      </c>
    </row>
    <row r="3856" spans="1:10" x14ac:dyDescent="0.35">
      <c r="A3856">
        <v>7894904038305</v>
      </c>
      <c r="B3856" t="s">
        <v>4100</v>
      </c>
      <c r="C3856" t="s">
        <v>1491</v>
      </c>
      <c r="D3856" t="s">
        <v>4101</v>
      </c>
      <c r="E3856" t="s">
        <v>4093</v>
      </c>
      <c r="F3856" t="s">
        <v>4102</v>
      </c>
      <c r="G3856" t="s">
        <v>41</v>
      </c>
      <c r="H3856" t="s">
        <v>5043</v>
      </c>
      <c r="J3856">
        <v>50</v>
      </c>
    </row>
    <row r="3857" spans="1:10" x14ac:dyDescent="0.35">
      <c r="A3857">
        <v>7896062800237</v>
      </c>
      <c r="B3857" t="s">
        <v>1999</v>
      </c>
      <c r="C3857" t="s">
        <v>4103</v>
      </c>
      <c r="D3857" t="s">
        <v>70</v>
      </c>
      <c r="E3857" t="s">
        <v>71</v>
      </c>
      <c r="F3857" t="s">
        <v>72</v>
      </c>
      <c r="G3857" t="s">
        <v>4093</v>
      </c>
      <c r="H3857" t="s">
        <v>4501</v>
      </c>
      <c r="J3857">
        <v>1</v>
      </c>
    </row>
    <row r="3858" spans="1:10" x14ac:dyDescent="0.35">
      <c r="A3858">
        <v>7896279119498</v>
      </c>
      <c r="B3858" t="s">
        <v>4104</v>
      </c>
      <c r="C3858" t="s">
        <v>385</v>
      </c>
      <c r="D3858" t="s">
        <v>4105</v>
      </c>
      <c r="E3858" t="s">
        <v>4093</v>
      </c>
      <c r="F3858" t="s">
        <v>4106</v>
      </c>
      <c r="G3858" t="s">
        <v>34</v>
      </c>
      <c r="H3858" t="s">
        <v>5044</v>
      </c>
      <c r="J3858">
        <v>51</v>
      </c>
    </row>
    <row r="3859" spans="1:10" x14ac:dyDescent="0.35">
      <c r="A3859">
        <v>7896931614323</v>
      </c>
      <c r="B3859" t="s">
        <v>4107</v>
      </c>
      <c r="C3859" t="s">
        <v>4108</v>
      </c>
      <c r="D3859" t="s">
        <v>4109</v>
      </c>
      <c r="E3859" t="s">
        <v>4093</v>
      </c>
      <c r="F3859" t="s">
        <v>4110</v>
      </c>
      <c r="G3859" t="s">
        <v>4093</v>
      </c>
      <c r="H3859" t="s">
        <v>5045</v>
      </c>
      <c r="J3859">
        <v>1</v>
      </c>
    </row>
    <row r="3860" spans="1:10" x14ac:dyDescent="0.35">
      <c r="A3860">
        <v>7898199082548</v>
      </c>
      <c r="B3860" t="s">
        <v>4111</v>
      </c>
      <c r="C3860" t="s">
        <v>4112</v>
      </c>
      <c r="D3860" t="s">
        <v>4113</v>
      </c>
      <c r="E3860" t="s">
        <v>308</v>
      </c>
      <c r="F3860" t="s">
        <v>309</v>
      </c>
      <c r="G3860" t="s">
        <v>61</v>
      </c>
      <c r="H3860" t="s">
        <v>4529</v>
      </c>
      <c r="J3860">
        <v>1</v>
      </c>
    </row>
    <row r="3861" spans="1:10" x14ac:dyDescent="0.35">
      <c r="A3861">
        <v>7898917052129</v>
      </c>
      <c r="B3861" t="s">
        <v>4114</v>
      </c>
      <c r="C3861" t="s">
        <v>1184</v>
      </c>
      <c r="D3861" t="s">
        <v>4115</v>
      </c>
      <c r="E3861" t="s">
        <v>308</v>
      </c>
      <c r="F3861" t="s">
        <v>309</v>
      </c>
      <c r="G3861" t="s">
        <v>61</v>
      </c>
      <c r="H3861" t="s">
        <v>4529</v>
      </c>
      <c r="J3861">
        <v>2</v>
      </c>
    </row>
    <row r="3862" spans="1:10" x14ac:dyDescent="0.35">
      <c r="A3862">
        <v>7912774409312</v>
      </c>
      <c r="B3862" t="s">
        <v>778</v>
      </c>
      <c r="C3862" t="s">
        <v>472</v>
      </c>
      <c r="D3862" t="s">
        <v>2356</v>
      </c>
      <c r="E3862" t="s">
        <v>34</v>
      </c>
      <c r="F3862" t="s">
        <v>2357</v>
      </c>
      <c r="G3862" t="s">
        <v>34</v>
      </c>
      <c r="H3862" t="s">
        <v>4795</v>
      </c>
      <c r="J3862">
        <v>1</v>
      </c>
    </row>
    <row r="3863" spans="1:10" x14ac:dyDescent="0.35">
      <c r="A3863">
        <v>7994390540594</v>
      </c>
      <c r="B3863" t="s">
        <v>589</v>
      </c>
      <c r="C3863" t="s">
        <v>253</v>
      </c>
      <c r="D3863" t="s">
        <v>2448</v>
      </c>
      <c r="E3863" t="s">
        <v>15</v>
      </c>
      <c r="F3863" t="s">
        <v>2449</v>
      </c>
      <c r="G3863" t="s">
        <v>34</v>
      </c>
      <c r="H3863" t="s">
        <v>4804</v>
      </c>
      <c r="J3863">
        <v>1223</v>
      </c>
    </row>
    <row r="3864" spans="1:10" x14ac:dyDescent="0.35">
      <c r="A3864">
        <v>799439793897</v>
      </c>
      <c r="B3864" t="s">
        <v>975</v>
      </c>
      <c r="C3864" t="s">
        <v>472</v>
      </c>
      <c r="D3864" t="s">
        <v>594</v>
      </c>
      <c r="E3864" t="s">
        <v>33</v>
      </c>
      <c r="F3864" t="s">
        <v>595</v>
      </c>
      <c r="G3864" t="s">
        <v>33</v>
      </c>
      <c r="H3864" t="s">
        <v>4565</v>
      </c>
      <c r="J3864">
        <v>16</v>
      </c>
    </row>
    <row r="3865" spans="1:10" x14ac:dyDescent="0.35">
      <c r="A3865">
        <v>8001068808395</v>
      </c>
      <c r="B3865" t="s">
        <v>4116</v>
      </c>
      <c r="C3865" t="s">
        <v>110</v>
      </c>
      <c r="D3865" t="s">
        <v>1136</v>
      </c>
      <c r="E3865" t="s">
        <v>73</v>
      </c>
      <c r="F3865" t="s">
        <v>1137</v>
      </c>
      <c r="G3865" t="s">
        <v>34</v>
      </c>
      <c r="H3865" t="s">
        <v>4652</v>
      </c>
      <c r="J3865">
        <v>1</v>
      </c>
    </row>
    <row r="3866" spans="1:10" x14ac:dyDescent="0.35">
      <c r="A3866">
        <v>8001090596451</v>
      </c>
      <c r="B3866" t="s">
        <v>4117</v>
      </c>
      <c r="C3866" t="s">
        <v>1341</v>
      </c>
      <c r="D3866" t="s">
        <v>4118</v>
      </c>
      <c r="E3866" t="s">
        <v>15</v>
      </c>
      <c r="F3866" t="s">
        <v>1079</v>
      </c>
      <c r="G3866" t="s">
        <v>11</v>
      </c>
      <c r="H3866" t="s">
        <v>4646</v>
      </c>
      <c r="J3866">
        <v>26</v>
      </c>
    </row>
    <row r="3867" spans="1:10" x14ac:dyDescent="0.35">
      <c r="A3867">
        <v>8001090596550</v>
      </c>
      <c r="B3867" t="s">
        <v>4119</v>
      </c>
      <c r="C3867" t="s">
        <v>81</v>
      </c>
      <c r="D3867" t="s">
        <v>4118</v>
      </c>
      <c r="E3867" t="s">
        <v>15</v>
      </c>
      <c r="F3867" t="s">
        <v>1079</v>
      </c>
      <c r="G3867" t="s">
        <v>11</v>
      </c>
      <c r="H3867" t="s">
        <v>4646</v>
      </c>
      <c r="J3867">
        <v>19</v>
      </c>
    </row>
    <row r="3868" spans="1:10" x14ac:dyDescent="0.35">
      <c r="A3868">
        <v>8001090648235</v>
      </c>
      <c r="B3868" t="s">
        <v>4120</v>
      </c>
      <c r="C3868" t="s">
        <v>4121</v>
      </c>
      <c r="D3868" t="s">
        <v>4118</v>
      </c>
      <c r="E3868" t="s">
        <v>15</v>
      </c>
      <c r="F3868" t="s">
        <v>1079</v>
      </c>
      <c r="G3868" t="s">
        <v>11</v>
      </c>
      <c r="H3868" t="s">
        <v>4646</v>
      </c>
      <c r="J3868">
        <v>20</v>
      </c>
    </row>
    <row r="3869" spans="1:10" x14ac:dyDescent="0.35">
      <c r="A3869">
        <v>8001090718792</v>
      </c>
      <c r="B3869" t="s">
        <v>4122</v>
      </c>
      <c r="C3869" t="s">
        <v>4123</v>
      </c>
      <c r="D3869" t="s">
        <v>4124</v>
      </c>
      <c r="E3869" t="s">
        <v>15</v>
      </c>
      <c r="F3869" t="s">
        <v>1079</v>
      </c>
      <c r="G3869" t="s">
        <v>22</v>
      </c>
      <c r="H3869" t="s">
        <v>4646</v>
      </c>
      <c r="J3869">
        <v>1</v>
      </c>
    </row>
    <row r="3870" spans="1:10" x14ac:dyDescent="0.35">
      <c r="A3870">
        <v>8001841287256</v>
      </c>
      <c r="B3870" t="s">
        <v>4125</v>
      </c>
      <c r="C3870" t="s">
        <v>4126</v>
      </c>
      <c r="D3870" t="s">
        <v>4124</v>
      </c>
      <c r="E3870" t="s">
        <v>15</v>
      </c>
      <c r="F3870" t="s">
        <v>1079</v>
      </c>
      <c r="G3870" t="s">
        <v>22</v>
      </c>
      <c r="H3870" t="s">
        <v>4646</v>
      </c>
      <c r="J3870">
        <v>2</v>
      </c>
    </row>
    <row r="3871" spans="1:10" x14ac:dyDescent="0.35">
      <c r="A3871">
        <v>8001841990118</v>
      </c>
      <c r="B3871" t="s">
        <v>4127</v>
      </c>
      <c r="C3871" t="s">
        <v>4128</v>
      </c>
      <c r="D3871" t="s">
        <v>4129</v>
      </c>
      <c r="E3871" t="s">
        <v>15</v>
      </c>
      <c r="F3871" t="s">
        <v>1079</v>
      </c>
      <c r="G3871" t="s">
        <v>464</v>
      </c>
      <c r="H3871" t="s">
        <v>4646</v>
      </c>
      <c r="J3871">
        <v>1</v>
      </c>
    </row>
    <row r="3872" spans="1:10" x14ac:dyDescent="0.35">
      <c r="A3872">
        <v>8002210128057</v>
      </c>
      <c r="B3872" t="s">
        <v>4130</v>
      </c>
      <c r="C3872" t="s">
        <v>192</v>
      </c>
      <c r="D3872" t="s">
        <v>4131</v>
      </c>
      <c r="E3872" t="s">
        <v>22</v>
      </c>
      <c r="F3872" t="s">
        <v>4132</v>
      </c>
      <c r="G3872" t="s">
        <v>22</v>
      </c>
      <c r="H3872" t="s">
        <v>5046</v>
      </c>
      <c r="J3872">
        <v>1</v>
      </c>
    </row>
    <row r="3873" spans="1:10" x14ac:dyDescent="0.35">
      <c r="A3873">
        <v>8006540026557</v>
      </c>
      <c r="B3873" t="s">
        <v>4133</v>
      </c>
      <c r="C3873" t="s">
        <v>83</v>
      </c>
      <c r="D3873" t="s">
        <v>1319</v>
      </c>
      <c r="E3873" t="s">
        <v>15</v>
      </c>
      <c r="F3873" t="s">
        <v>1079</v>
      </c>
      <c r="G3873" t="s">
        <v>464</v>
      </c>
      <c r="H3873" t="s">
        <v>4646</v>
      </c>
      <c r="J3873">
        <v>1</v>
      </c>
    </row>
    <row r="3874" spans="1:10" x14ac:dyDescent="0.35">
      <c r="A3874">
        <v>8006540299067</v>
      </c>
      <c r="B3874" t="s">
        <v>4134</v>
      </c>
      <c r="C3874" t="s">
        <v>4135</v>
      </c>
      <c r="D3874" t="s">
        <v>1319</v>
      </c>
      <c r="E3874" t="s">
        <v>15</v>
      </c>
      <c r="F3874" t="s">
        <v>1079</v>
      </c>
      <c r="G3874" t="s">
        <v>464</v>
      </c>
      <c r="H3874" t="s">
        <v>4646</v>
      </c>
      <c r="J3874">
        <v>1</v>
      </c>
    </row>
    <row r="3875" spans="1:10" x14ac:dyDescent="0.35">
      <c r="A3875">
        <v>80722205</v>
      </c>
      <c r="B3875" t="s">
        <v>4136</v>
      </c>
      <c r="C3875" t="s">
        <v>38</v>
      </c>
      <c r="D3875" t="s">
        <v>414</v>
      </c>
      <c r="E3875" t="s">
        <v>61</v>
      </c>
      <c r="F3875" t="s">
        <v>85</v>
      </c>
      <c r="G3875" t="s">
        <v>61</v>
      </c>
      <c r="H3875" t="s">
        <v>4503</v>
      </c>
      <c r="J3875">
        <v>1</v>
      </c>
    </row>
    <row r="3876" spans="1:10" x14ac:dyDescent="0.35">
      <c r="A3876">
        <v>80816690</v>
      </c>
      <c r="B3876" t="s">
        <v>4137</v>
      </c>
      <c r="C3876" t="s">
        <v>4138</v>
      </c>
      <c r="D3876" t="s">
        <v>4139</v>
      </c>
      <c r="E3876" t="s">
        <v>1270</v>
      </c>
      <c r="F3876" t="s">
        <v>4140</v>
      </c>
      <c r="G3876" t="s">
        <v>22</v>
      </c>
      <c r="H3876" t="s">
        <v>5047</v>
      </c>
      <c r="J3876">
        <v>1</v>
      </c>
    </row>
    <row r="3877" spans="1:10" x14ac:dyDescent="0.35">
      <c r="A3877">
        <v>80922377</v>
      </c>
      <c r="B3877" t="s">
        <v>4141</v>
      </c>
      <c r="C3877" t="s">
        <v>192</v>
      </c>
      <c r="D3877" t="s">
        <v>2538</v>
      </c>
      <c r="E3877" t="s">
        <v>34</v>
      </c>
      <c r="F3877" t="s">
        <v>2539</v>
      </c>
      <c r="G3877" t="s">
        <v>34</v>
      </c>
      <c r="H3877" t="s">
        <v>4812</v>
      </c>
      <c r="J3877">
        <v>2728</v>
      </c>
    </row>
    <row r="3878" spans="1:10" x14ac:dyDescent="0.35">
      <c r="A3878">
        <v>810116120314</v>
      </c>
      <c r="B3878" t="s">
        <v>247</v>
      </c>
      <c r="C3878" t="s">
        <v>9</v>
      </c>
      <c r="D3878" t="s">
        <v>978</v>
      </c>
      <c r="E3878" t="s">
        <v>15</v>
      </c>
      <c r="F3878" t="s">
        <v>979</v>
      </c>
      <c r="G3878" t="s">
        <v>16</v>
      </c>
      <c r="H3878" t="s">
        <v>4632</v>
      </c>
      <c r="J3878">
        <v>1</v>
      </c>
    </row>
    <row r="3879" spans="1:10" x14ac:dyDescent="0.35">
      <c r="A3879">
        <v>810116120345</v>
      </c>
      <c r="B3879" t="s">
        <v>156</v>
      </c>
      <c r="C3879" t="s">
        <v>253</v>
      </c>
      <c r="D3879" t="s">
        <v>978</v>
      </c>
      <c r="E3879" t="s">
        <v>15</v>
      </c>
      <c r="F3879" t="s">
        <v>979</v>
      </c>
      <c r="G3879" t="s">
        <v>16</v>
      </c>
      <c r="H3879" t="s">
        <v>4632</v>
      </c>
      <c r="J3879">
        <v>1</v>
      </c>
    </row>
    <row r="3880" spans="1:10" x14ac:dyDescent="0.35">
      <c r="A3880">
        <v>810116120352</v>
      </c>
      <c r="B3880" t="s">
        <v>4142</v>
      </c>
      <c r="C3880" t="s">
        <v>9</v>
      </c>
      <c r="D3880" t="s">
        <v>978</v>
      </c>
      <c r="E3880" t="s">
        <v>15</v>
      </c>
      <c r="F3880" t="s">
        <v>979</v>
      </c>
      <c r="G3880" t="s">
        <v>16</v>
      </c>
      <c r="H3880" t="s">
        <v>4632</v>
      </c>
      <c r="J3880">
        <v>3</v>
      </c>
    </row>
    <row r="3881" spans="1:10" x14ac:dyDescent="0.35">
      <c r="A3881">
        <v>810116120369</v>
      </c>
      <c r="B3881" t="s">
        <v>4143</v>
      </c>
      <c r="C3881" t="s">
        <v>9</v>
      </c>
      <c r="D3881" t="s">
        <v>978</v>
      </c>
      <c r="E3881" t="s">
        <v>15</v>
      </c>
      <c r="F3881" t="s">
        <v>979</v>
      </c>
      <c r="G3881" t="s">
        <v>16</v>
      </c>
      <c r="H3881" t="s">
        <v>4632</v>
      </c>
      <c r="J3881">
        <v>2</v>
      </c>
    </row>
    <row r="3882" spans="1:10" x14ac:dyDescent="0.35">
      <c r="A3882">
        <v>810291001583</v>
      </c>
      <c r="B3882" t="s">
        <v>4144</v>
      </c>
      <c r="C3882" t="s">
        <v>91</v>
      </c>
      <c r="D3882" t="s">
        <v>4145</v>
      </c>
      <c r="E3882" t="s">
        <v>15</v>
      </c>
      <c r="F3882" t="s">
        <v>460</v>
      </c>
      <c r="G3882" t="s">
        <v>15</v>
      </c>
      <c r="H3882" t="s">
        <v>4554</v>
      </c>
      <c r="J3882">
        <v>1</v>
      </c>
    </row>
    <row r="3883" spans="1:10" x14ac:dyDescent="0.35">
      <c r="A3883">
        <v>811620022248</v>
      </c>
      <c r="B3883" t="s">
        <v>4146</v>
      </c>
      <c r="C3883" t="s">
        <v>1024</v>
      </c>
      <c r="D3883" t="s">
        <v>4147</v>
      </c>
      <c r="E3883" t="s">
        <v>15</v>
      </c>
      <c r="F3883" t="s">
        <v>14</v>
      </c>
      <c r="G3883" t="s">
        <v>150</v>
      </c>
      <c r="H3883" t="s">
        <v>4489</v>
      </c>
      <c r="J3883">
        <v>1</v>
      </c>
    </row>
    <row r="3884" spans="1:10" x14ac:dyDescent="0.35">
      <c r="A3884">
        <v>811620022927</v>
      </c>
      <c r="B3884" t="s">
        <v>2066</v>
      </c>
      <c r="C3884" t="s">
        <v>542</v>
      </c>
      <c r="D3884" t="s">
        <v>4148</v>
      </c>
      <c r="E3884" t="s">
        <v>15</v>
      </c>
      <c r="F3884" t="s">
        <v>14</v>
      </c>
      <c r="G3884" t="s">
        <v>16</v>
      </c>
      <c r="H3884" t="s">
        <v>4489</v>
      </c>
      <c r="J3884">
        <v>4</v>
      </c>
    </row>
    <row r="3885" spans="1:10" x14ac:dyDescent="0.35">
      <c r="A3885">
        <v>8119261643580</v>
      </c>
      <c r="B3885" t="s">
        <v>4149</v>
      </c>
      <c r="C3885" t="s">
        <v>1115</v>
      </c>
      <c r="D3885" t="s">
        <v>4150</v>
      </c>
      <c r="E3885" t="s">
        <v>117</v>
      </c>
      <c r="F3885" t="s">
        <v>3597</v>
      </c>
      <c r="G3885" t="s">
        <v>117</v>
      </c>
      <c r="H3885" t="s">
        <v>4968</v>
      </c>
      <c r="J3885">
        <v>2</v>
      </c>
    </row>
    <row r="3886" spans="1:10" x14ac:dyDescent="0.35">
      <c r="A3886">
        <v>8137020351101</v>
      </c>
      <c r="B3886" t="s">
        <v>3042</v>
      </c>
      <c r="C3886" t="s">
        <v>472</v>
      </c>
      <c r="D3886" t="s">
        <v>3042</v>
      </c>
      <c r="E3886" t="s">
        <v>41</v>
      </c>
      <c r="F3886" t="s">
        <v>1090</v>
      </c>
      <c r="G3886" t="s">
        <v>41</v>
      </c>
      <c r="H3886" t="s">
        <v>4648</v>
      </c>
      <c r="J3886">
        <v>18</v>
      </c>
    </row>
    <row r="3887" spans="1:10" x14ac:dyDescent="0.35">
      <c r="A3887">
        <v>813974024237</v>
      </c>
      <c r="B3887" t="s">
        <v>4151</v>
      </c>
      <c r="C3887" t="s">
        <v>758</v>
      </c>
      <c r="D3887" t="s">
        <v>4152</v>
      </c>
      <c r="E3887" t="s">
        <v>308</v>
      </c>
      <c r="F3887" t="s">
        <v>309</v>
      </c>
      <c r="G3887" t="s">
        <v>22</v>
      </c>
      <c r="H3887" t="s">
        <v>4529</v>
      </c>
      <c r="J3887">
        <v>1</v>
      </c>
    </row>
    <row r="3888" spans="1:10" x14ac:dyDescent="0.35">
      <c r="A3888">
        <v>817513015472</v>
      </c>
      <c r="B3888" t="s">
        <v>4153</v>
      </c>
      <c r="C3888" t="s">
        <v>4154</v>
      </c>
      <c r="D3888" t="s">
        <v>4155</v>
      </c>
      <c r="E3888" t="s">
        <v>15</v>
      </c>
      <c r="F3888" t="s">
        <v>4156</v>
      </c>
      <c r="G3888" t="s">
        <v>61</v>
      </c>
      <c r="H3888" t="s">
        <v>5048</v>
      </c>
      <c r="J3888">
        <v>1</v>
      </c>
    </row>
    <row r="3889" spans="1:10" x14ac:dyDescent="0.35">
      <c r="A3889">
        <v>817939005118</v>
      </c>
      <c r="B3889" t="s">
        <v>4157</v>
      </c>
      <c r="C3889" t="s">
        <v>4158</v>
      </c>
      <c r="D3889" t="s">
        <v>982</v>
      </c>
      <c r="E3889" t="s">
        <v>15</v>
      </c>
      <c r="F3889" t="s">
        <v>983</v>
      </c>
      <c r="G3889" t="s">
        <v>22</v>
      </c>
      <c r="H3889" t="s">
        <v>4633</v>
      </c>
      <c r="J3889">
        <v>1</v>
      </c>
    </row>
    <row r="3890" spans="1:10" x14ac:dyDescent="0.35">
      <c r="A3890">
        <v>817939012413</v>
      </c>
      <c r="B3890" t="s">
        <v>4159</v>
      </c>
      <c r="C3890" t="s">
        <v>143</v>
      </c>
      <c r="D3890" t="s">
        <v>982</v>
      </c>
      <c r="E3890" t="s">
        <v>15</v>
      </c>
      <c r="F3890" t="s">
        <v>983</v>
      </c>
      <c r="G3890" t="s">
        <v>22</v>
      </c>
      <c r="H3890" t="s">
        <v>4633</v>
      </c>
      <c r="J3890">
        <v>1</v>
      </c>
    </row>
    <row r="3891" spans="1:10" x14ac:dyDescent="0.35">
      <c r="A3891">
        <v>8181351361438</v>
      </c>
      <c r="B3891" t="s">
        <v>4160</v>
      </c>
      <c r="C3891" t="s">
        <v>472</v>
      </c>
      <c r="D3891" t="s">
        <v>473</v>
      </c>
      <c r="E3891" t="s">
        <v>41</v>
      </c>
      <c r="F3891" t="s">
        <v>456</v>
      </c>
      <c r="G3891" t="s">
        <v>41</v>
      </c>
      <c r="H3891" t="s">
        <v>4553</v>
      </c>
      <c r="J3891">
        <v>1</v>
      </c>
    </row>
    <row r="3892" spans="1:10" x14ac:dyDescent="0.35">
      <c r="A3892">
        <v>8242123456797</v>
      </c>
      <c r="B3892" t="s">
        <v>4161</v>
      </c>
      <c r="C3892" t="s">
        <v>801</v>
      </c>
      <c r="D3892" t="s">
        <v>3901</v>
      </c>
      <c r="E3892" t="s">
        <v>31</v>
      </c>
      <c r="F3892" t="s">
        <v>3902</v>
      </c>
      <c r="G3892" t="s">
        <v>31</v>
      </c>
      <c r="H3892" t="s">
        <v>5009</v>
      </c>
      <c r="J3892">
        <v>3</v>
      </c>
    </row>
    <row r="3893" spans="1:10" x14ac:dyDescent="0.35">
      <c r="A3893">
        <v>8260924200234</v>
      </c>
      <c r="B3893" t="s">
        <v>4162</v>
      </c>
      <c r="C3893" t="s">
        <v>1315</v>
      </c>
      <c r="D3893" t="s">
        <v>4163</v>
      </c>
      <c r="E3893" t="s">
        <v>31</v>
      </c>
      <c r="F3893" t="s">
        <v>4164</v>
      </c>
      <c r="G3893" t="s">
        <v>31</v>
      </c>
      <c r="H3893" t="s">
        <v>5049</v>
      </c>
      <c r="J3893">
        <v>11</v>
      </c>
    </row>
    <row r="3894" spans="1:10" x14ac:dyDescent="0.35">
      <c r="A3894">
        <v>8261251806908</v>
      </c>
      <c r="B3894" t="s">
        <v>3262</v>
      </c>
      <c r="C3894" t="s">
        <v>472</v>
      </c>
      <c r="D3894" t="s">
        <v>2595</v>
      </c>
      <c r="E3894" t="s">
        <v>33</v>
      </c>
      <c r="F3894" t="s">
        <v>2593</v>
      </c>
      <c r="G3894" t="s">
        <v>33</v>
      </c>
      <c r="H3894" t="s">
        <v>4823</v>
      </c>
      <c r="J3894">
        <v>1</v>
      </c>
    </row>
    <row r="3895" spans="1:10" x14ac:dyDescent="0.35">
      <c r="A3895">
        <v>83271991</v>
      </c>
      <c r="B3895" t="s">
        <v>4165</v>
      </c>
      <c r="C3895" t="s">
        <v>53</v>
      </c>
      <c r="D3895" t="s">
        <v>55</v>
      </c>
      <c r="E3895" t="s">
        <v>15</v>
      </c>
      <c r="F3895" t="s">
        <v>56</v>
      </c>
      <c r="G3895" t="s">
        <v>16</v>
      </c>
      <c r="H3895" t="s">
        <v>4497</v>
      </c>
      <c r="J3895">
        <v>1</v>
      </c>
    </row>
    <row r="3896" spans="1:10" x14ac:dyDescent="0.35">
      <c r="A3896">
        <v>83334269</v>
      </c>
      <c r="B3896" t="s">
        <v>4166</v>
      </c>
      <c r="C3896" t="s">
        <v>53</v>
      </c>
      <c r="D3896" t="s">
        <v>55</v>
      </c>
      <c r="E3896" t="s">
        <v>15</v>
      </c>
      <c r="F3896" t="s">
        <v>56</v>
      </c>
      <c r="G3896" t="s">
        <v>16</v>
      </c>
      <c r="H3896" t="s">
        <v>4497</v>
      </c>
      <c r="J3896">
        <v>1</v>
      </c>
    </row>
    <row r="3897" spans="1:10" x14ac:dyDescent="0.35">
      <c r="A3897">
        <v>8410055050011</v>
      </c>
      <c r="B3897" t="s">
        <v>4167</v>
      </c>
      <c r="C3897" t="s">
        <v>9</v>
      </c>
      <c r="D3897" t="s">
        <v>2252</v>
      </c>
      <c r="E3897" t="s">
        <v>130</v>
      </c>
      <c r="F3897" t="s">
        <v>220</v>
      </c>
      <c r="G3897" t="s">
        <v>464</v>
      </c>
      <c r="H3897" t="s">
        <v>4520</v>
      </c>
      <c r="J3897">
        <v>3</v>
      </c>
    </row>
    <row r="3898" spans="1:10" x14ac:dyDescent="0.35">
      <c r="A3898">
        <v>8410055050011</v>
      </c>
      <c r="B3898" t="s">
        <v>4167</v>
      </c>
      <c r="C3898" t="s">
        <v>9</v>
      </c>
      <c r="D3898" t="s">
        <v>2252</v>
      </c>
      <c r="E3898" t="s">
        <v>130</v>
      </c>
      <c r="F3898" t="s">
        <v>220</v>
      </c>
      <c r="G3898" t="s">
        <v>22</v>
      </c>
      <c r="H3898" t="s">
        <v>4520</v>
      </c>
      <c r="J3898">
        <v>1</v>
      </c>
    </row>
    <row r="3899" spans="1:10" x14ac:dyDescent="0.35">
      <c r="A3899">
        <v>8410055125023</v>
      </c>
      <c r="B3899" t="s">
        <v>790</v>
      </c>
      <c r="C3899" t="s">
        <v>1184</v>
      </c>
      <c r="D3899" t="s">
        <v>4168</v>
      </c>
      <c r="E3899" t="s">
        <v>130</v>
      </c>
      <c r="F3899" t="s">
        <v>220</v>
      </c>
      <c r="G3899" t="s">
        <v>464</v>
      </c>
      <c r="H3899" t="s">
        <v>4520</v>
      </c>
      <c r="J3899">
        <v>1</v>
      </c>
    </row>
    <row r="3900" spans="1:10" x14ac:dyDescent="0.35">
      <c r="A3900">
        <v>8410055150018</v>
      </c>
      <c r="B3900" t="s">
        <v>1158</v>
      </c>
      <c r="C3900" t="s">
        <v>192</v>
      </c>
      <c r="D3900" t="s">
        <v>4168</v>
      </c>
      <c r="E3900" t="s">
        <v>130</v>
      </c>
      <c r="F3900" t="s">
        <v>220</v>
      </c>
      <c r="G3900" t="s">
        <v>464</v>
      </c>
      <c r="H3900" t="s">
        <v>4520</v>
      </c>
      <c r="J3900">
        <v>2</v>
      </c>
    </row>
    <row r="3901" spans="1:10" x14ac:dyDescent="0.35">
      <c r="A3901">
        <v>8410055501131</v>
      </c>
      <c r="B3901" t="s">
        <v>4169</v>
      </c>
      <c r="C3901" t="s">
        <v>4170</v>
      </c>
      <c r="D3901" t="s">
        <v>4168</v>
      </c>
      <c r="E3901" t="s">
        <v>130</v>
      </c>
      <c r="F3901" t="s">
        <v>220</v>
      </c>
      <c r="G3901" t="s">
        <v>464</v>
      </c>
      <c r="H3901" t="s">
        <v>4520</v>
      </c>
      <c r="J3901">
        <v>1</v>
      </c>
    </row>
    <row r="3902" spans="1:10" x14ac:dyDescent="0.35">
      <c r="A3902">
        <v>8410128000400</v>
      </c>
      <c r="B3902" t="s">
        <v>790</v>
      </c>
      <c r="C3902" t="s">
        <v>837</v>
      </c>
      <c r="D3902" t="s">
        <v>4171</v>
      </c>
      <c r="E3902" t="s">
        <v>464</v>
      </c>
      <c r="F3902" t="s">
        <v>4172</v>
      </c>
      <c r="G3902" t="s">
        <v>464</v>
      </c>
      <c r="H3902" t="s">
        <v>5050</v>
      </c>
      <c r="J3902">
        <v>1</v>
      </c>
    </row>
    <row r="3903" spans="1:10" x14ac:dyDescent="0.35">
      <c r="A3903">
        <v>8410128160074</v>
      </c>
      <c r="B3903" t="s">
        <v>1158</v>
      </c>
      <c r="C3903" t="s">
        <v>75</v>
      </c>
      <c r="D3903" t="s">
        <v>4171</v>
      </c>
      <c r="E3903" t="s">
        <v>464</v>
      </c>
      <c r="F3903" t="s">
        <v>4172</v>
      </c>
      <c r="G3903" t="s">
        <v>464</v>
      </c>
      <c r="H3903" t="s">
        <v>5050</v>
      </c>
      <c r="J3903">
        <v>4</v>
      </c>
    </row>
    <row r="3904" spans="1:10" x14ac:dyDescent="0.35">
      <c r="A3904">
        <v>8410128160319</v>
      </c>
      <c r="B3904" t="s">
        <v>4173</v>
      </c>
      <c r="C3904" t="s">
        <v>9</v>
      </c>
      <c r="D3904" t="s">
        <v>4171</v>
      </c>
      <c r="E3904" t="s">
        <v>464</v>
      </c>
      <c r="F3904" t="s">
        <v>4172</v>
      </c>
      <c r="G3904" t="s">
        <v>464</v>
      </c>
      <c r="H3904" t="s">
        <v>5050</v>
      </c>
      <c r="J3904">
        <v>2</v>
      </c>
    </row>
    <row r="3905" spans="1:10" x14ac:dyDescent="0.35">
      <c r="A3905">
        <v>8410128160623</v>
      </c>
      <c r="B3905" t="s">
        <v>1158</v>
      </c>
      <c r="C3905" t="s">
        <v>603</v>
      </c>
      <c r="D3905" t="s">
        <v>4171</v>
      </c>
      <c r="E3905" t="s">
        <v>464</v>
      </c>
      <c r="F3905" t="s">
        <v>4172</v>
      </c>
      <c r="G3905" t="s">
        <v>464</v>
      </c>
      <c r="H3905" t="s">
        <v>5050</v>
      </c>
      <c r="J3905">
        <v>1</v>
      </c>
    </row>
    <row r="3906" spans="1:10" x14ac:dyDescent="0.35">
      <c r="A3906">
        <v>8410171013273</v>
      </c>
      <c r="B3906" t="s">
        <v>4174</v>
      </c>
      <c r="C3906" t="s">
        <v>272</v>
      </c>
      <c r="D3906" t="s">
        <v>2050</v>
      </c>
      <c r="E3906" t="s">
        <v>308</v>
      </c>
      <c r="F3906" t="s">
        <v>309</v>
      </c>
      <c r="G3906" t="s">
        <v>22</v>
      </c>
      <c r="H3906" t="s">
        <v>4529</v>
      </c>
      <c r="J3906">
        <v>1</v>
      </c>
    </row>
    <row r="3907" spans="1:10" x14ac:dyDescent="0.35">
      <c r="A3907">
        <v>8410261607108</v>
      </c>
      <c r="B3907" t="s">
        <v>4175</v>
      </c>
      <c r="C3907" t="s">
        <v>110</v>
      </c>
      <c r="D3907" t="s">
        <v>4176</v>
      </c>
      <c r="E3907" t="s">
        <v>464</v>
      </c>
      <c r="F3907" t="s">
        <v>4177</v>
      </c>
      <c r="G3907" t="s">
        <v>41</v>
      </c>
      <c r="H3907" t="s">
        <v>5051</v>
      </c>
      <c r="J3907">
        <v>100</v>
      </c>
    </row>
    <row r="3908" spans="1:10" x14ac:dyDescent="0.35">
      <c r="A3908">
        <v>8410261641416</v>
      </c>
      <c r="B3908" t="s">
        <v>4178</v>
      </c>
      <c r="C3908" t="s">
        <v>837</v>
      </c>
      <c r="D3908" t="s">
        <v>4176</v>
      </c>
      <c r="E3908" t="s">
        <v>464</v>
      </c>
      <c r="F3908" t="s">
        <v>4177</v>
      </c>
      <c r="G3908" t="s">
        <v>464</v>
      </c>
      <c r="H3908" t="s">
        <v>5051</v>
      </c>
      <c r="J3908">
        <v>1</v>
      </c>
    </row>
    <row r="3909" spans="1:10" x14ac:dyDescent="0.35">
      <c r="A3909">
        <v>8410283333610</v>
      </c>
      <c r="B3909" t="s">
        <v>4179</v>
      </c>
      <c r="C3909" t="s">
        <v>1573</v>
      </c>
      <c r="D3909" t="s">
        <v>1364</v>
      </c>
      <c r="E3909" t="s">
        <v>598</v>
      </c>
      <c r="F3909" t="s">
        <v>1365</v>
      </c>
      <c r="G3909" t="s">
        <v>464</v>
      </c>
      <c r="H3909" t="s">
        <v>4680</v>
      </c>
      <c r="J3909">
        <v>1</v>
      </c>
    </row>
    <row r="3910" spans="1:10" x14ac:dyDescent="0.35">
      <c r="A3910">
        <v>8410300361411</v>
      </c>
      <c r="B3910" t="s">
        <v>2924</v>
      </c>
      <c r="C3910" t="s">
        <v>69</v>
      </c>
      <c r="D3910" t="s">
        <v>4180</v>
      </c>
      <c r="E3910" t="s">
        <v>464</v>
      </c>
      <c r="F3910" t="s">
        <v>4181</v>
      </c>
      <c r="G3910" t="s">
        <v>41</v>
      </c>
      <c r="H3910" t="s">
        <v>5052</v>
      </c>
      <c r="J3910">
        <v>17</v>
      </c>
    </row>
    <row r="3911" spans="1:10" x14ac:dyDescent="0.35">
      <c r="A3911">
        <v>8410300361428</v>
      </c>
      <c r="B3911" t="s">
        <v>4182</v>
      </c>
      <c r="C3911" t="s">
        <v>562</v>
      </c>
      <c r="D3911" t="s">
        <v>4180</v>
      </c>
      <c r="E3911" t="s">
        <v>464</v>
      </c>
      <c r="F3911" t="s">
        <v>4181</v>
      </c>
      <c r="G3911" t="s">
        <v>41</v>
      </c>
      <c r="H3911" t="s">
        <v>5052</v>
      </c>
      <c r="J3911">
        <v>151</v>
      </c>
    </row>
    <row r="3912" spans="1:10" x14ac:dyDescent="0.35">
      <c r="A3912">
        <v>8410300361435</v>
      </c>
      <c r="B3912" t="s">
        <v>4183</v>
      </c>
      <c r="C3912" t="s">
        <v>1141</v>
      </c>
      <c r="D3912" t="s">
        <v>4180</v>
      </c>
      <c r="E3912" t="s">
        <v>464</v>
      </c>
      <c r="F3912" t="s">
        <v>4181</v>
      </c>
      <c r="G3912" t="s">
        <v>41</v>
      </c>
      <c r="H3912" t="s">
        <v>5052</v>
      </c>
      <c r="J3912">
        <v>1</v>
      </c>
    </row>
    <row r="3913" spans="1:10" x14ac:dyDescent="0.35">
      <c r="A3913">
        <v>8410300366645</v>
      </c>
      <c r="B3913" t="s">
        <v>4184</v>
      </c>
      <c r="C3913" t="s">
        <v>4185</v>
      </c>
      <c r="D3913" t="s">
        <v>4180</v>
      </c>
      <c r="E3913" t="s">
        <v>464</v>
      </c>
      <c r="F3913" t="s">
        <v>4181</v>
      </c>
      <c r="G3913" t="s">
        <v>41</v>
      </c>
      <c r="H3913" t="s">
        <v>5052</v>
      </c>
      <c r="J3913">
        <v>147</v>
      </c>
    </row>
    <row r="3914" spans="1:10" x14ac:dyDescent="0.35">
      <c r="A3914">
        <v>8410728100036</v>
      </c>
      <c r="B3914" t="s">
        <v>4186</v>
      </c>
      <c r="C3914" t="s">
        <v>326</v>
      </c>
      <c r="D3914" t="s">
        <v>4187</v>
      </c>
      <c r="E3914" t="s">
        <v>130</v>
      </c>
      <c r="F3914" t="s">
        <v>220</v>
      </c>
      <c r="G3914" t="s">
        <v>464</v>
      </c>
      <c r="H3914" t="s">
        <v>4520</v>
      </c>
      <c r="J3914">
        <v>2</v>
      </c>
    </row>
    <row r="3915" spans="1:10" x14ac:dyDescent="0.35">
      <c r="A3915">
        <v>8410728100036</v>
      </c>
      <c r="B3915" t="s">
        <v>4186</v>
      </c>
      <c r="C3915" t="s">
        <v>326</v>
      </c>
      <c r="D3915" t="s">
        <v>4187</v>
      </c>
      <c r="E3915" t="s">
        <v>130</v>
      </c>
      <c r="F3915" t="s">
        <v>220</v>
      </c>
      <c r="G3915" t="s">
        <v>22</v>
      </c>
      <c r="H3915" t="s">
        <v>4520</v>
      </c>
      <c r="J3915">
        <v>1</v>
      </c>
    </row>
    <row r="3916" spans="1:10" x14ac:dyDescent="0.35">
      <c r="A3916">
        <v>8410728180120</v>
      </c>
      <c r="B3916" t="s">
        <v>4188</v>
      </c>
      <c r="C3916" t="s">
        <v>192</v>
      </c>
      <c r="D3916" t="s">
        <v>4187</v>
      </c>
      <c r="E3916" t="s">
        <v>130</v>
      </c>
      <c r="F3916" t="s">
        <v>220</v>
      </c>
      <c r="G3916" t="s">
        <v>464</v>
      </c>
      <c r="H3916" t="s">
        <v>4520</v>
      </c>
      <c r="J3916">
        <v>8</v>
      </c>
    </row>
    <row r="3917" spans="1:10" x14ac:dyDescent="0.35">
      <c r="A3917">
        <v>8410728180120</v>
      </c>
      <c r="B3917" t="s">
        <v>4188</v>
      </c>
      <c r="C3917" t="s">
        <v>192</v>
      </c>
      <c r="D3917" t="s">
        <v>4187</v>
      </c>
      <c r="E3917" t="s">
        <v>130</v>
      </c>
      <c r="F3917" t="s">
        <v>220</v>
      </c>
      <c r="G3917" t="s">
        <v>22</v>
      </c>
      <c r="H3917" t="s">
        <v>4520</v>
      </c>
      <c r="J3917">
        <v>2</v>
      </c>
    </row>
    <row r="3918" spans="1:10" x14ac:dyDescent="0.35">
      <c r="A3918">
        <v>8410728700106</v>
      </c>
      <c r="B3918" t="s">
        <v>485</v>
      </c>
      <c r="C3918" t="s">
        <v>9</v>
      </c>
      <c r="D3918" t="s">
        <v>4187</v>
      </c>
      <c r="E3918" t="s">
        <v>130</v>
      </c>
      <c r="F3918" t="s">
        <v>220</v>
      </c>
      <c r="G3918" t="s">
        <v>464</v>
      </c>
      <c r="H3918" t="s">
        <v>4520</v>
      </c>
      <c r="J3918">
        <v>2</v>
      </c>
    </row>
    <row r="3919" spans="1:10" x14ac:dyDescent="0.35">
      <c r="A3919">
        <v>8410728700106</v>
      </c>
      <c r="B3919" t="s">
        <v>485</v>
      </c>
      <c r="C3919" t="s">
        <v>9</v>
      </c>
      <c r="D3919" t="s">
        <v>4187</v>
      </c>
      <c r="E3919" t="s">
        <v>130</v>
      </c>
      <c r="F3919" t="s">
        <v>220</v>
      </c>
      <c r="G3919" t="s">
        <v>22</v>
      </c>
      <c r="H3919" t="s">
        <v>4520</v>
      </c>
      <c r="J3919">
        <v>5</v>
      </c>
    </row>
    <row r="3920" spans="1:10" x14ac:dyDescent="0.35">
      <c r="A3920">
        <v>8410728700106</v>
      </c>
      <c r="B3920" t="s">
        <v>485</v>
      </c>
      <c r="C3920" t="s">
        <v>9</v>
      </c>
      <c r="D3920" t="s">
        <v>4187</v>
      </c>
      <c r="E3920" t="s">
        <v>130</v>
      </c>
      <c r="F3920" t="s">
        <v>220</v>
      </c>
      <c r="G3920" t="s">
        <v>150</v>
      </c>
      <c r="H3920" t="s">
        <v>4520</v>
      </c>
      <c r="J3920">
        <v>1</v>
      </c>
    </row>
    <row r="3921" spans="1:10" x14ac:dyDescent="0.35">
      <c r="A3921">
        <v>8410739033002</v>
      </c>
      <c r="B3921" t="s">
        <v>1158</v>
      </c>
      <c r="C3921" t="s">
        <v>603</v>
      </c>
      <c r="D3921" t="s">
        <v>4189</v>
      </c>
      <c r="E3921" t="s">
        <v>464</v>
      </c>
      <c r="F3921" t="s">
        <v>4190</v>
      </c>
      <c r="G3921" t="s">
        <v>464</v>
      </c>
      <c r="H3921" t="s">
        <v>5053</v>
      </c>
      <c r="J3921">
        <v>2</v>
      </c>
    </row>
    <row r="3922" spans="1:10" x14ac:dyDescent="0.35">
      <c r="A3922">
        <v>8410739066000</v>
      </c>
      <c r="B3922" t="s">
        <v>1158</v>
      </c>
      <c r="C3922" t="s">
        <v>9</v>
      </c>
      <c r="D3922" t="s">
        <v>4189</v>
      </c>
      <c r="E3922" t="s">
        <v>464</v>
      </c>
      <c r="F3922" t="s">
        <v>4190</v>
      </c>
      <c r="G3922" t="s">
        <v>464</v>
      </c>
      <c r="H3922" t="s">
        <v>5053</v>
      </c>
      <c r="J3922">
        <v>1</v>
      </c>
    </row>
    <row r="3923" spans="1:10" x14ac:dyDescent="0.35">
      <c r="A3923">
        <v>8410739066000</v>
      </c>
      <c r="B3923" t="s">
        <v>1158</v>
      </c>
      <c r="C3923" t="s">
        <v>9</v>
      </c>
      <c r="D3923" t="s">
        <v>4189</v>
      </c>
      <c r="E3923" t="s">
        <v>464</v>
      </c>
      <c r="F3923" t="s">
        <v>4190</v>
      </c>
      <c r="G3923" t="s">
        <v>33</v>
      </c>
      <c r="H3923" t="s">
        <v>5053</v>
      </c>
      <c r="J3923">
        <v>64</v>
      </c>
    </row>
    <row r="3924" spans="1:10" x14ac:dyDescent="0.35">
      <c r="A3924">
        <v>8410881000013</v>
      </c>
      <c r="B3924" t="s">
        <v>4191</v>
      </c>
      <c r="C3924" t="s">
        <v>837</v>
      </c>
      <c r="D3924" t="s">
        <v>4192</v>
      </c>
      <c r="E3924" t="s">
        <v>464</v>
      </c>
      <c r="F3924" t="s">
        <v>4193</v>
      </c>
      <c r="G3924" t="s">
        <v>464</v>
      </c>
      <c r="H3924" t="s">
        <v>5054</v>
      </c>
      <c r="J3924">
        <v>1</v>
      </c>
    </row>
    <row r="3925" spans="1:10" x14ac:dyDescent="0.35">
      <c r="A3925">
        <v>8411002101503</v>
      </c>
      <c r="B3925" t="s">
        <v>4194</v>
      </c>
      <c r="C3925">
        <v>500</v>
      </c>
      <c r="D3925" t="s">
        <v>4195</v>
      </c>
      <c r="E3925" t="s">
        <v>71</v>
      </c>
      <c r="F3925" t="s">
        <v>72</v>
      </c>
      <c r="G3925" t="s">
        <v>464</v>
      </c>
      <c r="H3925" t="s">
        <v>4501</v>
      </c>
      <c r="J3925">
        <v>2</v>
      </c>
    </row>
    <row r="3926" spans="1:10" x14ac:dyDescent="0.35">
      <c r="A3926">
        <v>8411002101800</v>
      </c>
      <c r="B3926" t="s">
        <v>461</v>
      </c>
      <c r="C3926" t="s">
        <v>603</v>
      </c>
      <c r="D3926" t="s">
        <v>4195</v>
      </c>
      <c r="E3926" t="s">
        <v>71</v>
      </c>
      <c r="F3926" t="s">
        <v>72</v>
      </c>
      <c r="G3926" t="s">
        <v>464</v>
      </c>
      <c r="H3926" t="s">
        <v>4501</v>
      </c>
      <c r="J3926">
        <v>1</v>
      </c>
    </row>
    <row r="3927" spans="1:10" x14ac:dyDescent="0.35">
      <c r="A3927">
        <v>8414227057655</v>
      </c>
      <c r="B3927" t="s">
        <v>4196</v>
      </c>
      <c r="C3927" t="s">
        <v>9</v>
      </c>
      <c r="D3927" t="s">
        <v>4040</v>
      </c>
      <c r="E3927" t="s">
        <v>308</v>
      </c>
      <c r="F3927" t="s">
        <v>309</v>
      </c>
      <c r="G3927" t="s">
        <v>34</v>
      </c>
      <c r="H3927" t="s">
        <v>4529</v>
      </c>
      <c r="J3927">
        <v>1</v>
      </c>
    </row>
    <row r="3928" spans="1:10" x14ac:dyDescent="0.35">
      <c r="A3928">
        <v>8414493960000</v>
      </c>
      <c r="B3928" t="s">
        <v>1158</v>
      </c>
      <c r="C3928" t="s">
        <v>462</v>
      </c>
      <c r="D3928" t="s">
        <v>463</v>
      </c>
      <c r="E3928" t="s">
        <v>464</v>
      </c>
      <c r="F3928" t="s">
        <v>465</v>
      </c>
      <c r="G3928" t="s">
        <v>464</v>
      </c>
      <c r="H3928" t="s">
        <v>4555</v>
      </c>
      <c r="J3928">
        <v>1</v>
      </c>
    </row>
    <row r="3929" spans="1:10" x14ac:dyDescent="0.35">
      <c r="A3929">
        <v>8414493960024</v>
      </c>
      <c r="B3929" t="s">
        <v>463</v>
      </c>
      <c r="C3929" t="s">
        <v>192</v>
      </c>
      <c r="D3929" t="s">
        <v>463</v>
      </c>
      <c r="E3929" t="s">
        <v>464</v>
      </c>
      <c r="F3929" t="s">
        <v>465</v>
      </c>
      <c r="G3929" t="s">
        <v>464</v>
      </c>
      <c r="H3929" t="s">
        <v>4555</v>
      </c>
      <c r="J3929">
        <v>5</v>
      </c>
    </row>
    <row r="3930" spans="1:10" x14ac:dyDescent="0.35">
      <c r="A3930">
        <v>8414493960024</v>
      </c>
      <c r="B3930" t="s">
        <v>463</v>
      </c>
      <c r="C3930" t="s">
        <v>192</v>
      </c>
      <c r="D3930" t="s">
        <v>463</v>
      </c>
      <c r="E3930" t="s">
        <v>464</v>
      </c>
      <c r="F3930" t="s">
        <v>465</v>
      </c>
      <c r="G3930" t="s">
        <v>22</v>
      </c>
      <c r="H3930" t="s">
        <v>4555</v>
      </c>
      <c r="J3930">
        <v>2</v>
      </c>
    </row>
    <row r="3931" spans="1:10" x14ac:dyDescent="0.35">
      <c r="A3931">
        <v>8414493960031</v>
      </c>
      <c r="B3931" t="s">
        <v>790</v>
      </c>
      <c r="C3931" t="s">
        <v>9</v>
      </c>
      <c r="D3931" t="s">
        <v>463</v>
      </c>
      <c r="E3931" t="s">
        <v>464</v>
      </c>
      <c r="F3931" t="s">
        <v>465</v>
      </c>
      <c r="G3931" t="s">
        <v>464</v>
      </c>
      <c r="H3931" t="s">
        <v>4555</v>
      </c>
      <c r="J3931">
        <v>6</v>
      </c>
    </row>
    <row r="3932" spans="1:10" x14ac:dyDescent="0.35">
      <c r="A3932">
        <v>8414493960048</v>
      </c>
      <c r="B3932" t="s">
        <v>1158</v>
      </c>
      <c r="C3932" t="s">
        <v>603</v>
      </c>
      <c r="D3932" t="s">
        <v>463</v>
      </c>
      <c r="E3932" t="s">
        <v>464</v>
      </c>
      <c r="F3932" t="s">
        <v>465</v>
      </c>
      <c r="G3932" t="s">
        <v>464</v>
      </c>
      <c r="H3932" t="s">
        <v>4555</v>
      </c>
      <c r="J3932">
        <v>1</v>
      </c>
    </row>
    <row r="3933" spans="1:10" x14ac:dyDescent="0.35">
      <c r="A3933">
        <v>8414493960048</v>
      </c>
      <c r="B3933" t="s">
        <v>1158</v>
      </c>
      <c r="C3933" t="s">
        <v>603</v>
      </c>
      <c r="D3933" t="s">
        <v>463</v>
      </c>
      <c r="E3933" t="s">
        <v>464</v>
      </c>
      <c r="F3933" t="s">
        <v>465</v>
      </c>
      <c r="G3933" t="s">
        <v>31</v>
      </c>
      <c r="H3933" t="s">
        <v>4555</v>
      </c>
      <c r="J3933">
        <v>1</v>
      </c>
    </row>
    <row r="3934" spans="1:10" x14ac:dyDescent="0.35">
      <c r="A3934">
        <v>8423537016856</v>
      </c>
      <c r="B3934" t="s">
        <v>4197</v>
      </c>
      <c r="C3934" t="s">
        <v>94</v>
      </c>
      <c r="D3934" t="s">
        <v>4198</v>
      </c>
      <c r="E3934" t="s">
        <v>464</v>
      </c>
      <c r="F3934" t="s">
        <v>4199</v>
      </c>
      <c r="G3934" t="s">
        <v>41</v>
      </c>
      <c r="H3934" t="s">
        <v>5055</v>
      </c>
      <c r="J3934">
        <v>48</v>
      </c>
    </row>
    <row r="3935" spans="1:10" x14ac:dyDescent="0.35">
      <c r="A3935">
        <v>8428294001022</v>
      </c>
      <c r="B3935" t="s">
        <v>1158</v>
      </c>
      <c r="C3935" t="s">
        <v>192</v>
      </c>
      <c r="D3935" t="s">
        <v>3926</v>
      </c>
      <c r="E3935" t="s">
        <v>308</v>
      </c>
      <c r="F3935" t="s">
        <v>309</v>
      </c>
      <c r="G3935" t="s">
        <v>464</v>
      </c>
      <c r="H3935" t="s">
        <v>4529</v>
      </c>
      <c r="J3935">
        <v>3</v>
      </c>
    </row>
    <row r="3936" spans="1:10" x14ac:dyDescent="0.35">
      <c r="A3936">
        <v>8428294001022</v>
      </c>
      <c r="B3936" t="s">
        <v>1158</v>
      </c>
      <c r="C3936" t="s">
        <v>192</v>
      </c>
      <c r="D3936" t="s">
        <v>3926</v>
      </c>
      <c r="E3936" t="s">
        <v>308</v>
      </c>
      <c r="F3936" t="s">
        <v>309</v>
      </c>
      <c r="G3936" t="s">
        <v>22</v>
      </c>
      <c r="H3936" t="s">
        <v>4529</v>
      </c>
      <c r="J3936">
        <v>1</v>
      </c>
    </row>
    <row r="3937" spans="1:10" x14ac:dyDescent="0.35">
      <c r="A3937">
        <v>8428294001022</v>
      </c>
      <c r="B3937" t="s">
        <v>1158</v>
      </c>
      <c r="C3937" t="s">
        <v>192</v>
      </c>
      <c r="D3937" t="s">
        <v>3926</v>
      </c>
      <c r="E3937" t="s">
        <v>308</v>
      </c>
      <c r="F3937" t="s">
        <v>309</v>
      </c>
      <c r="G3937" t="s">
        <v>34</v>
      </c>
      <c r="H3937" t="s">
        <v>4529</v>
      </c>
      <c r="J3937">
        <v>1</v>
      </c>
    </row>
    <row r="3938" spans="1:10" x14ac:dyDescent="0.35">
      <c r="A3938">
        <v>8431876267259</v>
      </c>
      <c r="B3938" t="s">
        <v>1158</v>
      </c>
      <c r="C3938" t="s">
        <v>326</v>
      </c>
      <c r="D3938" t="s">
        <v>4192</v>
      </c>
      <c r="E3938" t="s">
        <v>464</v>
      </c>
      <c r="F3938" t="s">
        <v>4193</v>
      </c>
      <c r="G3938" t="s">
        <v>464</v>
      </c>
      <c r="H3938" t="s">
        <v>5054</v>
      </c>
      <c r="J3938">
        <v>3</v>
      </c>
    </row>
    <row r="3939" spans="1:10" x14ac:dyDescent="0.35">
      <c r="A3939">
        <v>8431876296006</v>
      </c>
      <c r="B3939" t="s">
        <v>4200</v>
      </c>
      <c r="C3939" t="s">
        <v>443</v>
      </c>
      <c r="D3939" t="s">
        <v>1230</v>
      </c>
      <c r="E3939" t="s">
        <v>130</v>
      </c>
      <c r="F3939" t="s">
        <v>1230</v>
      </c>
      <c r="G3939" t="s">
        <v>464</v>
      </c>
      <c r="H3939" t="s">
        <v>4669</v>
      </c>
      <c r="J3939">
        <v>1</v>
      </c>
    </row>
    <row r="3940" spans="1:10" x14ac:dyDescent="0.35">
      <c r="A3940">
        <v>8431876296679</v>
      </c>
      <c r="B3940" t="s">
        <v>4201</v>
      </c>
      <c r="C3940" t="s">
        <v>81</v>
      </c>
      <c r="D3940" t="s">
        <v>1230</v>
      </c>
      <c r="E3940" t="s">
        <v>130</v>
      </c>
      <c r="F3940" t="s">
        <v>1230</v>
      </c>
      <c r="G3940" t="s">
        <v>464</v>
      </c>
      <c r="H3940" t="s">
        <v>4669</v>
      </c>
      <c r="J3940">
        <v>4</v>
      </c>
    </row>
    <row r="3941" spans="1:10" x14ac:dyDescent="0.35">
      <c r="A3941">
        <v>8431876304022</v>
      </c>
      <c r="B3941" t="s">
        <v>4202</v>
      </c>
      <c r="C3941" t="s">
        <v>81</v>
      </c>
      <c r="D3941" t="s">
        <v>1230</v>
      </c>
      <c r="E3941" t="s">
        <v>130</v>
      </c>
      <c r="F3941" t="s">
        <v>1230</v>
      </c>
      <c r="G3941" t="s">
        <v>464</v>
      </c>
      <c r="H3941" t="s">
        <v>4669</v>
      </c>
      <c r="J3941">
        <v>1</v>
      </c>
    </row>
    <row r="3942" spans="1:10" x14ac:dyDescent="0.35">
      <c r="A3942">
        <v>8431876304022</v>
      </c>
      <c r="B3942" t="s">
        <v>4202</v>
      </c>
      <c r="C3942" t="s">
        <v>81</v>
      </c>
      <c r="D3942" t="s">
        <v>1230</v>
      </c>
      <c r="E3942" t="s">
        <v>130</v>
      </c>
      <c r="F3942" t="s">
        <v>1230</v>
      </c>
      <c r="G3942" t="s">
        <v>33</v>
      </c>
      <c r="H3942" t="s">
        <v>4669</v>
      </c>
      <c r="J3942">
        <v>61</v>
      </c>
    </row>
    <row r="3943" spans="1:10" x14ac:dyDescent="0.35">
      <c r="A3943">
        <v>8435185960658</v>
      </c>
      <c r="B3943" t="s">
        <v>581</v>
      </c>
      <c r="C3943" t="s">
        <v>603</v>
      </c>
      <c r="D3943" t="s">
        <v>994</v>
      </c>
      <c r="E3943" t="s">
        <v>318</v>
      </c>
      <c r="F3943" t="s">
        <v>319</v>
      </c>
      <c r="G3943" t="s">
        <v>117</v>
      </c>
      <c r="H3943" t="s">
        <v>4531</v>
      </c>
      <c r="J3943">
        <v>27</v>
      </c>
    </row>
    <row r="3944" spans="1:10" x14ac:dyDescent="0.35">
      <c r="A3944">
        <v>8435185960665</v>
      </c>
      <c r="B3944" t="s">
        <v>581</v>
      </c>
      <c r="C3944" t="s">
        <v>4203</v>
      </c>
      <c r="D3944" t="s">
        <v>994</v>
      </c>
      <c r="E3944" t="s">
        <v>318</v>
      </c>
      <c r="F3944" t="s">
        <v>319</v>
      </c>
      <c r="G3944" t="s">
        <v>117</v>
      </c>
      <c r="H3944" t="s">
        <v>4531</v>
      </c>
      <c r="J3944">
        <v>7</v>
      </c>
    </row>
    <row r="3945" spans="1:10" x14ac:dyDescent="0.35">
      <c r="A3945">
        <v>8435185961914</v>
      </c>
      <c r="B3945" t="s">
        <v>4204</v>
      </c>
      <c r="C3945" t="s">
        <v>110</v>
      </c>
      <c r="D3945" t="s">
        <v>998</v>
      </c>
      <c r="E3945" t="s">
        <v>15</v>
      </c>
      <c r="F3945" t="s">
        <v>901</v>
      </c>
      <c r="G3945" t="s">
        <v>387</v>
      </c>
      <c r="H3945" t="s">
        <v>4617</v>
      </c>
      <c r="J3945">
        <v>34</v>
      </c>
    </row>
    <row r="3946" spans="1:10" x14ac:dyDescent="0.35">
      <c r="A3946">
        <v>8437002889036</v>
      </c>
      <c r="B3946" t="s">
        <v>4205</v>
      </c>
      <c r="C3946" t="s">
        <v>192</v>
      </c>
      <c r="D3946" t="s">
        <v>4206</v>
      </c>
      <c r="E3946" t="s">
        <v>308</v>
      </c>
      <c r="F3946" t="s">
        <v>309</v>
      </c>
      <c r="G3946" t="s">
        <v>464</v>
      </c>
      <c r="H3946" t="s">
        <v>4529</v>
      </c>
      <c r="J3946">
        <v>3</v>
      </c>
    </row>
    <row r="3947" spans="1:10" x14ac:dyDescent="0.35">
      <c r="A3947">
        <v>8437003111501</v>
      </c>
      <c r="B3947" t="s">
        <v>4207</v>
      </c>
      <c r="C3947" t="s">
        <v>192</v>
      </c>
      <c r="D3947" t="s">
        <v>4208</v>
      </c>
      <c r="E3947" t="s">
        <v>464</v>
      </c>
      <c r="F3947" t="s">
        <v>4209</v>
      </c>
      <c r="G3947" t="s">
        <v>464</v>
      </c>
      <c r="H3947" t="s">
        <v>5056</v>
      </c>
      <c r="J3947">
        <v>7</v>
      </c>
    </row>
    <row r="3948" spans="1:10" x14ac:dyDescent="0.35">
      <c r="A3948">
        <v>8480000052506</v>
      </c>
      <c r="B3948" t="s">
        <v>4210</v>
      </c>
      <c r="C3948" t="s">
        <v>272</v>
      </c>
      <c r="D3948" t="s">
        <v>4211</v>
      </c>
      <c r="E3948" t="s">
        <v>464</v>
      </c>
      <c r="F3948" t="s">
        <v>4212</v>
      </c>
      <c r="G3948" t="s">
        <v>464</v>
      </c>
      <c r="H3948" t="s">
        <v>5057</v>
      </c>
      <c r="J3948">
        <v>1</v>
      </c>
    </row>
    <row r="3949" spans="1:10" x14ac:dyDescent="0.35">
      <c r="A3949">
        <v>8480000399656</v>
      </c>
      <c r="B3949" t="s">
        <v>4213</v>
      </c>
      <c r="C3949" t="s">
        <v>603</v>
      </c>
      <c r="D3949" t="s">
        <v>4211</v>
      </c>
      <c r="E3949" t="s">
        <v>464</v>
      </c>
      <c r="F3949" t="s">
        <v>4212</v>
      </c>
      <c r="G3949" t="s">
        <v>464</v>
      </c>
      <c r="H3949" t="s">
        <v>5057</v>
      </c>
      <c r="J3949">
        <v>1</v>
      </c>
    </row>
    <row r="3950" spans="1:10" x14ac:dyDescent="0.35">
      <c r="A3950">
        <v>8480000430243</v>
      </c>
      <c r="B3950" t="s">
        <v>4214</v>
      </c>
      <c r="C3950" t="s">
        <v>78</v>
      </c>
      <c r="D3950" t="s">
        <v>4211</v>
      </c>
      <c r="E3950" t="s">
        <v>464</v>
      </c>
      <c r="F3950" t="s">
        <v>4212</v>
      </c>
      <c r="G3950" t="s">
        <v>464</v>
      </c>
      <c r="H3950" t="s">
        <v>5057</v>
      </c>
      <c r="J3950">
        <v>1</v>
      </c>
    </row>
    <row r="3951" spans="1:10" x14ac:dyDescent="0.35">
      <c r="A3951">
        <v>8480000430281</v>
      </c>
      <c r="B3951" t="s">
        <v>4215</v>
      </c>
      <c r="C3951" t="s">
        <v>81</v>
      </c>
      <c r="D3951" t="s">
        <v>4211</v>
      </c>
      <c r="E3951" t="s">
        <v>464</v>
      </c>
      <c r="F3951" t="s">
        <v>4212</v>
      </c>
      <c r="G3951" t="s">
        <v>464</v>
      </c>
      <c r="H3951" t="s">
        <v>5057</v>
      </c>
      <c r="J3951">
        <v>1</v>
      </c>
    </row>
    <row r="3952" spans="1:10" x14ac:dyDescent="0.35">
      <c r="A3952">
        <v>8480000430892</v>
      </c>
      <c r="B3952" t="s">
        <v>4216</v>
      </c>
      <c r="C3952" t="s">
        <v>326</v>
      </c>
      <c r="D3952" t="s">
        <v>4211</v>
      </c>
      <c r="E3952" t="s">
        <v>464</v>
      </c>
      <c r="F3952" t="s">
        <v>4212</v>
      </c>
      <c r="G3952" t="s">
        <v>464</v>
      </c>
      <c r="H3952" t="s">
        <v>5057</v>
      </c>
      <c r="J3952">
        <v>1</v>
      </c>
    </row>
    <row r="3953" spans="1:10" x14ac:dyDescent="0.35">
      <c r="A3953">
        <v>8480000431134</v>
      </c>
      <c r="B3953" t="s">
        <v>4217</v>
      </c>
      <c r="C3953" t="s">
        <v>81</v>
      </c>
      <c r="D3953" t="s">
        <v>4211</v>
      </c>
      <c r="E3953" t="s">
        <v>464</v>
      </c>
      <c r="F3953" t="s">
        <v>4212</v>
      </c>
      <c r="G3953" t="s">
        <v>464</v>
      </c>
      <c r="H3953" t="s">
        <v>5057</v>
      </c>
      <c r="J3953">
        <v>1</v>
      </c>
    </row>
    <row r="3954" spans="1:10" x14ac:dyDescent="0.35">
      <c r="A3954">
        <v>8480000434968</v>
      </c>
      <c r="B3954" t="s">
        <v>4218</v>
      </c>
      <c r="C3954" t="s">
        <v>192</v>
      </c>
      <c r="D3954" t="s">
        <v>4211</v>
      </c>
      <c r="E3954" t="s">
        <v>464</v>
      </c>
      <c r="F3954" t="s">
        <v>4212</v>
      </c>
      <c r="G3954" t="s">
        <v>464</v>
      </c>
      <c r="H3954" t="s">
        <v>5057</v>
      </c>
      <c r="J3954">
        <v>1</v>
      </c>
    </row>
    <row r="3955" spans="1:10" x14ac:dyDescent="0.35">
      <c r="A3955">
        <v>8480000440198</v>
      </c>
      <c r="B3955" t="s">
        <v>4219</v>
      </c>
      <c r="C3955" t="s">
        <v>326</v>
      </c>
      <c r="D3955" t="s">
        <v>4211</v>
      </c>
      <c r="E3955" t="s">
        <v>464</v>
      </c>
      <c r="F3955" t="s">
        <v>4212</v>
      </c>
      <c r="G3955" t="s">
        <v>464</v>
      </c>
      <c r="H3955" t="s">
        <v>5057</v>
      </c>
      <c r="J3955">
        <v>1</v>
      </c>
    </row>
    <row r="3956" spans="1:10" x14ac:dyDescent="0.35">
      <c r="A3956">
        <v>8480000442628</v>
      </c>
      <c r="B3956" t="s">
        <v>4220</v>
      </c>
      <c r="C3956" t="s">
        <v>192</v>
      </c>
      <c r="D3956" t="s">
        <v>4211</v>
      </c>
      <c r="E3956" t="s">
        <v>464</v>
      </c>
      <c r="F3956" t="s">
        <v>4212</v>
      </c>
      <c r="G3956" t="s">
        <v>464</v>
      </c>
      <c r="H3956" t="s">
        <v>5057</v>
      </c>
      <c r="J3956">
        <v>1</v>
      </c>
    </row>
    <row r="3957" spans="1:10" x14ac:dyDescent="0.35">
      <c r="A3957">
        <v>8480000452047</v>
      </c>
      <c r="B3957" t="s">
        <v>4221</v>
      </c>
      <c r="C3957" t="s">
        <v>272</v>
      </c>
      <c r="D3957" t="s">
        <v>4211</v>
      </c>
      <c r="E3957" t="s">
        <v>464</v>
      </c>
      <c r="F3957" t="s">
        <v>4212</v>
      </c>
      <c r="G3957" t="s">
        <v>464</v>
      </c>
      <c r="H3957" t="s">
        <v>5057</v>
      </c>
      <c r="J3957">
        <v>1</v>
      </c>
    </row>
    <row r="3958" spans="1:10" x14ac:dyDescent="0.35">
      <c r="A3958">
        <v>8480000792013</v>
      </c>
      <c r="B3958" t="s">
        <v>4222</v>
      </c>
      <c r="C3958" t="s">
        <v>83</v>
      </c>
      <c r="D3958" t="s">
        <v>4211</v>
      </c>
      <c r="E3958" t="s">
        <v>464</v>
      </c>
      <c r="F3958" t="s">
        <v>4212</v>
      </c>
      <c r="G3958" t="s">
        <v>464</v>
      </c>
      <c r="H3958" t="s">
        <v>5057</v>
      </c>
      <c r="J3958">
        <v>1</v>
      </c>
    </row>
    <row r="3959" spans="1:10" x14ac:dyDescent="0.35">
      <c r="A3959">
        <v>8480000792013</v>
      </c>
      <c r="B3959" t="s">
        <v>4222</v>
      </c>
      <c r="C3959" t="s">
        <v>83</v>
      </c>
      <c r="D3959" t="s">
        <v>4211</v>
      </c>
      <c r="E3959" t="s">
        <v>464</v>
      </c>
      <c r="F3959" t="s">
        <v>4212</v>
      </c>
      <c r="G3959" t="s">
        <v>31</v>
      </c>
      <c r="H3959" t="s">
        <v>5057</v>
      </c>
      <c r="J3959">
        <v>10</v>
      </c>
    </row>
    <row r="3960" spans="1:10" x14ac:dyDescent="0.35">
      <c r="A3960">
        <v>8480000905055</v>
      </c>
      <c r="B3960" t="s">
        <v>4223</v>
      </c>
      <c r="C3960" t="s">
        <v>78</v>
      </c>
      <c r="D3960" t="s">
        <v>4211</v>
      </c>
      <c r="E3960" t="s">
        <v>464</v>
      </c>
      <c r="F3960" t="s">
        <v>4212</v>
      </c>
      <c r="G3960" t="s">
        <v>464</v>
      </c>
      <c r="H3960" t="s">
        <v>5057</v>
      </c>
      <c r="J3960">
        <v>1</v>
      </c>
    </row>
    <row r="3961" spans="1:10" x14ac:dyDescent="0.35">
      <c r="A3961">
        <v>850040427066</v>
      </c>
      <c r="B3961" t="s">
        <v>4224</v>
      </c>
      <c r="C3961" t="s">
        <v>9</v>
      </c>
      <c r="D3961" t="s">
        <v>978</v>
      </c>
      <c r="E3961" t="s">
        <v>15</v>
      </c>
      <c r="F3961" t="s">
        <v>979</v>
      </c>
      <c r="G3961" t="s">
        <v>22</v>
      </c>
      <c r="H3961" t="s">
        <v>4632</v>
      </c>
      <c r="J3961">
        <v>1</v>
      </c>
    </row>
    <row r="3962" spans="1:10" x14ac:dyDescent="0.35">
      <c r="A3962">
        <v>850979001290</v>
      </c>
      <c r="B3962" t="s">
        <v>4225</v>
      </c>
      <c r="C3962" t="s">
        <v>9</v>
      </c>
      <c r="D3962" t="s">
        <v>4226</v>
      </c>
      <c r="E3962" t="s">
        <v>308</v>
      </c>
      <c r="F3962" t="s">
        <v>309</v>
      </c>
      <c r="G3962" t="s">
        <v>22</v>
      </c>
      <c r="H3962" t="s">
        <v>4529</v>
      </c>
      <c r="J3962">
        <v>1</v>
      </c>
    </row>
    <row r="3963" spans="1:10" x14ac:dyDescent="0.35">
      <c r="A3963">
        <v>851276006087</v>
      </c>
      <c r="B3963" t="s">
        <v>668</v>
      </c>
      <c r="C3963">
        <v>350</v>
      </c>
      <c r="D3963" t="s">
        <v>998</v>
      </c>
      <c r="E3963" t="s">
        <v>15</v>
      </c>
      <c r="F3963" t="s">
        <v>901</v>
      </c>
      <c r="G3963" t="s">
        <v>921</v>
      </c>
      <c r="H3963" t="s">
        <v>4617</v>
      </c>
      <c r="J3963">
        <v>1</v>
      </c>
    </row>
    <row r="3964" spans="1:10" x14ac:dyDescent="0.35">
      <c r="A3964">
        <v>85310032</v>
      </c>
      <c r="B3964" t="s">
        <v>884</v>
      </c>
      <c r="C3964" t="s">
        <v>681</v>
      </c>
      <c r="D3964" t="s">
        <v>386</v>
      </c>
      <c r="E3964" t="s">
        <v>387</v>
      </c>
      <c r="F3964" t="s">
        <v>388</v>
      </c>
      <c r="G3964" t="s">
        <v>387</v>
      </c>
      <c r="H3964" t="s">
        <v>4544</v>
      </c>
      <c r="J3964">
        <v>4</v>
      </c>
    </row>
    <row r="3965" spans="1:10" x14ac:dyDescent="0.35">
      <c r="A3965">
        <v>853148003002</v>
      </c>
      <c r="B3965" t="s">
        <v>884</v>
      </c>
      <c r="C3965" t="s">
        <v>192</v>
      </c>
      <c r="D3965" t="s">
        <v>386</v>
      </c>
      <c r="E3965" t="s">
        <v>387</v>
      </c>
      <c r="F3965" t="s">
        <v>388</v>
      </c>
      <c r="G3965" t="s">
        <v>387</v>
      </c>
      <c r="H3965" t="s">
        <v>4544</v>
      </c>
      <c r="J3965">
        <v>37</v>
      </c>
    </row>
    <row r="3966" spans="1:10" x14ac:dyDescent="0.35">
      <c r="A3966">
        <v>853148003019</v>
      </c>
      <c r="B3966" t="s">
        <v>3578</v>
      </c>
      <c r="C3966" t="s">
        <v>9</v>
      </c>
      <c r="D3966" t="s">
        <v>386</v>
      </c>
      <c r="E3966" t="s">
        <v>387</v>
      </c>
      <c r="F3966" t="s">
        <v>388</v>
      </c>
      <c r="G3966" t="s">
        <v>387</v>
      </c>
      <c r="H3966" t="s">
        <v>4544</v>
      </c>
      <c r="J3966">
        <v>1</v>
      </c>
    </row>
    <row r="3967" spans="1:10" x14ac:dyDescent="0.35">
      <c r="A3967">
        <v>8531480032486</v>
      </c>
      <c r="B3967" t="s">
        <v>4227</v>
      </c>
      <c r="C3967" t="s">
        <v>472</v>
      </c>
      <c r="D3967" t="s">
        <v>1000</v>
      </c>
      <c r="E3967" t="s">
        <v>15</v>
      </c>
      <c r="F3967" t="s">
        <v>901</v>
      </c>
      <c r="G3967" t="s">
        <v>387</v>
      </c>
      <c r="H3967" t="s">
        <v>4617</v>
      </c>
      <c r="J3967">
        <v>1</v>
      </c>
    </row>
    <row r="3968" spans="1:10" x14ac:dyDescent="0.35">
      <c r="A3968">
        <v>853148003286</v>
      </c>
      <c r="B3968" t="s">
        <v>4228</v>
      </c>
      <c r="C3968" t="s">
        <v>681</v>
      </c>
      <c r="D3968" t="s">
        <v>386</v>
      </c>
      <c r="E3968" t="s">
        <v>387</v>
      </c>
      <c r="F3968" t="s">
        <v>388</v>
      </c>
      <c r="G3968" t="s">
        <v>387</v>
      </c>
      <c r="H3968" t="s">
        <v>4544</v>
      </c>
      <c r="J3968">
        <v>3</v>
      </c>
    </row>
    <row r="3969" spans="1:10" x14ac:dyDescent="0.35">
      <c r="A3969">
        <v>853148003354</v>
      </c>
      <c r="B3969" t="s">
        <v>4229</v>
      </c>
      <c r="C3969" t="s">
        <v>603</v>
      </c>
      <c r="D3969" t="s">
        <v>998</v>
      </c>
      <c r="E3969" t="s">
        <v>15</v>
      </c>
      <c r="F3969" t="s">
        <v>901</v>
      </c>
      <c r="G3969" t="s">
        <v>387</v>
      </c>
      <c r="H3969" t="s">
        <v>4617</v>
      </c>
      <c r="J3969">
        <v>1</v>
      </c>
    </row>
    <row r="3970" spans="1:10" x14ac:dyDescent="0.35">
      <c r="A3970">
        <v>8589509507002</v>
      </c>
      <c r="B3970" t="s">
        <v>4230</v>
      </c>
      <c r="C3970" t="s">
        <v>3291</v>
      </c>
      <c r="D3970" t="s">
        <v>4231</v>
      </c>
      <c r="E3970" t="s">
        <v>117</v>
      </c>
      <c r="F3970" t="s">
        <v>4232</v>
      </c>
      <c r="G3970" t="s">
        <v>117</v>
      </c>
      <c r="H3970" t="s">
        <v>5058</v>
      </c>
      <c r="J3970">
        <v>6</v>
      </c>
    </row>
    <row r="3971" spans="1:10" x14ac:dyDescent="0.35">
      <c r="A3971">
        <v>8589509507026</v>
      </c>
      <c r="B3971" t="s">
        <v>4230</v>
      </c>
      <c r="C3971" t="s">
        <v>909</v>
      </c>
      <c r="D3971" t="s">
        <v>4231</v>
      </c>
      <c r="E3971" t="s">
        <v>117</v>
      </c>
      <c r="F3971" t="s">
        <v>4232</v>
      </c>
      <c r="G3971" t="s">
        <v>117</v>
      </c>
      <c r="H3971" t="s">
        <v>5058</v>
      </c>
      <c r="J3971">
        <v>7</v>
      </c>
    </row>
    <row r="3972" spans="1:10" x14ac:dyDescent="0.35">
      <c r="A3972">
        <v>8589509508726</v>
      </c>
      <c r="B3972" t="s">
        <v>4233</v>
      </c>
      <c r="C3972" t="s">
        <v>38</v>
      </c>
      <c r="D3972" t="s">
        <v>4231</v>
      </c>
      <c r="E3972" t="s">
        <v>117</v>
      </c>
      <c r="F3972" t="s">
        <v>4232</v>
      </c>
      <c r="G3972" t="s">
        <v>117</v>
      </c>
      <c r="H3972" t="s">
        <v>5058</v>
      </c>
      <c r="J3972">
        <v>1</v>
      </c>
    </row>
    <row r="3973" spans="1:10" x14ac:dyDescent="0.35">
      <c r="A3973">
        <v>8600828002020</v>
      </c>
      <c r="B3973" t="s">
        <v>4234</v>
      </c>
      <c r="C3973" t="s">
        <v>431</v>
      </c>
      <c r="D3973" t="s">
        <v>735</v>
      </c>
      <c r="E3973" t="s">
        <v>637</v>
      </c>
      <c r="F3973" t="s">
        <v>736</v>
      </c>
      <c r="G3973" t="s">
        <v>41</v>
      </c>
      <c r="H3973" t="s">
        <v>4585</v>
      </c>
      <c r="J3973">
        <v>50</v>
      </c>
    </row>
    <row r="3974" spans="1:10" x14ac:dyDescent="0.35">
      <c r="A3974">
        <v>8681608222579</v>
      </c>
      <c r="B3974" t="s">
        <v>4235</v>
      </c>
      <c r="C3974" t="s">
        <v>9</v>
      </c>
      <c r="D3974" t="s">
        <v>4236</v>
      </c>
      <c r="E3974" t="s">
        <v>637</v>
      </c>
      <c r="F3974" t="s">
        <v>4237</v>
      </c>
      <c r="G3974" t="s">
        <v>34</v>
      </c>
      <c r="H3974" t="s">
        <v>5059</v>
      </c>
      <c r="J3974">
        <v>1</v>
      </c>
    </row>
    <row r="3975" spans="1:10" x14ac:dyDescent="0.35">
      <c r="A3975">
        <v>8681608222586</v>
      </c>
      <c r="B3975" t="s">
        <v>4238</v>
      </c>
      <c r="C3975" t="s">
        <v>9</v>
      </c>
      <c r="D3975" t="s">
        <v>4236</v>
      </c>
      <c r="E3975" t="s">
        <v>637</v>
      </c>
      <c r="F3975" t="s">
        <v>4237</v>
      </c>
      <c r="G3975" t="s">
        <v>34</v>
      </c>
      <c r="H3975" t="s">
        <v>5059</v>
      </c>
      <c r="J3975">
        <v>1</v>
      </c>
    </row>
    <row r="3976" spans="1:10" x14ac:dyDescent="0.35">
      <c r="A3976">
        <v>8681608222593</v>
      </c>
      <c r="B3976" t="s">
        <v>4239</v>
      </c>
      <c r="C3976" t="s">
        <v>9</v>
      </c>
      <c r="D3976" t="s">
        <v>4236</v>
      </c>
      <c r="E3976" t="s">
        <v>637</v>
      </c>
      <c r="F3976" t="s">
        <v>4237</v>
      </c>
      <c r="G3976" t="s">
        <v>34</v>
      </c>
      <c r="H3976" t="s">
        <v>5059</v>
      </c>
      <c r="J3976">
        <v>1</v>
      </c>
    </row>
    <row r="3977" spans="1:10" x14ac:dyDescent="0.35">
      <c r="A3977">
        <v>8681608224818</v>
      </c>
      <c r="B3977" t="s">
        <v>4240</v>
      </c>
      <c r="C3977" t="s">
        <v>758</v>
      </c>
      <c r="D3977" t="s">
        <v>4236</v>
      </c>
      <c r="E3977" t="s">
        <v>637</v>
      </c>
      <c r="F3977" t="s">
        <v>4237</v>
      </c>
      <c r="G3977" t="s">
        <v>34</v>
      </c>
      <c r="H3977" t="s">
        <v>5059</v>
      </c>
      <c r="J3977">
        <v>1</v>
      </c>
    </row>
    <row r="3978" spans="1:10" x14ac:dyDescent="0.35">
      <c r="A3978">
        <v>8681771361365</v>
      </c>
      <c r="B3978" t="s">
        <v>4241</v>
      </c>
      <c r="C3978" t="s">
        <v>943</v>
      </c>
      <c r="D3978" t="s">
        <v>4242</v>
      </c>
      <c r="E3978" t="s">
        <v>150</v>
      </c>
      <c r="F3978" t="s">
        <v>4243</v>
      </c>
      <c r="G3978" t="s">
        <v>150</v>
      </c>
      <c r="H3978" t="s">
        <v>5060</v>
      </c>
      <c r="J3978">
        <v>14</v>
      </c>
    </row>
    <row r="3979" spans="1:10" x14ac:dyDescent="0.35">
      <c r="A3979">
        <v>8690506028145</v>
      </c>
      <c r="B3979" t="s">
        <v>4244</v>
      </c>
      <c r="C3979" t="s">
        <v>431</v>
      </c>
      <c r="D3979" t="s">
        <v>4245</v>
      </c>
      <c r="E3979" t="s">
        <v>15</v>
      </c>
      <c r="F3979" t="s">
        <v>4246</v>
      </c>
      <c r="G3979" t="s">
        <v>150</v>
      </c>
      <c r="H3979" t="s">
        <v>5061</v>
      </c>
      <c r="J3979">
        <v>5</v>
      </c>
    </row>
    <row r="3980" spans="1:10" x14ac:dyDescent="0.35">
      <c r="A3980">
        <v>8690536013166</v>
      </c>
      <c r="B3980" t="s">
        <v>4247</v>
      </c>
      <c r="C3980" t="s">
        <v>458</v>
      </c>
      <c r="D3980" t="s">
        <v>4248</v>
      </c>
      <c r="E3980" t="s">
        <v>637</v>
      </c>
      <c r="F3980" t="s">
        <v>4249</v>
      </c>
      <c r="G3980" t="s">
        <v>117</v>
      </c>
      <c r="H3980" t="s">
        <v>5062</v>
      </c>
      <c r="J3980">
        <v>9</v>
      </c>
    </row>
    <row r="3981" spans="1:10" x14ac:dyDescent="0.35">
      <c r="A3981">
        <v>8690828000010</v>
      </c>
      <c r="B3981" t="s">
        <v>4250</v>
      </c>
      <c r="C3981" t="s">
        <v>43</v>
      </c>
      <c r="D3981" t="s">
        <v>735</v>
      </c>
      <c r="E3981" t="s">
        <v>637</v>
      </c>
      <c r="F3981" t="s">
        <v>736</v>
      </c>
      <c r="G3981" t="s">
        <v>41</v>
      </c>
      <c r="H3981" t="s">
        <v>4585</v>
      </c>
      <c r="J3981">
        <v>1</v>
      </c>
    </row>
    <row r="3982" spans="1:10" x14ac:dyDescent="0.35">
      <c r="A3982">
        <v>8690828009020</v>
      </c>
      <c r="B3982" t="s">
        <v>735</v>
      </c>
      <c r="C3982" t="s">
        <v>431</v>
      </c>
      <c r="D3982" t="s">
        <v>735</v>
      </c>
      <c r="E3982" t="s">
        <v>637</v>
      </c>
      <c r="F3982" t="s">
        <v>736</v>
      </c>
      <c r="G3982" t="s">
        <v>41</v>
      </c>
      <c r="H3982" t="s">
        <v>4585</v>
      </c>
      <c r="J3982">
        <v>86</v>
      </c>
    </row>
    <row r="3983" spans="1:10" x14ac:dyDescent="0.35">
      <c r="A3983">
        <v>8690937006491</v>
      </c>
      <c r="B3983" t="s">
        <v>2095</v>
      </c>
      <c r="C3983" t="s">
        <v>9</v>
      </c>
      <c r="D3983" t="s">
        <v>4251</v>
      </c>
      <c r="E3983" t="s">
        <v>637</v>
      </c>
      <c r="F3983" t="s">
        <v>4252</v>
      </c>
      <c r="G3983" t="s">
        <v>11</v>
      </c>
      <c r="H3983" t="s">
        <v>5063</v>
      </c>
      <c r="J3983">
        <v>17</v>
      </c>
    </row>
    <row r="3984" spans="1:10" x14ac:dyDescent="0.35">
      <c r="A3984">
        <v>8691313010248</v>
      </c>
      <c r="B3984" t="s">
        <v>4253</v>
      </c>
      <c r="C3984" t="s">
        <v>110</v>
      </c>
      <c r="D3984" t="s">
        <v>4254</v>
      </c>
      <c r="E3984" t="s">
        <v>637</v>
      </c>
      <c r="F3984" t="s">
        <v>4255</v>
      </c>
      <c r="G3984" t="s">
        <v>41</v>
      </c>
      <c r="H3984" t="s">
        <v>5064</v>
      </c>
      <c r="J3984">
        <v>49</v>
      </c>
    </row>
    <row r="3985" spans="1:10" x14ac:dyDescent="0.35">
      <c r="A3985">
        <v>8691321445186</v>
      </c>
      <c r="B3985" t="s">
        <v>1412</v>
      </c>
      <c r="C3985" t="s">
        <v>3878</v>
      </c>
      <c r="D3985" t="s">
        <v>4256</v>
      </c>
      <c r="E3985" t="s">
        <v>308</v>
      </c>
      <c r="F3985" t="s">
        <v>309</v>
      </c>
      <c r="G3985" t="s">
        <v>150</v>
      </c>
      <c r="H3985" t="s">
        <v>4529</v>
      </c>
      <c r="J3985">
        <v>1</v>
      </c>
    </row>
    <row r="3986" spans="1:10" x14ac:dyDescent="0.35">
      <c r="A3986">
        <v>8691321901019</v>
      </c>
      <c r="B3986" t="s">
        <v>4257</v>
      </c>
      <c r="C3986" t="s">
        <v>110</v>
      </c>
      <c r="D3986" t="s">
        <v>4256</v>
      </c>
      <c r="E3986" t="s">
        <v>308</v>
      </c>
      <c r="F3986" t="s">
        <v>309</v>
      </c>
      <c r="G3986" t="s">
        <v>150</v>
      </c>
      <c r="H3986" t="s">
        <v>4529</v>
      </c>
      <c r="J3986">
        <v>4</v>
      </c>
    </row>
    <row r="3987" spans="1:10" x14ac:dyDescent="0.35">
      <c r="A3987">
        <v>8692857013306</v>
      </c>
      <c r="B3987" t="s">
        <v>1569</v>
      </c>
      <c r="C3987" t="s">
        <v>9</v>
      </c>
      <c r="D3987" t="s">
        <v>4258</v>
      </c>
      <c r="E3987" t="s">
        <v>308</v>
      </c>
      <c r="F3987" t="s">
        <v>309</v>
      </c>
      <c r="G3987" t="s">
        <v>34</v>
      </c>
      <c r="H3987" t="s">
        <v>4529</v>
      </c>
      <c r="J3987">
        <v>2</v>
      </c>
    </row>
    <row r="3988" spans="1:10" x14ac:dyDescent="0.35">
      <c r="A3988">
        <v>8692857014105</v>
      </c>
      <c r="B3988" t="s">
        <v>4259</v>
      </c>
      <c r="C3988" t="s">
        <v>9</v>
      </c>
      <c r="D3988" t="s">
        <v>4258</v>
      </c>
      <c r="E3988" t="s">
        <v>308</v>
      </c>
      <c r="F3988" t="s">
        <v>309</v>
      </c>
      <c r="G3988" t="s">
        <v>34</v>
      </c>
      <c r="H3988" t="s">
        <v>4529</v>
      </c>
      <c r="J3988">
        <v>1</v>
      </c>
    </row>
    <row r="3989" spans="1:10" x14ac:dyDescent="0.35">
      <c r="A3989">
        <v>8693275000114</v>
      </c>
      <c r="B3989" t="s">
        <v>4260</v>
      </c>
      <c r="C3989" t="s">
        <v>2218</v>
      </c>
      <c r="D3989" t="s">
        <v>4261</v>
      </c>
      <c r="E3989" t="s">
        <v>637</v>
      </c>
      <c r="F3989" t="s">
        <v>4262</v>
      </c>
      <c r="G3989" t="s">
        <v>34</v>
      </c>
      <c r="H3989" t="s">
        <v>5065</v>
      </c>
      <c r="J3989">
        <v>14</v>
      </c>
    </row>
    <row r="3990" spans="1:10" x14ac:dyDescent="0.35">
      <c r="A3990">
        <v>8693275000114</v>
      </c>
      <c r="B3990" t="s">
        <v>4260</v>
      </c>
      <c r="C3990" t="s">
        <v>2218</v>
      </c>
      <c r="D3990" t="s">
        <v>4261</v>
      </c>
      <c r="E3990" t="s">
        <v>637</v>
      </c>
      <c r="F3990" t="s">
        <v>4262</v>
      </c>
      <c r="G3990" t="s">
        <v>61</v>
      </c>
      <c r="H3990" t="s">
        <v>5065</v>
      </c>
      <c r="J3990">
        <v>1</v>
      </c>
    </row>
    <row r="3991" spans="1:10" x14ac:dyDescent="0.35">
      <c r="A3991">
        <v>8693593102545</v>
      </c>
      <c r="B3991" t="s">
        <v>4263</v>
      </c>
      <c r="C3991" t="s">
        <v>9</v>
      </c>
      <c r="D3991" t="s">
        <v>2252</v>
      </c>
      <c r="E3991" t="s">
        <v>130</v>
      </c>
      <c r="F3991" t="s">
        <v>220</v>
      </c>
      <c r="G3991" t="s">
        <v>122</v>
      </c>
      <c r="H3991" t="s">
        <v>4520</v>
      </c>
      <c r="J3991">
        <v>1</v>
      </c>
    </row>
    <row r="3992" spans="1:10" x14ac:dyDescent="0.35">
      <c r="A3992">
        <v>8697420532529</v>
      </c>
      <c r="B3992" t="s">
        <v>4264</v>
      </c>
      <c r="C3992" t="s">
        <v>2676</v>
      </c>
      <c r="D3992" t="s">
        <v>4265</v>
      </c>
      <c r="E3992" t="s">
        <v>637</v>
      </c>
      <c r="F3992" t="s">
        <v>4266</v>
      </c>
      <c r="G3992" t="s">
        <v>34</v>
      </c>
      <c r="H3992" t="s">
        <v>5066</v>
      </c>
      <c r="J3992">
        <v>1</v>
      </c>
    </row>
    <row r="3993" spans="1:10" x14ac:dyDescent="0.35">
      <c r="A3993">
        <v>8697420532543</v>
      </c>
      <c r="B3993" t="s">
        <v>4267</v>
      </c>
      <c r="C3993" t="s">
        <v>4268</v>
      </c>
      <c r="D3993" t="s">
        <v>4265</v>
      </c>
      <c r="E3993" t="s">
        <v>637</v>
      </c>
      <c r="F3993" t="s">
        <v>4266</v>
      </c>
      <c r="G3993" t="s">
        <v>34</v>
      </c>
      <c r="H3993" t="s">
        <v>5066</v>
      </c>
      <c r="J3993">
        <v>1</v>
      </c>
    </row>
    <row r="3994" spans="1:10" x14ac:dyDescent="0.35">
      <c r="A3994">
        <v>8698726781772</v>
      </c>
      <c r="B3994" t="s">
        <v>4269</v>
      </c>
      <c r="C3994" t="s">
        <v>458</v>
      </c>
      <c r="D3994" t="s">
        <v>4270</v>
      </c>
      <c r="E3994" t="s">
        <v>637</v>
      </c>
      <c r="F3994" t="s">
        <v>4271</v>
      </c>
      <c r="G3994" t="s">
        <v>41</v>
      </c>
      <c r="H3994" t="s">
        <v>5067</v>
      </c>
      <c r="J3994">
        <v>18</v>
      </c>
    </row>
    <row r="3995" spans="1:10" x14ac:dyDescent="0.35">
      <c r="A3995">
        <v>8698726782694</v>
      </c>
      <c r="B3995" t="s">
        <v>4272</v>
      </c>
      <c r="C3995" t="s">
        <v>458</v>
      </c>
      <c r="D3995" t="s">
        <v>4270</v>
      </c>
      <c r="E3995" t="s">
        <v>637</v>
      </c>
      <c r="F3995" t="s">
        <v>4271</v>
      </c>
      <c r="G3995" t="s">
        <v>41</v>
      </c>
      <c r="H3995" t="s">
        <v>5067</v>
      </c>
      <c r="J3995">
        <v>12</v>
      </c>
    </row>
    <row r="3996" spans="1:10" x14ac:dyDescent="0.35">
      <c r="A3996">
        <v>8698726783769</v>
      </c>
      <c r="B3996" t="s">
        <v>4273</v>
      </c>
      <c r="C3996" t="s">
        <v>458</v>
      </c>
      <c r="D3996" t="s">
        <v>4270</v>
      </c>
      <c r="E3996" t="s">
        <v>637</v>
      </c>
      <c r="F3996" t="s">
        <v>4271</v>
      </c>
      <c r="G3996" t="s">
        <v>41</v>
      </c>
      <c r="H3996" t="s">
        <v>5067</v>
      </c>
      <c r="J3996">
        <v>35</v>
      </c>
    </row>
    <row r="3997" spans="1:10" x14ac:dyDescent="0.35">
      <c r="A3997">
        <v>8698726785541</v>
      </c>
      <c r="B3997" t="s">
        <v>4274</v>
      </c>
      <c r="C3997" t="s">
        <v>458</v>
      </c>
      <c r="D3997" t="s">
        <v>4270</v>
      </c>
      <c r="E3997" t="s">
        <v>637</v>
      </c>
      <c r="F3997" t="s">
        <v>4271</v>
      </c>
      <c r="G3997" t="s">
        <v>41</v>
      </c>
      <c r="H3997" t="s">
        <v>5067</v>
      </c>
      <c r="J3997">
        <v>47</v>
      </c>
    </row>
    <row r="3998" spans="1:10" x14ac:dyDescent="0.35">
      <c r="A3998">
        <v>8698726786128</v>
      </c>
      <c r="B3998" t="s">
        <v>4275</v>
      </c>
      <c r="C3998" t="s">
        <v>458</v>
      </c>
      <c r="D3998" t="s">
        <v>4270</v>
      </c>
      <c r="E3998" t="s">
        <v>637</v>
      </c>
      <c r="F3998" t="s">
        <v>4271</v>
      </c>
      <c r="G3998" t="s">
        <v>41</v>
      </c>
      <c r="H3998" t="s">
        <v>5067</v>
      </c>
      <c r="J3998">
        <v>24</v>
      </c>
    </row>
    <row r="3999" spans="1:10" x14ac:dyDescent="0.35">
      <c r="A3999">
        <v>8698726786647</v>
      </c>
      <c r="B3999" t="s">
        <v>4269</v>
      </c>
      <c r="C3999" t="s">
        <v>458</v>
      </c>
      <c r="D3999" t="s">
        <v>4270</v>
      </c>
      <c r="E3999" t="s">
        <v>637</v>
      </c>
      <c r="F3999" t="s">
        <v>4271</v>
      </c>
      <c r="G3999" t="s">
        <v>41</v>
      </c>
      <c r="H3999" t="s">
        <v>5067</v>
      </c>
      <c r="J3999">
        <v>11</v>
      </c>
    </row>
    <row r="4000" spans="1:10" x14ac:dyDescent="0.35">
      <c r="A4000">
        <v>8699415020202</v>
      </c>
      <c r="B4000" t="s">
        <v>4276</v>
      </c>
      <c r="C4000" t="s">
        <v>758</v>
      </c>
      <c r="D4000" t="s">
        <v>4277</v>
      </c>
      <c r="E4000" t="s">
        <v>308</v>
      </c>
      <c r="F4000" t="s">
        <v>309</v>
      </c>
      <c r="G4000" t="s">
        <v>34</v>
      </c>
      <c r="H4000" t="s">
        <v>4529</v>
      </c>
      <c r="J4000">
        <v>17</v>
      </c>
    </row>
    <row r="4001" spans="1:10" x14ac:dyDescent="0.35">
      <c r="A4001">
        <v>8699415023005</v>
      </c>
      <c r="B4001" t="s">
        <v>4278</v>
      </c>
      <c r="C4001" t="s">
        <v>4279</v>
      </c>
      <c r="D4001" t="s">
        <v>4277</v>
      </c>
      <c r="E4001" t="s">
        <v>308</v>
      </c>
      <c r="F4001" t="s">
        <v>309</v>
      </c>
      <c r="G4001" t="s">
        <v>34</v>
      </c>
      <c r="H4001" t="s">
        <v>4529</v>
      </c>
      <c r="J4001">
        <v>1</v>
      </c>
    </row>
    <row r="4002" spans="1:10" x14ac:dyDescent="0.35">
      <c r="A4002">
        <v>8710908778230</v>
      </c>
      <c r="B4002" t="s">
        <v>4280</v>
      </c>
      <c r="C4002" t="s">
        <v>83</v>
      </c>
      <c r="D4002" t="s">
        <v>1523</v>
      </c>
      <c r="E4002" t="s">
        <v>22</v>
      </c>
      <c r="F4002" t="s">
        <v>361</v>
      </c>
      <c r="G4002" t="s">
        <v>22</v>
      </c>
      <c r="H4002" t="s">
        <v>4539</v>
      </c>
      <c r="J4002">
        <v>1</v>
      </c>
    </row>
    <row r="4003" spans="1:10" x14ac:dyDescent="0.35">
      <c r="A4003">
        <v>8710908914263</v>
      </c>
      <c r="B4003" t="s">
        <v>4281</v>
      </c>
      <c r="C4003" t="s">
        <v>9</v>
      </c>
      <c r="D4003" t="s">
        <v>1302</v>
      </c>
      <c r="E4003" t="s">
        <v>22</v>
      </c>
      <c r="F4003" t="s">
        <v>361</v>
      </c>
      <c r="G4003" t="s">
        <v>507</v>
      </c>
      <c r="H4003" t="s">
        <v>4539</v>
      </c>
      <c r="J4003">
        <v>1</v>
      </c>
    </row>
    <row r="4004" spans="1:10" x14ac:dyDescent="0.35">
      <c r="A4004">
        <v>8711700841252</v>
      </c>
      <c r="B4004" t="s">
        <v>4282</v>
      </c>
      <c r="C4004" t="s">
        <v>83</v>
      </c>
      <c r="D4004" t="s">
        <v>1523</v>
      </c>
      <c r="E4004" t="s">
        <v>22</v>
      </c>
      <c r="F4004" t="s">
        <v>361</v>
      </c>
      <c r="G4004" t="s">
        <v>150</v>
      </c>
      <c r="H4004" t="s">
        <v>4539</v>
      </c>
      <c r="J4004">
        <v>1</v>
      </c>
    </row>
    <row r="4005" spans="1:10" x14ac:dyDescent="0.35">
      <c r="A4005">
        <v>8712000900663</v>
      </c>
      <c r="B4005" t="s">
        <v>4283</v>
      </c>
      <c r="C4005" t="s">
        <v>1199</v>
      </c>
      <c r="D4005" t="s">
        <v>4283</v>
      </c>
      <c r="E4005" t="s">
        <v>1201</v>
      </c>
      <c r="F4005" t="s">
        <v>1202</v>
      </c>
      <c r="G4005" t="s">
        <v>61</v>
      </c>
      <c r="H4005" t="s">
        <v>4663</v>
      </c>
      <c r="J4005">
        <v>12</v>
      </c>
    </row>
    <row r="4006" spans="1:10" x14ac:dyDescent="0.35">
      <c r="A4006">
        <v>8712100382086</v>
      </c>
      <c r="B4006" t="s">
        <v>4284</v>
      </c>
      <c r="C4006" t="s">
        <v>4285</v>
      </c>
      <c r="D4006" t="s">
        <v>4286</v>
      </c>
      <c r="E4006" t="s">
        <v>22</v>
      </c>
      <c r="F4006" t="s">
        <v>361</v>
      </c>
      <c r="G4006" t="s">
        <v>150</v>
      </c>
      <c r="H4006" t="s">
        <v>4539</v>
      </c>
      <c r="J4006">
        <v>4</v>
      </c>
    </row>
    <row r="4007" spans="1:10" x14ac:dyDescent="0.35">
      <c r="A4007">
        <v>8712561645690</v>
      </c>
      <c r="B4007" t="s">
        <v>4287</v>
      </c>
      <c r="C4007" t="s">
        <v>9</v>
      </c>
      <c r="D4007" t="s">
        <v>1523</v>
      </c>
      <c r="E4007" t="s">
        <v>22</v>
      </c>
      <c r="F4007" t="s">
        <v>361</v>
      </c>
      <c r="G4007" t="s">
        <v>150</v>
      </c>
      <c r="H4007" t="s">
        <v>4539</v>
      </c>
      <c r="J4007">
        <v>2</v>
      </c>
    </row>
    <row r="4008" spans="1:10" x14ac:dyDescent="0.35">
      <c r="A4008">
        <v>8712561790017</v>
      </c>
      <c r="B4008" t="s">
        <v>4288</v>
      </c>
      <c r="C4008" t="s">
        <v>4289</v>
      </c>
      <c r="D4008" t="s">
        <v>1523</v>
      </c>
      <c r="E4008" t="s">
        <v>22</v>
      </c>
      <c r="F4008" t="s">
        <v>361</v>
      </c>
      <c r="G4008" t="s">
        <v>22</v>
      </c>
      <c r="H4008" t="s">
        <v>4539</v>
      </c>
      <c r="J4008">
        <v>1</v>
      </c>
    </row>
    <row r="4009" spans="1:10" x14ac:dyDescent="0.35">
      <c r="A4009">
        <v>8712561899246</v>
      </c>
      <c r="B4009" t="s">
        <v>4290</v>
      </c>
      <c r="C4009" t="s">
        <v>4291</v>
      </c>
      <c r="D4009" t="s">
        <v>1523</v>
      </c>
      <c r="E4009" t="s">
        <v>22</v>
      </c>
      <c r="F4009" t="s">
        <v>361</v>
      </c>
      <c r="G4009" t="s">
        <v>34</v>
      </c>
      <c r="H4009" t="s">
        <v>4539</v>
      </c>
      <c r="J4009">
        <v>1</v>
      </c>
    </row>
    <row r="4010" spans="1:10" x14ac:dyDescent="0.35">
      <c r="A4010">
        <v>87126037</v>
      </c>
      <c r="B4010" t="s">
        <v>4292</v>
      </c>
      <c r="C4010" t="s">
        <v>38</v>
      </c>
      <c r="D4010" t="s">
        <v>14</v>
      </c>
      <c r="E4010" t="s">
        <v>15</v>
      </c>
      <c r="F4010" t="s">
        <v>14</v>
      </c>
      <c r="G4010" t="s">
        <v>33</v>
      </c>
      <c r="H4010" t="s">
        <v>4489</v>
      </c>
      <c r="J4010">
        <v>11</v>
      </c>
    </row>
    <row r="4011" spans="1:10" x14ac:dyDescent="0.35">
      <c r="A4011">
        <v>87126037</v>
      </c>
      <c r="B4011" t="s">
        <v>4292</v>
      </c>
      <c r="C4011" t="s">
        <v>38</v>
      </c>
      <c r="D4011" t="s">
        <v>14</v>
      </c>
      <c r="E4011" t="s">
        <v>15</v>
      </c>
      <c r="F4011" t="s">
        <v>14</v>
      </c>
      <c r="G4011" t="s">
        <v>34</v>
      </c>
      <c r="H4011" t="s">
        <v>4489</v>
      </c>
      <c r="J4011">
        <v>1</v>
      </c>
    </row>
    <row r="4012" spans="1:10" x14ac:dyDescent="0.35">
      <c r="A4012">
        <v>8714789898759</v>
      </c>
      <c r="B4012" t="s">
        <v>4293</v>
      </c>
      <c r="C4012" t="s">
        <v>9</v>
      </c>
      <c r="D4012" t="s">
        <v>4294</v>
      </c>
      <c r="E4012" t="s">
        <v>308</v>
      </c>
      <c r="F4012" t="s">
        <v>309</v>
      </c>
      <c r="G4012" t="s">
        <v>34</v>
      </c>
      <c r="H4012" t="s">
        <v>4529</v>
      </c>
      <c r="J4012">
        <v>1</v>
      </c>
    </row>
    <row r="4013" spans="1:10" x14ac:dyDescent="0.35">
      <c r="A4013">
        <v>8714800011426</v>
      </c>
      <c r="B4013" t="s">
        <v>4295</v>
      </c>
      <c r="C4013" t="s">
        <v>9</v>
      </c>
      <c r="D4013" t="s">
        <v>4296</v>
      </c>
      <c r="E4013" t="s">
        <v>308</v>
      </c>
      <c r="F4013" t="s">
        <v>309</v>
      </c>
      <c r="G4013" t="s">
        <v>150</v>
      </c>
      <c r="H4013" t="s">
        <v>4529</v>
      </c>
      <c r="J4013">
        <v>1</v>
      </c>
    </row>
    <row r="4014" spans="1:10" x14ac:dyDescent="0.35">
      <c r="A4014">
        <v>8714800035965</v>
      </c>
      <c r="B4014" t="s">
        <v>4297</v>
      </c>
      <c r="C4014" t="s">
        <v>272</v>
      </c>
      <c r="D4014" t="s">
        <v>4296</v>
      </c>
      <c r="E4014" t="s">
        <v>308</v>
      </c>
      <c r="F4014" t="s">
        <v>309</v>
      </c>
      <c r="G4014" t="s">
        <v>117</v>
      </c>
      <c r="H4014" t="s">
        <v>4529</v>
      </c>
      <c r="J4014">
        <v>14</v>
      </c>
    </row>
    <row r="4015" spans="1:10" x14ac:dyDescent="0.35">
      <c r="A4015">
        <v>8715035110809</v>
      </c>
      <c r="B4015" t="s">
        <v>4298</v>
      </c>
      <c r="C4015" t="s">
        <v>81</v>
      </c>
      <c r="D4015" t="s">
        <v>4299</v>
      </c>
      <c r="E4015" t="s">
        <v>308</v>
      </c>
      <c r="F4015" t="s">
        <v>309</v>
      </c>
      <c r="G4015" t="s">
        <v>22</v>
      </c>
      <c r="H4015" t="s">
        <v>4529</v>
      </c>
      <c r="J4015">
        <v>1</v>
      </c>
    </row>
    <row r="4016" spans="1:10" x14ac:dyDescent="0.35">
      <c r="A4016">
        <v>8715600244427</v>
      </c>
      <c r="B4016" t="s">
        <v>273</v>
      </c>
      <c r="C4016" t="s">
        <v>9</v>
      </c>
      <c r="D4016" t="s">
        <v>273</v>
      </c>
      <c r="E4016" t="s">
        <v>15</v>
      </c>
      <c r="F4016" t="s">
        <v>56</v>
      </c>
      <c r="G4016" t="s">
        <v>22</v>
      </c>
      <c r="H4016" t="s">
        <v>4497</v>
      </c>
      <c r="J4016">
        <v>1</v>
      </c>
    </row>
    <row r="4017" spans="1:10" x14ac:dyDescent="0.35">
      <c r="A4017">
        <v>87157635</v>
      </c>
      <c r="B4017" t="s">
        <v>1421</v>
      </c>
      <c r="C4017" t="s">
        <v>38</v>
      </c>
      <c r="D4017" t="s">
        <v>1600</v>
      </c>
      <c r="E4017" t="s">
        <v>15</v>
      </c>
      <c r="F4017" t="s">
        <v>1395</v>
      </c>
      <c r="G4017" t="s">
        <v>22</v>
      </c>
      <c r="H4017" t="s">
        <v>4686</v>
      </c>
      <c r="J4017">
        <v>1</v>
      </c>
    </row>
    <row r="4018" spans="1:10" x14ac:dyDescent="0.35">
      <c r="A4018">
        <v>87158304</v>
      </c>
      <c r="B4018" t="s">
        <v>4300</v>
      </c>
      <c r="C4018" t="s">
        <v>434</v>
      </c>
      <c r="D4018" t="s">
        <v>4301</v>
      </c>
      <c r="E4018" t="s">
        <v>1201</v>
      </c>
      <c r="F4018" t="s">
        <v>4302</v>
      </c>
      <c r="G4018" t="s">
        <v>150</v>
      </c>
      <c r="H4018" t="s">
        <v>5068</v>
      </c>
      <c r="J4018">
        <v>19</v>
      </c>
    </row>
    <row r="4019" spans="1:10" x14ac:dyDescent="0.35">
      <c r="A4019">
        <v>87170788</v>
      </c>
      <c r="B4019" t="s">
        <v>1291</v>
      </c>
      <c r="C4019" t="s">
        <v>9</v>
      </c>
      <c r="D4019" t="s">
        <v>273</v>
      </c>
      <c r="E4019" t="s">
        <v>15</v>
      </c>
      <c r="F4019" t="s">
        <v>56</v>
      </c>
      <c r="G4019" t="s">
        <v>22</v>
      </c>
      <c r="H4019" t="s">
        <v>4497</v>
      </c>
      <c r="J4019">
        <v>5</v>
      </c>
    </row>
    <row r="4020" spans="1:10" x14ac:dyDescent="0.35">
      <c r="A4020">
        <v>87170795</v>
      </c>
      <c r="B4020" t="s">
        <v>275</v>
      </c>
      <c r="C4020" t="s">
        <v>603</v>
      </c>
      <c r="D4020" t="s">
        <v>273</v>
      </c>
      <c r="E4020" t="s">
        <v>15</v>
      </c>
      <c r="F4020" t="s">
        <v>56</v>
      </c>
      <c r="G4020" t="s">
        <v>22</v>
      </c>
      <c r="H4020" t="s">
        <v>4497</v>
      </c>
      <c r="J4020">
        <v>1</v>
      </c>
    </row>
    <row r="4021" spans="1:10" x14ac:dyDescent="0.35">
      <c r="A4021">
        <v>87171372</v>
      </c>
      <c r="B4021" t="s">
        <v>3461</v>
      </c>
      <c r="C4021" t="s">
        <v>9</v>
      </c>
      <c r="D4021" t="s">
        <v>55</v>
      </c>
      <c r="E4021" t="s">
        <v>15</v>
      </c>
      <c r="F4021" t="s">
        <v>56</v>
      </c>
      <c r="G4021" t="s">
        <v>16</v>
      </c>
      <c r="H4021" t="s">
        <v>4497</v>
      </c>
      <c r="J4021">
        <v>4</v>
      </c>
    </row>
    <row r="4022" spans="1:10" x14ac:dyDescent="0.35">
      <c r="A4022">
        <v>87171372</v>
      </c>
      <c r="B4022" t="s">
        <v>3461</v>
      </c>
      <c r="C4022" t="s">
        <v>9</v>
      </c>
      <c r="D4022" t="s">
        <v>55</v>
      </c>
      <c r="E4022" t="s">
        <v>15</v>
      </c>
      <c r="F4022" t="s">
        <v>56</v>
      </c>
      <c r="G4022" t="s">
        <v>22</v>
      </c>
      <c r="H4022" t="s">
        <v>4497</v>
      </c>
      <c r="J4022">
        <v>2</v>
      </c>
    </row>
    <row r="4023" spans="1:10" x14ac:dyDescent="0.35">
      <c r="A4023">
        <v>87171372</v>
      </c>
      <c r="B4023" t="s">
        <v>3461</v>
      </c>
      <c r="C4023" t="s">
        <v>9</v>
      </c>
      <c r="D4023" t="s">
        <v>55</v>
      </c>
      <c r="E4023" t="s">
        <v>15</v>
      </c>
      <c r="F4023" t="s">
        <v>56</v>
      </c>
      <c r="G4023" t="s">
        <v>31</v>
      </c>
      <c r="H4023" t="s">
        <v>4497</v>
      </c>
      <c r="J4023">
        <v>5</v>
      </c>
    </row>
    <row r="4024" spans="1:10" x14ac:dyDescent="0.35">
      <c r="A4024">
        <v>8717399841658</v>
      </c>
      <c r="B4024" t="s">
        <v>4303</v>
      </c>
      <c r="C4024" t="s">
        <v>1374</v>
      </c>
      <c r="D4024" t="s">
        <v>4304</v>
      </c>
      <c r="E4024" t="s">
        <v>117</v>
      </c>
      <c r="F4024" t="s">
        <v>4305</v>
      </c>
      <c r="G4024" t="s">
        <v>117</v>
      </c>
      <c r="H4024" t="s">
        <v>5069</v>
      </c>
      <c r="J4024">
        <v>3</v>
      </c>
    </row>
    <row r="4025" spans="1:10" x14ac:dyDescent="0.35">
      <c r="A4025">
        <v>8717399841665</v>
      </c>
      <c r="B4025" t="s">
        <v>4306</v>
      </c>
      <c r="C4025" t="s">
        <v>1598</v>
      </c>
      <c r="D4025" t="s">
        <v>4304</v>
      </c>
      <c r="E4025" t="s">
        <v>117</v>
      </c>
      <c r="F4025" t="s">
        <v>4305</v>
      </c>
      <c r="G4025" t="s">
        <v>117</v>
      </c>
      <c r="H4025" t="s">
        <v>5069</v>
      </c>
      <c r="J4025">
        <v>8</v>
      </c>
    </row>
    <row r="4026" spans="1:10" x14ac:dyDescent="0.35">
      <c r="A4026">
        <v>8718951312531</v>
      </c>
      <c r="B4026" t="s">
        <v>4307</v>
      </c>
      <c r="C4026" t="s">
        <v>4308</v>
      </c>
      <c r="D4026" t="s">
        <v>2107</v>
      </c>
      <c r="E4026" t="s">
        <v>15</v>
      </c>
      <c r="F4026" t="s">
        <v>2108</v>
      </c>
      <c r="G4026" t="s">
        <v>22</v>
      </c>
      <c r="H4026" t="s">
        <v>4761</v>
      </c>
      <c r="J4026">
        <v>1</v>
      </c>
    </row>
    <row r="4027" spans="1:10" x14ac:dyDescent="0.35">
      <c r="A4027">
        <v>8720182010827</v>
      </c>
      <c r="B4027" t="s">
        <v>4309</v>
      </c>
      <c r="C4027" t="s">
        <v>4310</v>
      </c>
      <c r="D4027" t="s">
        <v>4286</v>
      </c>
      <c r="E4027" t="s">
        <v>22</v>
      </c>
      <c r="F4027" t="s">
        <v>361</v>
      </c>
      <c r="G4027" t="s">
        <v>34</v>
      </c>
      <c r="H4027" t="s">
        <v>4539</v>
      </c>
      <c r="J4027">
        <v>1</v>
      </c>
    </row>
    <row r="4028" spans="1:10" x14ac:dyDescent="0.35">
      <c r="A4028">
        <v>87303322</v>
      </c>
      <c r="B4028" t="s">
        <v>262</v>
      </c>
      <c r="C4028" t="s">
        <v>9</v>
      </c>
      <c r="D4028" t="s">
        <v>711</v>
      </c>
      <c r="E4028" t="s">
        <v>15</v>
      </c>
      <c r="F4028" t="s">
        <v>14</v>
      </c>
      <c r="G4028" t="s">
        <v>117</v>
      </c>
      <c r="H4028" t="s">
        <v>4489</v>
      </c>
      <c r="J4028">
        <v>11</v>
      </c>
    </row>
    <row r="4029" spans="1:10" x14ac:dyDescent="0.35">
      <c r="A4029">
        <v>87303322</v>
      </c>
      <c r="B4029" t="s">
        <v>262</v>
      </c>
      <c r="C4029" t="s">
        <v>9</v>
      </c>
      <c r="D4029" t="s">
        <v>711</v>
      </c>
      <c r="E4029" t="s">
        <v>15</v>
      </c>
      <c r="F4029" t="s">
        <v>14</v>
      </c>
      <c r="G4029" t="s">
        <v>11</v>
      </c>
      <c r="H4029" t="s">
        <v>4489</v>
      </c>
      <c r="J4029">
        <v>373</v>
      </c>
    </row>
    <row r="4030" spans="1:10" x14ac:dyDescent="0.35">
      <c r="A4030">
        <v>87303322</v>
      </c>
      <c r="B4030" t="s">
        <v>262</v>
      </c>
      <c r="C4030" t="s">
        <v>9</v>
      </c>
      <c r="D4030" t="s">
        <v>711</v>
      </c>
      <c r="E4030" t="s">
        <v>15</v>
      </c>
      <c r="F4030" t="s">
        <v>14</v>
      </c>
      <c r="G4030" t="s">
        <v>61</v>
      </c>
      <c r="H4030" t="s">
        <v>4489</v>
      </c>
      <c r="J4030">
        <v>120</v>
      </c>
    </row>
    <row r="4031" spans="1:10" x14ac:dyDescent="0.35">
      <c r="A4031">
        <v>8791820101061</v>
      </c>
      <c r="B4031" t="s">
        <v>1091</v>
      </c>
      <c r="C4031" t="s">
        <v>1092</v>
      </c>
      <c r="D4031" t="s">
        <v>4311</v>
      </c>
      <c r="E4031" t="s">
        <v>117</v>
      </c>
      <c r="F4031" t="s">
        <v>1094</v>
      </c>
      <c r="G4031" t="s">
        <v>117</v>
      </c>
      <c r="H4031" t="s">
        <v>4649</v>
      </c>
      <c r="J4031">
        <v>21</v>
      </c>
    </row>
    <row r="4032" spans="1:10" x14ac:dyDescent="0.35">
      <c r="A4032">
        <v>8791820101078</v>
      </c>
      <c r="B4032" t="s">
        <v>4312</v>
      </c>
      <c r="C4032" t="s">
        <v>245</v>
      </c>
      <c r="D4032" t="s">
        <v>4311</v>
      </c>
      <c r="E4032" t="s">
        <v>117</v>
      </c>
      <c r="F4032" t="s">
        <v>1094</v>
      </c>
      <c r="G4032" t="s">
        <v>117</v>
      </c>
      <c r="H4032" t="s">
        <v>4649</v>
      </c>
      <c r="J4032">
        <v>2</v>
      </c>
    </row>
    <row r="4033" spans="1:10" x14ac:dyDescent="0.35">
      <c r="A4033">
        <v>8791820101344</v>
      </c>
      <c r="B4033" t="s">
        <v>4313</v>
      </c>
      <c r="C4033" t="s">
        <v>1175</v>
      </c>
      <c r="D4033" t="s">
        <v>4314</v>
      </c>
      <c r="E4033" t="s">
        <v>117</v>
      </c>
      <c r="F4033" t="s">
        <v>1094</v>
      </c>
      <c r="G4033" t="s">
        <v>117</v>
      </c>
      <c r="H4033" t="s">
        <v>4649</v>
      </c>
      <c r="J4033">
        <v>1</v>
      </c>
    </row>
    <row r="4034" spans="1:10" x14ac:dyDescent="0.35">
      <c r="A4034">
        <v>8791920011024</v>
      </c>
      <c r="B4034" t="s">
        <v>380</v>
      </c>
      <c r="C4034" t="s">
        <v>192</v>
      </c>
      <c r="D4034" t="s">
        <v>379</v>
      </c>
      <c r="E4034" t="s">
        <v>117</v>
      </c>
      <c r="F4034" t="s">
        <v>377</v>
      </c>
      <c r="G4034" t="s">
        <v>117</v>
      </c>
      <c r="H4034" t="s">
        <v>4542</v>
      </c>
      <c r="J4034">
        <v>41</v>
      </c>
    </row>
    <row r="4035" spans="1:10" x14ac:dyDescent="0.35">
      <c r="A4035">
        <v>8791920011048</v>
      </c>
      <c r="B4035" t="s">
        <v>380</v>
      </c>
      <c r="C4035" t="s">
        <v>128</v>
      </c>
      <c r="D4035" t="s">
        <v>379</v>
      </c>
      <c r="E4035" t="s">
        <v>117</v>
      </c>
      <c r="F4035" t="s">
        <v>377</v>
      </c>
      <c r="G4035" t="s">
        <v>117</v>
      </c>
      <c r="H4035" t="s">
        <v>4542</v>
      </c>
      <c r="J4035">
        <v>509</v>
      </c>
    </row>
    <row r="4036" spans="1:10" x14ac:dyDescent="0.35">
      <c r="A4036">
        <v>8791920011055</v>
      </c>
      <c r="B4036" t="s">
        <v>380</v>
      </c>
      <c r="C4036" t="s">
        <v>326</v>
      </c>
      <c r="D4036" t="s">
        <v>379</v>
      </c>
      <c r="E4036" t="s">
        <v>117</v>
      </c>
      <c r="F4036" t="s">
        <v>377</v>
      </c>
      <c r="G4036" t="s">
        <v>117</v>
      </c>
      <c r="H4036" t="s">
        <v>4542</v>
      </c>
      <c r="J4036">
        <v>3465</v>
      </c>
    </row>
    <row r="4037" spans="1:10" x14ac:dyDescent="0.35">
      <c r="A4037">
        <v>8791920011086</v>
      </c>
      <c r="B4037" t="s">
        <v>4315</v>
      </c>
      <c r="C4037" t="s">
        <v>511</v>
      </c>
      <c r="D4037" t="s">
        <v>379</v>
      </c>
      <c r="E4037" t="s">
        <v>117</v>
      </c>
      <c r="F4037" t="s">
        <v>377</v>
      </c>
      <c r="G4037" t="s">
        <v>117</v>
      </c>
      <c r="H4037" t="s">
        <v>4542</v>
      </c>
      <c r="J4037">
        <v>6</v>
      </c>
    </row>
    <row r="4038" spans="1:10" x14ac:dyDescent="0.35">
      <c r="A4038">
        <v>8791920011239</v>
      </c>
      <c r="B4038" t="s">
        <v>1091</v>
      </c>
      <c r="C4038" t="s">
        <v>239</v>
      </c>
      <c r="D4038" t="s">
        <v>1093</v>
      </c>
      <c r="E4038" t="s">
        <v>117</v>
      </c>
      <c r="F4038" t="s">
        <v>1094</v>
      </c>
      <c r="G4038" t="s">
        <v>117</v>
      </c>
      <c r="H4038" t="s">
        <v>4649</v>
      </c>
      <c r="J4038">
        <v>3</v>
      </c>
    </row>
    <row r="4039" spans="1:10" x14ac:dyDescent="0.35">
      <c r="A4039">
        <v>8791920021009</v>
      </c>
      <c r="B4039" t="s">
        <v>4316</v>
      </c>
      <c r="C4039" t="s">
        <v>83</v>
      </c>
      <c r="D4039" t="s">
        <v>376</v>
      </c>
      <c r="E4039" t="s">
        <v>117</v>
      </c>
      <c r="F4039" t="s">
        <v>377</v>
      </c>
      <c r="G4039" t="s">
        <v>117</v>
      </c>
      <c r="H4039" t="s">
        <v>4542</v>
      </c>
      <c r="J4039">
        <v>187</v>
      </c>
    </row>
    <row r="4040" spans="1:10" x14ac:dyDescent="0.35">
      <c r="A4040">
        <v>8791920021016</v>
      </c>
      <c r="B4040" t="s">
        <v>2834</v>
      </c>
      <c r="C4040" t="s">
        <v>83</v>
      </c>
      <c r="D4040" t="s">
        <v>376</v>
      </c>
      <c r="E4040" t="s">
        <v>117</v>
      </c>
      <c r="F4040" t="s">
        <v>377</v>
      </c>
      <c r="G4040" t="s">
        <v>117</v>
      </c>
      <c r="H4040" t="s">
        <v>4542</v>
      </c>
      <c r="J4040">
        <v>82</v>
      </c>
    </row>
    <row r="4041" spans="1:10" x14ac:dyDescent="0.35">
      <c r="A4041">
        <v>8791920021023</v>
      </c>
      <c r="B4041" t="s">
        <v>854</v>
      </c>
      <c r="C4041" t="s">
        <v>83</v>
      </c>
      <c r="D4041" t="s">
        <v>376</v>
      </c>
      <c r="E4041" t="s">
        <v>117</v>
      </c>
      <c r="F4041" t="s">
        <v>377</v>
      </c>
      <c r="G4041" t="s">
        <v>117</v>
      </c>
      <c r="H4041" t="s">
        <v>4542</v>
      </c>
      <c r="J4041">
        <v>69</v>
      </c>
    </row>
    <row r="4042" spans="1:10" x14ac:dyDescent="0.35">
      <c r="A4042">
        <v>8791920021030</v>
      </c>
      <c r="B4042" t="s">
        <v>696</v>
      </c>
      <c r="C4042" t="s">
        <v>83</v>
      </c>
      <c r="D4042" t="s">
        <v>376</v>
      </c>
      <c r="E4042" t="s">
        <v>117</v>
      </c>
      <c r="F4042" t="s">
        <v>377</v>
      </c>
      <c r="G4042" t="s">
        <v>117</v>
      </c>
      <c r="H4042" t="s">
        <v>4542</v>
      </c>
      <c r="J4042">
        <v>112</v>
      </c>
    </row>
    <row r="4043" spans="1:10" x14ac:dyDescent="0.35">
      <c r="A4043">
        <v>8791920021054</v>
      </c>
      <c r="B4043" t="s">
        <v>3371</v>
      </c>
      <c r="C4043" t="s">
        <v>806</v>
      </c>
      <c r="D4043" t="s">
        <v>376</v>
      </c>
      <c r="E4043" t="s">
        <v>117</v>
      </c>
      <c r="F4043" t="s">
        <v>377</v>
      </c>
      <c r="G4043" t="s">
        <v>117</v>
      </c>
      <c r="H4043" t="s">
        <v>4542</v>
      </c>
      <c r="J4043">
        <v>9</v>
      </c>
    </row>
    <row r="4044" spans="1:10" x14ac:dyDescent="0.35">
      <c r="A4044">
        <v>8791920021061</v>
      </c>
      <c r="B4044" t="s">
        <v>4317</v>
      </c>
      <c r="C4044" t="s">
        <v>83</v>
      </c>
      <c r="D4044" t="s">
        <v>376</v>
      </c>
      <c r="E4044" t="s">
        <v>117</v>
      </c>
      <c r="F4044" t="s">
        <v>377</v>
      </c>
      <c r="G4044" t="s">
        <v>117</v>
      </c>
      <c r="H4044" t="s">
        <v>4542</v>
      </c>
      <c r="J4044">
        <v>17</v>
      </c>
    </row>
    <row r="4045" spans="1:10" x14ac:dyDescent="0.35">
      <c r="A4045">
        <v>8791920021214</v>
      </c>
      <c r="B4045" t="s">
        <v>167</v>
      </c>
      <c r="C4045" t="s">
        <v>114</v>
      </c>
      <c r="D4045" t="s">
        <v>376</v>
      </c>
      <c r="E4045" t="s">
        <v>117</v>
      </c>
      <c r="F4045" t="s">
        <v>377</v>
      </c>
      <c r="G4045" t="s">
        <v>117</v>
      </c>
      <c r="H4045" t="s">
        <v>4542</v>
      </c>
      <c r="J4045">
        <v>4</v>
      </c>
    </row>
    <row r="4046" spans="1:10" x14ac:dyDescent="0.35">
      <c r="A4046">
        <v>8791920021221</v>
      </c>
      <c r="B4046" t="s">
        <v>668</v>
      </c>
      <c r="C4046" t="s">
        <v>114</v>
      </c>
      <c r="D4046" t="s">
        <v>376</v>
      </c>
      <c r="E4046" t="s">
        <v>117</v>
      </c>
      <c r="F4046" t="s">
        <v>377</v>
      </c>
      <c r="G4046" t="s">
        <v>117</v>
      </c>
      <c r="H4046" t="s">
        <v>4542</v>
      </c>
      <c r="J4046">
        <v>4</v>
      </c>
    </row>
    <row r="4047" spans="1:10" x14ac:dyDescent="0.35">
      <c r="A4047">
        <v>8791920021405</v>
      </c>
      <c r="B4047" t="s">
        <v>2834</v>
      </c>
      <c r="C4047" t="s">
        <v>83</v>
      </c>
      <c r="D4047" t="s">
        <v>376</v>
      </c>
      <c r="E4047" t="s">
        <v>117</v>
      </c>
      <c r="F4047" t="s">
        <v>377</v>
      </c>
      <c r="G4047" t="s">
        <v>117</v>
      </c>
      <c r="H4047" t="s">
        <v>4542</v>
      </c>
      <c r="J4047">
        <v>202</v>
      </c>
    </row>
    <row r="4048" spans="1:10" x14ac:dyDescent="0.35">
      <c r="A4048">
        <v>8791920021504</v>
      </c>
      <c r="B4048" t="s">
        <v>2230</v>
      </c>
      <c r="C4048" t="s">
        <v>9</v>
      </c>
      <c r="D4048" t="s">
        <v>379</v>
      </c>
      <c r="E4048" t="s">
        <v>117</v>
      </c>
      <c r="F4048" t="s">
        <v>377</v>
      </c>
      <c r="G4048" t="s">
        <v>117</v>
      </c>
      <c r="H4048" t="s">
        <v>4542</v>
      </c>
      <c r="J4048">
        <v>2</v>
      </c>
    </row>
    <row r="4049" spans="1:10" x14ac:dyDescent="0.35">
      <c r="A4049">
        <v>8791920022044</v>
      </c>
      <c r="B4049" t="s">
        <v>4318</v>
      </c>
      <c r="C4049" t="s">
        <v>9</v>
      </c>
      <c r="D4049" t="s">
        <v>4319</v>
      </c>
      <c r="E4049" t="s">
        <v>117</v>
      </c>
      <c r="F4049" t="s">
        <v>1094</v>
      </c>
      <c r="G4049" t="s">
        <v>117</v>
      </c>
      <c r="H4049" t="s">
        <v>4649</v>
      </c>
      <c r="J4049">
        <v>1</v>
      </c>
    </row>
    <row r="4050" spans="1:10" x14ac:dyDescent="0.35">
      <c r="A4050">
        <v>8791920071011</v>
      </c>
      <c r="B4050" t="s">
        <v>4070</v>
      </c>
      <c r="C4050" t="s">
        <v>603</v>
      </c>
      <c r="D4050" t="s">
        <v>379</v>
      </c>
      <c r="E4050" t="s">
        <v>117</v>
      </c>
      <c r="F4050" t="s">
        <v>377</v>
      </c>
      <c r="G4050" t="s">
        <v>117</v>
      </c>
      <c r="H4050" t="s">
        <v>4542</v>
      </c>
      <c r="J4050">
        <v>1</v>
      </c>
    </row>
    <row r="4051" spans="1:10" x14ac:dyDescent="0.35">
      <c r="A4051">
        <v>8801056193010</v>
      </c>
      <c r="B4051" t="s">
        <v>273</v>
      </c>
      <c r="C4051">
        <v>600</v>
      </c>
      <c r="D4051" t="s">
        <v>273</v>
      </c>
      <c r="E4051" t="s">
        <v>15</v>
      </c>
      <c r="F4051" t="s">
        <v>56</v>
      </c>
      <c r="G4051" t="s">
        <v>1038</v>
      </c>
      <c r="H4051" t="s">
        <v>4497</v>
      </c>
      <c r="J4051">
        <v>20</v>
      </c>
    </row>
    <row r="4052" spans="1:10" x14ac:dyDescent="0.35">
      <c r="A4052">
        <v>8809713914817</v>
      </c>
      <c r="B4052" t="s">
        <v>4320</v>
      </c>
      <c r="C4052" t="s">
        <v>576</v>
      </c>
      <c r="D4052" t="s">
        <v>4321</v>
      </c>
      <c r="E4052" t="s">
        <v>1038</v>
      </c>
      <c r="F4052" t="s">
        <v>1039</v>
      </c>
      <c r="G4052" t="s">
        <v>34</v>
      </c>
      <c r="H4052" t="s">
        <v>4641</v>
      </c>
      <c r="J4052">
        <v>4</v>
      </c>
    </row>
    <row r="4053" spans="1:10" x14ac:dyDescent="0.35">
      <c r="A4053">
        <v>883043000011</v>
      </c>
      <c r="B4053" t="s">
        <v>4322</v>
      </c>
      <c r="C4053" t="s">
        <v>83</v>
      </c>
      <c r="D4053" t="s">
        <v>528</v>
      </c>
      <c r="E4053" t="s">
        <v>16</v>
      </c>
      <c r="F4053" t="s">
        <v>529</v>
      </c>
      <c r="G4053" t="s">
        <v>16</v>
      </c>
      <c r="H4053" t="s">
        <v>4560</v>
      </c>
      <c r="J4053">
        <v>7</v>
      </c>
    </row>
    <row r="4054" spans="1:10" x14ac:dyDescent="0.35">
      <c r="A4054">
        <v>883043000585</v>
      </c>
      <c r="B4054" t="s">
        <v>1034</v>
      </c>
      <c r="C4054" t="s">
        <v>4128</v>
      </c>
      <c r="D4054" t="s">
        <v>528</v>
      </c>
      <c r="E4054" t="s">
        <v>16</v>
      </c>
      <c r="F4054" t="s">
        <v>529</v>
      </c>
      <c r="G4054" t="s">
        <v>16</v>
      </c>
      <c r="H4054" t="s">
        <v>4560</v>
      </c>
      <c r="J4054">
        <v>1</v>
      </c>
    </row>
    <row r="4055" spans="1:10" x14ac:dyDescent="0.35">
      <c r="A4055">
        <v>883043000738</v>
      </c>
      <c r="B4055" t="s">
        <v>4323</v>
      </c>
      <c r="C4055" t="s">
        <v>83</v>
      </c>
      <c r="D4055" t="s">
        <v>528</v>
      </c>
      <c r="E4055" t="s">
        <v>16</v>
      </c>
      <c r="F4055" t="s">
        <v>529</v>
      </c>
      <c r="G4055" t="s">
        <v>16</v>
      </c>
      <c r="H4055" t="s">
        <v>4560</v>
      </c>
      <c r="J4055">
        <v>1</v>
      </c>
    </row>
    <row r="4056" spans="1:10" x14ac:dyDescent="0.35">
      <c r="A4056">
        <v>883043000790</v>
      </c>
      <c r="B4056" t="s">
        <v>4324</v>
      </c>
      <c r="C4056" t="s">
        <v>83</v>
      </c>
      <c r="D4056" t="s">
        <v>528</v>
      </c>
      <c r="E4056" t="s">
        <v>16</v>
      </c>
      <c r="F4056" t="s">
        <v>529</v>
      </c>
      <c r="G4056" t="s">
        <v>16</v>
      </c>
      <c r="H4056" t="s">
        <v>4560</v>
      </c>
      <c r="J4056">
        <v>8</v>
      </c>
    </row>
    <row r="4057" spans="1:10" x14ac:dyDescent="0.35">
      <c r="A4057">
        <v>883309745113</v>
      </c>
      <c r="B4057" t="s">
        <v>4325</v>
      </c>
      <c r="C4057" t="s">
        <v>9</v>
      </c>
      <c r="D4057" t="s">
        <v>4326</v>
      </c>
      <c r="E4057" t="s">
        <v>308</v>
      </c>
      <c r="F4057" t="s">
        <v>309</v>
      </c>
      <c r="G4057" t="s">
        <v>16</v>
      </c>
      <c r="H4057" t="s">
        <v>4529</v>
      </c>
      <c r="J4057">
        <v>3</v>
      </c>
    </row>
    <row r="4058" spans="1:10" x14ac:dyDescent="0.35">
      <c r="A4058">
        <v>884394007957</v>
      </c>
      <c r="B4058" t="s">
        <v>2710</v>
      </c>
      <c r="C4058" t="s">
        <v>9</v>
      </c>
      <c r="D4058" t="s">
        <v>4321</v>
      </c>
      <c r="E4058" t="s">
        <v>1038</v>
      </c>
      <c r="F4058" t="s">
        <v>1039</v>
      </c>
      <c r="G4058" t="s">
        <v>34</v>
      </c>
      <c r="H4058" t="s">
        <v>4641</v>
      </c>
      <c r="J4058">
        <v>1</v>
      </c>
    </row>
    <row r="4059" spans="1:10" x14ac:dyDescent="0.35">
      <c r="A4059">
        <v>8850769017021</v>
      </c>
      <c r="B4059" t="s">
        <v>4327</v>
      </c>
      <c r="C4059" t="s">
        <v>1184</v>
      </c>
      <c r="D4059" t="s">
        <v>4328</v>
      </c>
      <c r="E4059" t="s">
        <v>4329</v>
      </c>
      <c r="F4059" t="s">
        <v>4330</v>
      </c>
      <c r="G4059" t="s">
        <v>3918</v>
      </c>
      <c r="H4059" t="s">
        <v>5070</v>
      </c>
      <c r="J4059">
        <v>1</v>
      </c>
    </row>
    <row r="4060" spans="1:10" x14ac:dyDescent="0.35">
      <c r="A4060">
        <v>8850769017021</v>
      </c>
      <c r="B4060" t="s">
        <v>4327</v>
      </c>
      <c r="C4060" t="s">
        <v>1184</v>
      </c>
      <c r="D4060" t="s">
        <v>4328</v>
      </c>
      <c r="E4060" t="s">
        <v>4329</v>
      </c>
      <c r="F4060" t="s">
        <v>4330</v>
      </c>
      <c r="G4060" t="s">
        <v>117</v>
      </c>
      <c r="H4060" t="s">
        <v>5070</v>
      </c>
      <c r="J4060">
        <v>3</v>
      </c>
    </row>
    <row r="4061" spans="1:10" x14ac:dyDescent="0.35">
      <c r="A4061">
        <v>8850769017021</v>
      </c>
      <c r="B4061" t="s">
        <v>4327</v>
      </c>
      <c r="C4061" t="s">
        <v>1184</v>
      </c>
      <c r="D4061" t="s">
        <v>4328</v>
      </c>
      <c r="E4061" t="s">
        <v>4329</v>
      </c>
      <c r="F4061" t="s">
        <v>4330</v>
      </c>
      <c r="G4061" t="s">
        <v>61</v>
      </c>
      <c r="H4061" t="s">
        <v>5070</v>
      </c>
      <c r="J4061">
        <v>1</v>
      </c>
    </row>
    <row r="4062" spans="1:10" x14ac:dyDescent="0.35">
      <c r="A4062">
        <v>8851028001782</v>
      </c>
      <c r="B4062" t="s">
        <v>4331</v>
      </c>
      <c r="C4062" t="s">
        <v>2015</v>
      </c>
      <c r="D4062" t="s">
        <v>4332</v>
      </c>
      <c r="E4062" t="s">
        <v>4329</v>
      </c>
      <c r="F4062" t="s">
        <v>4333</v>
      </c>
      <c r="G4062" t="s">
        <v>41</v>
      </c>
      <c r="H4062" t="s">
        <v>5071</v>
      </c>
      <c r="J4062">
        <v>15</v>
      </c>
    </row>
    <row r="4063" spans="1:10" x14ac:dyDescent="0.35">
      <c r="A4063">
        <v>8858669700203</v>
      </c>
      <c r="B4063" t="s">
        <v>4334</v>
      </c>
      <c r="C4063" t="s">
        <v>4335</v>
      </c>
      <c r="D4063" t="s">
        <v>4336</v>
      </c>
      <c r="E4063" t="s">
        <v>308</v>
      </c>
      <c r="F4063" t="s">
        <v>309</v>
      </c>
      <c r="G4063" t="s">
        <v>41</v>
      </c>
      <c r="H4063" t="s">
        <v>4529</v>
      </c>
      <c r="J4063">
        <v>36</v>
      </c>
    </row>
    <row r="4064" spans="1:10" x14ac:dyDescent="0.35">
      <c r="A4064">
        <v>8901088000345</v>
      </c>
      <c r="B4064" t="s">
        <v>4337</v>
      </c>
      <c r="C4064" t="s">
        <v>36</v>
      </c>
      <c r="D4064" t="s">
        <v>4338</v>
      </c>
      <c r="E4064" t="s">
        <v>776</v>
      </c>
      <c r="F4064" t="s">
        <v>4339</v>
      </c>
      <c r="G4064" t="s">
        <v>61</v>
      </c>
      <c r="H4064" t="s">
        <v>5072</v>
      </c>
      <c r="J4064">
        <v>12</v>
      </c>
    </row>
    <row r="4065" spans="1:10" x14ac:dyDescent="0.35">
      <c r="A4065">
        <v>8901719917264</v>
      </c>
      <c r="B4065" t="s">
        <v>4340</v>
      </c>
      <c r="C4065" t="s">
        <v>967</v>
      </c>
      <c r="D4065" t="s">
        <v>4341</v>
      </c>
      <c r="E4065" t="s">
        <v>41</v>
      </c>
      <c r="F4065" t="s">
        <v>1243</v>
      </c>
      <c r="G4065" t="s">
        <v>41</v>
      </c>
      <c r="H4065" t="s">
        <v>4672</v>
      </c>
      <c r="J4065">
        <v>100</v>
      </c>
    </row>
    <row r="4066" spans="1:10" x14ac:dyDescent="0.35">
      <c r="A4066">
        <v>8901719919435</v>
      </c>
      <c r="B4066" t="s">
        <v>4342</v>
      </c>
      <c r="C4066" t="s">
        <v>91</v>
      </c>
      <c r="D4066" t="s">
        <v>4343</v>
      </c>
      <c r="E4066" t="s">
        <v>41</v>
      </c>
      <c r="F4066" t="s">
        <v>1243</v>
      </c>
      <c r="G4066" t="s">
        <v>41</v>
      </c>
      <c r="H4066" t="s">
        <v>4672</v>
      </c>
      <c r="J4066">
        <v>100</v>
      </c>
    </row>
    <row r="4067" spans="1:10" x14ac:dyDescent="0.35">
      <c r="A4067">
        <v>8901719921162</v>
      </c>
      <c r="B4067" t="s">
        <v>4344</v>
      </c>
      <c r="C4067" t="s">
        <v>1242</v>
      </c>
      <c r="D4067" t="s">
        <v>1241</v>
      </c>
      <c r="E4067" t="s">
        <v>41</v>
      </c>
      <c r="F4067" t="s">
        <v>1243</v>
      </c>
      <c r="G4067" t="s">
        <v>41</v>
      </c>
      <c r="H4067" t="s">
        <v>4672</v>
      </c>
      <c r="J4067">
        <v>100</v>
      </c>
    </row>
    <row r="4068" spans="1:10" x14ac:dyDescent="0.35">
      <c r="A4068">
        <v>8901972077521</v>
      </c>
      <c r="B4068" t="s">
        <v>4345</v>
      </c>
      <c r="C4068" t="s">
        <v>4346</v>
      </c>
      <c r="D4068" t="s">
        <v>4347</v>
      </c>
      <c r="E4068" t="s">
        <v>117</v>
      </c>
      <c r="F4068" t="s">
        <v>4348</v>
      </c>
      <c r="G4068" t="s">
        <v>117</v>
      </c>
      <c r="H4068" t="s">
        <v>5073</v>
      </c>
      <c r="J4068">
        <v>52</v>
      </c>
    </row>
    <row r="4069" spans="1:10" x14ac:dyDescent="0.35">
      <c r="A4069">
        <v>8901972077781</v>
      </c>
      <c r="B4069" t="s">
        <v>4349</v>
      </c>
      <c r="C4069" t="s">
        <v>1258</v>
      </c>
      <c r="D4069" t="s">
        <v>4350</v>
      </c>
      <c r="E4069" t="s">
        <v>776</v>
      </c>
      <c r="F4069" t="s">
        <v>4351</v>
      </c>
      <c r="G4069" t="s">
        <v>61</v>
      </c>
      <c r="H4069" t="s">
        <v>5074</v>
      </c>
      <c r="J4069">
        <v>1</v>
      </c>
    </row>
    <row r="4070" spans="1:10" x14ac:dyDescent="0.35">
      <c r="A4070">
        <v>8902147003611</v>
      </c>
      <c r="B4070" t="s">
        <v>4352</v>
      </c>
      <c r="C4070" t="s">
        <v>66</v>
      </c>
      <c r="D4070" t="s">
        <v>4352</v>
      </c>
      <c r="E4070" t="s">
        <v>308</v>
      </c>
      <c r="F4070" t="s">
        <v>309</v>
      </c>
      <c r="G4070" t="s">
        <v>41</v>
      </c>
      <c r="H4070" t="s">
        <v>4529</v>
      </c>
      <c r="J4070">
        <v>15</v>
      </c>
    </row>
    <row r="4071" spans="1:10" x14ac:dyDescent="0.35">
      <c r="A4071">
        <v>8902147010916</v>
      </c>
      <c r="B4071" t="s">
        <v>4353</v>
      </c>
      <c r="C4071" t="s">
        <v>110</v>
      </c>
      <c r="D4071" t="s">
        <v>4354</v>
      </c>
      <c r="E4071" t="s">
        <v>776</v>
      </c>
      <c r="F4071" t="s">
        <v>4355</v>
      </c>
      <c r="G4071" t="s">
        <v>117</v>
      </c>
      <c r="H4071" t="s">
        <v>5075</v>
      </c>
      <c r="J4071">
        <v>50</v>
      </c>
    </row>
    <row r="4072" spans="1:10" x14ac:dyDescent="0.35">
      <c r="A4072">
        <v>8904206203222</v>
      </c>
      <c r="B4072" t="s">
        <v>581</v>
      </c>
      <c r="C4072" t="s">
        <v>1199</v>
      </c>
      <c r="D4072" t="s">
        <v>4356</v>
      </c>
      <c r="E4072" t="s">
        <v>117</v>
      </c>
      <c r="F4072" t="s">
        <v>4357</v>
      </c>
      <c r="G4072" t="s">
        <v>117</v>
      </c>
      <c r="H4072" t="s">
        <v>5076</v>
      </c>
      <c r="J4072">
        <v>6</v>
      </c>
    </row>
    <row r="4073" spans="1:10" x14ac:dyDescent="0.35">
      <c r="A4073">
        <v>8904206211036</v>
      </c>
      <c r="B4073" t="s">
        <v>4358</v>
      </c>
      <c r="C4073" t="s">
        <v>4359</v>
      </c>
      <c r="D4073" t="s">
        <v>4360</v>
      </c>
      <c r="E4073" t="s">
        <v>117</v>
      </c>
      <c r="F4073" t="s">
        <v>4361</v>
      </c>
      <c r="G4073" t="s">
        <v>117</v>
      </c>
      <c r="H4073" t="s">
        <v>5077</v>
      </c>
      <c r="J4073">
        <v>6</v>
      </c>
    </row>
    <row r="4074" spans="1:10" x14ac:dyDescent="0.35">
      <c r="A4074">
        <v>8904206211043</v>
      </c>
      <c r="B4074" t="s">
        <v>4358</v>
      </c>
      <c r="C4074" t="s">
        <v>94</v>
      </c>
      <c r="D4074" t="s">
        <v>4360</v>
      </c>
      <c r="E4074" t="s">
        <v>117</v>
      </c>
      <c r="F4074" t="s">
        <v>4361</v>
      </c>
      <c r="G4074" t="s">
        <v>117</v>
      </c>
      <c r="H4074" t="s">
        <v>5077</v>
      </c>
      <c r="J4074">
        <v>5</v>
      </c>
    </row>
    <row r="4075" spans="1:10" x14ac:dyDescent="0.35">
      <c r="A4075">
        <v>8904206211340</v>
      </c>
      <c r="B4075" t="s">
        <v>4358</v>
      </c>
      <c r="C4075" t="s">
        <v>4359</v>
      </c>
      <c r="D4075" t="s">
        <v>4360</v>
      </c>
      <c r="E4075" t="s">
        <v>117</v>
      </c>
      <c r="F4075" t="s">
        <v>4361</v>
      </c>
      <c r="G4075" t="s">
        <v>117</v>
      </c>
      <c r="H4075" t="s">
        <v>5077</v>
      </c>
      <c r="J4075">
        <v>2</v>
      </c>
    </row>
    <row r="4076" spans="1:10" x14ac:dyDescent="0.35">
      <c r="A4076">
        <v>8904206214198</v>
      </c>
      <c r="B4076" t="s">
        <v>4362</v>
      </c>
      <c r="C4076" t="s">
        <v>1199</v>
      </c>
      <c r="D4076" t="s">
        <v>4356</v>
      </c>
      <c r="E4076" t="s">
        <v>117</v>
      </c>
      <c r="F4076" t="s">
        <v>4357</v>
      </c>
      <c r="G4076" t="s">
        <v>117</v>
      </c>
      <c r="H4076" t="s">
        <v>5076</v>
      </c>
      <c r="J4076">
        <v>52</v>
      </c>
    </row>
    <row r="4077" spans="1:10" x14ac:dyDescent="0.35">
      <c r="A4077">
        <v>8904206218134</v>
      </c>
      <c r="B4077" t="s">
        <v>668</v>
      </c>
      <c r="C4077" t="s">
        <v>83</v>
      </c>
      <c r="D4077" t="s">
        <v>4356</v>
      </c>
      <c r="E4077" t="s">
        <v>117</v>
      </c>
      <c r="F4077" t="s">
        <v>4357</v>
      </c>
      <c r="G4077" t="s">
        <v>117</v>
      </c>
      <c r="H4077" t="s">
        <v>5076</v>
      </c>
      <c r="J4077">
        <v>21</v>
      </c>
    </row>
    <row r="4078" spans="1:10" x14ac:dyDescent="0.35">
      <c r="A4078">
        <v>8904206218141</v>
      </c>
      <c r="B4078" t="s">
        <v>4363</v>
      </c>
      <c r="C4078" t="s">
        <v>83</v>
      </c>
      <c r="D4078" t="s">
        <v>4356</v>
      </c>
      <c r="E4078" t="s">
        <v>117</v>
      </c>
      <c r="F4078" t="s">
        <v>4357</v>
      </c>
      <c r="G4078" t="s">
        <v>117</v>
      </c>
      <c r="H4078" t="s">
        <v>5076</v>
      </c>
      <c r="J4078">
        <v>8</v>
      </c>
    </row>
    <row r="4079" spans="1:10" x14ac:dyDescent="0.35">
      <c r="A4079">
        <v>8904206218158</v>
      </c>
      <c r="B4079" t="s">
        <v>4364</v>
      </c>
      <c r="C4079" t="s">
        <v>806</v>
      </c>
      <c r="D4079" t="s">
        <v>4356</v>
      </c>
      <c r="E4079" t="s">
        <v>117</v>
      </c>
      <c r="F4079" t="s">
        <v>4357</v>
      </c>
      <c r="G4079" t="s">
        <v>117</v>
      </c>
      <c r="H4079" t="s">
        <v>5076</v>
      </c>
      <c r="J4079">
        <v>4</v>
      </c>
    </row>
    <row r="4080" spans="1:10" x14ac:dyDescent="0.35">
      <c r="A4080">
        <v>8904206218165</v>
      </c>
      <c r="B4080" t="s">
        <v>4365</v>
      </c>
      <c r="C4080" t="s">
        <v>83</v>
      </c>
      <c r="D4080" t="s">
        <v>4356</v>
      </c>
      <c r="E4080" t="s">
        <v>117</v>
      </c>
      <c r="F4080" t="s">
        <v>4357</v>
      </c>
      <c r="G4080" t="s">
        <v>117</v>
      </c>
      <c r="H4080" t="s">
        <v>5076</v>
      </c>
      <c r="J4080">
        <v>38</v>
      </c>
    </row>
    <row r="4081" spans="1:10" x14ac:dyDescent="0.35">
      <c r="A4081">
        <v>8904206218189</v>
      </c>
      <c r="B4081" t="s">
        <v>4366</v>
      </c>
      <c r="C4081" t="s">
        <v>806</v>
      </c>
      <c r="D4081" t="s">
        <v>4356</v>
      </c>
      <c r="E4081" t="s">
        <v>117</v>
      </c>
      <c r="F4081" t="s">
        <v>4357</v>
      </c>
      <c r="G4081" t="s">
        <v>117</v>
      </c>
      <c r="H4081" t="s">
        <v>5076</v>
      </c>
      <c r="J4081">
        <v>84</v>
      </c>
    </row>
    <row r="4082" spans="1:10" x14ac:dyDescent="0.35">
      <c r="A4082">
        <v>8904206218196</v>
      </c>
      <c r="B4082" t="s">
        <v>4367</v>
      </c>
      <c r="C4082" t="s">
        <v>806</v>
      </c>
      <c r="D4082" t="s">
        <v>4356</v>
      </c>
      <c r="E4082" t="s">
        <v>117</v>
      </c>
      <c r="F4082" t="s">
        <v>4357</v>
      </c>
      <c r="G4082" t="s">
        <v>117</v>
      </c>
      <c r="H4082" t="s">
        <v>5076</v>
      </c>
      <c r="J4082">
        <v>5</v>
      </c>
    </row>
    <row r="4083" spans="1:10" x14ac:dyDescent="0.35">
      <c r="A4083">
        <v>8904206218219</v>
      </c>
      <c r="B4083" t="s">
        <v>4368</v>
      </c>
      <c r="C4083" t="s">
        <v>603</v>
      </c>
      <c r="D4083" t="s">
        <v>4369</v>
      </c>
      <c r="E4083" t="s">
        <v>117</v>
      </c>
      <c r="F4083" t="s">
        <v>4357</v>
      </c>
      <c r="G4083" t="s">
        <v>117</v>
      </c>
      <c r="H4083" t="s">
        <v>5076</v>
      </c>
      <c r="J4083">
        <v>4</v>
      </c>
    </row>
    <row r="4084" spans="1:10" x14ac:dyDescent="0.35">
      <c r="A4084">
        <v>8904206218226</v>
      </c>
      <c r="B4084" t="s">
        <v>4362</v>
      </c>
      <c r="C4084" t="s">
        <v>83</v>
      </c>
      <c r="D4084" t="s">
        <v>4356</v>
      </c>
      <c r="E4084" t="s">
        <v>117</v>
      </c>
      <c r="F4084" t="s">
        <v>4357</v>
      </c>
      <c r="G4084" t="s">
        <v>117</v>
      </c>
      <c r="H4084" t="s">
        <v>5076</v>
      </c>
      <c r="J4084">
        <v>2</v>
      </c>
    </row>
    <row r="4085" spans="1:10" x14ac:dyDescent="0.35">
      <c r="A4085">
        <v>8904206218325</v>
      </c>
      <c r="B4085" t="s">
        <v>4370</v>
      </c>
      <c r="C4085" t="s">
        <v>1184</v>
      </c>
      <c r="D4085" t="s">
        <v>4371</v>
      </c>
      <c r="E4085" t="s">
        <v>117</v>
      </c>
      <c r="F4085" t="s">
        <v>4357</v>
      </c>
      <c r="G4085" t="s">
        <v>117</v>
      </c>
      <c r="H4085" t="s">
        <v>5076</v>
      </c>
      <c r="J4085">
        <v>147</v>
      </c>
    </row>
    <row r="4086" spans="1:10" x14ac:dyDescent="0.35">
      <c r="A4086">
        <v>8904206218349</v>
      </c>
      <c r="B4086" t="s">
        <v>2545</v>
      </c>
      <c r="C4086" t="s">
        <v>83</v>
      </c>
      <c r="D4086" t="s">
        <v>4356</v>
      </c>
      <c r="E4086" t="s">
        <v>117</v>
      </c>
      <c r="F4086" t="s">
        <v>4357</v>
      </c>
      <c r="G4086" t="s">
        <v>117</v>
      </c>
      <c r="H4086" t="s">
        <v>5076</v>
      </c>
      <c r="J4086">
        <v>41</v>
      </c>
    </row>
    <row r="4087" spans="1:10" x14ac:dyDescent="0.35">
      <c r="A4087">
        <v>8904206218509</v>
      </c>
      <c r="B4087" t="s">
        <v>4372</v>
      </c>
      <c r="C4087" t="s">
        <v>326</v>
      </c>
      <c r="D4087" t="s">
        <v>4371</v>
      </c>
      <c r="E4087" t="s">
        <v>117</v>
      </c>
      <c r="F4087" t="s">
        <v>4357</v>
      </c>
      <c r="G4087" t="s">
        <v>117</v>
      </c>
      <c r="H4087" t="s">
        <v>5076</v>
      </c>
      <c r="J4087">
        <v>394</v>
      </c>
    </row>
    <row r="4088" spans="1:10" x14ac:dyDescent="0.35">
      <c r="A4088">
        <v>8904206218509</v>
      </c>
      <c r="B4088" t="s">
        <v>4372</v>
      </c>
      <c r="C4088" t="s">
        <v>326</v>
      </c>
      <c r="D4088" t="s">
        <v>4371</v>
      </c>
      <c r="E4088" t="s">
        <v>117</v>
      </c>
      <c r="F4088" t="s">
        <v>4357</v>
      </c>
      <c r="G4088" t="s">
        <v>776</v>
      </c>
      <c r="H4088" t="s">
        <v>5076</v>
      </c>
      <c r="J4088">
        <v>1</v>
      </c>
    </row>
    <row r="4089" spans="1:10" x14ac:dyDescent="0.35">
      <c r="A4089">
        <v>8904206219049</v>
      </c>
      <c r="B4089" t="s">
        <v>581</v>
      </c>
      <c r="C4089" t="s">
        <v>825</v>
      </c>
      <c r="D4089" t="s">
        <v>4356</v>
      </c>
      <c r="E4089" t="s">
        <v>117</v>
      </c>
      <c r="F4089" t="s">
        <v>4357</v>
      </c>
      <c r="G4089" t="s">
        <v>117</v>
      </c>
      <c r="H4089" t="s">
        <v>5076</v>
      </c>
      <c r="J4089">
        <v>1</v>
      </c>
    </row>
    <row r="4090" spans="1:10" x14ac:dyDescent="0.35">
      <c r="A4090">
        <v>8904206219063</v>
      </c>
      <c r="B4090" t="s">
        <v>4366</v>
      </c>
      <c r="C4090" t="s">
        <v>825</v>
      </c>
      <c r="D4090" t="s">
        <v>4356</v>
      </c>
      <c r="E4090" t="s">
        <v>117</v>
      </c>
      <c r="F4090" t="s">
        <v>4357</v>
      </c>
      <c r="G4090" t="s">
        <v>117</v>
      </c>
      <c r="H4090" t="s">
        <v>5076</v>
      </c>
      <c r="J4090">
        <v>1</v>
      </c>
    </row>
    <row r="4091" spans="1:10" x14ac:dyDescent="0.35">
      <c r="A4091">
        <v>8904206219650</v>
      </c>
      <c r="B4091" t="s">
        <v>4358</v>
      </c>
      <c r="C4091" t="s">
        <v>4359</v>
      </c>
      <c r="D4091" t="s">
        <v>4360</v>
      </c>
      <c r="E4091" t="s">
        <v>117</v>
      </c>
      <c r="F4091" t="s">
        <v>4361</v>
      </c>
      <c r="G4091" t="s">
        <v>117</v>
      </c>
      <c r="H4091" t="s">
        <v>5077</v>
      </c>
      <c r="J4091">
        <v>1</v>
      </c>
    </row>
    <row r="4092" spans="1:10" x14ac:dyDescent="0.35">
      <c r="A4092">
        <v>8904206219667</v>
      </c>
      <c r="B4092" t="s">
        <v>4358</v>
      </c>
      <c r="C4092" t="s">
        <v>4359</v>
      </c>
      <c r="D4092" t="s">
        <v>4360</v>
      </c>
      <c r="E4092" t="s">
        <v>117</v>
      </c>
      <c r="F4092" t="s">
        <v>4361</v>
      </c>
      <c r="G4092" t="s">
        <v>117</v>
      </c>
      <c r="H4092" t="s">
        <v>5077</v>
      </c>
      <c r="J4092">
        <v>3</v>
      </c>
    </row>
    <row r="4093" spans="1:10" x14ac:dyDescent="0.35">
      <c r="A4093">
        <v>8904206219698</v>
      </c>
      <c r="B4093" t="s">
        <v>4370</v>
      </c>
      <c r="C4093" t="s">
        <v>83</v>
      </c>
      <c r="D4093" t="s">
        <v>4371</v>
      </c>
      <c r="E4093" t="s">
        <v>117</v>
      </c>
      <c r="F4093" t="s">
        <v>4357</v>
      </c>
      <c r="G4093" t="s">
        <v>117</v>
      </c>
      <c r="H4093" t="s">
        <v>5076</v>
      </c>
      <c r="J4093">
        <v>34</v>
      </c>
    </row>
    <row r="4094" spans="1:10" x14ac:dyDescent="0.35">
      <c r="A4094">
        <v>8904206235445</v>
      </c>
      <c r="B4094" t="s">
        <v>581</v>
      </c>
      <c r="C4094" t="s">
        <v>603</v>
      </c>
      <c r="D4094" t="s">
        <v>4356</v>
      </c>
      <c r="E4094" t="s">
        <v>117</v>
      </c>
      <c r="F4094" t="s">
        <v>4357</v>
      </c>
      <c r="G4094" t="s">
        <v>117</v>
      </c>
      <c r="H4094" t="s">
        <v>5076</v>
      </c>
      <c r="J4094">
        <v>4</v>
      </c>
    </row>
    <row r="4095" spans="1:10" x14ac:dyDescent="0.35">
      <c r="A4095">
        <v>8904206235452</v>
      </c>
      <c r="B4095" t="s">
        <v>3368</v>
      </c>
      <c r="C4095" t="s">
        <v>603</v>
      </c>
      <c r="D4095" t="s">
        <v>4356</v>
      </c>
      <c r="E4095" t="s">
        <v>117</v>
      </c>
      <c r="F4095" t="s">
        <v>4357</v>
      </c>
      <c r="G4095" t="s">
        <v>117</v>
      </c>
      <c r="H4095" t="s">
        <v>5076</v>
      </c>
      <c r="J4095">
        <v>6</v>
      </c>
    </row>
    <row r="4096" spans="1:10" x14ac:dyDescent="0.35">
      <c r="A4096">
        <v>8904206235469</v>
      </c>
      <c r="B4096" t="s">
        <v>581</v>
      </c>
      <c r="C4096" t="s">
        <v>1199</v>
      </c>
      <c r="D4096" t="s">
        <v>4356</v>
      </c>
      <c r="E4096" t="s">
        <v>117</v>
      </c>
      <c r="F4096" t="s">
        <v>4357</v>
      </c>
      <c r="G4096" t="s">
        <v>117</v>
      </c>
      <c r="H4096" t="s">
        <v>5076</v>
      </c>
      <c r="J4096">
        <v>56</v>
      </c>
    </row>
    <row r="4097" spans="1:10" x14ac:dyDescent="0.35">
      <c r="A4097">
        <v>8904206235476</v>
      </c>
      <c r="B4097" t="s">
        <v>4373</v>
      </c>
      <c r="C4097" t="s">
        <v>603</v>
      </c>
      <c r="D4097" t="s">
        <v>4356</v>
      </c>
      <c r="E4097" t="s">
        <v>117</v>
      </c>
      <c r="F4097" t="s">
        <v>4357</v>
      </c>
      <c r="G4097" t="s">
        <v>117</v>
      </c>
      <c r="H4097" t="s">
        <v>5076</v>
      </c>
      <c r="J4097">
        <v>17</v>
      </c>
    </row>
    <row r="4098" spans="1:10" x14ac:dyDescent="0.35">
      <c r="A4098">
        <v>8904206235483</v>
      </c>
      <c r="B4098" t="s">
        <v>4366</v>
      </c>
      <c r="C4098" t="s">
        <v>1199</v>
      </c>
      <c r="D4098" t="s">
        <v>4356</v>
      </c>
      <c r="E4098" t="s">
        <v>117</v>
      </c>
      <c r="F4098" t="s">
        <v>4357</v>
      </c>
      <c r="G4098" t="s">
        <v>117</v>
      </c>
      <c r="H4098" t="s">
        <v>5076</v>
      </c>
      <c r="J4098">
        <v>8</v>
      </c>
    </row>
    <row r="4099" spans="1:10" x14ac:dyDescent="0.35">
      <c r="A4099">
        <v>8904206235490</v>
      </c>
      <c r="B4099" t="s">
        <v>4365</v>
      </c>
      <c r="C4099" t="s">
        <v>603</v>
      </c>
      <c r="D4099" t="s">
        <v>4356</v>
      </c>
      <c r="E4099" t="s">
        <v>117</v>
      </c>
      <c r="F4099" t="s">
        <v>4357</v>
      </c>
      <c r="G4099" t="s">
        <v>117</v>
      </c>
      <c r="H4099" t="s">
        <v>5076</v>
      </c>
      <c r="J4099">
        <v>21</v>
      </c>
    </row>
    <row r="4100" spans="1:10" x14ac:dyDescent="0.35">
      <c r="A4100">
        <v>8906013030947</v>
      </c>
      <c r="B4100" t="s">
        <v>4374</v>
      </c>
      <c r="C4100" t="s">
        <v>1141</v>
      </c>
      <c r="D4100" t="s">
        <v>4375</v>
      </c>
      <c r="E4100" t="s">
        <v>4329</v>
      </c>
      <c r="F4100" t="s">
        <v>4376</v>
      </c>
      <c r="G4100" t="s">
        <v>22</v>
      </c>
      <c r="H4100" t="s">
        <v>5078</v>
      </c>
      <c r="J4100">
        <v>4</v>
      </c>
    </row>
    <row r="4101" spans="1:10" x14ac:dyDescent="0.35">
      <c r="A4101">
        <v>8906045353236</v>
      </c>
      <c r="B4101" t="s">
        <v>3550</v>
      </c>
      <c r="C4101" t="s">
        <v>909</v>
      </c>
      <c r="D4101" t="s">
        <v>4377</v>
      </c>
      <c r="E4101" t="s">
        <v>308</v>
      </c>
      <c r="F4101" t="s">
        <v>309</v>
      </c>
      <c r="G4101" t="s">
        <v>61</v>
      </c>
      <c r="H4101" t="s">
        <v>4529</v>
      </c>
      <c r="J4101">
        <v>1</v>
      </c>
    </row>
    <row r="4102" spans="1:10" x14ac:dyDescent="0.35">
      <c r="A4102">
        <v>8906102380212</v>
      </c>
      <c r="B4102" t="s">
        <v>4378</v>
      </c>
      <c r="C4102" t="s">
        <v>603</v>
      </c>
      <c r="D4102" t="s">
        <v>4379</v>
      </c>
      <c r="E4102" t="s">
        <v>4380</v>
      </c>
      <c r="F4102" t="s">
        <v>4381</v>
      </c>
      <c r="G4102" t="s">
        <v>4380</v>
      </c>
      <c r="H4102" t="s">
        <v>5079</v>
      </c>
      <c r="J4102">
        <v>1</v>
      </c>
    </row>
    <row r="4103" spans="1:10" x14ac:dyDescent="0.35">
      <c r="A4103">
        <v>8908000175006</v>
      </c>
      <c r="B4103" t="s">
        <v>3566</v>
      </c>
      <c r="C4103" t="s">
        <v>472</v>
      </c>
      <c r="D4103" t="s">
        <v>4382</v>
      </c>
      <c r="E4103" t="s">
        <v>117</v>
      </c>
      <c r="F4103" t="s">
        <v>4383</v>
      </c>
      <c r="G4103" t="s">
        <v>117</v>
      </c>
      <c r="H4103" t="s">
        <v>5080</v>
      </c>
      <c r="J4103">
        <v>29</v>
      </c>
    </row>
    <row r="4104" spans="1:10" x14ac:dyDescent="0.35">
      <c r="A4104">
        <v>8908000175020</v>
      </c>
      <c r="B4104" t="s">
        <v>380</v>
      </c>
      <c r="C4104" t="s">
        <v>192</v>
      </c>
      <c r="D4104" t="s">
        <v>4384</v>
      </c>
      <c r="E4104" t="s">
        <v>117</v>
      </c>
      <c r="F4104" t="s">
        <v>4383</v>
      </c>
      <c r="G4104" t="s">
        <v>117</v>
      </c>
      <c r="H4104" t="s">
        <v>5080</v>
      </c>
      <c r="J4104">
        <v>162</v>
      </c>
    </row>
    <row r="4105" spans="1:10" x14ac:dyDescent="0.35">
      <c r="A4105">
        <v>8908000175068</v>
      </c>
      <c r="B4105" t="s">
        <v>167</v>
      </c>
      <c r="C4105" t="s">
        <v>472</v>
      </c>
      <c r="D4105" t="s">
        <v>4382</v>
      </c>
      <c r="E4105" t="s">
        <v>117</v>
      </c>
      <c r="F4105" t="s">
        <v>4383</v>
      </c>
      <c r="G4105" t="s">
        <v>117</v>
      </c>
      <c r="H4105" t="s">
        <v>5080</v>
      </c>
      <c r="J4105">
        <v>203</v>
      </c>
    </row>
    <row r="4106" spans="1:10" x14ac:dyDescent="0.35">
      <c r="A4106">
        <v>8908000175075</v>
      </c>
      <c r="B4106" t="s">
        <v>668</v>
      </c>
      <c r="C4106" t="s">
        <v>576</v>
      </c>
      <c r="D4106" t="s">
        <v>4382</v>
      </c>
      <c r="E4106" t="s">
        <v>117</v>
      </c>
      <c r="F4106" t="s">
        <v>4383</v>
      </c>
      <c r="G4106" t="s">
        <v>117</v>
      </c>
      <c r="H4106" t="s">
        <v>5080</v>
      </c>
      <c r="J4106">
        <v>16</v>
      </c>
    </row>
    <row r="4107" spans="1:10" x14ac:dyDescent="0.35">
      <c r="A4107">
        <v>8908000175099</v>
      </c>
      <c r="B4107" t="s">
        <v>288</v>
      </c>
      <c r="C4107" t="s">
        <v>576</v>
      </c>
      <c r="D4107" t="s">
        <v>4382</v>
      </c>
      <c r="E4107" t="s">
        <v>117</v>
      </c>
      <c r="F4107" t="s">
        <v>4383</v>
      </c>
      <c r="G4107" t="s">
        <v>117</v>
      </c>
      <c r="H4107" t="s">
        <v>5080</v>
      </c>
      <c r="J4107">
        <v>65</v>
      </c>
    </row>
    <row r="4108" spans="1:10" x14ac:dyDescent="0.35">
      <c r="A4108">
        <v>8908000175112</v>
      </c>
      <c r="B4108" t="s">
        <v>696</v>
      </c>
      <c r="C4108" t="s">
        <v>472</v>
      </c>
      <c r="D4108" t="s">
        <v>4382</v>
      </c>
      <c r="E4108" t="s">
        <v>117</v>
      </c>
      <c r="F4108" t="s">
        <v>4383</v>
      </c>
      <c r="G4108" t="s">
        <v>117</v>
      </c>
      <c r="H4108" t="s">
        <v>5080</v>
      </c>
      <c r="J4108">
        <v>336</v>
      </c>
    </row>
    <row r="4109" spans="1:10" x14ac:dyDescent="0.35">
      <c r="A4109">
        <v>8908000175129</v>
      </c>
      <c r="B4109" t="s">
        <v>4385</v>
      </c>
      <c r="C4109" t="s">
        <v>576</v>
      </c>
      <c r="D4109" t="s">
        <v>4386</v>
      </c>
      <c r="E4109" t="s">
        <v>117</v>
      </c>
      <c r="F4109" t="s">
        <v>4383</v>
      </c>
      <c r="G4109" t="s">
        <v>117</v>
      </c>
      <c r="H4109" t="s">
        <v>5080</v>
      </c>
      <c r="J4109">
        <v>2</v>
      </c>
    </row>
    <row r="4110" spans="1:10" x14ac:dyDescent="0.35">
      <c r="A4110">
        <v>8908000175136</v>
      </c>
      <c r="B4110" t="s">
        <v>380</v>
      </c>
      <c r="C4110" t="s">
        <v>326</v>
      </c>
      <c r="D4110" t="s">
        <v>4384</v>
      </c>
      <c r="E4110" t="s">
        <v>117</v>
      </c>
      <c r="F4110" t="s">
        <v>4383</v>
      </c>
      <c r="G4110" t="s">
        <v>117</v>
      </c>
      <c r="H4110" t="s">
        <v>5080</v>
      </c>
      <c r="J4110">
        <v>413</v>
      </c>
    </row>
    <row r="4111" spans="1:10" x14ac:dyDescent="0.35">
      <c r="A4111">
        <v>8908000175174</v>
      </c>
      <c r="B4111" t="s">
        <v>854</v>
      </c>
      <c r="C4111" t="s">
        <v>472</v>
      </c>
      <c r="D4111" t="s">
        <v>4382</v>
      </c>
      <c r="E4111" t="s">
        <v>117</v>
      </c>
      <c r="F4111" t="s">
        <v>4383</v>
      </c>
      <c r="G4111" t="s">
        <v>117</v>
      </c>
      <c r="H4111" t="s">
        <v>5080</v>
      </c>
      <c r="J4111">
        <v>4</v>
      </c>
    </row>
    <row r="4112" spans="1:10" x14ac:dyDescent="0.35">
      <c r="A4112">
        <v>8908000175211</v>
      </c>
      <c r="B4112" t="s">
        <v>581</v>
      </c>
      <c r="C4112" t="s">
        <v>9</v>
      </c>
      <c r="D4112" t="s">
        <v>4387</v>
      </c>
      <c r="E4112" t="s">
        <v>117</v>
      </c>
      <c r="F4112" t="s">
        <v>4383</v>
      </c>
      <c r="G4112" t="s">
        <v>117</v>
      </c>
      <c r="H4112" t="s">
        <v>5080</v>
      </c>
      <c r="J4112">
        <v>71</v>
      </c>
    </row>
    <row r="4113" spans="1:10" x14ac:dyDescent="0.35">
      <c r="A4113">
        <v>8908000175228</v>
      </c>
      <c r="B4113" t="s">
        <v>581</v>
      </c>
      <c r="C4113" t="s">
        <v>253</v>
      </c>
      <c r="D4113" t="s">
        <v>4382</v>
      </c>
      <c r="E4113" t="s">
        <v>117</v>
      </c>
      <c r="F4113" t="s">
        <v>4383</v>
      </c>
      <c r="G4113" t="s">
        <v>117</v>
      </c>
      <c r="H4113" t="s">
        <v>5080</v>
      </c>
      <c r="J4113">
        <v>12</v>
      </c>
    </row>
    <row r="4114" spans="1:10" x14ac:dyDescent="0.35">
      <c r="A4114">
        <v>8908000175242</v>
      </c>
      <c r="B4114" t="s">
        <v>696</v>
      </c>
      <c r="C4114" t="s">
        <v>253</v>
      </c>
      <c r="D4114" t="s">
        <v>4382</v>
      </c>
      <c r="E4114" t="s">
        <v>117</v>
      </c>
      <c r="F4114" t="s">
        <v>4383</v>
      </c>
      <c r="G4114" t="s">
        <v>117</v>
      </c>
      <c r="H4114" t="s">
        <v>5080</v>
      </c>
      <c r="J4114">
        <v>112</v>
      </c>
    </row>
    <row r="4115" spans="1:10" x14ac:dyDescent="0.35">
      <c r="A4115">
        <v>8908000175259</v>
      </c>
      <c r="B4115" t="s">
        <v>1613</v>
      </c>
      <c r="C4115" t="s">
        <v>9</v>
      </c>
      <c r="D4115" t="s">
        <v>4382</v>
      </c>
      <c r="E4115" t="s">
        <v>117</v>
      </c>
      <c r="F4115" t="s">
        <v>4383</v>
      </c>
      <c r="G4115" t="s">
        <v>117</v>
      </c>
      <c r="H4115" t="s">
        <v>5080</v>
      </c>
      <c r="J4115">
        <v>6</v>
      </c>
    </row>
    <row r="4116" spans="1:10" x14ac:dyDescent="0.35">
      <c r="A4116">
        <v>8908000175358</v>
      </c>
      <c r="B4116" t="s">
        <v>4388</v>
      </c>
      <c r="C4116" t="s">
        <v>9</v>
      </c>
      <c r="D4116" t="s">
        <v>4389</v>
      </c>
      <c r="E4116" t="s">
        <v>117</v>
      </c>
      <c r="F4116" t="s">
        <v>4390</v>
      </c>
      <c r="G4116" t="s">
        <v>117</v>
      </c>
      <c r="H4116" t="s">
        <v>5081</v>
      </c>
      <c r="J4116">
        <v>40</v>
      </c>
    </row>
    <row r="4117" spans="1:10" x14ac:dyDescent="0.35">
      <c r="A4117">
        <v>8908000175440</v>
      </c>
      <c r="B4117" t="s">
        <v>2834</v>
      </c>
      <c r="C4117" t="s">
        <v>576</v>
      </c>
      <c r="D4117" t="s">
        <v>4389</v>
      </c>
      <c r="E4117" t="s">
        <v>117</v>
      </c>
      <c r="F4117" t="s">
        <v>4390</v>
      </c>
      <c r="G4117" t="s">
        <v>117</v>
      </c>
      <c r="H4117" t="s">
        <v>5081</v>
      </c>
      <c r="J4117">
        <v>18</v>
      </c>
    </row>
    <row r="4118" spans="1:10" x14ac:dyDescent="0.35">
      <c r="A4118">
        <v>8908000175488</v>
      </c>
      <c r="B4118" t="s">
        <v>288</v>
      </c>
      <c r="C4118" t="s">
        <v>253</v>
      </c>
      <c r="D4118" t="s">
        <v>4382</v>
      </c>
      <c r="E4118" t="s">
        <v>117</v>
      </c>
      <c r="F4118" t="s">
        <v>4383</v>
      </c>
      <c r="G4118" t="s">
        <v>117</v>
      </c>
      <c r="H4118" t="s">
        <v>5080</v>
      </c>
      <c r="J4118">
        <v>56</v>
      </c>
    </row>
    <row r="4119" spans="1:10" x14ac:dyDescent="0.35">
      <c r="A4119">
        <v>8934830128189</v>
      </c>
      <c r="B4119" t="s">
        <v>2908</v>
      </c>
      <c r="C4119" t="s">
        <v>1131</v>
      </c>
      <c r="D4119" t="s">
        <v>2908</v>
      </c>
      <c r="E4119" t="s">
        <v>22</v>
      </c>
      <c r="F4119" t="s">
        <v>361</v>
      </c>
      <c r="G4119" t="s">
        <v>41</v>
      </c>
      <c r="H4119" t="s">
        <v>4539</v>
      </c>
      <c r="J4119">
        <v>50</v>
      </c>
    </row>
    <row r="4120" spans="1:10" x14ac:dyDescent="0.35">
      <c r="A4120">
        <v>8934839128289</v>
      </c>
      <c r="B4120" t="s">
        <v>2908</v>
      </c>
      <c r="C4120" t="s">
        <v>1131</v>
      </c>
      <c r="D4120" t="s">
        <v>2908</v>
      </c>
      <c r="E4120" t="s">
        <v>22</v>
      </c>
      <c r="F4120" t="s">
        <v>361</v>
      </c>
      <c r="G4120" t="s">
        <v>41</v>
      </c>
      <c r="H4120" t="s">
        <v>4539</v>
      </c>
      <c r="J4120">
        <v>101</v>
      </c>
    </row>
    <row r="4121" spans="1:10" x14ac:dyDescent="0.35">
      <c r="A4121">
        <v>8936046075127</v>
      </c>
      <c r="B4121" t="s">
        <v>4391</v>
      </c>
      <c r="C4121" t="s">
        <v>603</v>
      </c>
      <c r="D4121" t="s">
        <v>4392</v>
      </c>
      <c r="E4121" t="s">
        <v>827</v>
      </c>
      <c r="F4121" t="s">
        <v>4393</v>
      </c>
      <c r="G4121" t="s">
        <v>34</v>
      </c>
      <c r="H4121" t="s">
        <v>5082</v>
      </c>
      <c r="J4121">
        <v>1</v>
      </c>
    </row>
    <row r="4122" spans="1:10" x14ac:dyDescent="0.35">
      <c r="A4122">
        <v>8936046075127</v>
      </c>
      <c r="B4122" t="s">
        <v>4391</v>
      </c>
      <c r="C4122" t="s">
        <v>603</v>
      </c>
      <c r="D4122" t="s">
        <v>4392</v>
      </c>
      <c r="E4122" t="s">
        <v>827</v>
      </c>
      <c r="F4122" t="s">
        <v>4393</v>
      </c>
      <c r="G4122" t="s">
        <v>31</v>
      </c>
      <c r="H4122" t="s">
        <v>5082</v>
      </c>
      <c r="J4122">
        <v>1</v>
      </c>
    </row>
    <row r="4123" spans="1:10" x14ac:dyDescent="0.35">
      <c r="A4123">
        <v>8946527453986</v>
      </c>
      <c r="B4123" t="s">
        <v>4394</v>
      </c>
      <c r="C4123" t="s">
        <v>78</v>
      </c>
      <c r="D4123" t="s">
        <v>4395</v>
      </c>
      <c r="E4123" t="s">
        <v>1761</v>
      </c>
      <c r="F4123" t="s">
        <v>4396</v>
      </c>
      <c r="G4123" t="s">
        <v>61</v>
      </c>
      <c r="H4123" t="s">
        <v>5083</v>
      </c>
      <c r="J4123">
        <v>54</v>
      </c>
    </row>
    <row r="4124" spans="1:10" x14ac:dyDescent="0.35">
      <c r="A4124">
        <v>8992946523748</v>
      </c>
      <c r="B4124" t="s">
        <v>3881</v>
      </c>
      <c r="C4124" t="s">
        <v>272</v>
      </c>
      <c r="D4124" t="s">
        <v>3566</v>
      </c>
      <c r="E4124" t="s">
        <v>308</v>
      </c>
      <c r="F4124" t="s">
        <v>309</v>
      </c>
      <c r="G4124" t="s">
        <v>61</v>
      </c>
      <c r="H4124" t="s">
        <v>4529</v>
      </c>
      <c r="J4124">
        <v>44</v>
      </c>
    </row>
    <row r="4125" spans="1:10" x14ac:dyDescent="0.35">
      <c r="A4125">
        <v>8995899250310</v>
      </c>
      <c r="B4125" t="s">
        <v>4397</v>
      </c>
      <c r="C4125" t="s">
        <v>253</v>
      </c>
      <c r="D4125" t="s">
        <v>4398</v>
      </c>
      <c r="E4125" t="s">
        <v>308</v>
      </c>
      <c r="F4125" t="s">
        <v>309</v>
      </c>
      <c r="G4125" t="s">
        <v>61</v>
      </c>
      <c r="H4125" t="s">
        <v>4529</v>
      </c>
      <c r="J4125">
        <v>1</v>
      </c>
    </row>
    <row r="4126" spans="1:10" x14ac:dyDescent="0.35">
      <c r="A4126">
        <v>8996001414033</v>
      </c>
      <c r="B4126" t="s">
        <v>4399</v>
      </c>
      <c r="C4126" t="s">
        <v>2957</v>
      </c>
      <c r="D4126" t="s">
        <v>4400</v>
      </c>
      <c r="E4126" t="s">
        <v>4401</v>
      </c>
      <c r="F4126" t="s">
        <v>4402</v>
      </c>
      <c r="G4126" t="s">
        <v>34</v>
      </c>
      <c r="H4126" t="s">
        <v>5084</v>
      </c>
      <c r="J4126">
        <v>1</v>
      </c>
    </row>
    <row r="4127" spans="1:10" x14ac:dyDescent="0.35">
      <c r="A4127">
        <v>8997009510123</v>
      </c>
      <c r="B4127" t="s">
        <v>4403</v>
      </c>
      <c r="C4127" t="s">
        <v>9</v>
      </c>
      <c r="D4127" t="s">
        <v>4404</v>
      </c>
      <c r="E4127" t="s">
        <v>11</v>
      </c>
      <c r="F4127" t="s">
        <v>2465</v>
      </c>
      <c r="G4127" t="s">
        <v>11</v>
      </c>
      <c r="H4127" t="s">
        <v>4806</v>
      </c>
      <c r="J4127">
        <v>25</v>
      </c>
    </row>
    <row r="4128" spans="1:10" x14ac:dyDescent="0.35">
      <c r="A4128">
        <v>8999999583323</v>
      </c>
      <c r="B4128" t="s">
        <v>4405</v>
      </c>
      <c r="C4128" t="s">
        <v>1131</v>
      </c>
      <c r="D4128" t="s">
        <v>2908</v>
      </c>
      <c r="E4128" t="s">
        <v>22</v>
      </c>
      <c r="F4128" t="s">
        <v>361</v>
      </c>
      <c r="G4128" t="s">
        <v>41</v>
      </c>
      <c r="H4128" t="s">
        <v>4539</v>
      </c>
      <c r="J4128">
        <v>100</v>
      </c>
    </row>
    <row r="4129" spans="1:10" x14ac:dyDescent="0.35">
      <c r="A4129">
        <v>9009214040919</v>
      </c>
      <c r="B4129" t="s">
        <v>592</v>
      </c>
      <c r="C4129" t="s">
        <v>681</v>
      </c>
      <c r="D4129" t="s">
        <v>2785</v>
      </c>
      <c r="E4129" t="s">
        <v>34</v>
      </c>
      <c r="F4129" t="s">
        <v>1838</v>
      </c>
      <c r="G4129" t="s">
        <v>34</v>
      </c>
      <c r="H4129" t="s">
        <v>4736</v>
      </c>
      <c r="J4129">
        <v>2</v>
      </c>
    </row>
    <row r="4130" spans="1:10" x14ac:dyDescent="0.35">
      <c r="A4130">
        <v>90162602</v>
      </c>
      <c r="B4130" t="s">
        <v>295</v>
      </c>
      <c r="C4130" t="s">
        <v>272</v>
      </c>
      <c r="D4130" t="s">
        <v>398</v>
      </c>
      <c r="E4130" t="s">
        <v>399</v>
      </c>
      <c r="F4130" t="s">
        <v>400</v>
      </c>
      <c r="G4130" t="s">
        <v>16</v>
      </c>
      <c r="H4130" t="s">
        <v>4545</v>
      </c>
      <c r="J4130">
        <v>2</v>
      </c>
    </row>
    <row r="4131" spans="1:10" x14ac:dyDescent="0.35">
      <c r="A4131">
        <v>90162602</v>
      </c>
      <c r="B4131" t="s">
        <v>295</v>
      </c>
      <c r="C4131" t="s">
        <v>272</v>
      </c>
      <c r="D4131" t="s">
        <v>398</v>
      </c>
      <c r="E4131" t="s">
        <v>399</v>
      </c>
      <c r="F4131" t="s">
        <v>400</v>
      </c>
      <c r="G4131" t="s">
        <v>61</v>
      </c>
      <c r="H4131" t="s">
        <v>4545</v>
      </c>
      <c r="J4131">
        <v>9</v>
      </c>
    </row>
    <row r="4132" spans="1:10" x14ac:dyDescent="0.35">
      <c r="A4132">
        <v>9026128003601</v>
      </c>
      <c r="B4132" t="s">
        <v>3566</v>
      </c>
      <c r="C4132" t="s">
        <v>603</v>
      </c>
      <c r="D4132" t="s">
        <v>1645</v>
      </c>
      <c r="E4132" t="s">
        <v>22</v>
      </c>
      <c r="F4132" t="s">
        <v>1646</v>
      </c>
      <c r="G4132" t="s">
        <v>22</v>
      </c>
      <c r="H4132" t="s">
        <v>4711</v>
      </c>
      <c r="J4132">
        <v>1</v>
      </c>
    </row>
    <row r="4133" spans="1:10" x14ac:dyDescent="0.35">
      <c r="A4133">
        <v>90338052</v>
      </c>
      <c r="B4133" t="s">
        <v>14</v>
      </c>
      <c r="C4133" t="s">
        <v>38</v>
      </c>
      <c r="D4133" t="s">
        <v>14</v>
      </c>
      <c r="E4133" t="s">
        <v>15</v>
      </c>
      <c r="F4133" t="s">
        <v>14</v>
      </c>
      <c r="G4133" t="s">
        <v>117</v>
      </c>
      <c r="H4133" t="s">
        <v>4489</v>
      </c>
      <c r="J4133">
        <v>29</v>
      </c>
    </row>
    <row r="4134" spans="1:10" x14ac:dyDescent="0.35">
      <c r="A4134">
        <v>90338052</v>
      </c>
      <c r="B4134" t="s">
        <v>14</v>
      </c>
      <c r="C4134" t="s">
        <v>38</v>
      </c>
      <c r="D4134" t="s">
        <v>14</v>
      </c>
      <c r="E4134" t="s">
        <v>15</v>
      </c>
      <c r="F4134" t="s">
        <v>14</v>
      </c>
      <c r="G4134" t="s">
        <v>387</v>
      </c>
      <c r="H4134" t="s">
        <v>4489</v>
      </c>
      <c r="J4134">
        <v>10</v>
      </c>
    </row>
    <row r="4135" spans="1:10" x14ac:dyDescent="0.35">
      <c r="A4135">
        <v>90338052</v>
      </c>
      <c r="B4135" t="s">
        <v>14</v>
      </c>
      <c r="C4135" t="s">
        <v>38</v>
      </c>
      <c r="D4135" t="s">
        <v>14</v>
      </c>
      <c r="E4135" t="s">
        <v>15</v>
      </c>
      <c r="F4135" t="s">
        <v>14</v>
      </c>
      <c r="G4135" t="s">
        <v>41</v>
      </c>
      <c r="H4135" t="s">
        <v>4489</v>
      </c>
      <c r="J4135">
        <v>441</v>
      </c>
    </row>
    <row r="4136" spans="1:10" x14ac:dyDescent="0.35">
      <c r="A4136">
        <v>90338052</v>
      </c>
      <c r="B4136" t="s">
        <v>14</v>
      </c>
      <c r="C4136" t="s">
        <v>38</v>
      </c>
      <c r="D4136" t="s">
        <v>14</v>
      </c>
      <c r="E4136" t="s">
        <v>15</v>
      </c>
      <c r="F4136" t="s">
        <v>14</v>
      </c>
      <c r="G4136" t="s">
        <v>11</v>
      </c>
      <c r="H4136" t="s">
        <v>4489</v>
      </c>
      <c r="J4136">
        <v>10</v>
      </c>
    </row>
    <row r="4137" spans="1:10" x14ac:dyDescent="0.35">
      <c r="A4137">
        <v>90338052</v>
      </c>
      <c r="B4137" t="s">
        <v>14</v>
      </c>
      <c r="C4137" t="s">
        <v>38</v>
      </c>
      <c r="D4137" t="s">
        <v>14</v>
      </c>
      <c r="E4137" t="s">
        <v>15</v>
      </c>
      <c r="F4137" t="s">
        <v>14</v>
      </c>
      <c r="G4137" t="s">
        <v>33</v>
      </c>
      <c r="H4137" t="s">
        <v>4489</v>
      </c>
      <c r="J4137">
        <v>1725</v>
      </c>
    </row>
    <row r="4138" spans="1:10" x14ac:dyDescent="0.35">
      <c r="A4138">
        <v>90338052</v>
      </c>
      <c r="B4138" t="s">
        <v>14</v>
      </c>
      <c r="C4138" t="s">
        <v>38</v>
      </c>
      <c r="D4138" t="s">
        <v>14</v>
      </c>
      <c r="E4138" t="s">
        <v>15</v>
      </c>
      <c r="F4138" t="s">
        <v>14</v>
      </c>
      <c r="G4138" t="s">
        <v>34</v>
      </c>
      <c r="H4138" t="s">
        <v>4489</v>
      </c>
      <c r="J4138">
        <v>20</v>
      </c>
    </row>
    <row r="4139" spans="1:10" x14ac:dyDescent="0.35">
      <c r="A4139">
        <v>90338052</v>
      </c>
      <c r="B4139" t="s">
        <v>14</v>
      </c>
      <c r="C4139" t="s">
        <v>38</v>
      </c>
      <c r="D4139" t="s">
        <v>14</v>
      </c>
      <c r="E4139" t="s">
        <v>15</v>
      </c>
      <c r="F4139" t="s">
        <v>14</v>
      </c>
      <c r="G4139" t="s">
        <v>61</v>
      </c>
      <c r="H4139" t="s">
        <v>4489</v>
      </c>
      <c r="J4139">
        <v>295</v>
      </c>
    </row>
    <row r="4140" spans="1:10" x14ac:dyDescent="0.35">
      <c r="A4140">
        <v>90338052</v>
      </c>
      <c r="B4140" t="s">
        <v>14</v>
      </c>
      <c r="C4140" t="s">
        <v>38</v>
      </c>
      <c r="D4140" t="s">
        <v>14</v>
      </c>
      <c r="E4140" t="s">
        <v>15</v>
      </c>
      <c r="F4140" t="s">
        <v>14</v>
      </c>
      <c r="G4140" t="s">
        <v>31</v>
      </c>
      <c r="H4140" t="s">
        <v>4489</v>
      </c>
      <c r="J4140">
        <v>2</v>
      </c>
    </row>
    <row r="4141" spans="1:10" x14ac:dyDescent="0.35">
      <c r="A4141">
        <v>90357053</v>
      </c>
      <c r="B4141" t="s">
        <v>156</v>
      </c>
      <c r="C4141" t="s">
        <v>472</v>
      </c>
      <c r="D4141" t="s">
        <v>705</v>
      </c>
      <c r="E4141" t="s">
        <v>15</v>
      </c>
      <c r="F4141" t="s">
        <v>14</v>
      </c>
      <c r="G4141" t="s">
        <v>11</v>
      </c>
      <c r="H4141" t="s">
        <v>4489</v>
      </c>
      <c r="J4141">
        <v>9</v>
      </c>
    </row>
    <row r="4142" spans="1:10" x14ac:dyDescent="0.35">
      <c r="A4142">
        <v>90357053</v>
      </c>
      <c r="B4142" t="s">
        <v>156</v>
      </c>
      <c r="C4142" t="s">
        <v>472</v>
      </c>
      <c r="D4142" t="s">
        <v>705</v>
      </c>
      <c r="E4142" t="s">
        <v>15</v>
      </c>
      <c r="F4142" t="s">
        <v>14</v>
      </c>
      <c r="G4142" t="s">
        <v>34</v>
      </c>
      <c r="H4142" t="s">
        <v>4489</v>
      </c>
      <c r="J4142">
        <v>51</v>
      </c>
    </row>
    <row r="4143" spans="1:10" x14ac:dyDescent="0.35">
      <c r="A4143">
        <v>90357626</v>
      </c>
      <c r="B4143" t="s">
        <v>4406</v>
      </c>
      <c r="C4143" t="s">
        <v>472</v>
      </c>
      <c r="D4143" t="s">
        <v>14</v>
      </c>
      <c r="E4143" t="s">
        <v>15</v>
      </c>
      <c r="F4143" t="s">
        <v>14</v>
      </c>
      <c r="G4143" t="s">
        <v>34</v>
      </c>
      <c r="H4143" t="s">
        <v>4489</v>
      </c>
      <c r="J4143">
        <v>54</v>
      </c>
    </row>
    <row r="4144" spans="1:10" x14ac:dyDescent="0.35">
      <c r="A4144">
        <v>90357626</v>
      </c>
      <c r="B4144" t="s">
        <v>4406</v>
      </c>
      <c r="C4144" t="s">
        <v>472</v>
      </c>
      <c r="D4144" t="s">
        <v>14</v>
      </c>
      <c r="E4144" t="s">
        <v>15</v>
      </c>
      <c r="F4144" t="s">
        <v>14</v>
      </c>
      <c r="G4144" t="s">
        <v>31</v>
      </c>
      <c r="H4144" t="s">
        <v>4489</v>
      </c>
      <c r="J4144">
        <v>73</v>
      </c>
    </row>
    <row r="4145" spans="1:10" x14ac:dyDescent="0.35">
      <c r="A4145">
        <v>90370748</v>
      </c>
      <c r="B4145" t="s">
        <v>1934</v>
      </c>
      <c r="C4145" t="s">
        <v>909</v>
      </c>
      <c r="D4145" t="s">
        <v>52</v>
      </c>
      <c r="E4145" t="s">
        <v>15</v>
      </c>
      <c r="F4145" t="s">
        <v>14</v>
      </c>
      <c r="G4145" t="s">
        <v>34</v>
      </c>
      <c r="H4145" t="s">
        <v>4489</v>
      </c>
      <c r="J4145">
        <v>5</v>
      </c>
    </row>
    <row r="4146" spans="1:10" x14ac:dyDescent="0.35">
      <c r="A4146">
        <v>90370748</v>
      </c>
      <c r="B4146" t="s">
        <v>1934</v>
      </c>
      <c r="C4146" t="s">
        <v>909</v>
      </c>
      <c r="D4146" t="s">
        <v>52</v>
      </c>
      <c r="E4146" t="s">
        <v>15</v>
      </c>
      <c r="F4146" t="s">
        <v>14</v>
      </c>
      <c r="G4146" t="s">
        <v>61</v>
      </c>
      <c r="H4146" t="s">
        <v>4489</v>
      </c>
      <c r="J4146">
        <v>166</v>
      </c>
    </row>
    <row r="4147" spans="1:10" x14ac:dyDescent="0.35">
      <c r="A4147">
        <v>90375149</v>
      </c>
      <c r="B4147" t="s">
        <v>709</v>
      </c>
      <c r="C4147" t="s">
        <v>1341</v>
      </c>
      <c r="D4147" t="s">
        <v>14</v>
      </c>
      <c r="E4147" t="s">
        <v>15</v>
      </c>
      <c r="F4147" t="s">
        <v>14</v>
      </c>
      <c r="G4147" t="s">
        <v>117</v>
      </c>
      <c r="H4147" t="s">
        <v>4489</v>
      </c>
      <c r="J4147">
        <v>1</v>
      </c>
    </row>
    <row r="4148" spans="1:10" x14ac:dyDescent="0.35">
      <c r="A4148">
        <v>90375149</v>
      </c>
      <c r="B4148" t="s">
        <v>709</v>
      </c>
      <c r="C4148" t="s">
        <v>1341</v>
      </c>
      <c r="D4148" t="s">
        <v>14</v>
      </c>
      <c r="E4148" t="s">
        <v>15</v>
      </c>
      <c r="F4148" t="s">
        <v>14</v>
      </c>
      <c r="G4148" t="s">
        <v>73</v>
      </c>
      <c r="H4148" t="s">
        <v>4489</v>
      </c>
      <c r="J4148">
        <v>1</v>
      </c>
    </row>
    <row r="4149" spans="1:10" x14ac:dyDescent="0.35">
      <c r="A4149">
        <v>90375286</v>
      </c>
      <c r="B4149" t="s">
        <v>14</v>
      </c>
      <c r="C4149" t="s">
        <v>1341</v>
      </c>
      <c r="D4149" t="s">
        <v>14</v>
      </c>
      <c r="E4149" t="s">
        <v>15</v>
      </c>
      <c r="F4149" t="s">
        <v>14</v>
      </c>
      <c r="G4149" t="s">
        <v>34</v>
      </c>
      <c r="H4149" t="s">
        <v>4489</v>
      </c>
      <c r="J4149">
        <v>825</v>
      </c>
    </row>
    <row r="4150" spans="1:10" x14ac:dyDescent="0.35">
      <c r="A4150">
        <v>90375286</v>
      </c>
      <c r="B4150" t="s">
        <v>14</v>
      </c>
      <c r="C4150" t="s">
        <v>1341</v>
      </c>
      <c r="D4150" t="s">
        <v>14</v>
      </c>
      <c r="E4150" t="s">
        <v>15</v>
      </c>
      <c r="F4150" t="s">
        <v>14</v>
      </c>
      <c r="G4150" t="s">
        <v>150</v>
      </c>
      <c r="H4150" t="s">
        <v>4489</v>
      </c>
      <c r="J4150">
        <v>1</v>
      </c>
    </row>
    <row r="4151" spans="1:10" x14ac:dyDescent="0.35">
      <c r="A4151">
        <v>90375378</v>
      </c>
      <c r="B4151" t="s">
        <v>752</v>
      </c>
      <c r="C4151" t="s">
        <v>603</v>
      </c>
      <c r="D4151" t="s">
        <v>1871</v>
      </c>
      <c r="E4151" t="s">
        <v>15</v>
      </c>
      <c r="F4151" t="s">
        <v>14</v>
      </c>
      <c r="G4151" t="s">
        <v>34</v>
      </c>
      <c r="H4151" t="s">
        <v>4489</v>
      </c>
      <c r="J4151">
        <v>3</v>
      </c>
    </row>
    <row r="4152" spans="1:10" x14ac:dyDescent="0.35">
      <c r="A4152">
        <v>90375378</v>
      </c>
      <c r="B4152" t="s">
        <v>752</v>
      </c>
      <c r="C4152" t="s">
        <v>603</v>
      </c>
      <c r="D4152" t="s">
        <v>1871</v>
      </c>
      <c r="E4152" t="s">
        <v>15</v>
      </c>
      <c r="F4152" t="s">
        <v>14</v>
      </c>
      <c r="G4152" t="s">
        <v>73</v>
      </c>
      <c r="H4152" t="s">
        <v>4489</v>
      </c>
      <c r="J4152">
        <v>2</v>
      </c>
    </row>
    <row r="4153" spans="1:10" x14ac:dyDescent="0.35">
      <c r="A4153">
        <v>90377235</v>
      </c>
      <c r="B4153" t="s">
        <v>4407</v>
      </c>
      <c r="C4153" t="s">
        <v>38</v>
      </c>
      <c r="D4153" t="s">
        <v>246</v>
      </c>
      <c r="E4153" t="s">
        <v>15</v>
      </c>
      <c r="F4153" t="s">
        <v>14</v>
      </c>
      <c r="G4153" t="s">
        <v>117</v>
      </c>
      <c r="H4153" t="s">
        <v>4489</v>
      </c>
      <c r="J4153">
        <v>73</v>
      </c>
    </row>
    <row r="4154" spans="1:10" x14ac:dyDescent="0.35">
      <c r="A4154">
        <v>90377235</v>
      </c>
      <c r="B4154" t="s">
        <v>4407</v>
      </c>
      <c r="C4154" t="s">
        <v>38</v>
      </c>
      <c r="D4154" t="s">
        <v>246</v>
      </c>
      <c r="E4154" t="s">
        <v>15</v>
      </c>
      <c r="F4154" t="s">
        <v>14</v>
      </c>
      <c r="G4154" t="s">
        <v>41</v>
      </c>
      <c r="H4154" t="s">
        <v>4489</v>
      </c>
      <c r="J4154">
        <v>24</v>
      </c>
    </row>
    <row r="4155" spans="1:10" x14ac:dyDescent="0.35">
      <c r="A4155">
        <v>90377235</v>
      </c>
      <c r="B4155" t="s">
        <v>4407</v>
      </c>
      <c r="C4155" t="s">
        <v>38</v>
      </c>
      <c r="D4155" t="s">
        <v>246</v>
      </c>
      <c r="E4155" t="s">
        <v>15</v>
      </c>
      <c r="F4155" t="s">
        <v>14</v>
      </c>
      <c r="G4155" t="s">
        <v>11</v>
      </c>
      <c r="H4155" t="s">
        <v>4489</v>
      </c>
      <c r="J4155">
        <v>1</v>
      </c>
    </row>
    <row r="4156" spans="1:10" x14ac:dyDescent="0.35">
      <c r="A4156">
        <v>90377235</v>
      </c>
      <c r="B4156" t="s">
        <v>4407</v>
      </c>
      <c r="C4156" t="s">
        <v>38</v>
      </c>
      <c r="D4156" t="s">
        <v>246</v>
      </c>
      <c r="E4156" t="s">
        <v>15</v>
      </c>
      <c r="F4156" t="s">
        <v>14</v>
      </c>
      <c r="G4156" t="s">
        <v>34</v>
      </c>
      <c r="H4156" t="s">
        <v>4489</v>
      </c>
      <c r="J4156">
        <v>10</v>
      </c>
    </row>
    <row r="4157" spans="1:10" x14ac:dyDescent="0.35">
      <c r="A4157">
        <v>90377235</v>
      </c>
      <c r="B4157" t="s">
        <v>4407</v>
      </c>
      <c r="C4157" t="s">
        <v>38</v>
      </c>
      <c r="D4157" t="s">
        <v>246</v>
      </c>
      <c r="E4157" t="s">
        <v>15</v>
      </c>
      <c r="F4157" t="s">
        <v>14</v>
      </c>
      <c r="G4157" t="s">
        <v>150</v>
      </c>
      <c r="H4157" t="s">
        <v>4489</v>
      </c>
      <c r="J4157">
        <v>1</v>
      </c>
    </row>
    <row r="4158" spans="1:10" x14ac:dyDescent="0.35">
      <c r="A4158">
        <v>90377235</v>
      </c>
      <c r="B4158" t="s">
        <v>4407</v>
      </c>
      <c r="C4158" t="s">
        <v>38</v>
      </c>
      <c r="D4158" t="s">
        <v>246</v>
      </c>
      <c r="E4158" t="s">
        <v>15</v>
      </c>
      <c r="F4158" t="s">
        <v>14</v>
      </c>
      <c r="G4158" t="s">
        <v>61</v>
      </c>
      <c r="H4158" t="s">
        <v>4489</v>
      </c>
      <c r="J4158">
        <v>91</v>
      </c>
    </row>
    <row r="4159" spans="1:10" x14ac:dyDescent="0.35">
      <c r="A4159">
        <v>90377242</v>
      </c>
      <c r="B4159" t="s">
        <v>4408</v>
      </c>
      <c r="C4159" t="s">
        <v>38</v>
      </c>
      <c r="D4159" t="s">
        <v>246</v>
      </c>
      <c r="E4159" t="s">
        <v>15</v>
      </c>
      <c r="F4159" t="s">
        <v>14</v>
      </c>
      <c r="G4159" t="s">
        <v>117</v>
      </c>
      <c r="H4159" t="s">
        <v>4489</v>
      </c>
      <c r="J4159">
        <v>2</v>
      </c>
    </row>
    <row r="4160" spans="1:10" x14ac:dyDescent="0.35">
      <c r="A4160">
        <v>90377242</v>
      </c>
      <c r="B4160" t="s">
        <v>4408</v>
      </c>
      <c r="C4160" t="s">
        <v>38</v>
      </c>
      <c r="D4160" t="s">
        <v>246</v>
      </c>
      <c r="E4160" t="s">
        <v>15</v>
      </c>
      <c r="F4160" t="s">
        <v>14</v>
      </c>
      <c r="G4160" t="s">
        <v>34</v>
      </c>
      <c r="H4160" t="s">
        <v>4489</v>
      </c>
      <c r="J4160">
        <v>3</v>
      </c>
    </row>
    <row r="4161" spans="1:10" x14ac:dyDescent="0.35">
      <c r="A4161">
        <v>90377242</v>
      </c>
      <c r="B4161" t="s">
        <v>4408</v>
      </c>
      <c r="C4161" t="s">
        <v>38</v>
      </c>
      <c r="D4161" t="s">
        <v>246</v>
      </c>
      <c r="E4161" t="s">
        <v>15</v>
      </c>
      <c r="F4161" t="s">
        <v>14</v>
      </c>
      <c r="G4161" t="s">
        <v>61</v>
      </c>
      <c r="H4161" t="s">
        <v>4489</v>
      </c>
      <c r="J4161">
        <v>31</v>
      </c>
    </row>
    <row r="4162" spans="1:10" x14ac:dyDescent="0.35">
      <c r="A4162">
        <v>90377266</v>
      </c>
      <c r="B4162" t="s">
        <v>1940</v>
      </c>
      <c r="C4162" t="s">
        <v>909</v>
      </c>
      <c r="D4162" t="s">
        <v>705</v>
      </c>
      <c r="E4162" t="s">
        <v>15</v>
      </c>
      <c r="F4162" t="s">
        <v>14</v>
      </c>
      <c r="G4162" t="s">
        <v>117</v>
      </c>
      <c r="H4162" t="s">
        <v>4489</v>
      </c>
      <c r="J4162">
        <v>6</v>
      </c>
    </row>
    <row r="4163" spans="1:10" x14ac:dyDescent="0.35">
      <c r="A4163">
        <v>90377266</v>
      </c>
      <c r="B4163" t="s">
        <v>1940</v>
      </c>
      <c r="C4163" t="s">
        <v>909</v>
      </c>
      <c r="D4163" t="s">
        <v>705</v>
      </c>
      <c r="E4163" t="s">
        <v>15</v>
      </c>
      <c r="F4163" t="s">
        <v>14</v>
      </c>
      <c r="G4163" t="s">
        <v>387</v>
      </c>
      <c r="H4163" t="s">
        <v>4489</v>
      </c>
      <c r="J4163">
        <v>1</v>
      </c>
    </row>
    <row r="4164" spans="1:10" x14ac:dyDescent="0.35">
      <c r="A4164">
        <v>90377266</v>
      </c>
      <c r="B4164" t="s">
        <v>1940</v>
      </c>
      <c r="C4164" t="s">
        <v>909</v>
      </c>
      <c r="D4164" t="s">
        <v>705</v>
      </c>
      <c r="E4164" t="s">
        <v>15</v>
      </c>
      <c r="F4164" t="s">
        <v>14</v>
      </c>
      <c r="G4164" t="s">
        <v>61</v>
      </c>
      <c r="H4164" t="s">
        <v>4489</v>
      </c>
      <c r="J4164">
        <v>67</v>
      </c>
    </row>
    <row r="4165" spans="1:10" x14ac:dyDescent="0.35">
      <c r="A4165">
        <v>90377457</v>
      </c>
      <c r="B4165" t="s">
        <v>4409</v>
      </c>
      <c r="C4165" t="s">
        <v>603</v>
      </c>
      <c r="D4165" t="s">
        <v>451</v>
      </c>
      <c r="E4165" t="s">
        <v>15</v>
      </c>
      <c r="F4165" t="s">
        <v>14</v>
      </c>
      <c r="G4165" t="s">
        <v>34</v>
      </c>
      <c r="H4165" t="s">
        <v>4489</v>
      </c>
      <c r="J4165">
        <v>95</v>
      </c>
    </row>
    <row r="4166" spans="1:10" x14ac:dyDescent="0.35">
      <c r="A4166">
        <v>90377884</v>
      </c>
      <c r="B4166" t="s">
        <v>167</v>
      </c>
      <c r="C4166" t="s">
        <v>576</v>
      </c>
      <c r="D4166" t="s">
        <v>246</v>
      </c>
      <c r="E4166" t="s">
        <v>15</v>
      </c>
      <c r="F4166" t="s">
        <v>14</v>
      </c>
      <c r="G4166" t="s">
        <v>117</v>
      </c>
      <c r="H4166" t="s">
        <v>4489</v>
      </c>
      <c r="J4166">
        <v>2</v>
      </c>
    </row>
    <row r="4167" spans="1:10" x14ac:dyDescent="0.35">
      <c r="A4167">
        <v>90377884</v>
      </c>
      <c r="B4167" t="s">
        <v>167</v>
      </c>
      <c r="C4167" t="s">
        <v>576</v>
      </c>
      <c r="D4167" t="s">
        <v>246</v>
      </c>
      <c r="E4167" t="s">
        <v>15</v>
      </c>
      <c r="F4167" t="s">
        <v>14</v>
      </c>
      <c r="G4167" t="s">
        <v>11</v>
      </c>
      <c r="H4167" t="s">
        <v>4489</v>
      </c>
      <c r="J4167">
        <v>133</v>
      </c>
    </row>
    <row r="4168" spans="1:10" x14ac:dyDescent="0.35">
      <c r="A4168">
        <v>90377884</v>
      </c>
      <c r="B4168" t="s">
        <v>167</v>
      </c>
      <c r="C4168" t="s">
        <v>576</v>
      </c>
      <c r="D4168" t="s">
        <v>246</v>
      </c>
      <c r="E4168" t="s">
        <v>15</v>
      </c>
      <c r="F4168" t="s">
        <v>14</v>
      </c>
      <c r="G4168" t="s">
        <v>34</v>
      </c>
      <c r="H4168" t="s">
        <v>4489</v>
      </c>
      <c r="J4168">
        <v>46</v>
      </c>
    </row>
    <row r="4169" spans="1:10" x14ac:dyDescent="0.35">
      <c r="A4169">
        <v>90377884</v>
      </c>
      <c r="B4169" t="s">
        <v>167</v>
      </c>
      <c r="C4169" t="s">
        <v>576</v>
      </c>
      <c r="D4169" t="s">
        <v>246</v>
      </c>
      <c r="E4169" t="s">
        <v>15</v>
      </c>
      <c r="F4169" t="s">
        <v>14</v>
      </c>
      <c r="G4169" t="s">
        <v>31</v>
      </c>
      <c r="H4169" t="s">
        <v>4489</v>
      </c>
      <c r="J4169">
        <v>199</v>
      </c>
    </row>
    <row r="4170" spans="1:10" x14ac:dyDescent="0.35">
      <c r="A4170">
        <v>90382895</v>
      </c>
      <c r="B4170" t="s">
        <v>384</v>
      </c>
      <c r="C4170" t="s">
        <v>38</v>
      </c>
      <c r="D4170" t="s">
        <v>711</v>
      </c>
      <c r="E4170" t="s">
        <v>15</v>
      </c>
      <c r="F4170" t="s">
        <v>14</v>
      </c>
      <c r="G4170" t="s">
        <v>3453</v>
      </c>
      <c r="H4170" t="s">
        <v>4489</v>
      </c>
      <c r="J4170">
        <v>2</v>
      </c>
    </row>
    <row r="4171" spans="1:10" x14ac:dyDescent="0.35">
      <c r="A4171">
        <v>90399480</v>
      </c>
      <c r="B4171" t="s">
        <v>4410</v>
      </c>
      <c r="C4171" t="s">
        <v>83</v>
      </c>
      <c r="D4171" t="s">
        <v>539</v>
      </c>
      <c r="E4171" t="s">
        <v>15</v>
      </c>
      <c r="F4171" t="s">
        <v>14</v>
      </c>
      <c r="G4171" t="s">
        <v>11</v>
      </c>
      <c r="H4171" t="s">
        <v>4489</v>
      </c>
      <c r="J4171">
        <v>51</v>
      </c>
    </row>
    <row r="4172" spans="1:10" x14ac:dyDescent="0.35">
      <c r="A4172">
        <v>90399497</v>
      </c>
      <c r="B4172" t="s">
        <v>4411</v>
      </c>
      <c r="C4172" t="s">
        <v>83</v>
      </c>
      <c r="D4172" t="s">
        <v>539</v>
      </c>
      <c r="E4172" t="s">
        <v>15</v>
      </c>
      <c r="F4172" t="s">
        <v>14</v>
      </c>
      <c r="G4172" t="s">
        <v>31</v>
      </c>
      <c r="H4172" t="s">
        <v>4489</v>
      </c>
      <c r="J4172">
        <v>55</v>
      </c>
    </row>
    <row r="4173" spans="1:10" x14ac:dyDescent="0.35">
      <c r="A4173">
        <v>90418013</v>
      </c>
      <c r="B4173" t="s">
        <v>1348</v>
      </c>
      <c r="C4173" t="s">
        <v>576</v>
      </c>
      <c r="D4173" t="s">
        <v>52</v>
      </c>
      <c r="E4173" t="s">
        <v>15</v>
      </c>
      <c r="F4173" t="s">
        <v>14</v>
      </c>
      <c r="G4173" t="s">
        <v>11</v>
      </c>
      <c r="H4173" t="s">
        <v>4489</v>
      </c>
      <c r="J4173">
        <v>66</v>
      </c>
    </row>
    <row r="4174" spans="1:10" x14ac:dyDescent="0.35">
      <c r="A4174">
        <v>90418013</v>
      </c>
      <c r="B4174" t="s">
        <v>1348</v>
      </c>
      <c r="C4174" t="s">
        <v>576</v>
      </c>
      <c r="D4174" t="s">
        <v>52</v>
      </c>
      <c r="E4174" t="s">
        <v>15</v>
      </c>
      <c r="F4174" t="s">
        <v>14</v>
      </c>
      <c r="G4174" t="s">
        <v>34</v>
      </c>
      <c r="H4174" t="s">
        <v>4489</v>
      </c>
      <c r="J4174">
        <v>25</v>
      </c>
    </row>
    <row r="4175" spans="1:10" x14ac:dyDescent="0.35">
      <c r="A4175">
        <v>90418013</v>
      </c>
      <c r="B4175" t="s">
        <v>1348</v>
      </c>
      <c r="C4175" t="s">
        <v>576</v>
      </c>
      <c r="D4175" t="s">
        <v>52</v>
      </c>
      <c r="E4175" t="s">
        <v>15</v>
      </c>
      <c r="F4175" t="s">
        <v>14</v>
      </c>
      <c r="G4175" t="s">
        <v>150</v>
      </c>
      <c r="H4175" t="s">
        <v>4489</v>
      </c>
      <c r="J4175">
        <v>6</v>
      </c>
    </row>
    <row r="4176" spans="1:10" x14ac:dyDescent="0.35">
      <c r="A4176">
        <v>90418013</v>
      </c>
      <c r="B4176" t="s">
        <v>1348</v>
      </c>
      <c r="C4176" t="s">
        <v>576</v>
      </c>
      <c r="D4176" t="s">
        <v>52</v>
      </c>
      <c r="E4176" t="s">
        <v>15</v>
      </c>
      <c r="F4176" t="s">
        <v>14</v>
      </c>
      <c r="G4176" t="s">
        <v>31</v>
      </c>
      <c r="H4176" t="s">
        <v>4489</v>
      </c>
      <c r="J4176">
        <v>228</v>
      </c>
    </row>
    <row r="4177" spans="1:10" x14ac:dyDescent="0.35">
      <c r="A4177">
        <v>90418297</v>
      </c>
      <c r="B4177" t="s">
        <v>1014</v>
      </c>
      <c r="C4177" t="s">
        <v>472</v>
      </c>
      <c r="D4177" t="s">
        <v>1816</v>
      </c>
      <c r="E4177" t="s">
        <v>15</v>
      </c>
      <c r="F4177" t="s">
        <v>14</v>
      </c>
      <c r="G4177" t="s">
        <v>11</v>
      </c>
      <c r="H4177" t="s">
        <v>4489</v>
      </c>
      <c r="J4177">
        <v>12</v>
      </c>
    </row>
    <row r="4178" spans="1:10" x14ac:dyDescent="0.35">
      <c r="A4178">
        <v>90418303</v>
      </c>
      <c r="B4178" t="s">
        <v>4412</v>
      </c>
      <c r="C4178" t="s">
        <v>472</v>
      </c>
      <c r="D4178" t="s">
        <v>1893</v>
      </c>
      <c r="E4178" t="s">
        <v>15</v>
      </c>
      <c r="F4178" t="s">
        <v>14</v>
      </c>
      <c r="G4178" t="s">
        <v>11</v>
      </c>
      <c r="H4178" t="s">
        <v>4489</v>
      </c>
      <c r="J4178">
        <v>22</v>
      </c>
    </row>
    <row r="4179" spans="1:10" x14ac:dyDescent="0.35">
      <c r="A4179">
        <v>90418303</v>
      </c>
      <c r="B4179" t="s">
        <v>4412</v>
      </c>
      <c r="C4179" t="s">
        <v>472</v>
      </c>
      <c r="D4179" t="s">
        <v>1893</v>
      </c>
      <c r="E4179" t="s">
        <v>15</v>
      </c>
      <c r="F4179" t="s">
        <v>14</v>
      </c>
      <c r="G4179" t="s">
        <v>31</v>
      </c>
      <c r="H4179" t="s">
        <v>4489</v>
      </c>
      <c r="J4179">
        <v>31</v>
      </c>
    </row>
    <row r="4180" spans="1:10" x14ac:dyDescent="0.35">
      <c r="A4180">
        <v>90490224</v>
      </c>
      <c r="B4180" t="s">
        <v>4413</v>
      </c>
      <c r="C4180" t="s">
        <v>83</v>
      </c>
      <c r="D4180" t="s">
        <v>539</v>
      </c>
      <c r="E4180" t="s">
        <v>15</v>
      </c>
      <c r="F4180" t="s">
        <v>14</v>
      </c>
      <c r="G4180" t="s">
        <v>117</v>
      </c>
      <c r="H4180" t="s">
        <v>4489</v>
      </c>
      <c r="I4180">
        <v>17.5</v>
      </c>
      <c r="J4180">
        <v>12</v>
      </c>
    </row>
    <row r="4181" spans="1:10" x14ac:dyDescent="0.35">
      <c r="A4181">
        <v>90490224</v>
      </c>
      <c r="B4181" t="s">
        <v>4413</v>
      </c>
      <c r="C4181" t="s">
        <v>83</v>
      </c>
      <c r="D4181" t="s">
        <v>539</v>
      </c>
      <c r="E4181" t="s">
        <v>15</v>
      </c>
      <c r="F4181" t="s">
        <v>14</v>
      </c>
      <c r="G4181" t="s">
        <v>11</v>
      </c>
      <c r="H4181" t="s">
        <v>4489</v>
      </c>
      <c r="I4181">
        <v>17.5</v>
      </c>
      <c r="J4181">
        <v>1</v>
      </c>
    </row>
    <row r="4182" spans="1:10" x14ac:dyDescent="0.35">
      <c r="A4182">
        <v>90490248</v>
      </c>
      <c r="B4182" t="s">
        <v>1050</v>
      </c>
      <c r="C4182" t="s">
        <v>603</v>
      </c>
      <c r="D4182" t="s">
        <v>1871</v>
      </c>
      <c r="E4182" t="s">
        <v>15</v>
      </c>
      <c r="F4182" t="s">
        <v>14</v>
      </c>
      <c r="G4182" t="s">
        <v>34</v>
      </c>
      <c r="H4182" t="s">
        <v>4489</v>
      </c>
      <c r="J4182">
        <v>1</v>
      </c>
    </row>
    <row r="4183" spans="1:10" x14ac:dyDescent="0.35">
      <c r="A4183">
        <v>90490248</v>
      </c>
      <c r="B4183" t="s">
        <v>1050</v>
      </c>
      <c r="C4183" t="s">
        <v>603</v>
      </c>
      <c r="D4183" t="s">
        <v>1871</v>
      </c>
      <c r="E4183" t="s">
        <v>15</v>
      </c>
      <c r="F4183" t="s">
        <v>14</v>
      </c>
      <c r="G4183" t="s">
        <v>73</v>
      </c>
      <c r="H4183" t="s">
        <v>4489</v>
      </c>
      <c r="J4183">
        <v>2</v>
      </c>
    </row>
    <row r="4184" spans="1:10" x14ac:dyDescent="0.35">
      <c r="A4184">
        <v>90490279</v>
      </c>
      <c r="B4184" t="s">
        <v>4414</v>
      </c>
      <c r="C4184" t="s">
        <v>83</v>
      </c>
      <c r="D4184" t="s">
        <v>539</v>
      </c>
      <c r="E4184" t="s">
        <v>15</v>
      </c>
      <c r="F4184" t="s">
        <v>14</v>
      </c>
      <c r="G4184" t="s">
        <v>16</v>
      </c>
      <c r="H4184" t="s">
        <v>4489</v>
      </c>
      <c r="I4184">
        <v>17.5</v>
      </c>
      <c r="J4184">
        <v>1</v>
      </c>
    </row>
    <row r="4185" spans="1:10" x14ac:dyDescent="0.35">
      <c r="A4185">
        <v>90490279</v>
      </c>
      <c r="B4185" t="s">
        <v>4414</v>
      </c>
      <c r="C4185" t="s">
        <v>83</v>
      </c>
      <c r="D4185" t="s">
        <v>539</v>
      </c>
      <c r="E4185" t="s">
        <v>15</v>
      </c>
      <c r="F4185" t="s">
        <v>14</v>
      </c>
      <c r="G4185" t="s">
        <v>11</v>
      </c>
      <c r="H4185" t="s">
        <v>4489</v>
      </c>
      <c r="I4185">
        <v>17.5</v>
      </c>
      <c r="J4185">
        <v>20</v>
      </c>
    </row>
    <row r="4186" spans="1:10" x14ac:dyDescent="0.35">
      <c r="A4186">
        <v>90490279</v>
      </c>
      <c r="B4186" t="s">
        <v>4414</v>
      </c>
      <c r="C4186" t="s">
        <v>83</v>
      </c>
      <c r="D4186" t="s">
        <v>539</v>
      </c>
      <c r="E4186" t="s">
        <v>15</v>
      </c>
      <c r="F4186" t="s">
        <v>14</v>
      </c>
      <c r="G4186" t="s">
        <v>61</v>
      </c>
      <c r="H4186" t="s">
        <v>4489</v>
      </c>
      <c r="I4186">
        <v>17.5</v>
      </c>
      <c r="J4186">
        <v>12</v>
      </c>
    </row>
    <row r="4187" spans="1:10" x14ac:dyDescent="0.35">
      <c r="A4187">
        <v>90490279</v>
      </c>
      <c r="B4187" t="s">
        <v>4414</v>
      </c>
      <c r="C4187" t="s">
        <v>83</v>
      </c>
      <c r="D4187" t="s">
        <v>539</v>
      </c>
      <c r="E4187" t="s">
        <v>15</v>
      </c>
      <c r="F4187" t="s">
        <v>14</v>
      </c>
      <c r="G4187" t="s">
        <v>31</v>
      </c>
      <c r="H4187" t="s">
        <v>4489</v>
      </c>
      <c r="I4187">
        <v>17.5</v>
      </c>
      <c r="J4187">
        <v>168</v>
      </c>
    </row>
    <row r="4188" spans="1:10" x14ac:dyDescent="0.35">
      <c r="A4188">
        <v>90492501</v>
      </c>
      <c r="B4188" t="s">
        <v>4415</v>
      </c>
      <c r="C4188" t="s">
        <v>9</v>
      </c>
      <c r="D4188" t="s">
        <v>707</v>
      </c>
      <c r="E4188" t="s">
        <v>15</v>
      </c>
      <c r="F4188" t="s">
        <v>14</v>
      </c>
      <c r="G4188" t="s">
        <v>34</v>
      </c>
      <c r="H4188" t="s">
        <v>4489</v>
      </c>
      <c r="J4188">
        <v>4</v>
      </c>
    </row>
    <row r="4189" spans="1:10" x14ac:dyDescent="0.35">
      <c r="A4189">
        <v>90492501</v>
      </c>
      <c r="B4189" t="s">
        <v>4415</v>
      </c>
      <c r="C4189" t="s">
        <v>9</v>
      </c>
      <c r="D4189" t="s">
        <v>707</v>
      </c>
      <c r="E4189" t="s">
        <v>15</v>
      </c>
      <c r="F4189" t="s">
        <v>14</v>
      </c>
      <c r="G4189" t="s">
        <v>73</v>
      </c>
      <c r="H4189" t="s">
        <v>4489</v>
      </c>
      <c r="J4189">
        <v>4</v>
      </c>
    </row>
    <row r="4190" spans="1:10" x14ac:dyDescent="0.35">
      <c r="A4190">
        <v>90495502</v>
      </c>
      <c r="B4190" t="s">
        <v>705</v>
      </c>
      <c r="C4190" t="s">
        <v>36</v>
      </c>
      <c r="D4190" t="s">
        <v>705</v>
      </c>
      <c r="E4190" t="s">
        <v>15</v>
      </c>
      <c r="F4190" t="s">
        <v>14</v>
      </c>
      <c r="G4190" t="s">
        <v>11</v>
      </c>
      <c r="H4190" t="s">
        <v>4489</v>
      </c>
      <c r="J4190">
        <v>39</v>
      </c>
    </row>
    <row r="4191" spans="1:10" x14ac:dyDescent="0.35">
      <c r="A4191">
        <v>9060611250516</v>
      </c>
      <c r="B4191" t="s">
        <v>4416</v>
      </c>
      <c r="C4191" t="s">
        <v>1115</v>
      </c>
      <c r="D4191" t="s">
        <v>1776</v>
      </c>
      <c r="E4191" t="s">
        <v>22</v>
      </c>
      <c r="F4191" t="s">
        <v>1777</v>
      </c>
      <c r="G4191" t="s">
        <v>464</v>
      </c>
      <c r="H4191" t="s">
        <v>4723</v>
      </c>
      <c r="J4191">
        <v>1</v>
      </c>
    </row>
    <row r="4192" spans="1:10" x14ac:dyDescent="0.35">
      <c r="A4192">
        <v>9113460630012</v>
      </c>
      <c r="B4192" t="s">
        <v>4417</v>
      </c>
      <c r="C4192" t="s">
        <v>2244</v>
      </c>
      <c r="D4192" t="s">
        <v>3020</v>
      </c>
      <c r="E4192" t="s">
        <v>308</v>
      </c>
      <c r="F4192" t="s">
        <v>309</v>
      </c>
      <c r="G4192" t="s">
        <v>61</v>
      </c>
      <c r="H4192" t="s">
        <v>4529</v>
      </c>
      <c r="J4192">
        <v>3</v>
      </c>
    </row>
    <row r="4193" spans="1:10" x14ac:dyDescent="0.35">
      <c r="A4193">
        <v>9163112761731</v>
      </c>
      <c r="B4193" t="s">
        <v>668</v>
      </c>
      <c r="C4193" t="s">
        <v>214</v>
      </c>
      <c r="D4193" t="s">
        <v>194</v>
      </c>
      <c r="E4193" t="s">
        <v>16</v>
      </c>
      <c r="F4193" t="s">
        <v>195</v>
      </c>
      <c r="G4193" t="s">
        <v>16</v>
      </c>
      <c r="H4193" t="s">
        <v>4519</v>
      </c>
      <c r="J4193">
        <v>1</v>
      </c>
    </row>
    <row r="4194" spans="1:10" x14ac:dyDescent="0.35">
      <c r="A4194">
        <v>9245243794526</v>
      </c>
      <c r="B4194" t="s">
        <v>446</v>
      </c>
      <c r="C4194" t="s">
        <v>326</v>
      </c>
      <c r="D4194" t="s">
        <v>448</v>
      </c>
      <c r="E4194" t="s">
        <v>117</v>
      </c>
      <c r="F4194" t="s">
        <v>449</v>
      </c>
      <c r="G4194" t="s">
        <v>117</v>
      </c>
      <c r="H4194" t="s">
        <v>4552</v>
      </c>
      <c r="J4194">
        <v>57</v>
      </c>
    </row>
    <row r="4195" spans="1:10" x14ac:dyDescent="0.35">
      <c r="A4195">
        <v>9280218101053</v>
      </c>
      <c r="B4195" t="s">
        <v>4418</v>
      </c>
      <c r="C4195" t="s">
        <v>114</v>
      </c>
      <c r="D4195" t="s">
        <v>2252</v>
      </c>
      <c r="E4195" t="s">
        <v>130</v>
      </c>
      <c r="F4195" t="s">
        <v>220</v>
      </c>
      <c r="G4195" t="s">
        <v>4401</v>
      </c>
      <c r="H4195" t="s">
        <v>4520</v>
      </c>
      <c r="J4195">
        <v>1</v>
      </c>
    </row>
    <row r="4196" spans="1:10" x14ac:dyDescent="0.35">
      <c r="A4196">
        <v>9345101595590</v>
      </c>
      <c r="B4196" t="s">
        <v>4419</v>
      </c>
      <c r="C4196" t="s">
        <v>9</v>
      </c>
      <c r="D4196" t="s">
        <v>2252</v>
      </c>
      <c r="E4196" t="s">
        <v>130</v>
      </c>
      <c r="F4196" t="s">
        <v>220</v>
      </c>
      <c r="G4196" t="s">
        <v>22</v>
      </c>
      <c r="H4196" t="s">
        <v>4520</v>
      </c>
      <c r="J4196">
        <v>1</v>
      </c>
    </row>
    <row r="4197" spans="1:10" x14ac:dyDescent="0.35">
      <c r="A4197">
        <v>9501100000415</v>
      </c>
      <c r="B4197" t="s">
        <v>884</v>
      </c>
      <c r="C4197" t="s">
        <v>603</v>
      </c>
      <c r="D4197" t="s">
        <v>4420</v>
      </c>
      <c r="E4197" t="s">
        <v>130</v>
      </c>
      <c r="F4197" t="s">
        <v>424</v>
      </c>
      <c r="G4197" t="s">
        <v>387</v>
      </c>
      <c r="H4197" t="s">
        <v>4550</v>
      </c>
      <c r="J4197">
        <v>81</v>
      </c>
    </row>
    <row r="4198" spans="1:10" x14ac:dyDescent="0.35">
      <c r="A4198">
        <v>9501100000965</v>
      </c>
      <c r="B4198" t="s">
        <v>4228</v>
      </c>
      <c r="C4198" t="s">
        <v>192</v>
      </c>
      <c r="D4198" t="s">
        <v>4420</v>
      </c>
      <c r="E4198" t="s">
        <v>130</v>
      </c>
      <c r="F4198" t="s">
        <v>424</v>
      </c>
      <c r="G4198" t="s">
        <v>387</v>
      </c>
      <c r="H4198" t="s">
        <v>4550</v>
      </c>
      <c r="J4198">
        <v>11</v>
      </c>
    </row>
    <row r="4199" spans="1:10" x14ac:dyDescent="0.35">
      <c r="A4199">
        <v>9501100001931</v>
      </c>
      <c r="B4199" t="s">
        <v>581</v>
      </c>
      <c r="C4199" t="s">
        <v>81</v>
      </c>
      <c r="D4199" t="s">
        <v>1793</v>
      </c>
      <c r="E4199" t="s">
        <v>130</v>
      </c>
      <c r="F4199" t="s">
        <v>424</v>
      </c>
      <c r="G4199" t="s">
        <v>387</v>
      </c>
      <c r="H4199" t="s">
        <v>4550</v>
      </c>
      <c r="J4199">
        <v>105</v>
      </c>
    </row>
    <row r="4200" spans="1:10" x14ac:dyDescent="0.35">
      <c r="A4200">
        <v>9501100006974</v>
      </c>
      <c r="B4200" t="s">
        <v>884</v>
      </c>
      <c r="C4200" t="s">
        <v>681</v>
      </c>
      <c r="D4200" t="s">
        <v>900</v>
      </c>
      <c r="E4200" t="s">
        <v>15</v>
      </c>
      <c r="F4200" t="s">
        <v>901</v>
      </c>
      <c r="G4200" t="s">
        <v>387</v>
      </c>
      <c r="H4200" t="s">
        <v>4617</v>
      </c>
      <c r="J4200">
        <v>2</v>
      </c>
    </row>
    <row r="4201" spans="1:10" x14ac:dyDescent="0.35">
      <c r="A4201">
        <v>9501100008008</v>
      </c>
      <c r="B4201" t="s">
        <v>668</v>
      </c>
      <c r="C4201">
        <v>300</v>
      </c>
      <c r="D4201" t="s">
        <v>1062</v>
      </c>
      <c r="E4201" t="s">
        <v>130</v>
      </c>
      <c r="F4201" t="s">
        <v>424</v>
      </c>
      <c r="G4201" t="s">
        <v>921</v>
      </c>
      <c r="H4201" t="s">
        <v>4550</v>
      </c>
      <c r="J4201">
        <v>2</v>
      </c>
    </row>
    <row r="4202" spans="1:10" x14ac:dyDescent="0.35">
      <c r="A4202">
        <v>9501100008220</v>
      </c>
      <c r="B4202" t="s">
        <v>4421</v>
      </c>
      <c r="C4202" t="s">
        <v>38</v>
      </c>
      <c r="D4202" t="s">
        <v>2607</v>
      </c>
      <c r="E4202" t="s">
        <v>15</v>
      </c>
      <c r="F4202" t="s">
        <v>14</v>
      </c>
      <c r="G4202" t="s">
        <v>33</v>
      </c>
      <c r="H4202" t="s">
        <v>4489</v>
      </c>
      <c r="J4202">
        <v>85</v>
      </c>
    </row>
    <row r="4203" spans="1:10" x14ac:dyDescent="0.35">
      <c r="A4203">
        <v>9501100008237</v>
      </c>
      <c r="B4203" t="s">
        <v>1011</v>
      </c>
      <c r="C4203" t="s">
        <v>38</v>
      </c>
      <c r="D4203" t="s">
        <v>4422</v>
      </c>
      <c r="E4203" t="s">
        <v>34</v>
      </c>
      <c r="F4203" t="s">
        <v>1931</v>
      </c>
      <c r="G4203" t="s">
        <v>33</v>
      </c>
      <c r="H4203" t="s">
        <v>4737</v>
      </c>
      <c r="J4203">
        <v>49</v>
      </c>
    </row>
    <row r="4204" spans="1:10" x14ac:dyDescent="0.35">
      <c r="A4204">
        <v>9501100008268</v>
      </c>
      <c r="B4204" t="s">
        <v>4423</v>
      </c>
      <c r="C4204" t="s">
        <v>38</v>
      </c>
      <c r="D4204" t="s">
        <v>2607</v>
      </c>
      <c r="E4204" t="s">
        <v>15</v>
      </c>
      <c r="F4204" t="s">
        <v>14</v>
      </c>
      <c r="G4204" t="s">
        <v>33</v>
      </c>
      <c r="H4204" t="s">
        <v>4489</v>
      </c>
      <c r="J4204">
        <v>103</v>
      </c>
    </row>
    <row r="4205" spans="1:10" x14ac:dyDescent="0.35">
      <c r="A4205">
        <v>9501100008756</v>
      </c>
      <c r="B4205" t="s">
        <v>581</v>
      </c>
      <c r="C4205" t="s">
        <v>110</v>
      </c>
      <c r="D4205" t="s">
        <v>1793</v>
      </c>
      <c r="E4205" t="s">
        <v>130</v>
      </c>
      <c r="F4205" t="s">
        <v>424</v>
      </c>
      <c r="G4205" t="s">
        <v>387</v>
      </c>
      <c r="H4205" t="s">
        <v>4550</v>
      </c>
      <c r="J4205">
        <v>9</v>
      </c>
    </row>
    <row r="4206" spans="1:10" x14ac:dyDescent="0.35">
      <c r="A4206">
        <v>9501101370166</v>
      </c>
      <c r="B4206" t="s">
        <v>4424</v>
      </c>
      <c r="C4206" t="s">
        <v>38</v>
      </c>
      <c r="D4206" t="s">
        <v>4425</v>
      </c>
      <c r="E4206" t="s">
        <v>117</v>
      </c>
      <c r="F4206" t="s">
        <v>4426</v>
      </c>
      <c r="G4206" t="s">
        <v>117</v>
      </c>
      <c r="H4206" t="s">
        <v>5085</v>
      </c>
      <c r="J4206">
        <v>3</v>
      </c>
    </row>
    <row r="4207" spans="1:10" x14ac:dyDescent="0.35">
      <c r="A4207">
        <v>9501101370647</v>
      </c>
      <c r="B4207" t="s">
        <v>4427</v>
      </c>
      <c r="C4207" t="s">
        <v>9</v>
      </c>
      <c r="D4207" t="s">
        <v>4425</v>
      </c>
      <c r="E4207" t="s">
        <v>117</v>
      </c>
      <c r="F4207" t="s">
        <v>4426</v>
      </c>
      <c r="G4207" t="s">
        <v>117</v>
      </c>
      <c r="H4207" t="s">
        <v>5085</v>
      </c>
      <c r="J4207">
        <v>1</v>
      </c>
    </row>
    <row r="4208" spans="1:10" x14ac:dyDescent="0.35">
      <c r="A4208">
        <v>9501101371705</v>
      </c>
      <c r="B4208" t="s">
        <v>4282</v>
      </c>
      <c r="C4208" t="s">
        <v>38</v>
      </c>
      <c r="D4208" t="s">
        <v>4428</v>
      </c>
      <c r="E4208" t="s">
        <v>308</v>
      </c>
      <c r="F4208" t="s">
        <v>309</v>
      </c>
      <c r="G4208" t="s">
        <v>117</v>
      </c>
      <c r="H4208" t="s">
        <v>4529</v>
      </c>
      <c r="J4208">
        <v>1</v>
      </c>
    </row>
    <row r="4209" spans="1:10" x14ac:dyDescent="0.35">
      <c r="A4209">
        <v>9501101371705</v>
      </c>
      <c r="B4209" t="s">
        <v>4282</v>
      </c>
      <c r="C4209" t="s">
        <v>38</v>
      </c>
      <c r="D4209" t="s">
        <v>4428</v>
      </c>
      <c r="E4209" t="s">
        <v>308</v>
      </c>
      <c r="F4209" t="s">
        <v>309</v>
      </c>
      <c r="G4209" t="s">
        <v>150</v>
      </c>
      <c r="H4209" t="s">
        <v>4529</v>
      </c>
      <c r="J4209">
        <v>2</v>
      </c>
    </row>
    <row r="4210" spans="1:10" x14ac:dyDescent="0.35">
      <c r="A4210">
        <v>9501101373853</v>
      </c>
      <c r="B4210" t="s">
        <v>4429</v>
      </c>
      <c r="C4210" t="s">
        <v>825</v>
      </c>
      <c r="D4210" t="s">
        <v>4430</v>
      </c>
      <c r="E4210" t="s">
        <v>117</v>
      </c>
      <c r="F4210" t="s">
        <v>4426</v>
      </c>
      <c r="G4210" t="s">
        <v>117</v>
      </c>
      <c r="H4210" t="s">
        <v>5085</v>
      </c>
      <c r="J4210">
        <v>1</v>
      </c>
    </row>
    <row r="4211" spans="1:10" x14ac:dyDescent="0.35">
      <c r="A4211">
        <v>9501101374188</v>
      </c>
      <c r="B4211" t="s">
        <v>1091</v>
      </c>
      <c r="C4211" t="s">
        <v>326</v>
      </c>
      <c r="D4211" t="s">
        <v>4431</v>
      </c>
      <c r="E4211" t="s">
        <v>117</v>
      </c>
      <c r="F4211" t="s">
        <v>4426</v>
      </c>
      <c r="G4211" t="s">
        <v>117</v>
      </c>
      <c r="H4211" t="s">
        <v>5085</v>
      </c>
      <c r="J4211">
        <v>1</v>
      </c>
    </row>
    <row r="4212" spans="1:10" x14ac:dyDescent="0.35">
      <c r="A4212">
        <v>9501101375161</v>
      </c>
      <c r="B4212" t="s">
        <v>4432</v>
      </c>
      <c r="C4212" t="s">
        <v>83</v>
      </c>
      <c r="D4212" t="s">
        <v>4433</v>
      </c>
      <c r="E4212" t="s">
        <v>117</v>
      </c>
      <c r="F4212" t="s">
        <v>4426</v>
      </c>
      <c r="G4212" t="s">
        <v>117</v>
      </c>
      <c r="H4212" t="s">
        <v>5085</v>
      </c>
      <c r="J4212">
        <v>2</v>
      </c>
    </row>
    <row r="4213" spans="1:10" x14ac:dyDescent="0.35">
      <c r="A4213">
        <v>9501101375208</v>
      </c>
      <c r="B4213" t="s">
        <v>4434</v>
      </c>
      <c r="C4213" t="s">
        <v>83</v>
      </c>
      <c r="D4213" t="s">
        <v>4433</v>
      </c>
      <c r="E4213" t="s">
        <v>117</v>
      </c>
      <c r="F4213" t="s">
        <v>4426</v>
      </c>
      <c r="G4213" t="s">
        <v>117</v>
      </c>
      <c r="H4213" t="s">
        <v>5085</v>
      </c>
      <c r="J4213">
        <v>51</v>
      </c>
    </row>
    <row r="4214" spans="1:10" x14ac:dyDescent="0.35">
      <c r="A4214">
        <v>9501101375611</v>
      </c>
      <c r="B4214" t="s">
        <v>4435</v>
      </c>
      <c r="C4214" t="s">
        <v>801</v>
      </c>
      <c r="D4214" t="s">
        <v>4436</v>
      </c>
      <c r="E4214" t="s">
        <v>117</v>
      </c>
      <c r="F4214" t="s">
        <v>4426</v>
      </c>
      <c r="G4214" t="s">
        <v>117</v>
      </c>
      <c r="H4214" t="s">
        <v>5085</v>
      </c>
      <c r="J4214">
        <v>1</v>
      </c>
    </row>
    <row r="4215" spans="1:10" x14ac:dyDescent="0.35">
      <c r="A4215">
        <v>9501101376236</v>
      </c>
      <c r="B4215" t="s">
        <v>4437</v>
      </c>
      <c r="C4215" t="s">
        <v>2015</v>
      </c>
      <c r="D4215" t="s">
        <v>4438</v>
      </c>
      <c r="E4215" t="s">
        <v>117</v>
      </c>
      <c r="F4215" t="s">
        <v>4426</v>
      </c>
      <c r="G4215" t="s">
        <v>117</v>
      </c>
      <c r="H4215" t="s">
        <v>5085</v>
      </c>
      <c r="J4215">
        <v>1</v>
      </c>
    </row>
    <row r="4216" spans="1:10" x14ac:dyDescent="0.35">
      <c r="A4216">
        <v>9501101376243</v>
      </c>
      <c r="B4216" t="s">
        <v>4437</v>
      </c>
      <c r="C4216" t="s">
        <v>38</v>
      </c>
      <c r="D4216" t="s">
        <v>4438</v>
      </c>
      <c r="E4216" t="s">
        <v>117</v>
      </c>
      <c r="F4216" t="s">
        <v>4426</v>
      </c>
      <c r="G4216" t="s">
        <v>117</v>
      </c>
      <c r="H4216" t="s">
        <v>5085</v>
      </c>
      <c r="J4216">
        <v>7</v>
      </c>
    </row>
    <row r="4217" spans="1:10" x14ac:dyDescent="0.35">
      <c r="A4217">
        <v>9501101376267</v>
      </c>
      <c r="B4217" t="s">
        <v>4439</v>
      </c>
      <c r="C4217" t="s">
        <v>9</v>
      </c>
      <c r="D4217" t="s">
        <v>4438</v>
      </c>
      <c r="E4217" t="s">
        <v>117</v>
      </c>
      <c r="F4217" t="s">
        <v>4426</v>
      </c>
      <c r="G4217" t="s">
        <v>117</v>
      </c>
      <c r="H4217" t="s">
        <v>5085</v>
      </c>
      <c r="J4217">
        <v>1</v>
      </c>
    </row>
    <row r="4218" spans="1:10" x14ac:dyDescent="0.35">
      <c r="A4218">
        <v>9501101376304</v>
      </c>
      <c r="B4218" t="s">
        <v>4437</v>
      </c>
      <c r="C4218" t="s">
        <v>2641</v>
      </c>
      <c r="D4218" t="s">
        <v>4440</v>
      </c>
      <c r="E4218" t="s">
        <v>117</v>
      </c>
      <c r="F4218" t="s">
        <v>4426</v>
      </c>
      <c r="G4218" t="s">
        <v>117</v>
      </c>
      <c r="H4218" t="s">
        <v>5085</v>
      </c>
      <c r="J4218">
        <v>2</v>
      </c>
    </row>
    <row r="4219" spans="1:10" x14ac:dyDescent="0.35">
      <c r="A4219">
        <v>9501101376311</v>
      </c>
      <c r="B4219" t="s">
        <v>4437</v>
      </c>
      <c r="C4219" t="s">
        <v>38</v>
      </c>
      <c r="D4219" t="s">
        <v>4440</v>
      </c>
      <c r="E4219" t="s">
        <v>117</v>
      </c>
      <c r="F4219" t="s">
        <v>4426</v>
      </c>
      <c r="G4219" t="s">
        <v>117</v>
      </c>
      <c r="H4219" t="s">
        <v>5085</v>
      </c>
      <c r="J4219">
        <v>1</v>
      </c>
    </row>
    <row r="4220" spans="1:10" x14ac:dyDescent="0.35">
      <c r="A4220">
        <v>9501101376373</v>
      </c>
      <c r="B4220" t="s">
        <v>4437</v>
      </c>
      <c r="C4220" t="s">
        <v>2481</v>
      </c>
      <c r="D4220" t="s">
        <v>4440</v>
      </c>
      <c r="E4220" t="s">
        <v>117</v>
      </c>
      <c r="F4220" t="s">
        <v>4426</v>
      </c>
      <c r="G4220" t="s">
        <v>117</v>
      </c>
      <c r="H4220" t="s">
        <v>5085</v>
      </c>
      <c r="J4220">
        <v>1</v>
      </c>
    </row>
    <row r="4221" spans="1:10" x14ac:dyDescent="0.35">
      <c r="A4221">
        <v>9501101378018</v>
      </c>
      <c r="B4221" t="s">
        <v>3598</v>
      </c>
      <c r="C4221" t="s">
        <v>1805</v>
      </c>
      <c r="D4221" t="s">
        <v>4441</v>
      </c>
      <c r="E4221" t="s">
        <v>117</v>
      </c>
      <c r="F4221" t="s">
        <v>4426</v>
      </c>
      <c r="G4221" t="s">
        <v>117</v>
      </c>
      <c r="H4221" t="s">
        <v>5085</v>
      </c>
      <c r="J4221">
        <v>1</v>
      </c>
    </row>
    <row r="4222" spans="1:10" x14ac:dyDescent="0.35">
      <c r="A4222">
        <v>9501101379015</v>
      </c>
      <c r="B4222" t="s">
        <v>3165</v>
      </c>
      <c r="C4222" t="s">
        <v>94</v>
      </c>
      <c r="D4222" t="s">
        <v>3593</v>
      </c>
      <c r="E4222" t="s">
        <v>117</v>
      </c>
      <c r="F4222" t="s">
        <v>513</v>
      </c>
      <c r="G4222" t="s">
        <v>117</v>
      </c>
      <c r="H4222" t="s">
        <v>4559</v>
      </c>
      <c r="J4222">
        <v>2</v>
      </c>
    </row>
    <row r="4223" spans="1:10" x14ac:dyDescent="0.35">
      <c r="A4223">
        <v>9501101379039</v>
      </c>
      <c r="B4223" t="s">
        <v>3165</v>
      </c>
      <c r="C4223" t="s">
        <v>1394</v>
      </c>
      <c r="D4223" t="s">
        <v>3593</v>
      </c>
      <c r="E4223" t="s">
        <v>117</v>
      </c>
      <c r="F4223" t="s">
        <v>513</v>
      </c>
      <c r="G4223" t="s">
        <v>117</v>
      </c>
      <c r="H4223" t="s">
        <v>4559</v>
      </c>
      <c r="J4223">
        <v>6</v>
      </c>
    </row>
    <row r="4224" spans="1:10" x14ac:dyDescent="0.35">
      <c r="A4224">
        <v>9501101379046</v>
      </c>
      <c r="B4224" t="s">
        <v>3165</v>
      </c>
      <c r="C4224" t="s">
        <v>164</v>
      </c>
      <c r="D4224" t="s">
        <v>3593</v>
      </c>
      <c r="E4224" t="s">
        <v>117</v>
      </c>
      <c r="F4224" t="s">
        <v>513</v>
      </c>
      <c r="G4224" t="s">
        <v>117</v>
      </c>
      <c r="H4224" t="s">
        <v>4559</v>
      </c>
      <c r="J4224">
        <v>234</v>
      </c>
    </row>
    <row r="4225" spans="1:10" x14ac:dyDescent="0.35">
      <c r="A4225">
        <v>9501101379367</v>
      </c>
      <c r="B4225" t="s">
        <v>4442</v>
      </c>
      <c r="C4225" t="s">
        <v>253</v>
      </c>
      <c r="D4225" t="s">
        <v>512</v>
      </c>
      <c r="E4225" t="s">
        <v>117</v>
      </c>
      <c r="F4225" t="s">
        <v>513</v>
      </c>
      <c r="G4225" t="s">
        <v>117</v>
      </c>
      <c r="H4225" t="s">
        <v>4559</v>
      </c>
      <c r="J4225">
        <v>1</v>
      </c>
    </row>
    <row r="4226" spans="1:10" x14ac:dyDescent="0.35">
      <c r="A4226">
        <v>9501101379411</v>
      </c>
      <c r="B4226" t="s">
        <v>2640</v>
      </c>
      <c r="C4226" t="s">
        <v>627</v>
      </c>
      <c r="D4226" t="s">
        <v>4443</v>
      </c>
      <c r="E4226" t="s">
        <v>117</v>
      </c>
      <c r="F4226" t="s">
        <v>4426</v>
      </c>
      <c r="G4226" t="s">
        <v>117</v>
      </c>
      <c r="H4226" t="s">
        <v>5085</v>
      </c>
      <c r="J4226">
        <v>2</v>
      </c>
    </row>
    <row r="4227" spans="1:10" x14ac:dyDescent="0.35">
      <c r="A4227">
        <v>9501101379695</v>
      </c>
      <c r="B4227" t="s">
        <v>510</v>
      </c>
      <c r="C4227" t="s">
        <v>1184</v>
      </c>
      <c r="D4227" t="s">
        <v>512</v>
      </c>
      <c r="E4227" t="s">
        <v>117</v>
      </c>
      <c r="F4227" t="s">
        <v>513</v>
      </c>
      <c r="G4227" t="s">
        <v>117</v>
      </c>
      <c r="H4227" t="s">
        <v>4559</v>
      </c>
      <c r="J4227">
        <v>5</v>
      </c>
    </row>
    <row r="4228" spans="1:10" x14ac:dyDescent="0.35">
      <c r="A4228">
        <v>9501101379701</v>
      </c>
      <c r="B4228" t="s">
        <v>510</v>
      </c>
      <c r="C4228" t="s">
        <v>4444</v>
      </c>
      <c r="D4228" t="s">
        <v>512</v>
      </c>
      <c r="E4228" t="s">
        <v>117</v>
      </c>
      <c r="F4228" t="s">
        <v>513</v>
      </c>
      <c r="G4228" t="s">
        <v>117</v>
      </c>
      <c r="H4228" t="s">
        <v>4559</v>
      </c>
      <c r="J4228">
        <v>4</v>
      </c>
    </row>
    <row r="4229" spans="1:10" x14ac:dyDescent="0.35">
      <c r="A4229">
        <v>9501101379718</v>
      </c>
      <c r="B4229" t="s">
        <v>510</v>
      </c>
      <c r="C4229" t="s">
        <v>2008</v>
      </c>
      <c r="D4229" t="s">
        <v>512</v>
      </c>
      <c r="E4229" t="s">
        <v>117</v>
      </c>
      <c r="F4229" t="s">
        <v>513</v>
      </c>
      <c r="G4229" t="s">
        <v>117</v>
      </c>
      <c r="H4229" t="s">
        <v>4559</v>
      </c>
      <c r="J4229">
        <v>1</v>
      </c>
    </row>
    <row r="4230" spans="1:10" x14ac:dyDescent="0.35">
      <c r="A4230">
        <v>9506000124711</v>
      </c>
      <c r="B4230" t="s">
        <v>2661</v>
      </c>
      <c r="C4230" t="s">
        <v>81</v>
      </c>
      <c r="D4230" t="s">
        <v>2531</v>
      </c>
      <c r="E4230" t="s">
        <v>2227</v>
      </c>
      <c r="F4230" t="s">
        <v>2532</v>
      </c>
      <c r="G4230" t="s">
        <v>34</v>
      </c>
      <c r="H4230" t="s">
        <v>4810</v>
      </c>
      <c r="J4230">
        <v>452</v>
      </c>
    </row>
    <row r="4231" spans="1:10" x14ac:dyDescent="0.35">
      <c r="A4231">
        <v>9506000125053</v>
      </c>
      <c r="B4231" t="s">
        <v>4445</v>
      </c>
      <c r="C4231" t="s">
        <v>78</v>
      </c>
      <c r="D4231" t="s">
        <v>2531</v>
      </c>
      <c r="E4231" t="s">
        <v>2227</v>
      </c>
      <c r="F4231" t="s">
        <v>2532</v>
      </c>
      <c r="G4231" t="s">
        <v>34</v>
      </c>
      <c r="H4231" t="s">
        <v>4810</v>
      </c>
      <c r="J4231">
        <v>29</v>
      </c>
    </row>
    <row r="4232" spans="1:10" x14ac:dyDescent="0.35">
      <c r="A4232">
        <v>9506000125060</v>
      </c>
      <c r="B4232" t="s">
        <v>4446</v>
      </c>
      <c r="C4232" t="s">
        <v>2008</v>
      </c>
      <c r="D4232" t="s">
        <v>2531</v>
      </c>
      <c r="E4232" t="s">
        <v>2227</v>
      </c>
      <c r="F4232" t="s">
        <v>2532</v>
      </c>
      <c r="G4232" t="s">
        <v>34</v>
      </c>
      <c r="H4232" t="s">
        <v>4810</v>
      </c>
      <c r="J4232">
        <v>260</v>
      </c>
    </row>
    <row r="4233" spans="1:10" x14ac:dyDescent="0.35">
      <c r="A4233">
        <v>9507000007462</v>
      </c>
      <c r="B4233" t="s">
        <v>4447</v>
      </c>
      <c r="C4233" t="s">
        <v>9</v>
      </c>
      <c r="D4233" t="s">
        <v>4448</v>
      </c>
      <c r="E4233" t="s">
        <v>34</v>
      </c>
      <c r="F4233" t="s">
        <v>4449</v>
      </c>
      <c r="G4233" t="s">
        <v>34</v>
      </c>
      <c r="H4233" t="s">
        <v>5086</v>
      </c>
      <c r="J4233">
        <v>47</v>
      </c>
    </row>
    <row r="4234" spans="1:10" x14ac:dyDescent="0.35">
      <c r="A4234">
        <v>9507000007479</v>
      </c>
      <c r="B4234" t="s">
        <v>4450</v>
      </c>
      <c r="C4234" t="s">
        <v>192</v>
      </c>
      <c r="D4234" t="s">
        <v>4448</v>
      </c>
      <c r="E4234" t="s">
        <v>34</v>
      </c>
      <c r="F4234" t="s">
        <v>4449</v>
      </c>
      <c r="G4234" t="s">
        <v>34</v>
      </c>
      <c r="H4234" t="s">
        <v>5086</v>
      </c>
      <c r="J4234">
        <v>16</v>
      </c>
    </row>
    <row r="4235" spans="1:10" x14ac:dyDescent="0.35">
      <c r="A4235">
        <v>9555246321521</v>
      </c>
      <c r="B4235" t="s">
        <v>4451</v>
      </c>
      <c r="C4235" t="s">
        <v>967</v>
      </c>
      <c r="D4235" t="s">
        <v>4452</v>
      </c>
      <c r="E4235" t="s">
        <v>921</v>
      </c>
      <c r="F4235" t="s">
        <v>4453</v>
      </c>
      <c r="G4235" t="s">
        <v>117</v>
      </c>
      <c r="H4235" t="s">
        <v>5087</v>
      </c>
      <c r="J4235">
        <v>3</v>
      </c>
    </row>
    <row r="4236" spans="1:10" x14ac:dyDescent="0.35">
      <c r="A4236">
        <v>9555246350347</v>
      </c>
      <c r="B4236" t="s">
        <v>966</v>
      </c>
      <c r="C4236" t="s">
        <v>967</v>
      </c>
      <c r="D4236" t="s">
        <v>4452</v>
      </c>
      <c r="E4236" t="s">
        <v>921</v>
      </c>
      <c r="F4236" t="s">
        <v>4453</v>
      </c>
      <c r="G4236" t="s">
        <v>117</v>
      </c>
      <c r="H4236" t="s">
        <v>5087</v>
      </c>
      <c r="J4236">
        <v>9</v>
      </c>
    </row>
    <row r="4237" spans="1:10" x14ac:dyDescent="0.35">
      <c r="A4237">
        <v>9555764904015</v>
      </c>
      <c r="B4237" t="s">
        <v>4454</v>
      </c>
      <c r="C4237" t="s">
        <v>81</v>
      </c>
      <c r="D4237" t="s">
        <v>4455</v>
      </c>
      <c r="E4237" t="s">
        <v>2227</v>
      </c>
      <c r="F4237" t="s">
        <v>4456</v>
      </c>
      <c r="G4237" t="s">
        <v>150</v>
      </c>
      <c r="H4237" t="s">
        <v>5088</v>
      </c>
      <c r="J4237">
        <v>31</v>
      </c>
    </row>
    <row r="4238" spans="1:10" x14ac:dyDescent="0.35">
      <c r="A4238">
        <v>9555764908020</v>
      </c>
      <c r="B4238" t="s">
        <v>4457</v>
      </c>
      <c r="C4238" t="s">
        <v>4458</v>
      </c>
      <c r="D4238" t="s">
        <v>4455</v>
      </c>
      <c r="E4238" t="s">
        <v>2227</v>
      </c>
      <c r="F4238" t="s">
        <v>4456</v>
      </c>
      <c r="G4238" t="s">
        <v>117</v>
      </c>
      <c r="H4238" t="s">
        <v>5088</v>
      </c>
      <c r="J4238">
        <v>1</v>
      </c>
    </row>
    <row r="4239" spans="1:10" x14ac:dyDescent="0.35">
      <c r="A4239">
        <v>9556108000769</v>
      </c>
      <c r="B4239" t="s">
        <v>2143</v>
      </c>
      <c r="C4239" t="s">
        <v>758</v>
      </c>
      <c r="D4239" t="s">
        <v>1570</v>
      </c>
      <c r="E4239" t="s">
        <v>22</v>
      </c>
      <c r="F4239" t="s">
        <v>1568</v>
      </c>
      <c r="G4239" t="s">
        <v>34</v>
      </c>
      <c r="H4239" t="s">
        <v>4700</v>
      </c>
      <c r="J4239">
        <v>1</v>
      </c>
    </row>
    <row r="4240" spans="1:10" x14ac:dyDescent="0.35">
      <c r="A4240">
        <v>9556111609010</v>
      </c>
      <c r="B4240" t="s">
        <v>4459</v>
      </c>
      <c r="C4240" t="s">
        <v>4460</v>
      </c>
      <c r="D4240" t="s">
        <v>1570</v>
      </c>
      <c r="E4240" t="s">
        <v>22</v>
      </c>
      <c r="F4240" t="s">
        <v>1568</v>
      </c>
      <c r="G4240" t="s">
        <v>61</v>
      </c>
      <c r="H4240" t="s">
        <v>4700</v>
      </c>
      <c r="J4240">
        <v>1</v>
      </c>
    </row>
    <row r="4241" spans="1:10" x14ac:dyDescent="0.35">
      <c r="A4241">
        <v>9556135421506</v>
      </c>
      <c r="B4241" t="s">
        <v>262</v>
      </c>
      <c r="C4241" t="s">
        <v>192</v>
      </c>
      <c r="D4241" t="s">
        <v>4461</v>
      </c>
      <c r="E4241" t="s">
        <v>308</v>
      </c>
      <c r="F4241" t="s">
        <v>309</v>
      </c>
      <c r="G4241" t="s">
        <v>34</v>
      </c>
      <c r="H4241" t="s">
        <v>4529</v>
      </c>
      <c r="J4241">
        <v>1</v>
      </c>
    </row>
    <row r="4242" spans="1:10" x14ac:dyDescent="0.35">
      <c r="A4242">
        <v>9556404036059</v>
      </c>
      <c r="B4242" t="s">
        <v>4462</v>
      </c>
      <c r="C4242" t="s">
        <v>4463</v>
      </c>
      <c r="D4242" t="s">
        <v>55</v>
      </c>
      <c r="E4242" t="s">
        <v>15</v>
      </c>
      <c r="F4242" t="s">
        <v>56</v>
      </c>
      <c r="G4242" t="s">
        <v>34</v>
      </c>
      <c r="H4242" t="s">
        <v>4497</v>
      </c>
      <c r="J4242">
        <v>1</v>
      </c>
    </row>
    <row r="4243" spans="1:10" x14ac:dyDescent="0.35">
      <c r="A4243">
        <v>9602227002020</v>
      </c>
      <c r="B4243" t="s">
        <v>4464</v>
      </c>
      <c r="C4243" t="s">
        <v>431</v>
      </c>
      <c r="D4243" t="s">
        <v>735</v>
      </c>
      <c r="E4243" t="s">
        <v>637</v>
      </c>
      <c r="F4243" t="s">
        <v>736</v>
      </c>
      <c r="G4243" t="s">
        <v>41</v>
      </c>
      <c r="H4243" t="s">
        <v>4585</v>
      </c>
      <c r="J4243">
        <v>45</v>
      </c>
    </row>
    <row r="4244" spans="1:10" x14ac:dyDescent="0.35">
      <c r="A4244">
        <v>96179796</v>
      </c>
      <c r="B4244" t="s">
        <v>4465</v>
      </c>
      <c r="C4244" t="s">
        <v>36</v>
      </c>
      <c r="D4244" t="s">
        <v>1430</v>
      </c>
      <c r="E4244" t="s">
        <v>22</v>
      </c>
      <c r="F4244" t="s">
        <v>121</v>
      </c>
      <c r="G4244" t="s">
        <v>22</v>
      </c>
      <c r="H4244" t="s">
        <v>4510</v>
      </c>
      <c r="J4244">
        <v>1</v>
      </c>
    </row>
    <row r="4245" spans="1:10" x14ac:dyDescent="0.35">
      <c r="A4245">
        <v>9623666220301</v>
      </c>
      <c r="B4245" t="s">
        <v>4466</v>
      </c>
      <c r="C4245" t="s">
        <v>1068</v>
      </c>
      <c r="D4245" t="s">
        <v>1069</v>
      </c>
      <c r="E4245" t="s">
        <v>61</v>
      </c>
      <c r="F4245" t="s">
        <v>1070</v>
      </c>
      <c r="G4245" t="s">
        <v>61</v>
      </c>
      <c r="H4245" t="s">
        <v>4644</v>
      </c>
      <c r="J4245">
        <v>1</v>
      </c>
    </row>
    <row r="4246" spans="1:10" x14ac:dyDescent="0.35">
      <c r="A4246">
        <v>9712131184771</v>
      </c>
      <c r="B4246" t="s">
        <v>4467</v>
      </c>
      <c r="C4246" t="s">
        <v>114</v>
      </c>
      <c r="D4246" t="s">
        <v>1169</v>
      </c>
      <c r="E4246" t="s">
        <v>61</v>
      </c>
      <c r="F4246" t="s">
        <v>1170</v>
      </c>
      <c r="G4246" t="s">
        <v>61</v>
      </c>
      <c r="H4246" t="s">
        <v>4660</v>
      </c>
      <c r="J4246">
        <v>5</v>
      </c>
    </row>
    <row r="4247" spans="1:10" x14ac:dyDescent="0.35">
      <c r="A4247">
        <v>9716188532134</v>
      </c>
      <c r="B4247" t="s">
        <v>2399</v>
      </c>
      <c r="C4247" t="s">
        <v>192</v>
      </c>
      <c r="D4247" t="s">
        <v>4468</v>
      </c>
      <c r="E4247" t="s">
        <v>34</v>
      </c>
      <c r="F4247" t="s">
        <v>4469</v>
      </c>
      <c r="G4247" t="s">
        <v>34</v>
      </c>
      <c r="H4247" t="s">
        <v>5089</v>
      </c>
      <c r="J4247">
        <v>83</v>
      </c>
    </row>
    <row r="4248" spans="1:10" x14ac:dyDescent="0.35">
      <c r="A4248">
        <v>9716188532141</v>
      </c>
      <c r="B4248" t="s">
        <v>2399</v>
      </c>
      <c r="C4248" t="s">
        <v>75</v>
      </c>
      <c r="D4248" t="s">
        <v>4468</v>
      </c>
      <c r="E4248" t="s">
        <v>34</v>
      </c>
      <c r="F4248" t="s">
        <v>4469</v>
      </c>
      <c r="G4248" t="s">
        <v>34</v>
      </c>
      <c r="H4248" t="s">
        <v>5089</v>
      </c>
      <c r="J4248">
        <v>83</v>
      </c>
    </row>
    <row r="4249" spans="1:10" x14ac:dyDescent="0.35">
      <c r="A4249">
        <v>9716188532196</v>
      </c>
      <c r="B4249" t="s">
        <v>2399</v>
      </c>
      <c r="C4249" t="s">
        <v>253</v>
      </c>
      <c r="D4249" t="s">
        <v>4468</v>
      </c>
      <c r="E4249" t="s">
        <v>34</v>
      </c>
      <c r="F4249" t="s">
        <v>4469</v>
      </c>
      <c r="G4249" t="s">
        <v>34</v>
      </c>
      <c r="H4249" t="s">
        <v>5089</v>
      </c>
      <c r="J4249">
        <v>279</v>
      </c>
    </row>
    <row r="4250" spans="1:10" x14ac:dyDescent="0.35">
      <c r="A4250">
        <v>9780201379624</v>
      </c>
      <c r="B4250" t="s">
        <v>380</v>
      </c>
      <c r="C4250" t="s">
        <v>253</v>
      </c>
      <c r="D4250" t="s">
        <v>4470</v>
      </c>
      <c r="E4250" t="s">
        <v>117</v>
      </c>
      <c r="F4250" t="s">
        <v>4471</v>
      </c>
      <c r="G4250" t="s">
        <v>117</v>
      </c>
      <c r="H4250" t="s">
        <v>5090</v>
      </c>
      <c r="J4250">
        <v>14</v>
      </c>
    </row>
    <row r="4251" spans="1:10" x14ac:dyDescent="0.35">
      <c r="A4251">
        <v>9780201379624</v>
      </c>
      <c r="B4251" t="s">
        <v>380</v>
      </c>
      <c r="C4251" t="s">
        <v>253</v>
      </c>
      <c r="D4251" t="s">
        <v>4470</v>
      </c>
      <c r="E4251" t="s">
        <v>117</v>
      </c>
      <c r="F4251" t="s">
        <v>4471</v>
      </c>
      <c r="G4251" t="s">
        <v>31</v>
      </c>
      <c r="H4251" t="s">
        <v>5090</v>
      </c>
      <c r="J4251">
        <v>11</v>
      </c>
    </row>
    <row r="4252" spans="1:10" x14ac:dyDescent="0.35">
      <c r="A4252">
        <v>9781234567866</v>
      </c>
      <c r="B4252" t="s">
        <v>380</v>
      </c>
      <c r="C4252" t="s">
        <v>326</v>
      </c>
      <c r="D4252" t="s">
        <v>4472</v>
      </c>
      <c r="E4252" t="s">
        <v>117</v>
      </c>
      <c r="F4252" t="s">
        <v>4473</v>
      </c>
      <c r="G4252" t="s">
        <v>117</v>
      </c>
      <c r="H4252" t="s">
        <v>5091</v>
      </c>
      <c r="J4252">
        <v>37</v>
      </c>
    </row>
    <row r="4253" spans="1:10" x14ac:dyDescent="0.35">
      <c r="A4253">
        <v>98884216</v>
      </c>
      <c r="B4253" t="s">
        <v>4474</v>
      </c>
      <c r="C4253" t="s">
        <v>825</v>
      </c>
      <c r="D4253" t="s">
        <v>4384</v>
      </c>
      <c r="E4253" t="s">
        <v>117</v>
      </c>
      <c r="F4253" t="s">
        <v>4383</v>
      </c>
      <c r="G4253" t="s">
        <v>117</v>
      </c>
      <c r="H4253" t="s">
        <v>5080</v>
      </c>
      <c r="J4253">
        <v>8</v>
      </c>
    </row>
    <row r="4254" spans="1:10" x14ac:dyDescent="0.35">
      <c r="A4254">
        <v>99250942</v>
      </c>
      <c r="B4254" t="s">
        <v>154</v>
      </c>
      <c r="C4254" t="s">
        <v>53</v>
      </c>
      <c r="D4254" t="s">
        <v>55</v>
      </c>
      <c r="E4254" t="s">
        <v>15</v>
      </c>
      <c r="F4254" t="s">
        <v>56</v>
      </c>
      <c r="G4254" t="s">
        <v>16</v>
      </c>
      <c r="H4254" t="s">
        <v>4497</v>
      </c>
      <c r="J4254">
        <v>3</v>
      </c>
    </row>
    <row r="4255" spans="1:10" x14ac:dyDescent="0.35">
      <c r="A4255">
        <v>9952160920203</v>
      </c>
      <c r="B4255" t="s">
        <v>4475</v>
      </c>
      <c r="C4255" t="s">
        <v>9</v>
      </c>
      <c r="D4255" t="s">
        <v>4448</v>
      </c>
      <c r="E4255" t="s">
        <v>34</v>
      </c>
      <c r="F4255" t="s">
        <v>4449</v>
      </c>
      <c r="G4255" t="s">
        <v>34</v>
      </c>
      <c r="H4255" t="s">
        <v>5086</v>
      </c>
      <c r="J4255">
        <v>10</v>
      </c>
    </row>
    <row r="4256" spans="1:10" x14ac:dyDescent="0.35">
      <c r="A4256">
        <v>9970338681626</v>
      </c>
      <c r="B4256" t="s">
        <v>4476</v>
      </c>
      <c r="C4256" t="s">
        <v>192</v>
      </c>
      <c r="D4256" t="s">
        <v>4477</v>
      </c>
      <c r="E4256" t="s">
        <v>308</v>
      </c>
      <c r="F4256" t="s">
        <v>309</v>
      </c>
      <c r="G4256" t="s">
        <v>117</v>
      </c>
      <c r="H4256" t="s">
        <v>4529</v>
      </c>
      <c r="J42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8CAF-83E9-4C92-B0F8-1976D2C386AD}">
  <dimension ref="A1:H4255"/>
  <sheetViews>
    <sheetView workbookViewId="0">
      <selection activeCell="C83" sqref="C83"/>
    </sheetView>
  </sheetViews>
  <sheetFormatPr defaultRowHeight="14.5" x14ac:dyDescent="0.35"/>
  <cols>
    <col min="1" max="1" width="16.90625" bestFit="1" customWidth="1"/>
    <col min="2" max="2" width="58.453125" bestFit="1" customWidth="1"/>
    <col min="3" max="3" width="13.453125" bestFit="1" customWidth="1"/>
    <col min="4" max="4" width="35.08984375" bestFit="1" customWidth="1"/>
    <col min="5" max="5" width="21.54296875" bestFit="1" customWidth="1"/>
    <col min="6" max="6" width="51.1796875" bestFit="1" customWidth="1"/>
    <col min="7" max="7" width="14.26953125" bestFit="1" customWidth="1"/>
    <col min="8" max="8" width="13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>
        <v>113</v>
      </c>
    </row>
    <row r="3" spans="1:8" x14ac:dyDescent="0.35">
      <c r="A3">
        <v>86</v>
      </c>
      <c r="B3" t="s">
        <v>13</v>
      </c>
      <c r="C3" t="s">
        <v>9</v>
      </c>
      <c r="D3" t="s">
        <v>14</v>
      </c>
      <c r="E3" t="s">
        <v>15</v>
      </c>
      <c r="F3" t="s">
        <v>14</v>
      </c>
      <c r="G3" t="s">
        <v>16</v>
      </c>
      <c r="H3">
        <v>1</v>
      </c>
    </row>
    <row r="4" spans="1:8" x14ac:dyDescent="0.35">
      <c r="A4">
        <v>23015364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1</v>
      </c>
    </row>
    <row r="5" spans="1:8" x14ac:dyDescent="0.35">
      <c r="A5">
        <v>2148012112</v>
      </c>
      <c r="B5" t="s">
        <v>23</v>
      </c>
      <c r="C5" t="s">
        <v>9</v>
      </c>
      <c r="D5" t="s">
        <v>24</v>
      </c>
      <c r="E5" t="s">
        <v>15</v>
      </c>
      <c r="F5" t="s">
        <v>25</v>
      </c>
      <c r="G5" t="s">
        <v>22</v>
      </c>
      <c r="H5">
        <v>1</v>
      </c>
    </row>
    <row r="6" spans="1:8" x14ac:dyDescent="0.35">
      <c r="A6">
        <v>54676</v>
      </c>
      <c r="B6" t="s">
        <v>26</v>
      </c>
      <c r="C6" t="s">
        <v>9</v>
      </c>
      <c r="D6" t="s">
        <v>27</v>
      </c>
      <c r="E6" t="s">
        <v>16</v>
      </c>
      <c r="F6" t="s">
        <v>28</v>
      </c>
      <c r="G6" t="s">
        <v>16</v>
      </c>
      <c r="H6">
        <v>2</v>
      </c>
    </row>
    <row r="7" spans="1:8" x14ac:dyDescent="0.35">
      <c r="A7">
        <v>1234003331</v>
      </c>
      <c r="B7" t="s">
        <v>29</v>
      </c>
      <c r="C7" t="s">
        <v>9</v>
      </c>
      <c r="D7" t="s">
        <v>30</v>
      </c>
      <c r="E7" t="s">
        <v>31</v>
      </c>
      <c r="F7" t="s">
        <v>32</v>
      </c>
      <c r="G7" t="s">
        <v>33</v>
      </c>
      <c r="H7">
        <v>28</v>
      </c>
    </row>
    <row r="8" spans="1:8" x14ac:dyDescent="0.35">
      <c r="A8">
        <v>1234003331</v>
      </c>
      <c r="B8" t="s">
        <v>29</v>
      </c>
      <c r="C8" t="s">
        <v>9</v>
      </c>
      <c r="D8" t="s">
        <v>30</v>
      </c>
      <c r="E8" t="s">
        <v>31</v>
      </c>
      <c r="F8" t="s">
        <v>32</v>
      </c>
      <c r="G8" t="s">
        <v>34</v>
      </c>
      <c r="H8">
        <v>10</v>
      </c>
    </row>
    <row r="9" spans="1:8" x14ac:dyDescent="0.35">
      <c r="A9">
        <v>1234003331</v>
      </c>
      <c r="B9" t="s">
        <v>29</v>
      </c>
      <c r="C9" t="s">
        <v>9</v>
      </c>
      <c r="D9" t="s">
        <v>30</v>
      </c>
      <c r="E9" t="s">
        <v>31</v>
      </c>
      <c r="F9" t="s">
        <v>32</v>
      </c>
      <c r="G9" t="s">
        <v>31</v>
      </c>
      <c r="H9">
        <v>2</v>
      </c>
    </row>
    <row r="10" spans="1:8" x14ac:dyDescent="0.35">
      <c r="A10">
        <v>1234003348</v>
      </c>
      <c r="B10" t="s">
        <v>35</v>
      </c>
      <c r="C10" t="s">
        <v>36</v>
      </c>
      <c r="D10" t="s">
        <v>30</v>
      </c>
      <c r="E10" t="s">
        <v>31</v>
      </c>
      <c r="F10" t="s">
        <v>32</v>
      </c>
      <c r="G10" t="s">
        <v>31</v>
      </c>
      <c r="H10">
        <v>1</v>
      </c>
    </row>
    <row r="11" spans="1:8" x14ac:dyDescent="0.35">
      <c r="A11">
        <v>14188991012</v>
      </c>
      <c r="B11" t="s">
        <v>37</v>
      </c>
      <c r="C11" t="s">
        <v>38</v>
      </c>
      <c r="D11" t="s">
        <v>39</v>
      </c>
      <c r="E11" t="s">
        <v>15</v>
      </c>
      <c r="F11" t="s">
        <v>40</v>
      </c>
      <c r="G11" t="s">
        <v>41</v>
      </c>
      <c r="H11">
        <v>50</v>
      </c>
    </row>
    <row r="12" spans="1:8" x14ac:dyDescent="0.35">
      <c r="A12">
        <v>151917</v>
      </c>
      <c r="B12" t="s">
        <v>42</v>
      </c>
      <c r="C12" t="s">
        <v>43</v>
      </c>
      <c r="D12" t="s">
        <v>44</v>
      </c>
      <c r="E12" t="s">
        <v>22</v>
      </c>
      <c r="F12" t="s">
        <v>45</v>
      </c>
      <c r="G12" t="s">
        <v>22</v>
      </c>
      <c r="H12">
        <v>1</v>
      </c>
    </row>
    <row r="13" spans="1:8" x14ac:dyDescent="0.35">
      <c r="A13">
        <v>16571957711</v>
      </c>
      <c r="B13" t="s">
        <v>46</v>
      </c>
      <c r="C13" t="s">
        <v>47</v>
      </c>
      <c r="D13" t="s">
        <v>48</v>
      </c>
      <c r="E13" t="s">
        <v>15</v>
      </c>
      <c r="F13" t="s">
        <v>49</v>
      </c>
      <c r="G13" t="s">
        <v>16</v>
      </c>
      <c r="H13">
        <v>2</v>
      </c>
    </row>
    <row r="14" spans="1:8" x14ac:dyDescent="0.35">
      <c r="A14">
        <v>16600000760</v>
      </c>
      <c r="B14" t="s">
        <v>50</v>
      </c>
      <c r="C14" t="s">
        <v>51</v>
      </c>
      <c r="D14" t="s">
        <v>52</v>
      </c>
      <c r="E14" t="s">
        <v>15</v>
      </c>
      <c r="F14" t="s">
        <v>14</v>
      </c>
      <c r="G14" t="s">
        <v>16</v>
      </c>
      <c r="H14">
        <v>1</v>
      </c>
    </row>
    <row r="15" spans="1:8" x14ac:dyDescent="0.35">
      <c r="A15">
        <v>16600010240</v>
      </c>
      <c r="B15" t="s">
        <v>50</v>
      </c>
      <c r="C15" t="s">
        <v>53</v>
      </c>
      <c r="D15" t="s">
        <v>52</v>
      </c>
      <c r="E15" t="s">
        <v>15</v>
      </c>
      <c r="F15" t="s">
        <v>14</v>
      </c>
      <c r="G15" t="s">
        <v>16</v>
      </c>
      <c r="H15">
        <v>2</v>
      </c>
    </row>
    <row r="16" spans="1:8" x14ac:dyDescent="0.35">
      <c r="A16">
        <v>17211182562</v>
      </c>
      <c r="B16" t="s">
        <v>54</v>
      </c>
      <c r="C16" t="s">
        <v>53</v>
      </c>
      <c r="D16" t="s">
        <v>55</v>
      </c>
      <c r="E16" t="s">
        <v>15</v>
      </c>
      <c r="F16" t="s">
        <v>56</v>
      </c>
      <c r="G16" t="s">
        <v>16</v>
      </c>
      <c r="H16">
        <v>1</v>
      </c>
    </row>
    <row r="17" spans="1:8" x14ac:dyDescent="0.35">
      <c r="A17">
        <v>17273504494</v>
      </c>
      <c r="B17" t="s">
        <v>57</v>
      </c>
      <c r="C17" t="s">
        <v>58</v>
      </c>
      <c r="D17" t="s">
        <v>59</v>
      </c>
      <c r="E17" t="s">
        <v>15</v>
      </c>
      <c r="F17" t="s">
        <v>60</v>
      </c>
      <c r="G17" t="s">
        <v>61</v>
      </c>
      <c r="H17">
        <v>1</v>
      </c>
    </row>
    <row r="18" spans="1:8" x14ac:dyDescent="0.35">
      <c r="A18">
        <v>18112317305</v>
      </c>
      <c r="B18" t="s">
        <v>62</v>
      </c>
      <c r="C18" t="s">
        <v>43</v>
      </c>
      <c r="D18" t="s">
        <v>63</v>
      </c>
      <c r="E18" t="s">
        <v>22</v>
      </c>
      <c r="F18" t="s">
        <v>64</v>
      </c>
      <c r="G18" t="s">
        <v>22</v>
      </c>
      <c r="H18">
        <v>1</v>
      </c>
    </row>
    <row r="19" spans="1:8" x14ac:dyDescent="0.35">
      <c r="A19">
        <v>21041001634</v>
      </c>
      <c r="B19" t="s">
        <v>65</v>
      </c>
      <c r="C19" t="s">
        <v>66</v>
      </c>
      <c r="D19" t="s">
        <v>65</v>
      </c>
      <c r="E19" t="s">
        <v>41</v>
      </c>
      <c r="F19" t="s">
        <v>67</v>
      </c>
      <c r="G19" t="s">
        <v>41</v>
      </c>
      <c r="H19">
        <v>112</v>
      </c>
    </row>
    <row r="20" spans="1:8" x14ac:dyDescent="0.35">
      <c r="A20">
        <v>21468375004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>
        <v>1</v>
      </c>
    </row>
    <row r="21" spans="1:8" x14ac:dyDescent="0.35">
      <c r="A21">
        <v>25833820458</v>
      </c>
      <c r="B21" t="s">
        <v>74</v>
      </c>
      <c r="C21" t="s">
        <v>75</v>
      </c>
      <c r="D21" t="s">
        <v>76</v>
      </c>
      <c r="E21" t="s">
        <v>34</v>
      </c>
      <c r="F21" t="s">
        <v>77</v>
      </c>
      <c r="G21" t="s">
        <v>34</v>
      </c>
      <c r="H21">
        <v>22</v>
      </c>
    </row>
    <row r="22" spans="1:8" x14ac:dyDescent="0.35">
      <c r="A22">
        <v>25833821028</v>
      </c>
      <c r="B22" t="s">
        <v>74</v>
      </c>
      <c r="C22" t="s">
        <v>78</v>
      </c>
      <c r="D22" t="s">
        <v>76</v>
      </c>
      <c r="E22" t="s">
        <v>34</v>
      </c>
      <c r="F22" t="s">
        <v>77</v>
      </c>
      <c r="G22" t="s">
        <v>34</v>
      </c>
      <c r="H22">
        <v>150</v>
      </c>
    </row>
    <row r="23" spans="1:8" x14ac:dyDescent="0.35">
      <c r="A23">
        <v>25833821059</v>
      </c>
      <c r="B23" t="s">
        <v>79</v>
      </c>
      <c r="C23" t="s">
        <v>75</v>
      </c>
      <c r="D23" t="s">
        <v>76</v>
      </c>
      <c r="E23" t="s">
        <v>34</v>
      </c>
      <c r="F23" t="s">
        <v>77</v>
      </c>
      <c r="G23" t="s">
        <v>34</v>
      </c>
      <c r="H23">
        <v>72</v>
      </c>
    </row>
    <row r="24" spans="1:8" x14ac:dyDescent="0.35">
      <c r="A24">
        <v>25833821219</v>
      </c>
      <c r="B24" t="s">
        <v>80</v>
      </c>
      <c r="C24" t="s">
        <v>81</v>
      </c>
      <c r="D24" t="s">
        <v>76</v>
      </c>
      <c r="E24" t="s">
        <v>34</v>
      </c>
      <c r="F24" t="s">
        <v>77</v>
      </c>
      <c r="G24" t="s">
        <v>34</v>
      </c>
      <c r="H24">
        <v>5</v>
      </c>
    </row>
    <row r="25" spans="1:8" x14ac:dyDescent="0.35">
      <c r="A25">
        <v>258388</v>
      </c>
      <c r="B25" t="s">
        <v>82</v>
      </c>
      <c r="C25" t="s">
        <v>83</v>
      </c>
      <c r="D25" t="s">
        <v>84</v>
      </c>
      <c r="E25" t="s">
        <v>61</v>
      </c>
      <c r="F25" t="s">
        <v>85</v>
      </c>
      <c r="G25" t="s">
        <v>61</v>
      </c>
      <c r="H25">
        <v>1</v>
      </c>
    </row>
    <row r="26" spans="1:8" x14ac:dyDescent="0.35">
      <c r="A26">
        <v>25900227333</v>
      </c>
      <c r="B26" t="s">
        <v>86</v>
      </c>
      <c r="C26" t="s">
        <v>87</v>
      </c>
      <c r="D26" t="s">
        <v>88</v>
      </c>
      <c r="E26" t="s">
        <v>15</v>
      </c>
      <c r="F26" t="s">
        <v>89</v>
      </c>
      <c r="G26" t="s">
        <v>15</v>
      </c>
      <c r="H26">
        <v>1</v>
      </c>
    </row>
    <row r="27" spans="1:8" x14ac:dyDescent="0.35">
      <c r="A27">
        <v>28400040112</v>
      </c>
      <c r="B27" t="s">
        <v>90</v>
      </c>
      <c r="C27" t="s">
        <v>91</v>
      </c>
      <c r="D27" t="s">
        <v>92</v>
      </c>
      <c r="E27" t="s">
        <v>15</v>
      </c>
      <c r="F27" t="s">
        <v>56</v>
      </c>
      <c r="G27" t="s">
        <v>22</v>
      </c>
      <c r="H27">
        <v>2</v>
      </c>
    </row>
    <row r="28" spans="1:8" x14ac:dyDescent="0.35">
      <c r="A28">
        <v>28400040112</v>
      </c>
      <c r="B28" t="s">
        <v>90</v>
      </c>
      <c r="C28" t="s">
        <v>91</v>
      </c>
      <c r="D28" t="s">
        <v>92</v>
      </c>
      <c r="E28" t="s">
        <v>15</v>
      </c>
      <c r="F28" t="s">
        <v>56</v>
      </c>
      <c r="G28" t="s">
        <v>15</v>
      </c>
      <c r="H28">
        <v>1</v>
      </c>
    </row>
    <row r="29" spans="1:8" x14ac:dyDescent="0.35">
      <c r="A29">
        <v>300551</v>
      </c>
      <c r="B29" t="s">
        <v>93</v>
      </c>
      <c r="C29" t="s">
        <v>94</v>
      </c>
      <c r="D29" t="s">
        <v>44</v>
      </c>
      <c r="E29" t="s">
        <v>22</v>
      </c>
      <c r="F29" t="s">
        <v>45</v>
      </c>
      <c r="G29" t="s">
        <v>22</v>
      </c>
      <c r="H29">
        <v>1</v>
      </c>
    </row>
    <row r="30" spans="1:8" x14ac:dyDescent="0.35">
      <c r="A30">
        <v>31200025753</v>
      </c>
      <c r="B30" t="s">
        <v>95</v>
      </c>
      <c r="C30" t="s">
        <v>96</v>
      </c>
      <c r="D30" t="s">
        <v>97</v>
      </c>
      <c r="E30" t="s">
        <v>15</v>
      </c>
      <c r="F30" t="s">
        <v>98</v>
      </c>
      <c r="G30" t="s">
        <v>16</v>
      </c>
      <c r="H30">
        <v>1</v>
      </c>
    </row>
    <row r="31" spans="1:8" x14ac:dyDescent="0.35">
      <c r="A31">
        <v>31200046086</v>
      </c>
      <c r="B31" t="s">
        <v>99</v>
      </c>
      <c r="C31" t="s">
        <v>100</v>
      </c>
      <c r="D31" t="s">
        <v>97</v>
      </c>
      <c r="E31" t="s">
        <v>15</v>
      </c>
      <c r="F31" t="s">
        <v>98</v>
      </c>
      <c r="G31" t="s">
        <v>16</v>
      </c>
      <c r="H31">
        <v>7</v>
      </c>
    </row>
    <row r="32" spans="1:8" x14ac:dyDescent="0.35">
      <c r="A32">
        <v>33844001193</v>
      </c>
      <c r="B32" t="s">
        <v>101</v>
      </c>
      <c r="C32" t="s">
        <v>102</v>
      </c>
      <c r="D32" t="s">
        <v>103</v>
      </c>
      <c r="E32" t="s">
        <v>22</v>
      </c>
      <c r="F32" t="s">
        <v>104</v>
      </c>
      <c r="G32" t="s">
        <v>41</v>
      </c>
      <c r="H32">
        <v>13</v>
      </c>
    </row>
    <row r="33" spans="1:8" x14ac:dyDescent="0.35">
      <c r="A33">
        <v>34000939572</v>
      </c>
      <c r="B33" t="s">
        <v>105</v>
      </c>
      <c r="C33" t="s">
        <v>106</v>
      </c>
      <c r="D33" t="s">
        <v>107</v>
      </c>
      <c r="E33" t="s">
        <v>15</v>
      </c>
      <c r="F33" t="s">
        <v>108</v>
      </c>
      <c r="G33" t="s">
        <v>22</v>
      </c>
      <c r="H33">
        <v>2</v>
      </c>
    </row>
    <row r="34" spans="1:8" x14ac:dyDescent="0.35">
      <c r="A34">
        <v>358767</v>
      </c>
      <c r="B34" t="s">
        <v>109</v>
      </c>
      <c r="C34" t="s">
        <v>110</v>
      </c>
      <c r="D34" t="s">
        <v>111</v>
      </c>
      <c r="E34" t="s">
        <v>22</v>
      </c>
      <c r="F34" t="s">
        <v>112</v>
      </c>
      <c r="G34" t="s">
        <v>22</v>
      </c>
      <c r="H34">
        <v>1</v>
      </c>
    </row>
    <row r="35" spans="1:8" x14ac:dyDescent="0.35">
      <c r="A35">
        <v>40232647048</v>
      </c>
      <c r="B35" t="s">
        <v>113</v>
      </c>
      <c r="C35" t="s">
        <v>114</v>
      </c>
      <c r="D35" t="s">
        <v>115</v>
      </c>
      <c r="E35" t="s">
        <v>34</v>
      </c>
      <c r="F35" t="s">
        <v>116</v>
      </c>
      <c r="G35" t="s">
        <v>117</v>
      </c>
      <c r="H35">
        <v>1</v>
      </c>
    </row>
    <row r="36" spans="1:8" x14ac:dyDescent="0.35">
      <c r="A36">
        <v>415668</v>
      </c>
      <c r="B36" t="s">
        <v>118</v>
      </c>
      <c r="C36" t="s">
        <v>81</v>
      </c>
      <c r="D36" t="s">
        <v>111</v>
      </c>
      <c r="E36" t="s">
        <v>22</v>
      </c>
      <c r="F36" t="s">
        <v>112</v>
      </c>
      <c r="G36" t="s">
        <v>22</v>
      </c>
      <c r="H36">
        <v>1</v>
      </c>
    </row>
    <row r="37" spans="1:8" x14ac:dyDescent="0.35">
      <c r="A37">
        <v>415668</v>
      </c>
      <c r="B37" t="s">
        <v>118</v>
      </c>
      <c r="C37" t="s">
        <v>81</v>
      </c>
      <c r="D37" t="s">
        <v>111</v>
      </c>
      <c r="E37" t="s">
        <v>22</v>
      </c>
      <c r="F37" t="s">
        <v>112</v>
      </c>
      <c r="G37" t="s">
        <v>34</v>
      </c>
      <c r="H37">
        <v>3</v>
      </c>
    </row>
    <row r="38" spans="1:8" x14ac:dyDescent="0.35">
      <c r="A38">
        <v>41990050019</v>
      </c>
      <c r="B38" t="s">
        <v>119</v>
      </c>
      <c r="C38" t="s">
        <v>9</v>
      </c>
      <c r="D38" t="s">
        <v>120</v>
      </c>
      <c r="E38" t="s">
        <v>22</v>
      </c>
      <c r="F38" t="s">
        <v>121</v>
      </c>
      <c r="G38" t="s">
        <v>122</v>
      </c>
      <c r="H38">
        <v>2</v>
      </c>
    </row>
    <row r="39" spans="1:8" x14ac:dyDescent="0.35">
      <c r="A39">
        <v>433662</v>
      </c>
      <c r="B39" t="s">
        <v>123</v>
      </c>
      <c r="C39" t="s">
        <v>81</v>
      </c>
      <c r="D39" t="s">
        <v>111</v>
      </c>
      <c r="E39" t="s">
        <v>22</v>
      </c>
      <c r="F39" t="s">
        <v>112</v>
      </c>
      <c r="G39" t="s">
        <v>22</v>
      </c>
      <c r="H39">
        <v>1</v>
      </c>
    </row>
    <row r="40" spans="1:8" x14ac:dyDescent="0.35">
      <c r="A40">
        <v>43800245189</v>
      </c>
      <c r="B40" t="s">
        <v>124</v>
      </c>
      <c r="C40" t="s">
        <v>9</v>
      </c>
      <c r="D40" t="s">
        <v>125</v>
      </c>
      <c r="E40" t="s">
        <v>41</v>
      </c>
      <c r="F40" t="s">
        <v>126</v>
      </c>
      <c r="G40" t="s">
        <v>41</v>
      </c>
      <c r="H40">
        <v>1</v>
      </c>
    </row>
    <row r="41" spans="1:8" x14ac:dyDescent="0.35">
      <c r="A41">
        <v>48415411301</v>
      </c>
      <c r="B41" t="s">
        <v>127</v>
      </c>
      <c r="C41" t="s">
        <v>128</v>
      </c>
      <c r="D41" t="s">
        <v>129</v>
      </c>
      <c r="E41" t="s">
        <v>130</v>
      </c>
      <c r="F41" t="s">
        <v>131</v>
      </c>
      <c r="G41" t="s">
        <v>16</v>
      </c>
      <c r="H41">
        <v>5</v>
      </c>
    </row>
    <row r="42" spans="1:8" x14ac:dyDescent="0.35">
      <c r="A42">
        <v>50200013218</v>
      </c>
      <c r="B42" t="s">
        <v>132</v>
      </c>
      <c r="C42" t="s">
        <v>133</v>
      </c>
      <c r="D42" t="s">
        <v>134</v>
      </c>
      <c r="E42" t="s">
        <v>15</v>
      </c>
      <c r="F42" t="s">
        <v>135</v>
      </c>
      <c r="G42" t="s">
        <v>16</v>
      </c>
      <c r="H42">
        <v>2</v>
      </c>
    </row>
    <row r="43" spans="1:8" x14ac:dyDescent="0.35">
      <c r="A43">
        <v>519779</v>
      </c>
      <c r="B43" t="s">
        <v>136</v>
      </c>
      <c r="C43" t="s">
        <v>9</v>
      </c>
      <c r="D43" t="s">
        <v>137</v>
      </c>
      <c r="E43" t="s">
        <v>15</v>
      </c>
      <c r="F43" t="s">
        <v>138</v>
      </c>
      <c r="G43" t="s">
        <v>15</v>
      </c>
      <c r="H43">
        <v>1</v>
      </c>
    </row>
    <row r="44" spans="1:8" x14ac:dyDescent="0.35">
      <c r="A44">
        <v>54900000608</v>
      </c>
      <c r="B44" t="s">
        <v>139</v>
      </c>
      <c r="C44" t="s">
        <v>78</v>
      </c>
      <c r="D44" t="s">
        <v>140</v>
      </c>
      <c r="E44" t="s">
        <v>15</v>
      </c>
      <c r="F44" t="s">
        <v>25</v>
      </c>
      <c r="G44" t="s">
        <v>16</v>
      </c>
      <c r="H44">
        <v>2</v>
      </c>
    </row>
    <row r="45" spans="1:8" x14ac:dyDescent="0.35">
      <c r="A45">
        <v>55477420271</v>
      </c>
      <c r="B45" t="s">
        <v>141</v>
      </c>
      <c r="C45" t="s">
        <v>53</v>
      </c>
      <c r="D45" t="s">
        <v>55</v>
      </c>
      <c r="E45" t="s">
        <v>15</v>
      </c>
      <c r="F45" t="s">
        <v>56</v>
      </c>
      <c r="G45" t="s">
        <v>16</v>
      </c>
      <c r="H45">
        <v>1</v>
      </c>
    </row>
    <row r="46" spans="1:8" x14ac:dyDescent="0.35">
      <c r="A46">
        <v>55500402946</v>
      </c>
      <c r="B46" t="s">
        <v>142</v>
      </c>
      <c r="C46" t="s">
        <v>143</v>
      </c>
      <c r="D46" t="s">
        <v>142</v>
      </c>
      <c r="E46" t="s">
        <v>15</v>
      </c>
      <c r="F46" t="s">
        <v>144</v>
      </c>
      <c r="G46" t="s">
        <v>16</v>
      </c>
      <c r="H46">
        <v>3</v>
      </c>
    </row>
    <row r="47" spans="1:8" x14ac:dyDescent="0.35">
      <c r="A47">
        <v>55511221024</v>
      </c>
      <c r="B47" t="s">
        <v>145</v>
      </c>
      <c r="C47" t="s">
        <v>146</v>
      </c>
      <c r="D47" t="s">
        <v>55</v>
      </c>
      <c r="E47" t="s">
        <v>15</v>
      </c>
      <c r="F47" t="s">
        <v>56</v>
      </c>
      <c r="G47" t="s">
        <v>16</v>
      </c>
      <c r="H47">
        <v>1</v>
      </c>
    </row>
    <row r="48" spans="1:8" x14ac:dyDescent="0.35">
      <c r="A48">
        <v>55577420232</v>
      </c>
      <c r="B48" t="s">
        <v>147</v>
      </c>
      <c r="C48" t="s">
        <v>53</v>
      </c>
      <c r="D48" t="s">
        <v>55</v>
      </c>
      <c r="E48" t="s">
        <v>15</v>
      </c>
      <c r="F48" t="s">
        <v>56</v>
      </c>
      <c r="G48" t="s">
        <v>16</v>
      </c>
      <c r="H48">
        <v>5</v>
      </c>
    </row>
    <row r="49" spans="1:8" x14ac:dyDescent="0.35">
      <c r="A49">
        <v>55577420263</v>
      </c>
      <c r="B49" t="s">
        <v>148</v>
      </c>
      <c r="C49" t="s">
        <v>53</v>
      </c>
      <c r="D49" t="s">
        <v>55</v>
      </c>
      <c r="E49" t="s">
        <v>15</v>
      </c>
      <c r="F49" t="s">
        <v>56</v>
      </c>
      <c r="G49" t="s">
        <v>16</v>
      </c>
      <c r="H49">
        <v>3</v>
      </c>
    </row>
    <row r="50" spans="1:8" x14ac:dyDescent="0.35">
      <c r="A50">
        <v>55577420515</v>
      </c>
      <c r="B50" t="s">
        <v>149</v>
      </c>
      <c r="C50" t="s">
        <v>53</v>
      </c>
      <c r="D50" t="s">
        <v>55</v>
      </c>
      <c r="E50" t="s">
        <v>15</v>
      </c>
      <c r="F50" t="s">
        <v>56</v>
      </c>
      <c r="G50" t="s">
        <v>16</v>
      </c>
      <c r="H50">
        <v>5</v>
      </c>
    </row>
    <row r="51" spans="1:8" x14ac:dyDescent="0.35">
      <c r="A51">
        <v>55577420515</v>
      </c>
      <c r="B51" t="s">
        <v>149</v>
      </c>
      <c r="C51" t="s">
        <v>53</v>
      </c>
      <c r="D51" t="s">
        <v>55</v>
      </c>
      <c r="E51" t="s">
        <v>15</v>
      </c>
      <c r="F51" t="s">
        <v>56</v>
      </c>
      <c r="G51" t="s">
        <v>150</v>
      </c>
      <c r="H51">
        <v>4</v>
      </c>
    </row>
    <row r="52" spans="1:8" x14ac:dyDescent="0.35">
      <c r="A52">
        <v>55577420751</v>
      </c>
      <c r="B52" t="s">
        <v>55</v>
      </c>
      <c r="C52" t="s">
        <v>151</v>
      </c>
      <c r="D52" t="s">
        <v>55</v>
      </c>
      <c r="E52" t="s">
        <v>15</v>
      </c>
      <c r="F52" t="s">
        <v>56</v>
      </c>
      <c r="G52" t="s">
        <v>16</v>
      </c>
      <c r="H52">
        <v>2</v>
      </c>
    </row>
    <row r="53" spans="1:8" x14ac:dyDescent="0.35">
      <c r="A53">
        <v>55577420928</v>
      </c>
      <c r="B53" t="s">
        <v>152</v>
      </c>
      <c r="C53" t="s">
        <v>53</v>
      </c>
      <c r="D53" t="s">
        <v>55</v>
      </c>
      <c r="E53" t="s">
        <v>15</v>
      </c>
      <c r="F53" t="s">
        <v>56</v>
      </c>
      <c r="G53" t="s">
        <v>16</v>
      </c>
      <c r="H53">
        <v>5</v>
      </c>
    </row>
    <row r="54" spans="1:8" x14ac:dyDescent="0.35">
      <c r="A54">
        <v>55577420935</v>
      </c>
      <c r="B54" t="s">
        <v>153</v>
      </c>
      <c r="C54" t="s">
        <v>53</v>
      </c>
      <c r="D54" t="s">
        <v>55</v>
      </c>
      <c r="E54" t="s">
        <v>15</v>
      </c>
      <c r="F54" t="s">
        <v>56</v>
      </c>
      <c r="G54" t="s">
        <v>16</v>
      </c>
      <c r="H54">
        <v>7</v>
      </c>
    </row>
    <row r="55" spans="1:8" x14ac:dyDescent="0.35">
      <c r="A55">
        <v>55577420942</v>
      </c>
      <c r="B55" t="s">
        <v>154</v>
      </c>
      <c r="C55" t="s">
        <v>53</v>
      </c>
      <c r="D55" t="s">
        <v>55</v>
      </c>
      <c r="E55" t="s">
        <v>15</v>
      </c>
      <c r="F55" t="s">
        <v>56</v>
      </c>
      <c r="G55" t="s">
        <v>16</v>
      </c>
      <c r="H55">
        <v>3</v>
      </c>
    </row>
    <row r="56" spans="1:8" x14ac:dyDescent="0.35">
      <c r="A56">
        <v>55577420959</v>
      </c>
      <c r="B56" t="s">
        <v>155</v>
      </c>
      <c r="C56" t="s">
        <v>53</v>
      </c>
      <c r="D56" t="s">
        <v>55</v>
      </c>
      <c r="E56" t="s">
        <v>15</v>
      </c>
      <c r="F56" t="s">
        <v>56</v>
      </c>
      <c r="G56" t="s">
        <v>16</v>
      </c>
      <c r="H56">
        <v>3</v>
      </c>
    </row>
    <row r="57" spans="1:8" x14ac:dyDescent="0.35">
      <c r="A57">
        <v>55577421000</v>
      </c>
      <c r="B57" t="s">
        <v>148</v>
      </c>
      <c r="C57" t="s">
        <v>146</v>
      </c>
      <c r="D57" t="s">
        <v>55</v>
      </c>
      <c r="E57" t="s">
        <v>15</v>
      </c>
      <c r="F57" t="s">
        <v>56</v>
      </c>
      <c r="G57" t="s">
        <v>16</v>
      </c>
      <c r="H57">
        <v>1</v>
      </c>
    </row>
    <row r="58" spans="1:8" x14ac:dyDescent="0.35">
      <c r="A58">
        <v>55577421017</v>
      </c>
      <c r="B58" t="s">
        <v>156</v>
      </c>
      <c r="C58" t="s">
        <v>146</v>
      </c>
      <c r="D58" t="s">
        <v>55</v>
      </c>
      <c r="E58" t="s">
        <v>15</v>
      </c>
      <c r="F58" t="s">
        <v>56</v>
      </c>
      <c r="G58" t="s">
        <v>16</v>
      </c>
      <c r="H58">
        <v>2</v>
      </c>
    </row>
    <row r="59" spans="1:8" x14ac:dyDescent="0.35">
      <c r="A59">
        <v>55577421024</v>
      </c>
      <c r="B59" t="s">
        <v>157</v>
      </c>
      <c r="C59" t="s">
        <v>146</v>
      </c>
      <c r="D59" t="s">
        <v>55</v>
      </c>
      <c r="E59" t="s">
        <v>15</v>
      </c>
      <c r="F59" t="s">
        <v>56</v>
      </c>
      <c r="G59" t="s">
        <v>16</v>
      </c>
      <c r="H59">
        <v>6</v>
      </c>
    </row>
    <row r="60" spans="1:8" x14ac:dyDescent="0.35">
      <c r="A60">
        <v>55742534375</v>
      </c>
      <c r="B60" t="s">
        <v>158</v>
      </c>
      <c r="C60" t="s">
        <v>159</v>
      </c>
      <c r="D60" t="s">
        <v>160</v>
      </c>
      <c r="E60" t="s">
        <v>16</v>
      </c>
      <c r="F60" t="s">
        <v>28</v>
      </c>
      <c r="G60" t="s">
        <v>16</v>
      </c>
      <c r="H60">
        <v>1</v>
      </c>
    </row>
    <row r="61" spans="1:8" x14ac:dyDescent="0.35">
      <c r="A61">
        <v>55742550184</v>
      </c>
      <c r="B61" t="s">
        <v>161</v>
      </c>
      <c r="C61" t="s">
        <v>159</v>
      </c>
      <c r="D61" t="s">
        <v>160</v>
      </c>
      <c r="E61" t="s">
        <v>16</v>
      </c>
      <c r="F61" t="s">
        <v>28</v>
      </c>
      <c r="G61" t="s">
        <v>16</v>
      </c>
      <c r="H61">
        <v>1</v>
      </c>
    </row>
    <row r="62" spans="1:8" x14ac:dyDescent="0.35">
      <c r="A62">
        <v>55742550221</v>
      </c>
      <c r="B62" t="s">
        <v>162</v>
      </c>
      <c r="C62" t="s">
        <v>47</v>
      </c>
      <c r="D62" t="s">
        <v>160</v>
      </c>
      <c r="E62" t="s">
        <v>16</v>
      </c>
      <c r="F62" t="s">
        <v>28</v>
      </c>
      <c r="G62" t="s">
        <v>16</v>
      </c>
      <c r="H62">
        <v>1</v>
      </c>
    </row>
    <row r="63" spans="1:8" x14ac:dyDescent="0.35">
      <c r="A63">
        <v>55900001411</v>
      </c>
      <c r="B63" t="s">
        <v>163</v>
      </c>
      <c r="C63" t="s">
        <v>164</v>
      </c>
      <c r="D63" t="s">
        <v>165</v>
      </c>
      <c r="E63" t="s">
        <v>16</v>
      </c>
      <c r="F63" t="s">
        <v>166</v>
      </c>
      <c r="G63" t="s">
        <v>41</v>
      </c>
      <c r="H63">
        <v>50</v>
      </c>
    </row>
    <row r="64" spans="1:8" x14ac:dyDescent="0.35">
      <c r="A64">
        <v>56000004609</v>
      </c>
      <c r="B64" t="s">
        <v>167</v>
      </c>
      <c r="C64" t="s">
        <v>146</v>
      </c>
      <c r="D64" t="s">
        <v>168</v>
      </c>
      <c r="E64" t="s">
        <v>15</v>
      </c>
      <c r="F64" t="s">
        <v>25</v>
      </c>
      <c r="G64" t="s">
        <v>16</v>
      </c>
      <c r="H64">
        <v>1</v>
      </c>
    </row>
    <row r="65" spans="1:8" x14ac:dyDescent="0.35">
      <c r="A65">
        <v>56920012012</v>
      </c>
      <c r="B65" t="s">
        <v>169</v>
      </c>
      <c r="C65" t="s">
        <v>170</v>
      </c>
      <c r="D65" t="s">
        <v>171</v>
      </c>
      <c r="E65" t="s">
        <v>15</v>
      </c>
      <c r="F65" t="s">
        <v>172</v>
      </c>
      <c r="G65" t="s">
        <v>16</v>
      </c>
      <c r="H65">
        <v>5</v>
      </c>
    </row>
    <row r="66" spans="1:8" x14ac:dyDescent="0.35">
      <c r="A66">
        <v>56920012258</v>
      </c>
      <c r="B66" t="s">
        <v>169</v>
      </c>
      <c r="C66" t="s">
        <v>173</v>
      </c>
      <c r="D66" t="s">
        <v>171</v>
      </c>
      <c r="E66" t="s">
        <v>15</v>
      </c>
      <c r="F66" t="s">
        <v>172</v>
      </c>
      <c r="G66" t="s">
        <v>16</v>
      </c>
      <c r="H66">
        <v>1</v>
      </c>
    </row>
    <row r="67" spans="1:8" x14ac:dyDescent="0.35">
      <c r="A67">
        <v>56920012272</v>
      </c>
      <c r="B67" t="s">
        <v>174</v>
      </c>
      <c r="C67" t="s">
        <v>36</v>
      </c>
      <c r="D67" t="s">
        <v>171</v>
      </c>
      <c r="E67" t="s">
        <v>15</v>
      </c>
      <c r="F67" t="s">
        <v>172</v>
      </c>
      <c r="G67" t="s">
        <v>16</v>
      </c>
      <c r="H67">
        <v>7</v>
      </c>
    </row>
    <row r="68" spans="1:8" x14ac:dyDescent="0.35">
      <c r="A68">
        <v>57271160025</v>
      </c>
      <c r="B68" t="s">
        <v>175</v>
      </c>
      <c r="C68" t="s">
        <v>53</v>
      </c>
      <c r="D68" t="s">
        <v>55</v>
      </c>
      <c r="E68" t="s">
        <v>15</v>
      </c>
      <c r="F68" t="s">
        <v>56</v>
      </c>
      <c r="G68" t="s">
        <v>16</v>
      </c>
      <c r="H68">
        <v>3</v>
      </c>
    </row>
    <row r="69" spans="1:8" x14ac:dyDescent="0.35">
      <c r="A69">
        <v>57271160278</v>
      </c>
      <c r="B69" t="s">
        <v>176</v>
      </c>
      <c r="C69" t="s">
        <v>177</v>
      </c>
      <c r="D69" t="s">
        <v>55</v>
      </c>
      <c r="E69" t="s">
        <v>15</v>
      </c>
      <c r="F69" t="s">
        <v>56</v>
      </c>
      <c r="G69" t="s">
        <v>16</v>
      </c>
      <c r="H69">
        <v>1</v>
      </c>
    </row>
    <row r="70" spans="1:8" x14ac:dyDescent="0.35">
      <c r="A70">
        <v>57271162562</v>
      </c>
      <c r="B70" t="s">
        <v>178</v>
      </c>
      <c r="C70" t="s">
        <v>53</v>
      </c>
      <c r="D70" t="s">
        <v>55</v>
      </c>
      <c r="E70" t="s">
        <v>15</v>
      </c>
      <c r="F70" t="s">
        <v>56</v>
      </c>
      <c r="G70" t="s">
        <v>16</v>
      </c>
      <c r="H70">
        <v>6</v>
      </c>
    </row>
    <row r="71" spans="1:8" x14ac:dyDescent="0.35">
      <c r="A71">
        <v>57271162586</v>
      </c>
      <c r="B71" t="s">
        <v>179</v>
      </c>
      <c r="C71" t="s">
        <v>53</v>
      </c>
      <c r="D71" t="s">
        <v>55</v>
      </c>
      <c r="E71" t="s">
        <v>15</v>
      </c>
      <c r="F71" t="s">
        <v>56</v>
      </c>
      <c r="G71" t="s">
        <v>16</v>
      </c>
      <c r="H71">
        <v>3</v>
      </c>
    </row>
    <row r="72" spans="1:8" x14ac:dyDescent="0.35">
      <c r="A72">
        <v>57271162609</v>
      </c>
      <c r="B72" t="s">
        <v>180</v>
      </c>
      <c r="C72" t="s">
        <v>53</v>
      </c>
      <c r="D72" t="s">
        <v>55</v>
      </c>
      <c r="E72" t="s">
        <v>15</v>
      </c>
      <c r="F72" t="s">
        <v>56</v>
      </c>
      <c r="G72" t="s">
        <v>16</v>
      </c>
      <c r="H72">
        <v>2</v>
      </c>
    </row>
    <row r="73" spans="1:8" x14ac:dyDescent="0.35">
      <c r="A73">
        <v>57271162746</v>
      </c>
      <c r="B73" t="s">
        <v>167</v>
      </c>
      <c r="C73" t="s">
        <v>181</v>
      </c>
      <c r="D73" t="s">
        <v>55</v>
      </c>
      <c r="E73" t="s">
        <v>15</v>
      </c>
      <c r="F73" t="s">
        <v>56</v>
      </c>
      <c r="G73" t="s">
        <v>16</v>
      </c>
      <c r="H73">
        <v>1</v>
      </c>
    </row>
    <row r="74" spans="1:8" x14ac:dyDescent="0.35">
      <c r="A74">
        <v>57271163095</v>
      </c>
      <c r="B74" t="s">
        <v>55</v>
      </c>
      <c r="C74" t="s">
        <v>146</v>
      </c>
      <c r="D74" t="s">
        <v>55</v>
      </c>
      <c r="E74" t="s">
        <v>15</v>
      </c>
      <c r="F74" t="s">
        <v>56</v>
      </c>
      <c r="G74" t="s">
        <v>16</v>
      </c>
      <c r="H74">
        <v>2</v>
      </c>
    </row>
    <row r="75" spans="1:8" x14ac:dyDescent="0.35">
      <c r="A75">
        <v>57271163415</v>
      </c>
      <c r="B75" t="s">
        <v>182</v>
      </c>
      <c r="C75" t="s">
        <v>53</v>
      </c>
      <c r="D75" t="s">
        <v>55</v>
      </c>
      <c r="E75" t="s">
        <v>15</v>
      </c>
      <c r="F75" t="s">
        <v>56</v>
      </c>
      <c r="G75" t="s">
        <v>16</v>
      </c>
      <c r="H75">
        <v>1</v>
      </c>
    </row>
    <row r="76" spans="1:8" x14ac:dyDescent="0.35">
      <c r="A76">
        <v>57271164108</v>
      </c>
      <c r="B76" t="s">
        <v>183</v>
      </c>
      <c r="C76" t="s">
        <v>53</v>
      </c>
      <c r="D76" t="s">
        <v>55</v>
      </c>
      <c r="E76" t="s">
        <v>15</v>
      </c>
      <c r="F76" t="s">
        <v>56</v>
      </c>
      <c r="G76" t="s">
        <v>16</v>
      </c>
      <c r="H76">
        <v>2</v>
      </c>
    </row>
    <row r="77" spans="1:8" x14ac:dyDescent="0.35">
      <c r="A77">
        <v>57271164139</v>
      </c>
      <c r="B77" t="s">
        <v>184</v>
      </c>
      <c r="C77" t="s">
        <v>53</v>
      </c>
      <c r="D77" t="s">
        <v>55</v>
      </c>
      <c r="E77" t="s">
        <v>15</v>
      </c>
      <c r="F77" t="s">
        <v>56</v>
      </c>
      <c r="G77" t="s">
        <v>16</v>
      </c>
      <c r="H77">
        <v>3</v>
      </c>
    </row>
    <row r="78" spans="1:8" x14ac:dyDescent="0.35">
      <c r="A78">
        <v>57271164269</v>
      </c>
      <c r="B78" t="s">
        <v>183</v>
      </c>
      <c r="C78" t="s">
        <v>53</v>
      </c>
      <c r="D78" t="s">
        <v>55</v>
      </c>
      <c r="E78" t="s">
        <v>15</v>
      </c>
      <c r="F78" t="s">
        <v>56</v>
      </c>
      <c r="G78" t="s">
        <v>16</v>
      </c>
      <c r="H78">
        <v>7</v>
      </c>
    </row>
    <row r="79" spans="1:8" x14ac:dyDescent="0.35">
      <c r="A79">
        <v>57271164498</v>
      </c>
      <c r="B79" t="s">
        <v>141</v>
      </c>
      <c r="C79" t="s">
        <v>143</v>
      </c>
      <c r="D79" t="s">
        <v>55</v>
      </c>
      <c r="E79" t="s">
        <v>15</v>
      </c>
      <c r="F79" t="s">
        <v>56</v>
      </c>
      <c r="G79" t="s">
        <v>16</v>
      </c>
      <c r="H79">
        <v>2</v>
      </c>
    </row>
    <row r="80" spans="1:8" x14ac:dyDescent="0.35">
      <c r="A80">
        <v>57271164535</v>
      </c>
      <c r="B80" t="s">
        <v>185</v>
      </c>
      <c r="C80" t="s">
        <v>143</v>
      </c>
      <c r="D80" t="s">
        <v>55</v>
      </c>
      <c r="E80" t="s">
        <v>15</v>
      </c>
      <c r="F80" t="s">
        <v>56</v>
      </c>
      <c r="G80" t="s">
        <v>16</v>
      </c>
      <c r="H80">
        <v>3</v>
      </c>
    </row>
    <row r="81" spans="1:8" x14ac:dyDescent="0.35">
      <c r="A81">
        <v>57271164672</v>
      </c>
      <c r="B81" t="s">
        <v>54</v>
      </c>
      <c r="C81" t="s">
        <v>53</v>
      </c>
      <c r="D81" t="s">
        <v>55</v>
      </c>
      <c r="E81" t="s">
        <v>15</v>
      </c>
      <c r="F81" t="s">
        <v>56</v>
      </c>
      <c r="G81" t="s">
        <v>16</v>
      </c>
      <c r="H81">
        <v>1</v>
      </c>
    </row>
    <row r="82" spans="1:8" x14ac:dyDescent="0.35">
      <c r="A82">
        <v>57271555432</v>
      </c>
      <c r="B82" t="s">
        <v>186</v>
      </c>
      <c r="C82" t="s">
        <v>146</v>
      </c>
      <c r="D82" t="s">
        <v>55</v>
      </c>
      <c r="E82" t="s">
        <v>15</v>
      </c>
      <c r="F82" t="s">
        <v>56</v>
      </c>
      <c r="G82" t="s">
        <v>16</v>
      </c>
      <c r="H82">
        <v>1</v>
      </c>
    </row>
    <row r="83" spans="1:8" x14ac:dyDescent="0.35">
      <c r="A83">
        <v>57379105010</v>
      </c>
      <c r="B83" t="s">
        <v>187</v>
      </c>
      <c r="C83" t="s">
        <v>9</v>
      </c>
      <c r="D83" t="s">
        <v>189</v>
      </c>
      <c r="E83" t="s">
        <v>16</v>
      </c>
      <c r="F83" t="s">
        <v>190</v>
      </c>
      <c r="G83" t="s">
        <v>16</v>
      </c>
      <c r="H83">
        <v>2</v>
      </c>
    </row>
    <row r="84" spans="1:8" x14ac:dyDescent="0.35">
      <c r="A84">
        <v>57379121058</v>
      </c>
      <c r="B84" t="s">
        <v>191</v>
      </c>
      <c r="C84" t="s">
        <v>192</v>
      </c>
      <c r="D84" t="s">
        <v>189</v>
      </c>
      <c r="E84" t="s">
        <v>16</v>
      </c>
      <c r="F84" t="s">
        <v>190</v>
      </c>
      <c r="G84" t="s">
        <v>16</v>
      </c>
      <c r="H84">
        <v>3</v>
      </c>
    </row>
    <row r="85" spans="1:8" x14ac:dyDescent="0.35">
      <c r="A85">
        <v>57379121058</v>
      </c>
      <c r="B85" t="s">
        <v>191</v>
      </c>
      <c r="C85" t="s">
        <v>192</v>
      </c>
      <c r="D85" t="s">
        <v>189</v>
      </c>
      <c r="E85" t="s">
        <v>16</v>
      </c>
      <c r="F85" t="s">
        <v>190</v>
      </c>
      <c r="G85" t="s">
        <v>117</v>
      </c>
      <c r="H85">
        <v>2</v>
      </c>
    </row>
    <row r="86" spans="1:8" x14ac:dyDescent="0.35">
      <c r="A86">
        <v>60383027728</v>
      </c>
      <c r="B86" t="s">
        <v>193</v>
      </c>
      <c r="C86" t="s">
        <v>110</v>
      </c>
      <c r="D86" t="s">
        <v>194</v>
      </c>
      <c r="E86" t="s">
        <v>16</v>
      </c>
      <c r="F86" t="s">
        <v>195</v>
      </c>
      <c r="G86" t="s">
        <v>16</v>
      </c>
      <c r="H86">
        <v>1</v>
      </c>
    </row>
    <row r="87" spans="1:8" x14ac:dyDescent="0.35">
      <c r="A87">
        <v>60383029616</v>
      </c>
      <c r="B87" t="s">
        <v>196</v>
      </c>
      <c r="C87" t="s">
        <v>96</v>
      </c>
      <c r="D87" t="s">
        <v>194</v>
      </c>
      <c r="E87" t="s">
        <v>16</v>
      </c>
      <c r="F87" t="s">
        <v>195</v>
      </c>
      <c r="G87" t="s">
        <v>16</v>
      </c>
      <c r="H87">
        <v>4</v>
      </c>
    </row>
    <row r="88" spans="1:8" x14ac:dyDescent="0.35">
      <c r="A88">
        <v>60383040208</v>
      </c>
      <c r="B88" t="s">
        <v>197</v>
      </c>
      <c r="C88" t="s">
        <v>96</v>
      </c>
      <c r="D88" t="s">
        <v>194</v>
      </c>
      <c r="E88" t="s">
        <v>16</v>
      </c>
      <c r="F88" t="s">
        <v>195</v>
      </c>
      <c r="G88" t="s">
        <v>16</v>
      </c>
      <c r="H88">
        <v>3</v>
      </c>
    </row>
    <row r="89" spans="1:8" x14ac:dyDescent="0.35">
      <c r="A89">
        <v>60383048051</v>
      </c>
      <c r="B89" t="s">
        <v>198</v>
      </c>
      <c r="C89" t="s">
        <v>78</v>
      </c>
      <c r="D89" t="s">
        <v>194</v>
      </c>
      <c r="E89" t="s">
        <v>16</v>
      </c>
      <c r="F89" t="s">
        <v>195</v>
      </c>
      <c r="G89" t="s">
        <v>16</v>
      </c>
      <c r="H89">
        <v>1</v>
      </c>
    </row>
    <row r="90" spans="1:8" x14ac:dyDescent="0.35">
      <c r="A90">
        <v>60383048365</v>
      </c>
      <c r="B90" t="s">
        <v>199</v>
      </c>
      <c r="C90" t="s">
        <v>200</v>
      </c>
      <c r="D90" t="s">
        <v>194</v>
      </c>
      <c r="E90" t="s">
        <v>16</v>
      </c>
      <c r="F90" t="s">
        <v>195</v>
      </c>
      <c r="G90" t="s">
        <v>16</v>
      </c>
      <c r="H90">
        <v>1</v>
      </c>
    </row>
    <row r="91" spans="1:8" x14ac:dyDescent="0.35">
      <c r="A91">
        <v>60383048372</v>
      </c>
      <c r="B91" t="s">
        <v>201</v>
      </c>
      <c r="C91" t="s">
        <v>200</v>
      </c>
      <c r="D91" t="s">
        <v>194</v>
      </c>
      <c r="E91" t="s">
        <v>16</v>
      </c>
      <c r="F91" t="s">
        <v>195</v>
      </c>
      <c r="G91" t="s">
        <v>16</v>
      </c>
      <c r="H91">
        <v>6</v>
      </c>
    </row>
    <row r="92" spans="1:8" x14ac:dyDescent="0.35">
      <c r="A92">
        <v>60383097103</v>
      </c>
      <c r="B92" t="s">
        <v>202</v>
      </c>
      <c r="C92" t="s">
        <v>110</v>
      </c>
      <c r="D92" t="s">
        <v>194</v>
      </c>
      <c r="E92" t="s">
        <v>16</v>
      </c>
      <c r="F92" t="s">
        <v>195</v>
      </c>
      <c r="G92" t="s">
        <v>16</v>
      </c>
      <c r="H92">
        <v>1</v>
      </c>
    </row>
    <row r="93" spans="1:8" x14ac:dyDescent="0.35">
      <c r="A93">
        <v>60383103316</v>
      </c>
      <c r="B93" t="s">
        <v>203</v>
      </c>
      <c r="C93" t="s">
        <v>204</v>
      </c>
      <c r="D93" t="s">
        <v>205</v>
      </c>
      <c r="E93" t="s">
        <v>16</v>
      </c>
      <c r="F93" t="s">
        <v>195</v>
      </c>
      <c r="G93" t="s">
        <v>16</v>
      </c>
      <c r="H93">
        <v>1</v>
      </c>
    </row>
    <row r="94" spans="1:8" x14ac:dyDescent="0.35">
      <c r="A94">
        <v>60383104177</v>
      </c>
      <c r="B94" t="s">
        <v>206</v>
      </c>
      <c r="C94" t="s">
        <v>81</v>
      </c>
      <c r="D94" t="s">
        <v>194</v>
      </c>
      <c r="E94" t="s">
        <v>16</v>
      </c>
      <c r="F94" t="s">
        <v>195</v>
      </c>
      <c r="G94" t="s">
        <v>16</v>
      </c>
      <c r="H94">
        <v>1</v>
      </c>
    </row>
    <row r="95" spans="1:8" x14ac:dyDescent="0.35">
      <c r="A95">
        <v>60383132002</v>
      </c>
      <c r="B95" t="s">
        <v>207</v>
      </c>
      <c r="C95" t="s">
        <v>96</v>
      </c>
      <c r="D95" t="s">
        <v>194</v>
      </c>
      <c r="E95" t="s">
        <v>16</v>
      </c>
      <c r="F95" t="s">
        <v>195</v>
      </c>
      <c r="G95" t="s">
        <v>16</v>
      </c>
      <c r="H95">
        <v>3</v>
      </c>
    </row>
    <row r="96" spans="1:8" x14ac:dyDescent="0.35">
      <c r="A96">
        <v>60383140328</v>
      </c>
      <c r="B96" t="s">
        <v>208</v>
      </c>
      <c r="C96" t="s">
        <v>9</v>
      </c>
      <c r="D96" t="s">
        <v>194</v>
      </c>
      <c r="E96" t="s">
        <v>16</v>
      </c>
      <c r="F96" t="s">
        <v>195</v>
      </c>
      <c r="G96" t="s">
        <v>16</v>
      </c>
      <c r="H96">
        <v>4</v>
      </c>
    </row>
    <row r="97" spans="1:8" x14ac:dyDescent="0.35">
      <c r="A97">
        <v>60383140335</v>
      </c>
      <c r="B97" t="s">
        <v>209</v>
      </c>
      <c r="C97" t="s">
        <v>9</v>
      </c>
      <c r="D97" t="s">
        <v>194</v>
      </c>
      <c r="E97" t="s">
        <v>16</v>
      </c>
      <c r="F97" t="s">
        <v>195</v>
      </c>
      <c r="G97" t="s">
        <v>16</v>
      </c>
      <c r="H97">
        <v>2</v>
      </c>
    </row>
    <row r="98" spans="1:8" x14ac:dyDescent="0.35">
      <c r="A98">
        <v>60383185251</v>
      </c>
      <c r="B98" t="s">
        <v>210</v>
      </c>
      <c r="C98" t="s">
        <v>211</v>
      </c>
      <c r="D98" t="s">
        <v>194</v>
      </c>
      <c r="E98" t="s">
        <v>16</v>
      </c>
      <c r="F98" t="s">
        <v>195</v>
      </c>
      <c r="G98" t="s">
        <v>16</v>
      </c>
      <c r="H98">
        <v>1</v>
      </c>
    </row>
    <row r="99" spans="1:8" x14ac:dyDescent="0.35">
      <c r="A99">
        <v>60383653293</v>
      </c>
      <c r="B99" t="s">
        <v>212</v>
      </c>
      <c r="C99" t="s">
        <v>9</v>
      </c>
      <c r="D99" t="s">
        <v>194</v>
      </c>
      <c r="E99" t="s">
        <v>16</v>
      </c>
      <c r="F99" t="s">
        <v>195</v>
      </c>
      <c r="G99" t="s">
        <v>16</v>
      </c>
      <c r="H99">
        <v>39</v>
      </c>
    </row>
    <row r="100" spans="1:8" x14ac:dyDescent="0.35">
      <c r="A100">
        <v>60383655952</v>
      </c>
      <c r="B100" t="s">
        <v>213</v>
      </c>
      <c r="C100" t="s">
        <v>214</v>
      </c>
      <c r="D100" t="s">
        <v>194</v>
      </c>
      <c r="E100" t="s">
        <v>16</v>
      </c>
      <c r="F100" t="s">
        <v>195</v>
      </c>
      <c r="G100" t="s">
        <v>16</v>
      </c>
      <c r="H100">
        <v>1</v>
      </c>
    </row>
    <row r="101" spans="1:8" x14ac:dyDescent="0.35">
      <c r="A101">
        <v>60383782931</v>
      </c>
      <c r="B101" t="s">
        <v>215</v>
      </c>
      <c r="C101" t="s">
        <v>110</v>
      </c>
      <c r="D101" t="s">
        <v>194</v>
      </c>
      <c r="E101" t="s">
        <v>16</v>
      </c>
      <c r="F101" t="s">
        <v>195</v>
      </c>
      <c r="G101" t="s">
        <v>16</v>
      </c>
      <c r="H101">
        <v>1</v>
      </c>
    </row>
    <row r="102" spans="1:8" x14ac:dyDescent="0.35">
      <c r="A102">
        <v>60383863449</v>
      </c>
      <c r="B102" t="s">
        <v>216</v>
      </c>
      <c r="C102" t="s">
        <v>78</v>
      </c>
      <c r="D102" t="s">
        <v>194</v>
      </c>
      <c r="E102" t="s">
        <v>16</v>
      </c>
      <c r="F102" t="s">
        <v>195</v>
      </c>
      <c r="G102" t="s">
        <v>16</v>
      </c>
      <c r="H102">
        <v>2</v>
      </c>
    </row>
    <row r="103" spans="1:8" x14ac:dyDescent="0.35">
      <c r="A103">
        <v>61314000292</v>
      </c>
      <c r="B103" t="s">
        <v>217</v>
      </c>
      <c r="C103" t="s">
        <v>218</v>
      </c>
      <c r="D103" t="s">
        <v>219</v>
      </c>
      <c r="E103" t="s">
        <v>130</v>
      </c>
      <c r="F103" t="s">
        <v>220</v>
      </c>
      <c r="G103" t="s">
        <v>16</v>
      </c>
      <c r="H103">
        <v>1</v>
      </c>
    </row>
    <row r="104" spans="1:8" x14ac:dyDescent="0.35">
      <c r="A104">
        <v>62214000818</v>
      </c>
      <c r="B104" t="s">
        <v>221</v>
      </c>
      <c r="C104" t="s">
        <v>9</v>
      </c>
      <c r="D104" t="s">
        <v>222</v>
      </c>
      <c r="E104" t="s">
        <v>71</v>
      </c>
      <c r="F104" t="s">
        <v>72</v>
      </c>
      <c r="G104" t="s">
        <v>16</v>
      </c>
      <c r="H104">
        <v>1</v>
      </c>
    </row>
    <row r="105" spans="1:8" x14ac:dyDescent="0.35">
      <c r="A105">
        <v>63124005443</v>
      </c>
      <c r="B105" t="s">
        <v>223</v>
      </c>
      <c r="C105" t="s">
        <v>9</v>
      </c>
      <c r="D105" t="s">
        <v>224</v>
      </c>
      <c r="E105" t="s">
        <v>16</v>
      </c>
      <c r="F105" t="s">
        <v>225</v>
      </c>
      <c r="G105" t="s">
        <v>16</v>
      </c>
      <c r="H105">
        <v>8</v>
      </c>
    </row>
    <row r="106" spans="1:8" x14ac:dyDescent="0.35">
      <c r="A106">
        <v>63209155513</v>
      </c>
      <c r="B106" t="s">
        <v>226</v>
      </c>
      <c r="C106" t="s">
        <v>38</v>
      </c>
      <c r="D106" t="s">
        <v>227</v>
      </c>
      <c r="E106" t="s">
        <v>16</v>
      </c>
      <c r="F106" t="s">
        <v>228</v>
      </c>
      <c r="G106" t="s">
        <v>16</v>
      </c>
      <c r="H106">
        <v>4</v>
      </c>
    </row>
    <row r="107" spans="1:8" x14ac:dyDescent="0.35">
      <c r="A107">
        <v>63209168162</v>
      </c>
      <c r="B107" t="s">
        <v>229</v>
      </c>
      <c r="C107" t="s">
        <v>230</v>
      </c>
      <c r="D107" t="s">
        <v>227</v>
      </c>
      <c r="E107" t="s">
        <v>16</v>
      </c>
      <c r="F107" t="s">
        <v>228</v>
      </c>
      <c r="G107" t="s">
        <v>16</v>
      </c>
      <c r="H107">
        <v>6</v>
      </c>
    </row>
    <row r="108" spans="1:8" x14ac:dyDescent="0.35">
      <c r="A108">
        <v>643740</v>
      </c>
      <c r="B108" t="s">
        <v>231</v>
      </c>
      <c r="C108" t="s">
        <v>9</v>
      </c>
      <c r="D108" t="s">
        <v>44</v>
      </c>
      <c r="E108" t="s">
        <v>22</v>
      </c>
      <c r="F108" t="s">
        <v>45</v>
      </c>
      <c r="G108" t="s">
        <v>22</v>
      </c>
      <c r="H108">
        <v>1</v>
      </c>
    </row>
    <row r="109" spans="1:8" x14ac:dyDescent="0.35">
      <c r="A109">
        <v>643764</v>
      </c>
      <c r="B109" t="s">
        <v>232</v>
      </c>
      <c r="C109" t="s">
        <v>9</v>
      </c>
      <c r="D109" t="s">
        <v>44</v>
      </c>
      <c r="E109" t="s">
        <v>22</v>
      </c>
      <c r="F109" t="s">
        <v>45</v>
      </c>
      <c r="G109" t="s">
        <v>22</v>
      </c>
      <c r="H109">
        <v>2</v>
      </c>
    </row>
    <row r="110" spans="1:8" x14ac:dyDescent="0.35">
      <c r="A110">
        <v>643764</v>
      </c>
      <c r="B110" t="s">
        <v>232</v>
      </c>
      <c r="C110" t="s">
        <v>9</v>
      </c>
      <c r="D110" t="s">
        <v>44</v>
      </c>
      <c r="E110" t="s">
        <v>22</v>
      </c>
      <c r="F110" t="s">
        <v>45</v>
      </c>
      <c r="G110" t="s">
        <v>150</v>
      </c>
      <c r="H110">
        <v>1</v>
      </c>
    </row>
    <row r="111" spans="1:8" x14ac:dyDescent="0.35">
      <c r="A111">
        <v>64480000226</v>
      </c>
      <c r="B111" t="s">
        <v>233</v>
      </c>
      <c r="C111" t="s">
        <v>214</v>
      </c>
      <c r="D111" t="s">
        <v>27</v>
      </c>
      <c r="E111" t="s">
        <v>16</v>
      </c>
      <c r="F111" t="s">
        <v>28</v>
      </c>
      <c r="G111" t="s">
        <v>16</v>
      </c>
      <c r="H111">
        <v>1</v>
      </c>
    </row>
    <row r="112" spans="1:8" x14ac:dyDescent="0.35">
      <c r="A112">
        <v>64480001056</v>
      </c>
      <c r="B112" t="s">
        <v>234</v>
      </c>
      <c r="C112" t="s">
        <v>214</v>
      </c>
      <c r="D112" t="s">
        <v>27</v>
      </c>
      <c r="E112" t="s">
        <v>16</v>
      </c>
      <c r="F112" t="s">
        <v>28</v>
      </c>
      <c r="G112" t="s">
        <v>16</v>
      </c>
      <c r="H112">
        <v>1</v>
      </c>
    </row>
    <row r="113" spans="1:8" x14ac:dyDescent="0.35">
      <c r="A113">
        <v>64480006013</v>
      </c>
      <c r="B113" t="s">
        <v>235</v>
      </c>
      <c r="C113" t="s">
        <v>9</v>
      </c>
      <c r="D113" t="s">
        <v>27</v>
      </c>
      <c r="E113" t="s">
        <v>16</v>
      </c>
      <c r="F113" t="s">
        <v>28</v>
      </c>
      <c r="G113" t="s">
        <v>16</v>
      </c>
      <c r="H113">
        <v>228</v>
      </c>
    </row>
    <row r="114" spans="1:8" x14ac:dyDescent="0.35">
      <c r="A114">
        <v>64480006150</v>
      </c>
      <c r="B114" t="s">
        <v>235</v>
      </c>
      <c r="C114" t="s">
        <v>236</v>
      </c>
      <c r="D114" t="s">
        <v>27</v>
      </c>
      <c r="E114" t="s">
        <v>16</v>
      </c>
      <c r="F114" t="s">
        <v>28</v>
      </c>
      <c r="G114" t="s">
        <v>16</v>
      </c>
      <c r="H114">
        <v>3</v>
      </c>
    </row>
    <row r="115" spans="1:8" x14ac:dyDescent="0.35">
      <c r="A115">
        <v>64480006259</v>
      </c>
      <c r="B115" t="s">
        <v>235</v>
      </c>
      <c r="C115" t="s">
        <v>81</v>
      </c>
      <c r="D115" t="s">
        <v>27</v>
      </c>
      <c r="E115" t="s">
        <v>16</v>
      </c>
      <c r="F115" t="s">
        <v>28</v>
      </c>
      <c r="G115" t="s">
        <v>16</v>
      </c>
      <c r="H115">
        <v>4</v>
      </c>
    </row>
    <row r="116" spans="1:8" x14ac:dyDescent="0.35">
      <c r="A116">
        <v>65400000968</v>
      </c>
      <c r="B116" t="s">
        <v>156</v>
      </c>
      <c r="C116" t="s">
        <v>146</v>
      </c>
      <c r="D116" t="s">
        <v>24</v>
      </c>
      <c r="E116" t="s">
        <v>15</v>
      </c>
      <c r="F116" t="s">
        <v>25</v>
      </c>
      <c r="G116" t="s">
        <v>16</v>
      </c>
      <c r="H116">
        <v>16</v>
      </c>
    </row>
    <row r="117" spans="1:8" x14ac:dyDescent="0.35">
      <c r="A117">
        <v>65400001019</v>
      </c>
      <c r="B117" t="s">
        <v>24</v>
      </c>
      <c r="C117" t="s">
        <v>151</v>
      </c>
      <c r="D117" t="s">
        <v>24</v>
      </c>
      <c r="E117" t="s">
        <v>15</v>
      </c>
      <c r="F117" t="s">
        <v>25</v>
      </c>
      <c r="G117" t="s">
        <v>16</v>
      </c>
      <c r="H117">
        <v>3</v>
      </c>
    </row>
    <row r="118" spans="1:8" x14ac:dyDescent="0.35">
      <c r="A118">
        <v>65400005239</v>
      </c>
      <c r="B118" t="s">
        <v>237</v>
      </c>
      <c r="C118" t="s">
        <v>146</v>
      </c>
      <c r="D118" t="s">
        <v>24</v>
      </c>
      <c r="E118" t="s">
        <v>15</v>
      </c>
      <c r="F118" t="s">
        <v>25</v>
      </c>
      <c r="G118" t="s">
        <v>16</v>
      </c>
      <c r="H118">
        <v>2</v>
      </c>
    </row>
    <row r="119" spans="1:8" x14ac:dyDescent="0.35">
      <c r="A119">
        <v>65400010981</v>
      </c>
      <c r="B119" t="s">
        <v>238</v>
      </c>
      <c r="C119" t="s">
        <v>239</v>
      </c>
      <c r="D119" t="s">
        <v>240</v>
      </c>
      <c r="E119" t="s">
        <v>15</v>
      </c>
      <c r="F119" t="s">
        <v>56</v>
      </c>
      <c r="G119" t="s">
        <v>16</v>
      </c>
      <c r="H119">
        <v>1</v>
      </c>
    </row>
    <row r="120" spans="1:8" x14ac:dyDescent="0.35">
      <c r="A120">
        <v>65400010998</v>
      </c>
      <c r="B120" t="s">
        <v>196</v>
      </c>
      <c r="C120" t="s">
        <v>241</v>
      </c>
      <c r="D120" t="s">
        <v>240</v>
      </c>
      <c r="E120" t="s">
        <v>15</v>
      </c>
      <c r="F120" t="s">
        <v>56</v>
      </c>
      <c r="G120" t="s">
        <v>16</v>
      </c>
      <c r="H120">
        <v>1</v>
      </c>
    </row>
    <row r="121" spans="1:8" x14ac:dyDescent="0.35">
      <c r="A121">
        <v>65400011001</v>
      </c>
      <c r="B121" t="s">
        <v>242</v>
      </c>
      <c r="C121" t="s">
        <v>239</v>
      </c>
      <c r="D121" t="s">
        <v>243</v>
      </c>
      <c r="E121" t="s">
        <v>15</v>
      </c>
      <c r="F121" t="s">
        <v>56</v>
      </c>
      <c r="G121" t="s">
        <v>16</v>
      </c>
      <c r="H121">
        <v>2</v>
      </c>
    </row>
    <row r="122" spans="1:8" x14ac:dyDescent="0.35">
      <c r="A122">
        <v>65400011254</v>
      </c>
      <c r="B122" t="s">
        <v>244</v>
      </c>
      <c r="C122" t="s">
        <v>245</v>
      </c>
      <c r="D122" t="s">
        <v>240</v>
      </c>
      <c r="E122" t="s">
        <v>15</v>
      </c>
      <c r="F122" t="s">
        <v>56</v>
      </c>
      <c r="G122" t="s">
        <v>16</v>
      </c>
      <c r="H122">
        <v>1</v>
      </c>
    </row>
    <row r="123" spans="1:8" x14ac:dyDescent="0.35">
      <c r="A123">
        <v>67000011641</v>
      </c>
      <c r="B123" t="s">
        <v>167</v>
      </c>
      <c r="C123" t="s">
        <v>214</v>
      </c>
      <c r="D123" t="s">
        <v>246</v>
      </c>
      <c r="E123" t="s">
        <v>15</v>
      </c>
      <c r="F123" t="s">
        <v>14</v>
      </c>
      <c r="G123" t="s">
        <v>16</v>
      </c>
      <c r="H123">
        <v>1</v>
      </c>
    </row>
    <row r="124" spans="1:8" x14ac:dyDescent="0.35">
      <c r="A124">
        <v>67000012280</v>
      </c>
      <c r="B124" t="s">
        <v>247</v>
      </c>
      <c r="C124" t="s">
        <v>230</v>
      </c>
      <c r="D124" t="s">
        <v>248</v>
      </c>
      <c r="E124" t="s">
        <v>15</v>
      </c>
      <c r="F124" t="s">
        <v>14</v>
      </c>
      <c r="G124" t="s">
        <v>16</v>
      </c>
      <c r="H124">
        <v>1</v>
      </c>
    </row>
    <row r="125" spans="1:8" x14ac:dyDescent="0.35">
      <c r="A125">
        <v>67000104022</v>
      </c>
      <c r="B125" t="s">
        <v>249</v>
      </c>
      <c r="C125" t="s">
        <v>146</v>
      </c>
      <c r="D125" t="s">
        <v>14</v>
      </c>
      <c r="E125" t="s">
        <v>15</v>
      </c>
      <c r="F125" t="s">
        <v>14</v>
      </c>
      <c r="G125" t="s">
        <v>16</v>
      </c>
      <c r="H125">
        <v>32</v>
      </c>
    </row>
    <row r="126" spans="1:8" x14ac:dyDescent="0.35">
      <c r="A126">
        <v>67000104039</v>
      </c>
      <c r="B126" t="s">
        <v>250</v>
      </c>
      <c r="C126" t="s">
        <v>146</v>
      </c>
      <c r="D126" t="s">
        <v>14</v>
      </c>
      <c r="E126" t="s">
        <v>15</v>
      </c>
      <c r="F126" t="s">
        <v>14</v>
      </c>
      <c r="G126" t="s">
        <v>16</v>
      </c>
      <c r="H126">
        <v>4</v>
      </c>
    </row>
    <row r="127" spans="1:8" x14ac:dyDescent="0.35">
      <c r="A127">
        <v>67000107467</v>
      </c>
      <c r="B127" t="s">
        <v>251</v>
      </c>
      <c r="C127" t="s">
        <v>146</v>
      </c>
      <c r="D127" t="s">
        <v>14</v>
      </c>
      <c r="E127" t="s">
        <v>15</v>
      </c>
      <c r="F127" t="s">
        <v>14</v>
      </c>
      <c r="G127" t="s">
        <v>16</v>
      </c>
      <c r="H127">
        <v>5</v>
      </c>
    </row>
    <row r="128" spans="1:8" x14ac:dyDescent="0.35">
      <c r="A128">
        <v>67000111648</v>
      </c>
      <c r="B128" t="s">
        <v>252</v>
      </c>
      <c r="C128" t="s">
        <v>9</v>
      </c>
      <c r="D128" t="s">
        <v>254</v>
      </c>
      <c r="E128" t="s">
        <v>15</v>
      </c>
      <c r="F128" t="s">
        <v>14</v>
      </c>
      <c r="G128" t="s">
        <v>16</v>
      </c>
      <c r="H128">
        <v>1</v>
      </c>
    </row>
    <row r="129" spans="1:8" x14ac:dyDescent="0.35">
      <c r="A129">
        <v>67000111648</v>
      </c>
      <c r="B129" t="s">
        <v>252</v>
      </c>
      <c r="C129" t="s">
        <v>9</v>
      </c>
      <c r="D129" t="s">
        <v>254</v>
      </c>
      <c r="E129" t="s">
        <v>15</v>
      </c>
      <c r="F129" t="s">
        <v>14</v>
      </c>
      <c r="G129" t="s">
        <v>31</v>
      </c>
      <c r="H129">
        <v>10</v>
      </c>
    </row>
    <row r="130" spans="1:8" x14ac:dyDescent="0.35">
      <c r="A130">
        <v>67311020110</v>
      </c>
      <c r="B130" t="s">
        <v>167</v>
      </c>
      <c r="C130" t="s">
        <v>38</v>
      </c>
      <c r="D130" t="s">
        <v>255</v>
      </c>
      <c r="E130" t="s">
        <v>16</v>
      </c>
      <c r="F130" t="s">
        <v>256</v>
      </c>
      <c r="G130" t="s">
        <v>16</v>
      </c>
      <c r="H130">
        <v>11</v>
      </c>
    </row>
    <row r="131" spans="1:8" x14ac:dyDescent="0.35">
      <c r="A131">
        <v>67311723103</v>
      </c>
      <c r="B131" t="s">
        <v>196</v>
      </c>
      <c r="C131" t="s">
        <v>257</v>
      </c>
      <c r="D131" t="s">
        <v>258</v>
      </c>
      <c r="E131" t="s">
        <v>16</v>
      </c>
      <c r="F131" t="s">
        <v>256</v>
      </c>
      <c r="G131" t="s">
        <v>16</v>
      </c>
      <c r="H131">
        <v>1</v>
      </c>
    </row>
    <row r="132" spans="1:8" x14ac:dyDescent="0.35">
      <c r="A132">
        <v>67997020534</v>
      </c>
      <c r="B132" t="s">
        <v>259</v>
      </c>
      <c r="C132" t="s">
        <v>236</v>
      </c>
      <c r="D132" t="s">
        <v>260</v>
      </c>
      <c r="E132" t="s">
        <v>16</v>
      </c>
      <c r="F132" t="s">
        <v>261</v>
      </c>
      <c r="G132" t="s">
        <v>16</v>
      </c>
      <c r="H132">
        <v>1</v>
      </c>
    </row>
    <row r="133" spans="1:8" x14ac:dyDescent="0.35">
      <c r="A133">
        <v>67997020558</v>
      </c>
      <c r="B133" t="s">
        <v>259</v>
      </c>
      <c r="C133" t="s">
        <v>110</v>
      </c>
      <c r="D133" t="s">
        <v>260</v>
      </c>
      <c r="E133" t="s">
        <v>16</v>
      </c>
      <c r="F133" t="s">
        <v>261</v>
      </c>
      <c r="G133" t="s">
        <v>16</v>
      </c>
      <c r="H133">
        <v>1</v>
      </c>
    </row>
    <row r="134" spans="1:8" x14ac:dyDescent="0.35">
      <c r="A134">
        <v>67997720199</v>
      </c>
      <c r="B134" t="s">
        <v>223</v>
      </c>
      <c r="C134" t="s">
        <v>230</v>
      </c>
      <c r="D134" t="s">
        <v>260</v>
      </c>
      <c r="E134" t="s">
        <v>16</v>
      </c>
      <c r="F134" t="s">
        <v>261</v>
      </c>
      <c r="G134" t="s">
        <v>16</v>
      </c>
      <c r="H134">
        <v>9</v>
      </c>
    </row>
    <row r="135" spans="1:8" x14ac:dyDescent="0.35">
      <c r="A135">
        <v>68274000072</v>
      </c>
      <c r="B135" t="s">
        <v>262</v>
      </c>
      <c r="C135" t="s">
        <v>146</v>
      </c>
      <c r="D135" t="s">
        <v>222</v>
      </c>
      <c r="E135" t="s">
        <v>71</v>
      </c>
      <c r="F135" t="s">
        <v>72</v>
      </c>
      <c r="G135" t="s">
        <v>16</v>
      </c>
      <c r="H135">
        <v>1</v>
      </c>
    </row>
    <row r="136" spans="1:8" x14ac:dyDescent="0.35">
      <c r="A136">
        <v>68274000218</v>
      </c>
      <c r="B136" t="s">
        <v>262</v>
      </c>
      <c r="C136" t="s">
        <v>9</v>
      </c>
      <c r="D136" t="s">
        <v>222</v>
      </c>
      <c r="E136" t="s">
        <v>71</v>
      </c>
      <c r="F136" t="s">
        <v>72</v>
      </c>
      <c r="G136" t="s">
        <v>16</v>
      </c>
      <c r="H136">
        <v>31</v>
      </c>
    </row>
    <row r="137" spans="1:8" x14ac:dyDescent="0.35">
      <c r="A137">
        <v>68274193996</v>
      </c>
      <c r="B137" t="s">
        <v>263</v>
      </c>
      <c r="C137" t="s">
        <v>9</v>
      </c>
      <c r="D137" t="s">
        <v>70</v>
      </c>
      <c r="E137" t="s">
        <v>71</v>
      </c>
      <c r="F137" t="s">
        <v>72</v>
      </c>
      <c r="G137" t="s">
        <v>16</v>
      </c>
      <c r="H137">
        <v>7</v>
      </c>
    </row>
    <row r="138" spans="1:8" x14ac:dyDescent="0.35">
      <c r="A138">
        <v>68274194665</v>
      </c>
      <c r="B138" t="s">
        <v>264</v>
      </c>
      <c r="C138" t="s">
        <v>9</v>
      </c>
      <c r="D138" t="s">
        <v>70</v>
      </c>
      <c r="E138" t="s">
        <v>71</v>
      </c>
      <c r="F138" t="s">
        <v>72</v>
      </c>
      <c r="G138" t="s">
        <v>16</v>
      </c>
      <c r="H138">
        <v>29</v>
      </c>
    </row>
    <row r="139" spans="1:8" x14ac:dyDescent="0.35">
      <c r="A139">
        <v>68274264450</v>
      </c>
      <c r="B139" t="s">
        <v>265</v>
      </c>
      <c r="C139" t="s">
        <v>9</v>
      </c>
      <c r="D139" t="s">
        <v>70</v>
      </c>
      <c r="E139" t="s">
        <v>71</v>
      </c>
      <c r="F139" t="s">
        <v>72</v>
      </c>
      <c r="G139" t="s">
        <v>16</v>
      </c>
      <c r="H139">
        <v>20</v>
      </c>
    </row>
    <row r="140" spans="1:8" x14ac:dyDescent="0.35">
      <c r="A140">
        <v>68274264498</v>
      </c>
      <c r="B140" t="s">
        <v>266</v>
      </c>
      <c r="C140" t="s">
        <v>9</v>
      </c>
      <c r="D140" t="s">
        <v>70</v>
      </c>
      <c r="E140" t="s">
        <v>71</v>
      </c>
      <c r="F140" t="s">
        <v>72</v>
      </c>
      <c r="G140" t="s">
        <v>16</v>
      </c>
      <c r="H140">
        <v>8</v>
      </c>
    </row>
    <row r="141" spans="1:8" x14ac:dyDescent="0.35">
      <c r="A141">
        <v>68274311406</v>
      </c>
      <c r="B141" t="s">
        <v>262</v>
      </c>
      <c r="C141" t="s">
        <v>81</v>
      </c>
      <c r="D141" t="s">
        <v>222</v>
      </c>
      <c r="E141" t="s">
        <v>71</v>
      </c>
      <c r="F141" t="s">
        <v>72</v>
      </c>
      <c r="G141" t="s">
        <v>16</v>
      </c>
      <c r="H141">
        <v>1</v>
      </c>
    </row>
    <row r="142" spans="1:8" x14ac:dyDescent="0.35">
      <c r="A142">
        <v>68274311437</v>
      </c>
      <c r="B142" t="s">
        <v>262</v>
      </c>
      <c r="C142" t="s">
        <v>9</v>
      </c>
      <c r="D142" t="s">
        <v>222</v>
      </c>
      <c r="E142" t="s">
        <v>71</v>
      </c>
      <c r="F142" t="s">
        <v>72</v>
      </c>
      <c r="G142" t="s">
        <v>16</v>
      </c>
      <c r="H142">
        <v>3</v>
      </c>
    </row>
    <row r="143" spans="1:8" x14ac:dyDescent="0.35">
      <c r="A143">
        <v>684514</v>
      </c>
      <c r="B143" t="s">
        <v>267</v>
      </c>
      <c r="C143" t="s">
        <v>268</v>
      </c>
      <c r="D143" t="s">
        <v>44</v>
      </c>
      <c r="E143" t="s">
        <v>22</v>
      </c>
      <c r="F143" t="s">
        <v>45</v>
      </c>
      <c r="G143" t="s">
        <v>22</v>
      </c>
      <c r="H143">
        <v>1</v>
      </c>
    </row>
    <row r="144" spans="1:8" x14ac:dyDescent="0.35">
      <c r="A144">
        <v>68700100208</v>
      </c>
      <c r="B144" t="s">
        <v>269</v>
      </c>
      <c r="C144" t="s">
        <v>230</v>
      </c>
      <c r="D144" t="s">
        <v>270</v>
      </c>
      <c r="E144" t="s">
        <v>16</v>
      </c>
      <c r="F144" t="s">
        <v>225</v>
      </c>
      <c r="G144" t="s">
        <v>16</v>
      </c>
      <c r="H144">
        <v>1</v>
      </c>
    </row>
    <row r="145" spans="1:8" x14ac:dyDescent="0.35">
      <c r="A145">
        <v>68700104039</v>
      </c>
      <c r="B145" t="s">
        <v>270</v>
      </c>
      <c r="C145" t="s">
        <v>36</v>
      </c>
      <c r="D145" t="s">
        <v>270</v>
      </c>
      <c r="E145" t="s">
        <v>16</v>
      </c>
      <c r="F145" t="s">
        <v>225</v>
      </c>
      <c r="G145" t="s">
        <v>16</v>
      </c>
      <c r="H145">
        <v>1</v>
      </c>
    </row>
    <row r="146" spans="1:8" x14ac:dyDescent="0.35">
      <c r="A146">
        <v>68700302565</v>
      </c>
      <c r="B146" t="s">
        <v>271</v>
      </c>
      <c r="C146" t="s">
        <v>272</v>
      </c>
      <c r="D146" t="s">
        <v>270</v>
      </c>
      <c r="E146" t="s">
        <v>16</v>
      </c>
      <c r="F146" t="s">
        <v>225</v>
      </c>
      <c r="G146" t="s">
        <v>16</v>
      </c>
      <c r="H146">
        <v>1</v>
      </c>
    </row>
    <row r="147" spans="1:8" x14ac:dyDescent="0.35">
      <c r="A147">
        <v>69000009826</v>
      </c>
      <c r="B147" t="s">
        <v>273</v>
      </c>
      <c r="C147" t="s">
        <v>81</v>
      </c>
      <c r="D147" t="s">
        <v>273</v>
      </c>
      <c r="E147" t="s">
        <v>15</v>
      </c>
      <c r="F147" t="s">
        <v>56</v>
      </c>
      <c r="G147" t="s">
        <v>16</v>
      </c>
      <c r="H147">
        <v>3</v>
      </c>
    </row>
    <row r="148" spans="1:8" x14ac:dyDescent="0.35">
      <c r="A148">
        <v>69000009840</v>
      </c>
      <c r="B148" t="s">
        <v>273</v>
      </c>
      <c r="C148" t="s">
        <v>146</v>
      </c>
      <c r="D148" t="s">
        <v>273</v>
      </c>
      <c r="E148" t="s">
        <v>15</v>
      </c>
      <c r="F148" t="s">
        <v>56</v>
      </c>
      <c r="G148" t="s">
        <v>16</v>
      </c>
      <c r="H148">
        <v>14</v>
      </c>
    </row>
    <row r="149" spans="1:8" x14ac:dyDescent="0.35">
      <c r="A149">
        <v>69000009918</v>
      </c>
      <c r="B149" t="s">
        <v>273</v>
      </c>
      <c r="C149" t="s">
        <v>53</v>
      </c>
      <c r="D149" t="s">
        <v>273</v>
      </c>
      <c r="E149" t="s">
        <v>15</v>
      </c>
      <c r="F149" t="s">
        <v>56</v>
      </c>
      <c r="G149" t="s">
        <v>16</v>
      </c>
      <c r="H149">
        <v>22</v>
      </c>
    </row>
    <row r="150" spans="1:8" x14ac:dyDescent="0.35">
      <c r="A150">
        <v>69000010020</v>
      </c>
      <c r="B150" t="s">
        <v>273</v>
      </c>
      <c r="C150" t="s">
        <v>274</v>
      </c>
      <c r="D150" t="s">
        <v>273</v>
      </c>
      <c r="E150" t="s">
        <v>15</v>
      </c>
      <c r="F150" t="s">
        <v>56</v>
      </c>
      <c r="G150" t="s">
        <v>16</v>
      </c>
      <c r="H150">
        <v>1</v>
      </c>
    </row>
    <row r="151" spans="1:8" x14ac:dyDescent="0.35">
      <c r="A151">
        <v>69000010631</v>
      </c>
      <c r="B151" t="s">
        <v>275</v>
      </c>
      <c r="C151" t="s">
        <v>159</v>
      </c>
      <c r="D151" t="s">
        <v>273</v>
      </c>
      <c r="E151" t="s">
        <v>15</v>
      </c>
      <c r="F151" t="s">
        <v>56</v>
      </c>
      <c r="G151" t="s">
        <v>16</v>
      </c>
      <c r="H151">
        <v>1</v>
      </c>
    </row>
    <row r="152" spans="1:8" x14ac:dyDescent="0.35">
      <c r="A152">
        <v>69000010662</v>
      </c>
      <c r="B152" t="s">
        <v>275</v>
      </c>
      <c r="C152" t="s">
        <v>146</v>
      </c>
      <c r="D152" t="s">
        <v>273</v>
      </c>
      <c r="E152" t="s">
        <v>15</v>
      </c>
      <c r="F152" t="s">
        <v>56</v>
      </c>
      <c r="G152" t="s">
        <v>16</v>
      </c>
      <c r="H152">
        <v>13</v>
      </c>
    </row>
    <row r="153" spans="1:8" x14ac:dyDescent="0.35">
      <c r="A153">
        <v>69000012611</v>
      </c>
      <c r="B153" t="s">
        <v>275</v>
      </c>
      <c r="C153" t="s">
        <v>78</v>
      </c>
      <c r="D153" t="s">
        <v>273</v>
      </c>
      <c r="E153" t="s">
        <v>15</v>
      </c>
      <c r="F153" t="s">
        <v>56</v>
      </c>
      <c r="G153" t="s">
        <v>16</v>
      </c>
      <c r="H153">
        <v>1</v>
      </c>
    </row>
    <row r="154" spans="1:8" x14ac:dyDescent="0.35">
      <c r="A154">
        <v>69000013748</v>
      </c>
      <c r="B154" t="s">
        <v>276</v>
      </c>
      <c r="C154" t="s">
        <v>53</v>
      </c>
      <c r="D154" t="s">
        <v>273</v>
      </c>
      <c r="E154" t="s">
        <v>15</v>
      </c>
      <c r="F154" t="s">
        <v>56</v>
      </c>
      <c r="G154" t="s">
        <v>16</v>
      </c>
      <c r="H154">
        <v>4</v>
      </c>
    </row>
    <row r="155" spans="1:8" x14ac:dyDescent="0.35">
      <c r="A155">
        <v>69000013762</v>
      </c>
      <c r="B155" t="s">
        <v>277</v>
      </c>
      <c r="C155" t="s">
        <v>214</v>
      </c>
      <c r="D155" t="s">
        <v>273</v>
      </c>
      <c r="E155" t="s">
        <v>15</v>
      </c>
      <c r="F155" t="s">
        <v>56</v>
      </c>
      <c r="G155" t="s">
        <v>16</v>
      </c>
      <c r="H155">
        <v>1</v>
      </c>
    </row>
    <row r="156" spans="1:8" x14ac:dyDescent="0.35">
      <c r="A156">
        <v>69000014257</v>
      </c>
      <c r="B156" t="s">
        <v>275</v>
      </c>
      <c r="C156" t="s">
        <v>278</v>
      </c>
      <c r="D156" t="s">
        <v>273</v>
      </c>
      <c r="E156" t="s">
        <v>15</v>
      </c>
      <c r="F156" t="s">
        <v>56</v>
      </c>
      <c r="G156" t="s">
        <v>16</v>
      </c>
      <c r="H156">
        <v>3</v>
      </c>
    </row>
    <row r="157" spans="1:8" x14ac:dyDescent="0.35">
      <c r="A157">
        <v>69000015629</v>
      </c>
      <c r="B157" t="s">
        <v>279</v>
      </c>
      <c r="C157" t="s">
        <v>110</v>
      </c>
      <c r="D157" t="s">
        <v>280</v>
      </c>
      <c r="E157" t="s">
        <v>15</v>
      </c>
      <c r="F157" t="s">
        <v>56</v>
      </c>
      <c r="G157" t="s">
        <v>16</v>
      </c>
      <c r="H157">
        <v>1</v>
      </c>
    </row>
    <row r="158" spans="1:8" x14ac:dyDescent="0.35">
      <c r="A158">
        <v>69000016213</v>
      </c>
      <c r="B158" t="s">
        <v>281</v>
      </c>
      <c r="C158" t="s">
        <v>177</v>
      </c>
      <c r="D158" t="s">
        <v>280</v>
      </c>
      <c r="E158" t="s">
        <v>15</v>
      </c>
      <c r="F158" t="s">
        <v>56</v>
      </c>
      <c r="G158" t="s">
        <v>16</v>
      </c>
      <c r="H158">
        <v>2</v>
      </c>
    </row>
    <row r="159" spans="1:8" x14ac:dyDescent="0.35">
      <c r="A159">
        <v>69000019832</v>
      </c>
      <c r="B159" t="s">
        <v>275</v>
      </c>
      <c r="C159" t="s">
        <v>53</v>
      </c>
      <c r="D159" t="s">
        <v>273</v>
      </c>
      <c r="E159" t="s">
        <v>15</v>
      </c>
      <c r="F159" t="s">
        <v>56</v>
      </c>
      <c r="G159" t="s">
        <v>16</v>
      </c>
      <c r="H159">
        <v>11</v>
      </c>
    </row>
    <row r="160" spans="1:8" x14ac:dyDescent="0.35">
      <c r="A160">
        <v>69000040607</v>
      </c>
      <c r="B160" t="s">
        <v>252</v>
      </c>
      <c r="C160" t="s">
        <v>53</v>
      </c>
      <c r="D160" t="s">
        <v>282</v>
      </c>
      <c r="E160" t="s">
        <v>15</v>
      </c>
      <c r="F160" t="s">
        <v>56</v>
      </c>
      <c r="G160" t="s">
        <v>16</v>
      </c>
      <c r="H160">
        <v>8</v>
      </c>
    </row>
    <row r="161" spans="1:8" x14ac:dyDescent="0.35">
      <c r="A161">
        <v>69000050569</v>
      </c>
      <c r="B161" t="s">
        <v>283</v>
      </c>
      <c r="C161" t="s">
        <v>53</v>
      </c>
      <c r="D161" t="s">
        <v>283</v>
      </c>
      <c r="E161" t="s">
        <v>15</v>
      </c>
      <c r="F161" t="s">
        <v>56</v>
      </c>
      <c r="G161" t="s">
        <v>16</v>
      </c>
      <c r="H161">
        <v>1</v>
      </c>
    </row>
    <row r="162" spans="1:8" x14ac:dyDescent="0.35">
      <c r="A162">
        <v>69000052273</v>
      </c>
      <c r="B162" t="s">
        <v>284</v>
      </c>
      <c r="C162" t="s">
        <v>53</v>
      </c>
      <c r="D162" t="s">
        <v>285</v>
      </c>
      <c r="E162" t="s">
        <v>15</v>
      </c>
      <c r="F162" t="s">
        <v>56</v>
      </c>
      <c r="G162" t="s">
        <v>16</v>
      </c>
      <c r="H162">
        <v>3</v>
      </c>
    </row>
    <row r="163" spans="1:8" x14ac:dyDescent="0.35">
      <c r="A163">
        <v>69000061008</v>
      </c>
      <c r="B163" t="s">
        <v>286</v>
      </c>
      <c r="C163" t="s">
        <v>9</v>
      </c>
      <c r="D163" t="s">
        <v>285</v>
      </c>
      <c r="E163" t="s">
        <v>15</v>
      </c>
      <c r="F163" t="s">
        <v>56</v>
      </c>
      <c r="G163" t="s">
        <v>16</v>
      </c>
      <c r="H163">
        <v>11</v>
      </c>
    </row>
    <row r="164" spans="1:8" x14ac:dyDescent="0.35">
      <c r="A164">
        <v>69000061015</v>
      </c>
      <c r="B164" t="s">
        <v>286</v>
      </c>
      <c r="C164" t="s">
        <v>53</v>
      </c>
      <c r="D164" t="s">
        <v>285</v>
      </c>
      <c r="E164" t="s">
        <v>15</v>
      </c>
      <c r="F164" t="s">
        <v>56</v>
      </c>
      <c r="G164" t="s">
        <v>16</v>
      </c>
      <c r="H164">
        <v>25</v>
      </c>
    </row>
    <row r="165" spans="1:8" x14ac:dyDescent="0.35">
      <c r="A165">
        <v>69000061015</v>
      </c>
      <c r="B165" t="s">
        <v>286</v>
      </c>
      <c r="C165" t="s">
        <v>53</v>
      </c>
      <c r="D165" t="s">
        <v>285</v>
      </c>
      <c r="E165" t="s">
        <v>15</v>
      </c>
      <c r="F165" t="s">
        <v>56</v>
      </c>
      <c r="G165" t="s">
        <v>31</v>
      </c>
      <c r="H165">
        <v>15</v>
      </c>
    </row>
    <row r="166" spans="1:8" x14ac:dyDescent="0.35">
      <c r="A166">
        <v>69000147344</v>
      </c>
      <c r="B166" t="s">
        <v>287</v>
      </c>
      <c r="C166" t="s">
        <v>151</v>
      </c>
      <c r="D166" t="s">
        <v>283</v>
      </c>
      <c r="E166" t="s">
        <v>15</v>
      </c>
      <c r="F166" t="s">
        <v>56</v>
      </c>
      <c r="G166" t="s">
        <v>16</v>
      </c>
      <c r="H166">
        <v>2</v>
      </c>
    </row>
    <row r="167" spans="1:8" x14ac:dyDescent="0.35">
      <c r="A167">
        <v>69000147870</v>
      </c>
      <c r="B167" t="s">
        <v>288</v>
      </c>
      <c r="C167" t="s">
        <v>289</v>
      </c>
      <c r="D167" t="s">
        <v>290</v>
      </c>
      <c r="E167" t="s">
        <v>15</v>
      </c>
      <c r="F167" t="s">
        <v>56</v>
      </c>
      <c r="G167" t="s">
        <v>16</v>
      </c>
      <c r="H167">
        <v>5</v>
      </c>
    </row>
    <row r="168" spans="1:8" x14ac:dyDescent="0.35">
      <c r="A168">
        <v>69000148846</v>
      </c>
      <c r="B168" t="s">
        <v>46</v>
      </c>
      <c r="C168" t="s">
        <v>289</v>
      </c>
      <c r="D168" t="s">
        <v>290</v>
      </c>
      <c r="E168" t="s">
        <v>15</v>
      </c>
      <c r="F168" t="s">
        <v>56</v>
      </c>
      <c r="G168" t="s">
        <v>16</v>
      </c>
      <c r="H168">
        <v>1</v>
      </c>
    </row>
    <row r="169" spans="1:8" x14ac:dyDescent="0.35">
      <c r="A169">
        <v>69000154939</v>
      </c>
      <c r="B169" t="s">
        <v>291</v>
      </c>
      <c r="C169" t="s">
        <v>53</v>
      </c>
      <c r="D169" t="s">
        <v>283</v>
      </c>
      <c r="E169" t="s">
        <v>15</v>
      </c>
      <c r="F169" t="s">
        <v>56</v>
      </c>
      <c r="G169" t="s">
        <v>16</v>
      </c>
      <c r="H169">
        <v>2</v>
      </c>
    </row>
    <row r="170" spans="1:8" x14ac:dyDescent="0.35">
      <c r="A170">
        <v>69000159286</v>
      </c>
      <c r="B170" t="s">
        <v>292</v>
      </c>
      <c r="C170" t="s">
        <v>151</v>
      </c>
      <c r="D170" t="s">
        <v>283</v>
      </c>
      <c r="E170" t="s">
        <v>15</v>
      </c>
      <c r="F170" t="s">
        <v>56</v>
      </c>
      <c r="G170" t="s">
        <v>16</v>
      </c>
      <c r="H170">
        <v>1</v>
      </c>
    </row>
    <row r="171" spans="1:8" x14ac:dyDescent="0.35">
      <c r="A171">
        <v>69001002918</v>
      </c>
      <c r="B171" t="s">
        <v>273</v>
      </c>
      <c r="C171" t="s">
        <v>53</v>
      </c>
      <c r="D171" t="s">
        <v>273</v>
      </c>
      <c r="E171" t="s">
        <v>15</v>
      </c>
      <c r="F171" t="s">
        <v>56</v>
      </c>
      <c r="G171" t="s">
        <v>16</v>
      </c>
      <c r="H171">
        <v>2</v>
      </c>
    </row>
    <row r="172" spans="1:8" x14ac:dyDescent="0.35">
      <c r="A172">
        <v>70137111214</v>
      </c>
      <c r="B172" t="s">
        <v>86</v>
      </c>
      <c r="C172" t="s">
        <v>87</v>
      </c>
      <c r="D172" t="s">
        <v>293</v>
      </c>
      <c r="E172" t="s">
        <v>15</v>
      </c>
      <c r="F172" t="s">
        <v>294</v>
      </c>
      <c r="G172" t="s">
        <v>15</v>
      </c>
      <c r="H172">
        <v>1</v>
      </c>
    </row>
    <row r="173" spans="1:8" x14ac:dyDescent="0.35">
      <c r="A173">
        <v>70847811190</v>
      </c>
      <c r="B173" t="s">
        <v>295</v>
      </c>
      <c r="C173" t="s">
        <v>230</v>
      </c>
      <c r="D173" t="s">
        <v>296</v>
      </c>
      <c r="E173" t="s">
        <v>15</v>
      </c>
      <c r="F173" t="s">
        <v>297</v>
      </c>
      <c r="G173" t="s">
        <v>16</v>
      </c>
      <c r="H173">
        <v>1</v>
      </c>
    </row>
    <row r="174" spans="1:8" x14ac:dyDescent="0.35">
      <c r="A174">
        <v>70847811190</v>
      </c>
      <c r="B174" t="s">
        <v>295</v>
      </c>
      <c r="C174" t="s">
        <v>230</v>
      </c>
      <c r="D174" t="s">
        <v>296</v>
      </c>
      <c r="E174" t="s">
        <v>15</v>
      </c>
      <c r="F174" t="s">
        <v>297</v>
      </c>
      <c r="G174" t="s">
        <v>31</v>
      </c>
      <c r="H174">
        <v>5</v>
      </c>
    </row>
    <row r="175" spans="1:8" x14ac:dyDescent="0.35">
      <c r="A175">
        <v>71464240400</v>
      </c>
      <c r="B175" t="s">
        <v>298</v>
      </c>
      <c r="C175" t="s">
        <v>239</v>
      </c>
      <c r="D175" t="s">
        <v>299</v>
      </c>
      <c r="E175" t="s">
        <v>15</v>
      </c>
      <c r="F175" t="s">
        <v>300</v>
      </c>
      <c r="G175" t="s">
        <v>15</v>
      </c>
      <c r="H175">
        <v>1</v>
      </c>
    </row>
    <row r="176" spans="1:8" x14ac:dyDescent="0.35">
      <c r="A176">
        <v>72030023014</v>
      </c>
      <c r="B176" t="s">
        <v>301</v>
      </c>
      <c r="C176" t="s">
        <v>302</v>
      </c>
      <c r="D176" t="s">
        <v>303</v>
      </c>
      <c r="E176" t="s">
        <v>15</v>
      </c>
      <c r="F176" t="s">
        <v>304</v>
      </c>
      <c r="G176" t="s">
        <v>15</v>
      </c>
      <c r="H176">
        <v>1</v>
      </c>
    </row>
    <row r="177" spans="1:8" x14ac:dyDescent="0.35">
      <c r="A177">
        <v>76280045314</v>
      </c>
      <c r="B177" t="s">
        <v>305</v>
      </c>
      <c r="C177" t="s">
        <v>306</v>
      </c>
      <c r="D177" t="s">
        <v>307</v>
      </c>
      <c r="E177" t="s">
        <v>308</v>
      </c>
      <c r="F177" t="s">
        <v>309</v>
      </c>
      <c r="G177" t="s">
        <v>61</v>
      </c>
      <c r="H177">
        <v>1</v>
      </c>
    </row>
    <row r="178" spans="1:8" x14ac:dyDescent="0.35">
      <c r="A178">
        <v>76301590052</v>
      </c>
      <c r="B178" t="s">
        <v>310</v>
      </c>
      <c r="C178" t="s">
        <v>311</v>
      </c>
      <c r="D178" t="s">
        <v>312</v>
      </c>
      <c r="E178" t="s">
        <v>16</v>
      </c>
      <c r="F178" t="s">
        <v>256</v>
      </c>
      <c r="G178" t="s">
        <v>41</v>
      </c>
      <c r="H178">
        <v>100</v>
      </c>
    </row>
    <row r="179" spans="1:8" x14ac:dyDescent="0.35">
      <c r="A179">
        <v>76412480044</v>
      </c>
      <c r="B179" t="s">
        <v>313</v>
      </c>
      <c r="C179" t="s">
        <v>69</v>
      </c>
      <c r="D179" t="s">
        <v>314</v>
      </c>
      <c r="E179" t="s">
        <v>20</v>
      </c>
      <c r="F179" t="s">
        <v>315</v>
      </c>
      <c r="G179" t="s">
        <v>22</v>
      </c>
      <c r="H179">
        <v>1</v>
      </c>
    </row>
    <row r="180" spans="1:8" x14ac:dyDescent="0.35">
      <c r="A180">
        <v>80686832133</v>
      </c>
      <c r="B180" t="s">
        <v>316</v>
      </c>
      <c r="C180" t="s">
        <v>128</v>
      </c>
      <c r="D180" t="s">
        <v>317</v>
      </c>
      <c r="E180" t="s">
        <v>318</v>
      </c>
      <c r="F180" t="s">
        <v>319</v>
      </c>
      <c r="G180" t="s">
        <v>16</v>
      </c>
      <c r="H180">
        <v>3</v>
      </c>
    </row>
    <row r="181" spans="1:8" x14ac:dyDescent="0.35">
      <c r="A181">
        <v>8080150059</v>
      </c>
      <c r="B181" t="s">
        <v>320</v>
      </c>
      <c r="C181" t="s">
        <v>38</v>
      </c>
      <c r="D181" t="s">
        <v>321</v>
      </c>
      <c r="E181" t="s">
        <v>308</v>
      </c>
      <c r="F181" t="s">
        <v>309</v>
      </c>
      <c r="G181" t="s">
        <v>22</v>
      </c>
      <c r="H181">
        <v>1</v>
      </c>
    </row>
    <row r="182" spans="1:8" x14ac:dyDescent="0.35">
      <c r="A182">
        <v>81821021023</v>
      </c>
      <c r="B182" t="s">
        <v>322</v>
      </c>
      <c r="C182" t="s">
        <v>43</v>
      </c>
      <c r="D182" t="s">
        <v>323</v>
      </c>
      <c r="E182" t="s">
        <v>73</v>
      </c>
      <c r="F182" t="s">
        <v>324</v>
      </c>
      <c r="G182" t="s">
        <v>33</v>
      </c>
      <c r="H182">
        <v>1</v>
      </c>
    </row>
    <row r="183" spans="1:8" x14ac:dyDescent="0.35">
      <c r="A183">
        <v>82000749981</v>
      </c>
      <c r="B183" t="s">
        <v>325</v>
      </c>
      <c r="C183" t="s">
        <v>326</v>
      </c>
      <c r="D183" t="s">
        <v>327</v>
      </c>
      <c r="E183" t="s">
        <v>22</v>
      </c>
      <c r="F183" t="s">
        <v>328</v>
      </c>
      <c r="G183" t="s">
        <v>16</v>
      </c>
      <c r="H183">
        <v>1</v>
      </c>
    </row>
    <row r="184" spans="1:8" x14ac:dyDescent="0.35">
      <c r="A184">
        <v>82000763581</v>
      </c>
      <c r="B184" t="s">
        <v>329</v>
      </c>
      <c r="C184" t="s">
        <v>110</v>
      </c>
      <c r="D184" t="s">
        <v>330</v>
      </c>
      <c r="E184" t="s">
        <v>22</v>
      </c>
      <c r="F184" t="s">
        <v>328</v>
      </c>
      <c r="G184" t="s">
        <v>16</v>
      </c>
      <c r="H184">
        <v>3</v>
      </c>
    </row>
    <row r="185" spans="1:8" x14ac:dyDescent="0.35">
      <c r="A185">
        <v>82000795254</v>
      </c>
      <c r="B185" t="s">
        <v>127</v>
      </c>
      <c r="C185" t="s">
        <v>326</v>
      </c>
      <c r="D185" t="s">
        <v>330</v>
      </c>
      <c r="E185" t="s">
        <v>22</v>
      </c>
      <c r="F185" t="s">
        <v>328</v>
      </c>
      <c r="G185" t="s">
        <v>16</v>
      </c>
      <c r="H185">
        <v>3</v>
      </c>
    </row>
    <row r="186" spans="1:8" x14ac:dyDescent="0.35">
      <c r="A186">
        <v>83900006266</v>
      </c>
      <c r="B186" t="s">
        <v>331</v>
      </c>
      <c r="C186" t="s">
        <v>9</v>
      </c>
      <c r="D186" t="s">
        <v>332</v>
      </c>
      <c r="E186" t="s">
        <v>71</v>
      </c>
      <c r="F186" t="s">
        <v>72</v>
      </c>
      <c r="G186" t="s">
        <v>16</v>
      </c>
      <c r="H186">
        <v>2</v>
      </c>
    </row>
    <row r="187" spans="1:8" x14ac:dyDescent="0.35">
      <c r="A187">
        <v>848503</v>
      </c>
      <c r="B187" t="s">
        <v>333</v>
      </c>
      <c r="C187" t="s">
        <v>334</v>
      </c>
      <c r="D187" t="s">
        <v>44</v>
      </c>
      <c r="E187" t="s">
        <v>22</v>
      </c>
      <c r="F187" t="s">
        <v>45</v>
      </c>
      <c r="G187" t="s">
        <v>22</v>
      </c>
      <c r="H187">
        <v>1</v>
      </c>
    </row>
    <row r="188" spans="1:8" x14ac:dyDescent="0.35">
      <c r="A188">
        <v>86169046332</v>
      </c>
      <c r="B188" t="s">
        <v>335</v>
      </c>
      <c r="C188" t="s">
        <v>336</v>
      </c>
      <c r="D188" t="s">
        <v>337</v>
      </c>
      <c r="E188" t="s">
        <v>22</v>
      </c>
      <c r="F188" t="s">
        <v>338</v>
      </c>
      <c r="G188" t="s">
        <v>22</v>
      </c>
      <c r="H188">
        <v>1</v>
      </c>
    </row>
    <row r="189" spans="1:8" x14ac:dyDescent="0.35">
      <c r="A189">
        <v>87000007888</v>
      </c>
      <c r="B189" t="s">
        <v>339</v>
      </c>
      <c r="C189" t="s">
        <v>36</v>
      </c>
      <c r="D189" t="s">
        <v>327</v>
      </c>
      <c r="E189" t="s">
        <v>22</v>
      </c>
      <c r="F189" t="s">
        <v>328</v>
      </c>
      <c r="G189" t="s">
        <v>16</v>
      </c>
      <c r="H189">
        <v>1</v>
      </c>
    </row>
    <row r="190" spans="1:8" x14ac:dyDescent="0.35">
      <c r="A190">
        <v>87000007895</v>
      </c>
      <c r="B190" t="s">
        <v>339</v>
      </c>
      <c r="C190" t="s">
        <v>128</v>
      </c>
      <c r="D190" t="s">
        <v>327</v>
      </c>
      <c r="E190" t="s">
        <v>22</v>
      </c>
      <c r="F190" t="s">
        <v>328</v>
      </c>
      <c r="G190" t="s">
        <v>16</v>
      </c>
      <c r="H190">
        <v>7</v>
      </c>
    </row>
    <row r="191" spans="1:8" x14ac:dyDescent="0.35">
      <c r="A191">
        <v>88004400453</v>
      </c>
      <c r="B191" t="s">
        <v>127</v>
      </c>
      <c r="C191" t="s">
        <v>128</v>
      </c>
      <c r="D191" t="s">
        <v>340</v>
      </c>
      <c r="E191" t="s">
        <v>308</v>
      </c>
      <c r="F191" t="s">
        <v>309</v>
      </c>
      <c r="G191" t="s">
        <v>16</v>
      </c>
      <c r="H191">
        <v>3</v>
      </c>
    </row>
    <row r="192" spans="1:8" x14ac:dyDescent="0.35">
      <c r="A192">
        <v>88004400712</v>
      </c>
      <c r="B192" t="s">
        <v>341</v>
      </c>
      <c r="C192" t="s">
        <v>128</v>
      </c>
      <c r="D192" t="s">
        <v>342</v>
      </c>
      <c r="E192" t="s">
        <v>15</v>
      </c>
      <c r="F192" t="s">
        <v>343</v>
      </c>
      <c r="G192" t="s">
        <v>16</v>
      </c>
      <c r="H192">
        <v>5</v>
      </c>
    </row>
    <row r="193" spans="1:8" x14ac:dyDescent="0.35">
      <c r="A193">
        <v>88004400729</v>
      </c>
      <c r="B193" t="s">
        <v>341</v>
      </c>
      <c r="C193" t="s">
        <v>36</v>
      </c>
      <c r="D193" t="s">
        <v>342</v>
      </c>
      <c r="E193" t="s">
        <v>15</v>
      </c>
      <c r="F193" t="s">
        <v>343</v>
      </c>
      <c r="G193" t="s">
        <v>16</v>
      </c>
      <c r="H193">
        <v>3</v>
      </c>
    </row>
    <row r="194" spans="1:8" x14ac:dyDescent="0.35">
      <c r="A194">
        <v>88544016794</v>
      </c>
      <c r="B194" t="s">
        <v>344</v>
      </c>
      <c r="C194" t="s">
        <v>36</v>
      </c>
      <c r="D194" t="s">
        <v>344</v>
      </c>
      <c r="E194" t="s">
        <v>15</v>
      </c>
      <c r="F194" t="s">
        <v>343</v>
      </c>
      <c r="G194" t="s">
        <v>16</v>
      </c>
      <c r="H194">
        <v>4</v>
      </c>
    </row>
    <row r="195" spans="1:8" x14ac:dyDescent="0.35">
      <c r="A195">
        <v>943888</v>
      </c>
      <c r="B195" t="s">
        <v>345</v>
      </c>
      <c r="C195" t="s">
        <v>38</v>
      </c>
      <c r="D195" t="s">
        <v>44</v>
      </c>
      <c r="E195" t="s">
        <v>22</v>
      </c>
      <c r="F195" t="s">
        <v>45</v>
      </c>
      <c r="G195" t="s">
        <v>22</v>
      </c>
      <c r="H195">
        <v>1</v>
      </c>
    </row>
    <row r="196" spans="1:8" x14ac:dyDescent="0.35">
      <c r="A196">
        <v>95188003189</v>
      </c>
      <c r="B196" t="s">
        <v>346</v>
      </c>
      <c r="C196" t="s">
        <v>38</v>
      </c>
      <c r="D196" t="s">
        <v>347</v>
      </c>
      <c r="E196" t="s">
        <v>15</v>
      </c>
      <c r="F196" t="s">
        <v>348</v>
      </c>
      <c r="G196" t="s">
        <v>41</v>
      </c>
      <c r="H196">
        <v>22</v>
      </c>
    </row>
    <row r="197" spans="1:8" x14ac:dyDescent="0.35">
      <c r="A197">
        <v>95188990342</v>
      </c>
      <c r="B197" t="s">
        <v>37</v>
      </c>
      <c r="C197" t="s">
        <v>81</v>
      </c>
      <c r="D197" t="s">
        <v>39</v>
      </c>
      <c r="E197" t="s">
        <v>15</v>
      </c>
      <c r="F197" t="s">
        <v>40</v>
      </c>
      <c r="G197" t="s">
        <v>41</v>
      </c>
      <c r="H197">
        <v>83</v>
      </c>
    </row>
    <row r="198" spans="1:8" x14ac:dyDescent="0.35">
      <c r="A198">
        <v>95188993008</v>
      </c>
      <c r="B198" t="s">
        <v>349</v>
      </c>
      <c r="C198" t="s">
        <v>38</v>
      </c>
      <c r="D198" t="s">
        <v>39</v>
      </c>
      <c r="E198" t="s">
        <v>15</v>
      </c>
      <c r="F198" t="s">
        <v>40</v>
      </c>
      <c r="G198" t="s">
        <v>41</v>
      </c>
      <c r="H198">
        <v>134</v>
      </c>
    </row>
    <row r="199" spans="1:8" x14ac:dyDescent="0.35">
      <c r="A199">
        <v>95188995002</v>
      </c>
      <c r="B199" t="s">
        <v>39</v>
      </c>
      <c r="C199" t="s">
        <v>9</v>
      </c>
      <c r="D199" t="s">
        <v>39</v>
      </c>
      <c r="E199" t="s">
        <v>15</v>
      </c>
      <c r="F199" t="s">
        <v>40</v>
      </c>
      <c r="G199" t="s">
        <v>41</v>
      </c>
      <c r="H199">
        <v>274</v>
      </c>
    </row>
    <row r="200" spans="1:8" x14ac:dyDescent="0.35">
      <c r="A200">
        <v>96619224319</v>
      </c>
      <c r="B200" t="s">
        <v>350</v>
      </c>
      <c r="C200" t="s">
        <v>159</v>
      </c>
      <c r="D200" t="s">
        <v>351</v>
      </c>
      <c r="E200" t="s">
        <v>15</v>
      </c>
      <c r="F200" t="s">
        <v>352</v>
      </c>
      <c r="G200" t="s">
        <v>16</v>
      </c>
      <c r="H200">
        <v>1</v>
      </c>
    </row>
    <row r="201" spans="1:8" x14ac:dyDescent="0.35">
      <c r="A201">
        <v>96619228539</v>
      </c>
      <c r="B201" t="s">
        <v>353</v>
      </c>
      <c r="C201" t="s">
        <v>354</v>
      </c>
      <c r="D201" t="s">
        <v>351</v>
      </c>
      <c r="E201" t="s">
        <v>15</v>
      </c>
      <c r="F201" t="s">
        <v>352</v>
      </c>
      <c r="G201" t="s">
        <v>16</v>
      </c>
      <c r="H201">
        <v>1</v>
      </c>
    </row>
    <row r="202" spans="1:8" x14ac:dyDescent="0.35">
      <c r="A202">
        <v>96619321841</v>
      </c>
      <c r="B202" t="s">
        <v>212</v>
      </c>
      <c r="C202" t="s">
        <v>9</v>
      </c>
      <c r="D202" t="s">
        <v>351</v>
      </c>
      <c r="E202" t="s">
        <v>15</v>
      </c>
      <c r="F202" t="s">
        <v>352</v>
      </c>
      <c r="G202" t="s">
        <v>16</v>
      </c>
      <c r="H202">
        <v>41</v>
      </c>
    </row>
    <row r="203" spans="1:8" x14ac:dyDescent="0.35">
      <c r="A203">
        <v>96619381784</v>
      </c>
      <c r="B203" t="s">
        <v>235</v>
      </c>
      <c r="C203" t="s">
        <v>9</v>
      </c>
      <c r="D203" t="s">
        <v>351</v>
      </c>
      <c r="E203" t="s">
        <v>15</v>
      </c>
      <c r="F203" t="s">
        <v>352</v>
      </c>
      <c r="G203" t="s">
        <v>16</v>
      </c>
      <c r="H203">
        <v>12</v>
      </c>
    </row>
    <row r="204" spans="1:8" x14ac:dyDescent="0.35">
      <c r="A204">
        <v>96619381784</v>
      </c>
      <c r="B204" t="s">
        <v>235</v>
      </c>
      <c r="C204" t="s">
        <v>9</v>
      </c>
      <c r="D204" t="s">
        <v>351</v>
      </c>
      <c r="E204" t="s">
        <v>15</v>
      </c>
      <c r="F204" t="s">
        <v>352</v>
      </c>
      <c r="G204" t="s">
        <v>22</v>
      </c>
      <c r="H204">
        <v>2</v>
      </c>
    </row>
    <row r="205" spans="1:8" x14ac:dyDescent="0.35">
      <c r="A205">
        <v>96619482016</v>
      </c>
      <c r="B205" t="s">
        <v>235</v>
      </c>
      <c r="C205" t="s">
        <v>9</v>
      </c>
      <c r="D205" t="s">
        <v>351</v>
      </c>
      <c r="E205" t="s">
        <v>15</v>
      </c>
      <c r="F205" t="s">
        <v>352</v>
      </c>
      <c r="G205" t="s">
        <v>22</v>
      </c>
      <c r="H205">
        <v>3</v>
      </c>
    </row>
    <row r="206" spans="1:8" x14ac:dyDescent="0.35">
      <c r="A206">
        <v>96619676859</v>
      </c>
      <c r="B206" t="s">
        <v>355</v>
      </c>
      <c r="C206" t="s">
        <v>53</v>
      </c>
      <c r="D206" t="s">
        <v>351</v>
      </c>
      <c r="E206" t="s">
        <v>15</v>
      </c>
      <c r="F206" t="s">
        <v>352</v>
      </c>
      <c r="G206" t="s">
        <v>16</v>
      </c>
      <c r="H206">
        <v>1</v>
      </c>
    </row>
    <row r="207" spans="1:8" x14ac:dyDescent="0.35">
      <c r="A207">
        <v>100007264365</v>
      </c>
      <c r="B207" t="s">
        <v>356</v>
      </c>
      <c r="C207" t="s">
        <v>9</v>
      </c>
      <c r="D207" t="s">
        <v>357</v>
      </c>
      <c r="E207" t="s">
        <v>150</v>
      </c>
      <c r="F207" t="s">
        <v>358</v>
      </c>
      <c r="G207" t="s">
        <v>150</v>
      </c>
      <c r="H207">
        <v>13</v>
      </c>
    </row>
    <row r="208" spans="1:8" x14ac:dyDescent="0.35">
      <c r="A208">
        <v>11111262683</v>
      </c>
      <c r="B208" t="s">
        <v>359</v>
      </c>
      <c r="C208" t="s">
        <v>230</v>
      </c>
      <c r="D208" t="s">
        <v>360</v>
      </c>
      <c r="E208" t="s">
        <v>22</v>
      </c>
      <c r="F208" t="s">
        <v>361</v>
      </c>
      <c r="G208" t="s">
        <v>16</v>
      </c>
      <c r="H208">
        <v>1</v>
      </c>
    </row>
    <row r="209" spans="1:8" x14ac:dyDescent="0.35">
      <c r="A209">
        <v>111251461301</v>
      </c>
      <c r="B209" t="s">
        <v>362</v>
      </c>
      <c r="C209" t="s">
        <v>83</v>
      </c>
      <c r="D209" t="s">
        <v>363</v>
      </c>
      <c r="E209" t="s">
        <v>61</v>
      </c>
      <c r="F209" t="s">
        <v>364</v>
      </c>
      <c r="G209" t="s">
        <v>61</v>
      </c>
      <c r="H209">
        <v>2</v>
      </c>
    </row>
    <row r="210" spans="1:8" x14ac:dyDescent="0.35">
      <c r="A210">
        <v>111471480311</v>
      </c>
      <c r="B210" t="s">
        <v>365</v>
      </c>
      <c r="C210" t="s">
        <v>83</v>
      </c>
      <c r="D210" t="s">
        <v>366</v>
      </c>
      <c r="E210" t="s">
        <v>61</v>
      </c>
      <c r="F210" t="s">
        <v>364</v>
      </c>
      <c r="G210" t="s">
        <v>61</v>
      </c>
      <c r="H210">
        <v>16</v>
      </c>
    </row>
    <row r="211" spans="1:8" x14ac:dyDescent="0.35">
      <c r="A211">
        <v>1117110</v>
      </c>
      <c r="B211" t="s">
        <v>367</v>
      </c>
      <c r="C211" t="s">
        <v>368</v>
      </c>
      <c r="D211" t="s">
        <v>323</v>
      </c>
      <c r="E211" t="s">
        <v>73</v>
      </c>
      <c r="F211" t="s">
        <v>324</v>
      </c>
      <c r="G211" t="s">
        <v>73</v>
      </c>
      <c r="H211">
        <v>1</v>
      </c>
    </row>
    <row r="212" spans="1:8" x14ac:dyDescent="0.35">
      <c r="A212">
        <v>1125382</v>
      </c>
      <c r="B212" t="s">
        <v>369</v>
      </c>
      <c r="C212" t="s">
        <v>370</v>
      </c>
      <c r="D212" t="s">
        <v>111</v>
      </c>
      <c r="E212" t="s">
        <v>22</v>
      </c>
      <c r="F212" t="s">
        <v>112</v>
      </c>
      <c r="G212" t="s">
        <v>22</v>
      </c>
      <c r="H212">
        <v>1</v>
      </c>
    </row>
    <row r="213" spans="1:8" x14ac:dyDescent="0.35">
      <c r="A213">
        <v>11313012253</v>
      </c>
      <c r="B213" t="s">
        <v>371</v>
      </c>
      <c r="C213" t="s">
        <v>278</v>
      </c>
      <c r="D213" t="s">
        <v>372</v>
      </c>
      <c r="E213" t="s">
        <v>15</v>
      </c>
      <c r="F213" t="s">
        <v>372</v>
      </c>
      <c r="G213" t="s">
        <v>150</v>
      </c>
      <c r="H213">
        <v>11</v>
      </c>
    </row>
    <row r="214" spans="1:8" x14ac:dyDescent="0.35">
      <c r="A214">
        <v>118624877363</v>
      </c>
      <c r="B214" t="s">
        <v>373</v>
      </c>
      <c r="C214" t="s">
        <v>43</v>
      </c>
      <c r="D214" t="s">
        <v>374</v>
      </c>
      <c r="E214" t="s">
        <v>20</v>
      </c>
      <c r="F214" t="s">
        <v>21</v>
      </c>
      <c r="G214" t="s">
        <v>22</v>
      </c>
      <c r="H214">
        <v>1</v>
      </c>
    </row>
    <row r="215" spans="1:8" x14ac:dyDescent="0.35">
      <c r="A215">
        <v>120112829792</v>
      </c>
      <c r="B215" t="s">
        <v>375</v>
      </c>
      <c r="C215" t="s">
        <v>83</v>
      </c>
      <c r="D215" t="s">
        <v>376</v>
      </c>
      <c r="E215" t="s">
        <v>117</v>
      </c>
      <c r="F215" t="s">
        <v>377</v>
      </c>
      <c r="G215" t="s">
        <v>117</v>
      </c>
      <c r="H215">
        <v>50</v>
      </c>
    </row>
    <row r="216" spans="1:8" x14ac:dyDescent="0.35">
      <c r="A216">
        <v>121210011058</v>
      </c>
      <c r="B216" t="s">
        <v>378</v>
      </c>
      <c r="C216" t="s">
        <v>326</v>
      </c>
      <c r="D216" t="s">
        <v>379</v>
      </c>
      <c r="E216" t="s">
        <v>117</v>
      </c>
      <c r="F216" t="s">
        <v>377</v>
      </c>
      <c r="G216" t="s">
        <v>117</v>
      </c>
      <c r="H216">
        <v>1</v>
      </c>
    </row>
    <row r="217" spans="1:8" x14ac:dyDescent="0.35">
      <c r="A217">
        <v>126910002016</v>
      </c>
      <c r="B217" t="s">
        <v>380</v>
      </c>
      <c r="C217" t="s">
        <v>192</v>
      </c>
      <c r="D217" t="s">
        <v>381</v>
      </c>
      <c r="E217" t="s">
        <v>382</v>
      </c>
      <c r="F217" t="s">
        <v>383</v>
      </c>
      <c r="G217" t="s">
        <v>61</v>
      </c>
      <c r="H217">
        <v>48</v>
      </c>
    </row>
    <row r="218" spans="1:8" x14ac:dyDescent="0.35">
      <c r="A218">
        <v>1480030</v>
      </c>
      <c r="B218" t="s">
        <v>384</v>
      </c>
      <c r="C218" t="s">
        <v>385</v>
      </c>
      <c r="D218" t="s">
        <v>386</v>
      </c>
      <c r="E218" t="s">
        <v>387</v>
      </c>
      <c r="F218" t="s">
        <v>388</v>
      </c>
      <c r="G218" t="s">
        <v>387</v>
      </c>
      <c r="H218">
        <v>10</v>
      </c>
    </row>
    <row r="219" spans="1:8" x14ac:dyDescent="0.35">
      <c r="A219">
        <v>157271161609</v>
      </c>
      <c r="B219" t="s">
        <v>180</v>
      </c>
      <c r="C219" t="s">
        <v>53</v>
      </c>
      <c r="D219" t="s">
        <v>55</v>
      </c>
      <c r="E219" t="s">
        <v>15</v>
      </c>
      <c r="F219" t="s">
        <v>56</v>
      </c>
      <c r="G219" t="s">
        <v>16</v>
      </c>
      <c r="H219">
        <v>1</v>
      </c>
    </row>
    <row r="220" spans="1:8" x14ac:dyDescent="0.35">
      <c r="A220">
        <v>16571911225</v>
      </c>
      <c r="B220" t="s">
        <v>389</v>
      </c>
      <c r="C220" t="s">
        <v>354</v>
      </c>
      <c r="D220" t="s">
        <v>48</v>
      </c>
      <c r="E220" t="s">
        <v>15</v>
      </c>
      <c r="F220" t="s">
        <v>49</v>
      </c>
      <c r="G220" t="s">
        <v>16</v>
      </c>
      <c r="H220">
        <v>3</v>
      </c>
    </row>
    <row r="221" spans="1:8" x14ac:dyDescent="0.35">
      <c r="A221">
        <v>16571920449</v>
      </c>
      <c r="B221" t="s">
        <v>156</v>
      </c>
      <c r="C221" t="s">
        <v>9</v>
      </c>
      <c r="D221" t="s">
        <v>48</v>
      </c>
      <c r="E221" t="s">
        <v>15</v>
      </c>
      <c r="F221" t="s">
        <v>49</v>
      </c>
      <c r="G221" t="s">
        <v>16</v>
      </c>
      <c r="H221">
        <v>2</v>
      </c>
    </row>
    <row r="222" spans="1:8" x14ac:dyDescent="0.35">
      <c r="A222">
        <v>16571940249</v>
      </c>
      <c r="B222" t="s">
        <v>390</v>
      </c>
      <c r="C222" t="s">
        <v>354</v>
      </c>
      <c r="D222" t="s">
        <v>48</v>
      </c>
      <c r="E222" t="s">
        <v>15</v>
      </c>
      <c r="F222" t="s">
        <v>49</v>
      </c>
      <c r="G222" t="s">
        <v>16</v>
      </c>
      <c r="H222">
        <v>3</v>
      </c>
    </row>
    <row r="223" spans="1:8" x14ac:dyDescent="0.35">
      <c r="A223">
        <v>16571951580</v>
      </c>
      <c r="B223" t="s">
        <v>391</v>
      </c>
      <c r="C223" t="s">
        <v>9</v>
      </c>
      <c r="D223" t="s">
        <v>48</v>
      </c>
      <c r="E223" t="s">
        <v>15</v>
      </c>
      <c r="F223" t="s">
        <v>49</v>
      </c>
      <c r="G223" t="s">
        <v>16</v>
      </c>
      <c r="H223">
        <v>8</v>
      </c>
    </row>
    <row r="224" spans="1:8" x14ac:dyDescent="0.35">
      <c r="A224">
        <v>16571953485</v>
      </c>
      <c r="B224" t="s">
        <v>392</v>
      </c>
      <c r="C224" t="s">
        <v>354</v>
      </c>
      <c r="D224" t="s">
        <v>48</v>
      </c>
      <c r="E224" t="s">
        <v>15</v>
      </c>
      <c r="F224" t="s">
        <v>49</v>
      </c>
      <c r="G224" t="s">
        <v>16</v>
      </c>
      <c r="H224">
        <v>7</v>
      </c>
    </row>
    <row r="225" spans="1:8" x14ac:dyDescent="0.35">
      <c r="A225">
        <v>16571957711</v>
      </c>
      <c r="B225" t="s">
        <v>393</v>
      </c>
      <c r="C225" t="s">
        <v>354</v>
      </c>
      <c r="D225" t="s">
        <v>48</v>
      </c>
      <c r="E225" t="s">
        <v>15</v>
      </c>
      <c r="F225" t="s">
        <v>49</v>
      </c>
      <c r="G225" t="s">
        <v>16</v>
      </c>
      <c r="H225">
        <v>20</v>
      </c>
    </row>
    <row r="226" spans="1:8" x14ac:dyDescent="0.35">
      <c r="A226">
        <v>16600000760</v>
      </c>
      <c r="B226" t="s">
        <v>394</v>
      </c>
      <c r="C226" t="s">
        <v>146</v>
      </c>
      <c r="D226" t="s">
        <v>52</v>
      </c>
      <c r="E226" t="s">
        <v>15</v>
      </c>
      <c r="F226" t="s">
        <v>14</v>
      </c>
      <c r="G226" t="s">
        <v>16</v>
      </c>
      <c r="H226">
        <v>1</v>
      </c>
    </row>
    <row r="227" spans="1:8" x14ac:dyDescent="0.35">
      <c r="A227">
        <v>16600010240</v>
      </c>
      <c r="B227" t="s">
        <v>394</v>
      </c>
      <c r="C227" t="s">
        <v>151</v>
      </c>
      <c r="D227" t="s">
        <v>52</v>
      </c>
      <c r="E227" t="s">
        <v>15</v>
      </c>
      <c r="F227" t="s">
        <v>14</v>
      </c>
      <c r="G227" t="s">
        <v>16</v>
      </c>
      <c r="H227">
        <v>4</v>
      </c>
    </row>
    <row r="228" spans="1:8" x14ac:dyDescent="0.35">
      <c r="A228">
        <v>17273504494</v>
      </c>
      <c r="B228" t="s">
        <v>57</v>
      </c>
      <c r="C228" t="s">
        <v>230</v>
      </c>
      <c r="D228" t="s">
        <v>59</v>
      </c>
      <c r="E228" t="s">
        <v>15</v>
      </c>
      <c r="F228" t="s">
        <v>60</v>
      </c>
      <c r="G228" t="s">
        <v>150</v>
      </c>
      <c r="H228">
        <v>4</v>
      </c>
    </row>
    <row r="229" spans="1:8" x14ac:dyDescent="0.35">
      <c r="A229">
        <v>17273504517</v>
      </c>
      <c r="B229" t="s">
        <v>395</v>
      </c>
      <c r="C229" t="s">
        <v>396</v>
      </c>
      <c r="D229" t="s">
        <v>59</v>
      </c>
      <c r="E229" t="s">
        <v>15</v>
      </c>
      <c r="F229" t="s">
        <v>60</v>
      </c>
      <c r="G229" t="s">
        <v>150</v>
      </c>
      <c r="H229">
        <v>104</v>
      </c>
    </row>
    <row r="230" spans="1:8" x14ac:dyDescent="0.35">
      <c r="A230">
        <v>180854000101</v>
      </c>
      <c r="B230" t="s">
        <v>397</v>
      </c>
      <c r="C230" t="s">
        <v>272</v>
      </c>
      <c r="D230" t="s">
        <v>398</v>
      </c>
      <c r="E230" t="s">
        <v>399</v>
      </c>
      <c r="F230" t="s">
        <v>400</v>
      </c>
      <c r="G230" t="s">
        <v>16</v>
      </c>
      <c r="H230">
        <v>1</v>
      </c>
    </row>
    <row r="231" spans="1:8" x14ac:dyDescent="0.35">
      <c r="A231">
        <v>180854000309</v>
      </c>
      <c r="B231" t="s">
        <v>401</v>
      </c>
      <c r="C231" t="s">
        <v>272</v>
      </c>
      <c r="D231" t="s">
        <v>398</v>
      </c>
      <c r="E231" t="s">
        <v>399</v>
      </c>
      <c r="F231" t="s">
        <v>400</v>
      </c>
      <c r="G231" t="s">
        <v>16</v>
      </c>
      <c r="H231">
        <v>1</v>
      </c>
    </row>
    <row r="232" spans="1:8" x14ac:dyDescent="0.35">
      <c r="A232">
        <v>19063001138</v>
      </c>
      <c r="B232" t="s">
        <v>402</v>
      </c>
      <c r="C232" t="s">
        <v>403</v>
      </c>
      <c r="D232" t="s">
        <v>404</v>
      </c>
      <c r="E232" t="s">
        <v>15</v>
      </c>
      <c r="F232" t="s">
        <v>135</v>
      </c>
      <c r="G232" t="s">
        <v>16</v>
      </c>
      <c r="H232">
        <v>3</v>
      </c>
    </row>
    <row r="233" spans="1:8" x14ac:dyDescent="0.35">
      <c r="A233">
        <v>19063001169</v>
      </c>
      <c r="B233" t="s">
        <v>405</v>
      </c>
      <c r="C233" t="s">
        <v>403</v>
      </c>
      <c r="D233" t="s">
        <v>404</v>
      </c>
      <c r="E233" t="s">
        <v>15</v>
      </c>
      <c r="F233" t="s">
        <v>135</v>
      </c>
      <c r="G233" t="s">
        <v>16</v>
      </c>
      <c r="H233">
        <v>2</v>
      </c>
    </row>
    <row r="234" spans="1:8" x14ac:dyDescent="0.35">
      <c r="A234">
        <v>19063001176</v>
      </c>
      <c r="B234" t="s">
        <v>406</v>
      </c>
      <c r="C234" t="s">
        <v>403</v>
      </c>
      <c r="D234" t="s">
        <v>404</v>
      </c>
      <c r="E234" t="s">
        <v>15</v>
      </c>
      <c r="F234" t="s">
        <v>135</v>
      </c>
      <c r="G234" t="s">
        <v>16</v>
      </c>
      <c r="H234">
        <v>2</v>
      </c>
    </row>
    <row r="235" spans="1:8" x14ac:dyDescent="0.35">
      <c r="A235">
        <v>193603751018</v>
      </c>
      <c r="B235" t="s">
        <v>407</v>
      </c>
      <c r="C235" t="s">
        <v>272</v>
      </c>
      <c r="D235" t="s">
        <v>408</v>
      </c>
      <c r="E235" t="s">
        <v>150</v>
      </c>
      <c r="F235" t="s">
        <v>409</v>
      </c>
      <c r="G235" t="s">
        <v>150</v>
      </c>
      <c r="H235">
        <v>2</v>
      </c>
    </row>
    <row r="236" spans="1:8" x14ac:dyDescent="0.35">
      <c r="A236">
        <v>194283300138</v>
      </c>
      <c r="B236" t="s">
        <v>410</v>
      </c>
      <c r="C236" t="s">
        <v>9</v>
      </c>
      <c r="D236" t="s">
        <v>411</v>
      </c>
      <c r="E236" t="s">
        <v>16</v>
      </c>
      <c r="F236" t="s">
        <v>412</v>
      </c>
      <c r="G236" t="s">
        <v>16</v>
      </c>
      <c r="H236">
        <v>3</v>
      </c>
    </row>
    <row r="237" spans="1:8" x14ac:dyDescent="0.35">
      <c r="A237">
        <v>196633965912</v>
      </c>
      <c r="B237" t="s">
        <v>235</v>
      </c>
      <c r="C237" t="s">
        <v>9</v>
      </c>
      <c r="D237" t="s">
        <v>351</v>
      </c>
      <c r="E237" t="s">
        <v>15</v>
      </c>
      <c r="F237" t="s">
        <v>352</v>
      </c>
      <c r="G237" t="s">
        <v>22</v>
      </c>
      <c r="H237">
        <v>6</v>
      </c>
    </row>
    <row r="238" spans="1:8" x14ac:dyDescent="0.35">
      <c r="A238">
        <v>211401180301</v>
      </c>
      <c r="B238" t="s">
        <v>413</v>
      </c>
      <c r="C238" t="s">
        <v>38</v>
      </c>
      <c r="D238" t="s">
        <v>414</v>
      </c>
      <c r="E238" t="s">
        <v>61</v>
      </c>
      <c r="F238" t="s">
        <v>85</v>
      </c>
      <c r="G238" t="s">
        <v>61</v>
      </c>
      <c r="H238">
        <v>1</v>
      </c>
    </row>
    <row r="239" spans="1:8" x14ac:dyDescent="0.35">
      <c r="A239">
        <v>221101020081</v>
      </c>
      <c r="B239" t="s">
        <v>262</v>
      </c>
      <c r="C239" t="s">
        <v>114</v>
      </c>
      <c r="D239" t="s">
        <v>415</v>
      </c>
      <c r="E239" t="s">
        <v>61</v>
      </c>
      <c r="F239" t="s">
        <v>416</v>
      </c>
      <c r="G239" t="s">
        <v>61</v>
      </c>
      <c r="H239">
        <v>6</v>
      </c>
    </row>
    <row r="240" spans="1:8" x14ac:dyDescent="0.35">
      <c r="A240">
        <v>225818220123</v>
      </c>
      <c r="B240" t="s">
        <v>82</v>
      </c>
      <c r="C240" t="s">
        <v>83</v>
      </c>
      <c r="D240" t="s">
        <v>84</v>
      </c>
      <c r="E240" t="s">
        <v>61</v>
      </c>
      <c r="F240" t="s">
        <v>85</v>
      </c>
      <c r="G240" t="s">
        <v>61</v>
      </c>
      <c r="H240">
        <v>1</v>
      </c>
    </row>
    <row r="241" spans="1:8" x14ac:dyDescent="0.35">
      <c r="A241">
        <v>25833821219</v>
      </c>
      <c r="B241" t="s">
        <v>417</v>
      </c>
      <c r="C241" t="s">
        <v>110</v>
      </c>
      <c r="D241" t="s">
        <v>76</v>
      </c>
      <c r="E241" t="s">
        <v>34</v>
      </c>
      <c r="F241" t="s">
        <v>77</v>
      </c>
      <c r="G241" t="s">
        <v>34</v>
      </c>
      <c r="H241">
        <v>2</v>
      </c>
    </row>
    <row r="242" spans="1:8" x14ac:dyDescent="0.35">
      <c r="A242">
        <v>28400017244</v>
      </c>
      <c r="B242" t="s">
        <v>418</v>
      </c>
      <c r="C242" t="s">
        <v>419</v>
      </c>
      <c r="D242" t="s">
        <v>92</v>
      </c>
      <c r="E242" t="s">
        <v>15</v>
      </c>
      <c r="F242" t="s">
        <v>56</v>
      </c>
      <c r="G242" t="s">
        <v>22</v>
      </c>
      <c r="H242">
        <v>1</v>
      </c>
    </row>
    <row r="243" spans="1:8" x14ac:dyDescent="0.35">
      <c r="A243">
        <v>284613110015</v>
      </c>
      <c r="B243" t="s">
        <v>420</v>
      </c>
      <c r="C243" t="s">
        <v>81</v>
      </c>
      <c r="D243" t="s">
        <v>420</v>
      </c>
      <c r="E243" t="s">
        <v>61</v>
      </c>
      <c r="F243" t="s">
        <v>421</v>
      </c>
      <c r="G243" t="s">
        <v>61</v>
      </c>
      <c r="H243">
        <v>29</v>
      </c>
    </row>
    <row r="244" spans="1:8" x14ac:dyDescent="0.35">
      <c r="A244">
        <v>284818120130</v>
      </c>
      <c r="B244" t="s">
        <v>422</v>
      </c>
      <c r="C244" t="s">
        <v>83</v>
      </c>
      <c r="D244" t="s">
        <v>84</v>
      </c>
      <c r="E244" t="s">
        <v>61</v>
      </c>
      <c r="F244" t="s">
        <v>85</v>
      </c>
      <c r="G244" t="s">
        <v>61</v>
      </c>
      <c r="H244">
        <v>1</v>
      </c>
    </row>
    <row r="245" spans="1:8" x14ac:dyDescent="0.35">
      <c r="A245">
        <v>2915128</v>
      </c>
      <c r="B245" t="s">
        <v>423</v>
      </c>
      <c r="C245" t="s">
        <v>110</v>
      </c>
      <c r="D245" t="s">
        <v>423</v>
      </c>
      <c r="E245" t="s">
        <v>130</v>
      </c>
      <c r="F245" t="s">
        <v>424</v>
      </c>
      <c r="G245" t="s">
        <v>387</v>
      </c>
      <c r="H245">
        <v>1</v>
      </c>
    </row>
    <row r="246" spans="1:8" x14ac:dyDescent="0.35">
      <c r="A246">
        <v>294292007636</v>
      </c>
      <c r="B246" t="s">
        <v>425</v>
      </c>
      <c r="C246" t="s">
        <v>94</v>
      </c>
      <c r="D246" t="s">
        <v>426</v>
      </c>
      <c r="E246" t="s">
        <v>22</v>
      </c>
      <c r="F246" t="s">
        <v>427</v>
      </c>
      <c r="G246" t="s">
        <v>22</v>
      </c>
      <c r="H246">
        <v>1</v>
      </c>
    </row>
    <row r="247" spans="1:8" x14ac:dyDescent="0.35">
      <c r="A247">
        <v>31200019042</v>
      </c>
      <c r="B247" t="s">
        <v>428</v>
      </c>
      <c r="C247" t="s">
        <v>429</v>
      </c>
      <c r="D247" t="s">
        <v>97</v>
      </c>
      <c r="E247" t="s">
        <v>15</v>
      </c>
      <c r="F247" t="s">
        <v>98</v>
      </c>
      <c r="G247" t="s">
        <v>16</v>
      </c>
      <c r="H247">
        <v>3</v>
      </c>
    </row>
    <row r="248" spans="1:8" x14ac:dyDescent="0.35">
      <c r="A248">
        <v>3257340</v>
      </c>
      <c r="B248" t="s">
        <v>430</v>
      </c>
      <c r="C248" t="s">
        <v>431</v>
      </c>
      <c r="D248" t="s">
        <v>432</v>
      </c>
      <c r="E248" t="s">
        <v>22</v>
      </c>
      <c r="F248" t="s">
        <v>64</v>
      </c>
      <c r="G248" t="s">
        <v>22</v>
      </c>
      <c r="H248">
        <v>1</v>
      </c>
    </row>
    <row r="249" spans="1:8" x14ac:dyDescent="0.35">
      <c r="A249">
        <v>3260630</v>
      </c>
      <c r="B249" t="s">
        <v>433</v>
      </c>
      <c r="C249" t="s">
        <v>434</v>
      </c>
      <c r="D249" t="s">
        <v>435</v>
      </c>
      <c r="E249" t="s">
        <v>308</v>
      </c>
      <c r="F249" t="s">
        <v>309</v>
      </c>
      <c r="G249" t="s">
        <v>22</v>
      </c>
      <c r="H249">
        <v>3</v>
      </c>
    </row>
    <row r="250" spans="1:8" x14ac:dyDescent="0.35">
      <c r="A250">
        <v>3266090</v>
      </c>
      <c r="B250" t="s">
        <v>436</v>
      </c>
      <c r="C250" t="s">
        <v>43</v>
      </c>
      <c r="D250" t="s">
        <v>432</v>
      </c>
      <c r="E250" t="s">
        <v>22</v>
      </c>
      <c r="F250" t="s">
        <v>64</v>
      </c>
      <c r="G250" t="s">
        <v>22</v>
      </c>
      <c r="H250">
        <v>1</v>
      </c>
    </row>
    <row r="251" spans="1:8" x14ac:dyDescent="0.35">
      <c r="A251">
        <v>3284766</v>
      </c>
      <c r="B251" t="s">
        <v>437</v>
      </c>
      <c r="C251" t="s">
        <v>69</v>
      </c>
      <c r="D251" t="s">
        <v>432</v>
      </c>
      <c r="E251" t="s">
        <v>22</v>
      </c>
      <c r="F251" t="s">
        <v>64</v>
      </c>
      <c r="G251" t="s">
        <v>22</v>
      </c>
      <c r="H251">
        <v>1</v>
      </c>
    </row>
    <row r="252" spans="1:8" x14ac:dyDescent="0.35">
      <c r="A252">
        <v>3403198</v>
      </c>
      <c r="B252" t="s">
        <v>438</v>
      </c>
      <c r="C252" t="s">
        <v>439</v>
      </c>
      <c r="D252" t="s">
        <v>432</v>
      </c>
      <c r="E252" t="s">
        <v>22</v>
      </c>
      <c r="F252" t="s">
        <v>64</v>
      </c>
      <c r="G252" t="s">
        <v>22</v>
      </c>
      <c r="H252">
        <v>1</v>
      </c>
    </row>
    <row r="253" spans="1:8" x14ac:dyDescent="0.35">
      <c r="A253">
        <v>342242017508</v>
      </c>
      <c r="B253" t="s">
        <v>440</v>
      </c>
      <c r="C253" t="s">
        <v>66</v>
      </c>
      <c r="D253" t="s">
        <v>441</v>
      </c>
      <c r="E253" t="s">
        <v>130</v>
      </c>
      <c r="F253" t="s">
        <v>131</v>
      </c>
      <c r="G253" t="s">
        <v>22</v>
      </c>
      <c r="H253">
        <v>1</v>
      </c>
    </row>
    <row r="254" spans="1:8" x14ac:dyDescent="0.35">
      <c r="A254">
        <v>3436271</v>
      </c>
      <c r="B254" t="s">
        <v>442</v>
      </c>
      <c r="C254" t="s">
        <v>443</v>
      </c>
      <c r="D254" t="s">
        <v>432</v>
      </c>
      <c r="E254" t="s">
        <v>22</v>
      </c>
      <c r="F254" t="s">
        <v>64</v>
      </c>
      <c r="G254" t="s">
        <v>22</v>
      </c>
      <c r="H254">
        <v>1</v>
      </c>
    </row>
    <row r="255" spans="1:8" x14ac:dyDescent="0.35">
      <c r="A255">
        <v>3441190</v>
      </c>
      <c r="B255" t="s">
        <v>444</v>
      </c>
      <c r="C255" t="s">
        <v>445</v>
      </c>
      <c r="D255" t="s">
        <v>432</v>
      </c>
      <c r="E255" t="s">
        <v>22</v>
      </c>
      <c r="F255" t="s">
        <v>64</v>
      </c>
      <c r="G255" t="s">
        <v>22</v>
      </c>
      <c r="H255">
        <v>1</v>
      </c>
    </row>
    <row r="256" spans="1:8" x14ac:dyDescent="0.35">
      <c r="A256">
        <v>380003562164</v>
      </c>
      <c r="B256" t="s">
        <v>446</v>
      </c>
      <c r="C256" t="s">
        <v>447</v>
      </c>
      <c r="D256" t="s">
        <v>448</v>
      </c>
      <c r="E256" t="s">
        <v>117</v>
      </c>
      <c r="F256" t="s">
        <v>449</v>
      </c>
      <c r="G256" t="s">
        <v>117</v>
      </c>
      <c r="H256">
        <v>53</v>
      </c>
    </row>
    <row r="257" spans="1:8" x14ac:dyDescent="0.35">
      <c r="A257">
        <v>411811050311</v>
      </c>
      <c r="B257" t="s">
        <v>450</v>
      </c>
      <c r="C257" t="s">
        <v>38</v>
      </c>
      <c r="D257" t="s">
        <v>84</v>
      </c>
      <c r="E257" t="s">
        <v>61</v>
      </c>
      <c r="F257" t="s">
        <v>85</v>
      </c>
      <c r="G257" t="s">
        <v>61</v>
      </c>
      <c r="H257">
        <v>5</v>
      </c>
    </row>
    <row r="258" spans="1:8" x14ac:dyDescent="0.35">
      <c r="A258">
        <v>412008130274</v>
      </c>
      <c r="B258" t="s">
        <v>451</v>
      </c>
      <c r="C258" t="s">
        <v>81</v>
      </c>
      <c r="D258" t="s">
        <v>451</v>
      </c>
      <c r="E258" t="s">
        <v>15</v>
      </c>
      <c r="F258" t="s">
        <v>14</v>
      </c>
      <c r="G258" t="s">
        <v>34</v>
      </c>
      <c r="H258">
        <v>402</v>
      </c>
    </row>
    <row r="259" spans="1:8" x14ac:dyDescent="0.35">
      <c r="A259">
        <v>418008118144</v>
      </c>
      <c r="B259" t="s">
        <v>262</v>
      </c>
      <c r="C259" t="s">
        <v>9</v>
      </c>
      <c r="D259" t="s">
        <v>452</v>
      </c>
      <c r="E259" t="s">
        <v>15</v>
      </c>
      <c r="F259" t="s">
        <v>14</v>
      </c>
      <c r="G259" t="s">
        <v>61</v>
      </c>
      <c r="H259">
        <v>21</v>
      </c>
    </row>
    <row r="260" spans="1:8" x14ac:dyDescent="0.35">
      <c r="A260">
        <v>4318224</v>
      </c>
      <c r="B260" t="s">
        <v>453</v>
      </c>
      <c r="C260" t="s">
        <v>454</v>
      </c>
      <c r="D260" t="s">
        <v>455</v>
      </c>
      <c r="E260" t="s">
        <v>41</v>
      </c>
      <c r="F260" t="s">
        <v>456</v>
      </c>
      <c r="G260" t="s">
        <v>41</v>
      </c>
      <c r="H260">
        <v>50</v>
      </c>
    </row>
    <row r="261" spans="1:8" x14ac:dyDescent="0.35">
      <c r="A261">
        <v>44000045432</v>
      </c>
      <c r="B261" t="s">
        <v>457</v>
      </c>
      <c r="C261" t="s">
        <v>458</v>
      </c>
      <c r="D261" t="s">
        <v>459</v>
      </c>
      <c r="E261" t="s">
        <v>15</v>
      </c>
      <c r="F261" t="s">
        <v>460</v>
      </c>
      <c r="G261" t="s">
        <v>15</v>
      </c>
      <c r="H261">
        <v>1</v>
      </c>
    </row>
    <row r="262" spans="1:8" x14ac:dyDescent="0.35">
      <c r="A262">
        <v>454023260000</v>
      </c>
      <c r="B262" t="s">
        <v>461</v>
      </c>
      <c r="C262" t="s">
        <v>462</v>
      </c>
      <c r="D262" t="s">
        <v>463</v>
      </c>
      <c r="E262" t="s">
        <v>464</v>
      </c>
      <c r="F262" t="s">
        <v>465</v>
      </c>
      <c r="G262" t="s">
        <v>22</v>
      </c>
      <c r="H262">
        <v>1</v>
      </c>
    </row>
    <row r="263" spans="1:8" x14ac:dyDescent="0.35">
      <c r="A263">
        <v>4540922</v>
      </c>
      <c r="B263" t="s">
        <v>466</v>
      </c>
      <c r="C263" t="s">
        <v>53</v>
      </c>
      <c r="D263" t="s">
        <v>55</v>
      </c>
      <c r="E263" t="s">
        <v>15</v>
      </c>
      <c r="F263" t="s">
        <v>56</v>
      </c>
      <c r="G263" t="s">
        <v>16</v>
      </c>
      <c r="H263">
        <v>1</v>
      </c>
    </row>
    <row r="264" spans="1:8" x14ac:dyDescent="0.35">
      <c r="A264">
        <v>45836006000</v>
      </c>
      <c r="B264" t="s">
        <v>467</v>
      </c>
      <c r="C264" t="s">
        <v>468</v>
      </c>
      <c r="D264" t="s">
        <v>469</v>
      </c>
      <c r="E264" t="s">
        <v>15</v>
      </c>
      <c r="F264" t="s">
        <v>470</v>
      </c>
      <c r="G264" t="s">
        <v>33</v>
      </c>
      <c r="H264">
        <v>52</v>
      </c>
    </row>
    <row r="265" spans="1:8" x14ac:dyDescent="0.35">
      <c r="A265">
        <v>45836006000</v>
      </c>
      <c r="B265" t="s">
        <v>467</v>
      </c>
      <c r="C265" t="s">
        <v>468</v>
      </c>
      <c r="D265" t="s">
        <v>469</v>
      </c>
      <c r="E265" t="s">
        <v>15</v>
      </c>
      <c r="F265" t="s">
        <v>470</v>
      </c>
      <c r="G265" t="s">
        <v>150</v>
      </c>
      <c r="H265">
        <v>6</v>
      </c>
    </row>
    <row r="266" spans="1:8" x14ac:dyDescent="0.35">
      <c r="A266">
        <v>4772248</v>
      </c>
      <c r="B266" t="s">
        <v>471</v>
      </c>
      <c r="C266" t="s">
        <v>472</v>
      </c>
      <c r="D266" t="s">
        <v>473</v>
      </c>
      <c r="E266" t="s">
        <v>41</v>
      </c>
      <c r="F266" t="s">
        <v>456</v>
      </c>
      <c r="G266" t="s">
        <v>41</v>
      </c>
      <c r="H266">
        <v>46</v>
      </c>
    </row>
    <row r="267" spans="1:8" x14ac:dyDescent="0.35">
      <c r="A267">
        <v>48500017852</v>
      </c>
      <c r="B267" t="s">
        <v>226</v>
      </c>
      <c r="C267" t="s">
        <v>181</v>
      </c>
      <c r="D267" t="s">
        <v>474</v>
      </c>
      <c r="E267" t="s">
        <v>130</v>
      </c>
      <c r="F267" t="s">
        <v>475</v>
      </c>
      <c r="G267" t="s">
        <v>16</v>
      </c>
      <c r="H267">
        <v>6</v>
      </c>
    </row>
    <row r="268" spans="1:8" x14ac:dyDescent="0.35">
      <c r="A268">
        <v>48500203545</v>
      </c>
      <c r="B268" t="s">
        <v>226</v>
      </c>
      <c r="C268" t="s">
        <v>200</v>
      </c>
      <c r="D268" t="s">
        <v>474</v>
      </c>
      <c r="E268" t="s">
        <v>130</v>
      </c>
      <c r="F268" t="s">
        <v>475</v>
      </c>
      <c r="G268" t="s">
        <v>16</v>
      </c>
      <c r="H268">
        <v>2</v>
      </c>
    </row>
    <row r="269" spans="1:8" x14ac:dyDescent="0.35">
      <c r="A269">
        <v>48500203545</v>
      </c>
      <c r="B269" t="s">
        <v>226</v>
      </c>
      <c r="C269" t="s">
        <v>200</v>
      </c>
      <c r="D269" t="s">
        <v>474</v>
      </c>
      <c r="E269" t="s">
        <v>130</v>
      </c>
      <c r="F269" t="s">
        <v>475</v>
      </c>
      <c r="G269" t="s">
        <v>31</v>
      </c>
      <c r="H269">
        <v>20</v>
      </c>
    </row>
    <row r="270" spans="1:8" x14ac:dyDescent="0.35">
      <c r="A270">
        <v>48500205549</v>
      </c>
      <c r="B270" t="s">
        <v>167</v>
      </c>
      <c r="C270" t="s">
        <v>476</v>
      </c>
      <c r="D270" t="s">
        <v>474</v>
      </c>
      <c r="E270" t="s">
        <v>130</v>
      </c>
      <c r="F270" t="s">
        <v>475</v>
      </c>
      <c r="G270" t="s">
        <v>16</v>
      </c>
      <c r="H270">
        <v>1</v>
      </c>
    </row>
    <row r="271" spans="1:8" x14ac:dyDescent="0.35">
      <c r="A271">
        <v>48500205556</v>
      </c>
      <c r="B271" t="s">
        <v>477</v>
      </c>
      <c r="C271" t="s">
        <v>476</v>
      </c>
      <c r="D271" t="s">
        <v>474</v>
      </c>
      <c r="E271" t="s">
        <v>130</v>
      </c>
      <c r="F271" t="s">
        <v>475</v>
      </c>
      <c r="G271" t="s">
        <v>16</v>
      </c>
      <c r="H271">
        <v>1</v>
      </c>
    </row>
    <row r="272" spans="1:8" x14ac:dyDescent="0.35">
      <c r="A272">
        <v>4853131</v>
      </c>
      <c r="B272" t="s">
        <v>478</v>
      </c>
      <c r="C272" t="s">
        <v>479</v>
      </c>
      <c r="D272" t="s">
        <v>474</v>
      </c>
      <c r="E272" t="s">
        <v>130</v>
      </c>
      <c r="F272" t="s">
        <v>475</v>
      </c>
      <c r="G272" t="s">
        <v>16</v>
      </c>
      <c r="H272">
        <v>1</v>
      </c>
    </row>
    <row r="273" spans="1:8" x14ac:dyDescent="0.35">
      <c r="A273">
        <v>50200012976</v>
      </c>
      <c r="B273" t="s">
        <v>480</v>
      </c>
      <c r="C273" t="s">
        <v>9</v>
      </c>
      <c r="D273" t="s">
        <v>134</v>
      </c>
      <c r="E273" t="s">
        <v>15</v>
      </c>
      <c r="F273" t="s">
        <v>135</v>
      </c>
      <c r="G273" t="s">
        <v>16</v>
      </c>
      <c r="H273">
        <v>3</v>
      </c>
    </row>
    <row r="274" spans="1:8" x14ac:dyDescent="0.35">
      <c r="A274">
        <v>50200012990</v>
      </c>
      <c r="B274" t="s">
        <v>481</v>
      </c>
      <c r="C274" t="s">
        <v>9</v>
      </c>
      <c r="D274" t="s">
        <v>134</v>
      </c>
      <c r="E274" t="s">
        <v>15</v>
      </c>
      <c r="F274" t="s">
        <v>135</v>
      </c>
      <c r="G274" t="s">
        <v>16</v>
      </c>
      <c r="H274">
        <v>6</v>
      </c>
    </row>
    <row r="275" spans="1:8" x14ac:dyDescent="0.35">
      <c r="A275">
        <v>50428451823</v>
      </c>
      <c r="B275" t="s">
        <v>482</v>
      </c>
      <c r="C275" t="s">
        <v>483</v>
      </c>
      <c r="D275" t="s">
        <v>484</v>
      </c>
      <c r="E275" t="s">
        <v>308</v>
      </c>
      <c r="F275" t="s">
        <v>309</v>
      </c>
      <c r="G275" t="s">
        <v>61</v>
      </c>
      <c r="H275">
        <v>1</v>
      </c>
    </row>
    <row r="276" spans="1:8" x14ac:dyDescent="0.35">
      <c r="A276">
        <v>526950002012</v>
      </c>
      <c r="B276" t="s">
        <v>485</v>
      </c>
      <c r="C276" t="s">
        <v>9</v>
      </c>
      <c r="D276" t="s">
        <v>381</v>
      </c>
      <c r="E276" t="s">
        <v>382</v>
      </c>
      <c r="F276" t="s">
        <v>383</v>
      </c>
      <c r="G276" t="s">
        <v>34</v>
      </c>
      <c r="H276">
        <v>3</v>
      </c>
    </row>
    <row r="277" spans="1:8" x14ac:dyDescent="0.35">
      <c r="A277">
        <v>54900001452</v>
      </c>
      <c r="B277" t="s">
        <v>486</v>
      </c>
      <c r="C277" t="s">
        <v>9</v>
      </c>
      <c r="D277" t="s">
        <v>140</v>
      </c>
      <c r="E277" t="s">
        <v>15</v>
      </c>
      <c r="F277" t="s">
        <v>25</v>
      </c>
      <c r="G277" t="s">
        <v>16</v>
      </c>
      <c r="H277">
        <v>1</v>
      </c>
    </row>
    <row r="278" spans="1:8" x14ac:dyDescent="0.35">
      <c r="A278">
        <v>5490733</v>
      </c>
      <c r="B278" t="s">
        <v>487</v>
      </c>
      <c r="C278" t="s">
        <v>53</v>
      </c>
      <c r="D278" t="s">
        <v>140</v>
      </c>
      <c r="E278" t="s">
        <v>15</v>
      </c>
      <c r="F278" t="s">
        <v>25</v>
      </c>
      <c r="G278" t="s">
        <v>16</v>
      </c>
      <c r="H278">
        <v>15</v>
      </c>
    </row>
    <row r="279" spans="1:8" x14ac:dyDescent="0.35">
      <c r="A279">
        <v>5544202</v>
      </c>
      <c r="B279" t="s">
        <v>148</v>
      </c>
      <c r="C279" t="s">
        <v>151</v>
      </c>
      <c r="D279" t="s">
        <v>55</v>
      </c>
      <c r="E279" t="s">
        <v>15</v>
      </c>
      <c r="F279" t="s">
        <v>56</v>
      </c>
      <c r="G279" t="s">
        <v>16</v>
      </c>
      <c r="H279">
        <v>1</v>
      </c>
    </row>
    <row r="280" spans="1:8" x14ac:dyDescent="0.35">
      <c r="A280">
        <v>55577106303</v>
      </c>
      <c r="B280" t="s">
        <v>488</v>
      </c>
      <c r="C280" t="s">
        <v>489</v>
      </c>
      <c r="D280" t="s">
        <v>55</v>
      </c>
      <c r="E280" t="s">
        <v>15</v>
      </c>
      <c r="F280" t="s">
        <v>56</v>
      </c>
      <c r="G280" t="s">
        <v>16</v>
      </c>
      <c r="H280">
        <v>2</v>
      </c>
    </row>
    <row r="281" spans="1:8" x14ac:dyDescent="0.35">
      <c r="A281">
        <v>55577106310</v>
      </c>
      <c r="B281" t="s">
        <v>167</v>
      </c>
      <c r="C281" t="s">
        <v>490</v>
      </c>
      <c r="D281" t="s">
        <v>55</v>
      </c>
      <c r="E281" t="s">
        <v>15</v>
      </c>
      <c r="F281" t="s">
        <v>56</v>
      </c>
      <c r="G281" t="s">
        <v>16</v>
      </c>
      <c r="H281">
        <v>2</v>
      </c>
    </row>
    <row r="282" spans="1:8" x14ac:dyDescent="0.35">
      <c r="A282">
        <v>55577160299</v>
      </c>
      <c r="B282" t="s">
        <v>491</v>
      </c>
      <c r="C282" t="s">
        <v>146</v>
      </c>
      <c r="D282" t="s">
        <v>55</v>
      </c>
      <c r="E282" t="s">
        <v>15</v>
      </c>
      <c r="F282" t="s">
        <v>56</v>
      </c>
      <c r="G282" t="s">
        <v>16</v>
      </c>
      <c r="H282">
        <v>1</v>
      </c>
    </row>
    <row r="283" spans="1:8" x14ac:dyDescent="0.35">
      <c r="A283">
        <v>55577420232</v>
      </c>
      <c r="B283" t="s">
        <v>156</v>
      </c>
      <c r="C283" t="s">
        <v>53</v>
      </c>
      <c r="D283" t="s">
        <v>55</v>
      </c>
      <c r="E283" t="s">
        <v>15</v>
      </c>
      <c r="F283" t="s">
        <v>56</v>
      </c>
      <c r="G283" t="s">
        <v>16</v>
      </c>
      <c r="H283">
        <v>3</v>
      </c>
    </row>
    <row r="284" spans="1:8" x14ac:dyDescent="0.35">
      <c r="A284">
        <v>55577420249</v>
      </c>
      <c r="B284" t="s">
        <v>492</v>
      </c>
      <c r="C284" t="s">
        <v>53</v>
      </c>
      <c r="D284" t="s">
        <v>55</v>
      </c>
      <c r="E284" t="s">
        <v>15</v>
      </c>
      <c r="F284" t="s">
        <v>56</v>
      </c>
      <c r="G284" t="s">
        <v>16</v>
      </c>
      <c r="H284">
        <v>10</v>
      </c>
    </row>
    <row r="285" spans="1:8" x14ac:dyDescent="0.35">
      <c r="A285">
        <v>55577420263</v>
      </c>
      <c r="B285" t="s">
        <v>148</v>
      </c>
      <c r="C285" t="s">
        <v>53</v>
      </c>
      <c r="D285" t="s">
        <v>55</v>
      </c>
      <c r="E285" t="s">
        <v>15</v>
      </c>
      <c r="F285" t="s">
        <v>56</v>
      </c>
      <c r="G285" t="s">
        <v>16</v>
      </c>
      <c r="H285">
        <v>2</v>
      </c>
    </row>
    <row r="286" spans="1:8" x14ac:dyDescent="0.35">
      <c r="A286">
        <v>55577420270</v>
      </c>
      <c r="B286" t="s">
        <v>141</v>
      </c>
      <c r="C286" t="s">
        <v>53</v>
      </c>
      <c r="D286" t="s">
        <v>55</v>
      </c>
      <c r="E286" t="s">
        <v>15</v>
      </c>
      <c r="F286" t="s">
        <v>56</v>
      </c>
      <c r="G286" t="s">
        <v>16</v>
      </c>
      <c r="H286">
        <v>10</v>
      </c>
    </row>
    <row r="287" spans="1:8" x14ac:dyDescent="0.35">
      <c r="A287">
        <v>55577420270</v>
      </c>
      <c r="B287" t="s">
        <v>141</v>
      </c>
      <c r="C287" t="s">
        <v>53</v>
      </c>
      <c r="D287" t="s">
        <v>55</v>
      </c>
      <c r="E287" t="s">
        <v>15</v>
      </c>
      <c r="F287" t="s">
        <v>56</v>
      </c>
      <c r="G287" t="s">
        <v>31</v>
      </c>
      <c r="H287">
        <v>5</v>
      </c>
    </row>
    <row r="288" spans="1:8" x14ac:dyDescent="0.35">
      <c r="A288">
        <v>55577420508</v>
      </c>
      <c r="B288" t="s">
        <v>493</v>
      </c>
      <c r="C288" t="s">
        <v>53</v>
      </c>
      <c r="D288" t="s">
        <v>55</v>
      </c>
      <c r="E288" t="s">
        <v>15</v>
      </c>
      <c r="F288" t="s">
        <v>56</v>
      </c>
      <c r="G288" t="s">
        <v>16</v>
      </c>
      <c r="H288">
        <v>1</v>
      </c>
    </row>
    <row r="289" spans="1:8" x14ac:dyDescent="0.35">
      <c r="A289">
        <v>55577420751</v>
      </c>
      <c r="B289" t="s">
        <v>494</v>
      </c>
      <c r="C289" t="s">
        <v>53</v>
      </c>
      <c r="D289" t="s">
        <v>55</v>
      </c>
      <c r="E289" t="s">
        <v>15</v>
      </c>
      <c r="F289" t="s">
        <v>56</v>
      </c>
      <c r="G289" t="s">
        <v>16</v>
      </c>
      <c r="H289">
        <v>2</v>
      </c>
    </row>
    <row r="290" spans="1:8" x14ac:dyDescent="0.35">
      <c r="A290">
        <v>55577420928</v>
      </c>
      <c r="B290" t="s">
        <v>495</v>
      </c>
      <c r="C290" t="s">
        <v>9</v>
      </c>
      <c r="D290" t="s">
        <v>55</v>
      </c>
      <c r="E290" t="s">
        <v>15</v>
      </c>
      <c r="F290" t="s">
        <v>56</v>
      </c>
      <c r="G290" t="s">
        <v>16</v>
      </c>
      <c r="H290">
        <v>10</v>
      </c>
    </row>
    <row r="291" spans="1:8" x14ac:dyDescent="0.35">
      <c r="A291">
        <v>55577420935</v>
      </c>
      <c r="B291" t="s">
        <v>496</v>
      </c>
      <c r="C291" t="s">
        <v>151</v>
      </c>
      <c r="D291" t="s">
        <v>55</v>
      </c>
      <c r="E291" t="s">
        <v>15</v>
      </c>
      <c r="F291" t="s">
        <v>56</v>
      </c>
      <c r="G291" t="s">
        <v>16</v>
      </c>
      <c r="H291">
        <v>3</v>
      </c>
    </row>
    <row r="292" spans="1:8" x14ac:dyDescent="0.35">
      <c r="A292">
        <v>55577420942</v>
      </c>
      <c r="B292" t="s">
        <v>497</v>
      </c>
      <c r="C292" t="s">
        <v>53</v>
      </c>
      <c r="D292" t="s">
        <v>55</v>
      </c>
      <c r="E292" t="s">
        <v>15</v>
      </c>
      <c r="F292" t="s">
        <v>56</v>
      </c>
      <c r="G292" t="s">
        <v>16</v>
      </c>
      <c r="H292">
        <v>12</v>
      </c>
    </row>
    <row r="293" spans="1:8" x14ac:dyDescent="0.35">
      <c r="A293">
        <v>55577420959</v>
      </c>
      <c r="B293" t="s">
        <v>498</v>
      </c>
      <c r="C293" t="s">
        <v>53</v>
      </c>
      <c r="D293" t="s">
        <v>55</v>
      </c>
      <c r="E293" t="s">
        <v>15</v>
      </c>
      <c r="F293" t="s">
        <v>56</v>
      </c>
      <c r="G293" t="s">
        <v>16</v>
      </c>
      <c r="H293">
        <v>1</v>
      </c>
    </row>
    <row r="294" spans="1:8" x14ac:dyDescent="0.35">
      <c r="A294">
        <v>55577421000</v>
      </c>
      <c r="B294" t="s">
        <v>148</v>
      </c>
      <c r="C294" t="s">
        <v>146</v>
      </c>
      <c r="D294" t="s">
        <v>55</v>
      </c>
      <c r="E294" t="s">
        <v>15</v>
      </c>
      <c r="F294" t="s">
        <v>56</v>
      </c>
      <c r="G294" t="s">
        <v>16</v>
      </c>
      <c r="H294">
        <v>5</v>
      </c>
    </row>
    <row r="295" spans="1:8" x14ac:dyDescent="0.35">
      <c r="A295">
        <v>55577421017</v>
      </c>
      <c r="B295" t="s">
        <v>156</v>
      </c>
      <c r="C295" t="s">
        <v>146</v>
      </c>
      <c r="D295" t="s">
        <v>55</v>
      </c>
      <c r="E295" t="s">
        <v>15</v>
      </c>
      <c r="F295" t="s">
        <v>56</v>
      </c>
      <c r="G295" t="s">
        <v>16</v>
      </c>
      <c r="H295">
        <v>1</v>
      </c>
    </row>
    <row r="296" spans="1:8" x14ac:dyDescent="0.35">
      <c r="A296">
        <v>55577421024</v>
      </c>
      <c r="B296" t="s">
        <v>141</v>
      </c>
      <c r="C296" t="s">
        <v>51</v>
      </c>
      <c r="D296" t="s">
        <v>55</v>
      </c>
      <c r="E296" t="s">
        <v>15</v>
      </c>
      <c r="F296" t="s">
        <v>56</v>
      </c>
      <c r="G296" t="s">
        <v>16</v>
      </c>
      <c r="H296">
        <v>8</v>
      </c>
    </row>
    <row r="297" spans="1:8" x14ac:dyDescent="0.35">
      <c r="A297">
        <v>55577423875</v>
      </c>
      <c r="B297" t="s">
        <v>499</v>
      </c>
      <c r="C297" t="s">
        <v>151</v>
      </c>
      <c r="D297" t="s">
        <v>55</v>
      </c>
      <c r="E297" t="s">
        <v>15</v>
      </c>
      <c r="F297" t="s">
        <v>56</v>
      </c>
      <c r="G297" t="s">
        <v>16</v>
      </c>
      <c r="H297">
        <v>4</v>
      </c>
    </row>
    <row r="298" spans="1:8" x14ac:dyDescent="0.35">
      <c r="A298">
        <v>55577423882</v>
      </c>
      <c r="B298" t="s">
        <v>500</v>
      </c>
      <c r="C298" t="s">
        <v>151</v>
      </c>
      <c r="D298" t="s">
        <v>55</v>
      </c>
      <c r="E298" t="s">
        <v>15</v>
      </c>
      <c r="F298" t="s">
        <v>56</v>
      </c>
      <c r="G298" t="s">
        <v>16</v>
      </c>
      <c r="H298">
        <v>3</v>
      </c>
    </row>
    <row r="299" spans="1:8" x14ac:dyDescent="0.35">
      <c r="A299">
        <v>55577425145</v>
      </c>
      <c r="B299" t="s">
        <v>501</v>
      </c>
      <c r="C299" t="s">
        <v>146</v>
      </c>
      <c r="D299" t="s">
        <v>55</v>
      </c>
      <c r="E299" t="s">
        <v>15</v>
      </c>
      <c r="F299" t="s">
        <v>56</v>
      </c>
      <c r="G299" t="s">
        <v>16</v>
      </c>
      <c r="H299">
        <v>1</v>
      </c>
    </row>
    <row r="300" spans="1:8" x14ac:dyDescent="0.35">
      <c r="A300">
        <v>55742357837</v>
      </c>
      <c r="B300" t="s">
        <v>502</v>
      </c>
      <c r="C300" t="s">
        <v>9</v>
      </c>
      <c r="D300" t="s">
        <v>160</v>
      </c>
      <c r="E300" t="s">
        <v>16</v>
      </c>
      <c r="F300" t="s">
        <v>28</v>
      </c>
      <c r="G300" t="s">
        <v>16</v>
      </c>
      <c r="H300">
        <v>3</v>
      </c>
    </row>
    <row r="301" spans="1:8" x14ac:dyDescent="0.35">
      <c r="A301">
        <v>56000004609</v>
      </c>
      <c r="B301" t="s">
        <v>503</v>
      </c>
      <c r="C301" t="s">
        <v>504</v>
      </c>
      <c r="D301" t="s">
        <v>168</v>
      </c>
      <c r="E301" t="s">
        <v>15</v>
      </c>
      <c r="F301" t="s">
        <v>25</v>
      </c>
      <c r="G301" t="s">
        <v>16</v>
      </c>
      <c r="H301">
        <v>1</v>
      </c>
    </row>
    <row r="302" spans="1:8" x14ac:dyDescent="0.35">
      <c r="A302">
        <v>5601591000025</v>
      </c>
      <c r="B302" t="s">
        <v>505</v>
      </c>
      <c r="C302" t="s">
        <v>192</v>
      </c>
      <c r="D302" t="s">
        <v>506</v>
      </c>
      <c r="E302" t="s">
        <v>507</v>
      </c>
      <c r="F302" t="s">
        <v>508</v>
      </c>
      <c r="G302" t="s">
        <v>34</v>
      </c>
      <c r="H302">
        <v>13</v>
      </c>
    </row>
    <row r="303" spans="1:8" x14ac:dyDescent="0.35">
      <c r="A303">
        <v>5609008</v>
      </c>
      <c r="B303" t="s">
        <v>509</v>
      </c>
      <c r="C303" t="s">
        <v>78</v>
      </c>
      <c r="D303" t="s">
        <v>168</v>
      </c>
      <c r="E303" t="s">
        <v>15</v>
      </c>
      <c r="F303" t="s">
        <v>25</v>
      </c>
      <c r="G303" t="s">
        <v>16</v>
      </c>
      <c r="H303">
        <v>4</v>
      </c>
    </row>
    <row r="304" spans="1:8" x14ac:dyDescent="0.35">
      <c r="A304">
        <v>565161370718</v>
      </c>
      <c r="B304" t="s">
        <v>510</v>
      </c>
      <c r="C304" t="s">
        <v>511</v>
      </c>
      <c r="D304" t="s">
        <v>512</v>
      </c>
      <c r="E304" t="s">
        <v>117</v>
      </c>
      <c r="F304" t="s">
        <v>513</v>
      </c>
      <c r="G304" t="s">
        <v>117</v>
      </c>
      <c r="H304">
        <v>1</v>
      </c>
    </row>
    <row r="305" spans="1:8" x14ac:dyDescent="0.35">
      <c r="A305">
        <v>5654309</v>
      </c>
      <c r="B305" t="s">
        <v>503</v>
      </c>
      <c r="C305" t="s">
        <v>53</v>
      </c>
      <c r="D305" t="s">
        <v>514</v>
      </c>
      <c r="E305" t="s">
        <v>15</v>
      </c>
      <c r="F305" t="s">
        <v>25</v>
      </c>
      <c r="G305" t="s">
        <v>16</v>
      </c>
      <c r="H305">
        <v>5</v>
      </c>
    </row>
    <row r="306" spans="1:8" x14ac:dyDescent="0.35">
      <c r="A306">
        <v>5654406</v>
      </c>
      <c r="B306" t="s">
        <v>515</v>
      </c>
      <c r="C306" t="s">
        <v>53</v>
      </c>
      <c r="D306" t="s">
        <v>514</v>
      </c>
      <c r="E306" t="s">
        <v>15</v>
      </c>
      <c r="F306" t="s">
        <v>25</v>
      </c>
      <c r="G306" t="s">
        <v>16</v>
      </c>
      <c r="H306">
        <v>3</v>
      </c>
    </row>
    <row r="307" spans="1:8" x14ac:dyDescent="0.35">
      <c r="A307">
        <v>5654503</v>
      </c>
      <c r="B307" t="s">
        <v>516</v>
      </c>
      <c r="C307" t="s">
        <v>53</v>
      </c>
      <c r="D307" t="s">
        <v>168</v>
      </c>
      <c r="E307" t="s">
        <v>15</v>
      </c>
      <c r="F307" t="s">
        <v>25</v>
      </c>
      <c r="G307" t="s">
        <v>16</v>
      </c>
      <c r="H307">
        <v>4</v>
      </c>
    </row>
    <row r="308" spans="1:8" x14ac:dyDescent="0.35">
      <c r="A308">
        <v>5726158</v>
      </c>
      <c r="B308" t="s">
        <v>183</v>
      </c>
      <c r="C308" t="s">
        <v>53</v>
      </c>
      <c r="D308" t="s">
        <v>55</v>
      </c>
      <c r="E308" t="s">
        <v>15</v>
      </c>
      <c r="F308" t="s">
        <v>56</v>
      </c>
      <c r="G308" t="s">
        <v>16</v>
      </c>
      <c r="H308">
        <v>3</v>
      </c>
    </row>
    <row r="309" spans="1:8" x14ac:dyDescent="0.35">
      <c r="A309">
        <v>57271160001</v>
      </c>
      <c r="B309" t="s">
        <v>176</v>
      </c>
      <c r="C309" t="s">
        <v>489</v>
      </c>
      <c r="D309" t="s">
        <v>55</v>
      </c>
      <c r="E309" t="s">
        <v>15</v>
      </c>
      <c r="F309" t="s">
        <v>56</v>
      </c>
      <c r="G309" t="s">
        <v>16</v>
      </c>
      <c r="H309">
        <v>1</v>
      </c>
    </row>
    <row r="310" spans="1:8" x14ac:dyDescent="0.35">
      <c r="A310">
        <v>57271160087</v>
      </c>
      <c r="B310" t="s">
        <v>517</v>
      </c>
      <c r="C310" t="s">
        <v>146</v>
      </c>
      <c r="D310" t="s">
        <v>55</v>
      </c>
      <c r="E310" t="s">
        <v>15</v>
      </c>
      <c r="F310" t="s">
        <v>56</v>
      </c>
      <c r="G310" t="s">
        <v>16</v>
      </c>
      <c r="H310">
        <v>1</v>
      </c>
    </row>
    <row r="311" spans="1:8" x14ac:dyDescent="0.35">
      <c r="A311">
        <v>57271160278</v>
      </c>
      <c r="B311" t="s">
        <v>491</v>
      </c>
      <c r="C311" t="s">
        <v>53</v>
      </c>
      <c r="D311" t="s">
        <v>55</v>
      </c>
      <c r="E311" t="s">
        <v>15</v>
      </c>
      <c r="F311" t="s">
        <v>56</v>
      </c>
      <c r="G311" t="s">
        <v>16</v>
      </c>
      <c r="H311">
        <v>1</v>
      </c>
    </row>
    <row r="312" spans="1:8" x14ac:dyDescent="0.35">
      <c r="A312">
        <v>57271162562</v>
      </c>
      <c r="B312" t="s">
        <v>178</v>
      </c>
      <c r="C312" t="s">
        <v>53</v>
      </c>
      <c r="D312" t="s">
        <v>55</v>
      </c>
      <c r="E312" t="s">
        <v>15</v>
      </c>
      <c r="F312" t="s">
        <v>56</v>
      </c>
      <c r="G312" t="s">
        <v>16</v>
      </c>
      <c r="H312">
        <v>7</v>
      </c>
    </row>
    <row r="313" spans="1:8" x14ac:dyDescent="0.35">
      <c r="A313">
        <v>57271162586</v>
      </c>
      <c r="B313" t="s">
        <v>518</v>
      </c>
      <c r="C313" t="s">
        <v>53</v>
      </c>
      <c r="D313" t="s">
        <v>55</v>
      </c>
      <c r="E313" t="s">
        <v>15</v>
      </c>
      <c r="F313" t="s">
        <v>56</v>
      </c>
      <c r="G313" t="s">
        <v>16</v>
      </c>
      <c r="H313">
        <v>4</v>
      </c>
    </row>
    <row r="314" spans="1:8" x14ac:dyDescent="0.35">
      <c r="A314">
        <v>57271162609</v>
      </c>
      <c r="B314" t="s">
        <v>519</v>
      </c>
      <c r="C314" t="s">
        <v>520</v>
      </c>
      <c r="D314" t="s">
        <v>55</v>
      </c>
      <c r="E314" t="s">
        <v>15</v>
      </c>
      <c r="F314" t="s">
        <v>56</v>
      </c>
      <c r="G314" t="s">
        <v>16</v>
      </c>
      <c r="H314">
        <v>4</v>
      </c>
    </row>
    <row r="315" spans="1:8" x14ac:dyDescent="0.35">
      <c r="A315">
        <v>57271162647</v>
      </c>
      <c r="B315" t="s">
        <v>521</v>
      </c>
      <c r="C315" t="s">
        <v>53</v>
      </c>
      <c r="D315" t="s">
        <v>55</v>
      </c>
      <c r="E315" t="s">
        <v>15</v>
      </c>
      <c r="F315" t="s">
        <v>56</v>
      </c>
      <c r="G315" t="s">
        <v>16</v>
      </c>
      <c r="H315">
        <v>5</v>
      </c>
    </row>
    <row r="316" spans="1:8" x14ac:dyDescent="0.35">
      <c r="A316">
        <v>57271162722</v>
      </c>
      <c r="B316" t="s">
        <v>522</v>
      </c>
      <c r="C316" t="s">
        <v>523</v>
      </c>
      <c r="D316" t="s">
        <v>55</v>
      </c>
      <c r="E316" t="s">
        <v>15</v>
      </c>
      <c r="F316" t="s">
        <v>56</v>
      </c>
      <c r="G316" t="s">
        <v>16</v>
      </c>
      <c r="H316">
        <v>2</v>
      </c>
    </row>
    <row r="317" spans="1:8" x14ac:dyDescent="0.35">
      <c r="A317">
        <v>57271162746</v>
      </c>
      <c r="B317" t="s">
        <v>493</v>
      </c>
      <c r="C317" t="s">
        <v>278</v>
      </c>
      <c r="D317" t="s">
        <v>55</v>
      </c>
      <c r="E317" t="s">
        <v>15</v>
      </c>
      <c r="F317" t="s">
        <v>56</v>
      </c>
      <c r="G317" t="s">
        <v>16</v>
      </c>
      <c r="H317">
        <v>1</v>
      </c>
    </row>
    <row r="318" spans="1:8" x14ac:dyDescent="0.35">
      <c r="A318">
        <v>57271162760</v>
      </c>
      <c r="B318" t="s">
        <v>524</v>
      </c>
      <c r="C318" t="s">
        <v>278</v>
      </c>
      <c r="D318" t="s">
        <v>55</v>
      </c>
      <c r="E318" t="s">
        <v>15</v>
      </c>
      <c r="F318" t="s">
        <v>56</v>
      </c>
      <c r="G318" t="s">
        <v>16</v>
      </c>
      <c r="H318">
        <v>1</v>
      </c>
    </row>
    <row r="319" spans="1:8" x14ac:dyDescent="0.35">
      <c r="A319">
        <v>57271163088</v>
      </c>
      <c r="B319" t="s">
        <v>525</v>
      </c>
      <c r="C319" t="s">
        <v>51</v>
      </c>
      <c r="D319" t="s">
        <v>55</v>
      </c>
      <c r="E319" t="s">
        <v>15</v>
      </c>
      <c r="F319" t="s">
        <v>56</v>
      </c>
      <c r="G319" t="s">
        <v>16</v>
      </c>
      <c r="H319">
        <v>2</v>
      </c>
    </row>
    <row r="320" spans="1:8" x14ac:dyDescent="0.35">
      <c r="A320">
        <v>57271163095</v>
      </c>
      <c r="B320" t="s">
        <v>526</v>
      </c>
      <c r="C320" t="s">
        <v>146</v>
      </c>
      <c r="D320" t="s">
        <v>55</v>
      </c>
      <c r="E320" t="s">
        <v>15</v>
      </c>
      <c r="F320" t="s">
        <v>56</v>
      </c>
      <c r="G320" t="s">
        <v>16</v>
      </c>
      <c r="H320">
        <v>5</v>
      </c>
    </row>
    <row r="321" spans="1:8" x14ac:dyDescent="0.35">
      <c r="A321">
        <v>57271163101</v>
      </c>
      <c r="B321" t="s">
        <v>527</v>
      </c>
      <c r="C321" t="s">
        <v>83</v>
      </c>
      <c r="D321" t="s">
        <v>528</v>
      </c>
      <c r="E321" t="s">
        <v>16</v>
      </c>
      <c r="F321" t="s">
        <v>529</v>
      </c>
      <c r="G321" t="s">
        <v>16</v>
      </c>
      <c r="H321">
        <v>3</v>
      </c>
    </row>
    <row r="322" spans="1:8" x14ac:dyDescent="0.35">
      <c r="A322">
        <v>57271163415</v>
      </c>
      <c r="B322" t="s">
        <v>530</v>
      </c>
      <c r="C322" t="s">
        <v>53</v>
      </c>
      <c r="D322" t="s">
        <v>55</v>
      </c>
      <c r="E322" t="s">
        <v>15</v>
      </c>
      <c r="F322" t="s">
        <v>56</v>
      </c>
      <c r="G322" t="s">
        <v>16</v>
      </c>
      <c r="H322">
        <v>1</v>
      </c>
    </row>
    <row r="323" spans="1:8" x14ac:dyDescent="0.35">
      <c r="A323">
        <v>57271163453</v>
      </c>
      <c r="B323" t="s">
        <v>531</v>
      </c>
      <c r="C323" t="s">
        <v>143</v>
      </c>
      <c r="D323" t="s">
        <v>55</v>
      </c>
      <c r="E323" t="s">
        <v>15</v>
      </c>
      <c r="F323" t="s">
        <v>56</v>
      </c>
      <c r="G323" t="s">
        <v>16</v>
      </c>
      <c r="H323">
        <v>1</v>
      </c>
    </row>
    <row r="324" spans="1:8" x14ac:dyDescent="0.35">
      <c r="A324">
        <v>57271163477</v>
      </c>
      <c r="B324" t="s">
        <v>532</v>
      </c>
      <c r="C324" t="s">
        <v>533</v>
      </c>
      <c r="D324" t="s">
        <v>55</v>
      </c>
      <c r="E324" t="s">
        <v>15</v>
      </c>
      <c r="F324" t="s">
        <v>56</v>
      </c>
      <c r="G324" t="s">
        <v>16</v>
      </c>
      <c r="H324">
        <v>1</v>
      </c>
    </row>
    <row r="325" spans="1:8" x14ac:dyDescent="0.35">
      <c r="A325">
        <v>57271163521</v>
      </c>
      <c r="B325" t="s">
        <v>180</v>
      </c>
      <c r="C325" t="s">
        <v>143</v>
      </c>
      <c r="D325" t="s">
        <v>55</v>
      </c>
      <c r="E325" t="s">
        <v>15</v>
      </c>
      <c r="F325" t="s">
        <v>56</v>
      </c>
      <c r="G325" t="s">
        <v>16</v>
      </c>
      <c r="H325">
        <v>2</v>
      </c>
    </row>
    <row r="326" spans="1:8" x14ac:dyDescent="0.35">
      <c r="A326">
        <v>57271163651</v>
      </c>
      <c r="B326" t="s">
        <v>182</v>
      </c>
      <c r="C326" t="s">
        <v>53</v>
      </c>
      <c r="D326" t="s">
        <v>55</v>
      </c>
      <c r="E326" t="s">
        <v>15</v>
      </c>
      <c r="F326" t="s">
        <v>56</v>
      </c>
      <c r="G326" t="s">
        <v>16</v>
      </c>
      <c r="H326">
        <v>1</v>
      </c>
    </row>
    <row r="327" spans="1:8" x14ac:dyDescent="0.35">
      <c r="A327">
        <v>57271164108</v>
      </c>
      <c r="B327" t="s">
        <v>534</v>
      </c>
      <c r="C327" t="s">
        <v>53</v>
      </c>
      <c r="D327" t="s">
        <v>55</v>
      </c>
      <c r="E327" t="s">
        <v>15</v>
      </c>
      <c r="F327" t="s">
        <v>56</v>
      </c>
      <c r="G327" t="s">
        <v>16</v>
      </c>
      <c r="H327">
        <v>3</v>
      </c>
    </row>
    <row r="328" spans="1:8" x14ac:dyDescent="0.35">
      <c r="A328">
        <v>57271164122</v>
      </c>
      <c r="B328" t="s">
        <v>183</v>
      </c>
      <c r="C328" t="s">
        <v>53</v>
      </c>
      <c r="D328" t="s">
        <v>55</v>
      </c>
      <c r="E328" t="s">
        <v>15</v>
      </c>
      <c r="F328" t="s">
        <v>56</v>
      </c>
      <c r="G328" t="s">
        <v>16</v>
      </c>
      <c r="H328">
        <v>4</v>
      </c>
    </row>
    <row r="329" spans="1:8" x14ac:dyDescent="0.35">
      <c r="A329">
        <v>57271164153</v>
      </c>
      <c r="B329" t="s">
        <v>535</v>
      </c>
      <c r="C329" t="s">
        <v>53</v>
      </c>
      <c r="D329" t="s">
        <v>55</v>
      </c>
      <c r="E329" t="s">
        <v>15</v>
      </c>
      <c r="F329" t="s">
        <v>56</v>
      </c>
      <c r="G329" t="s">
        <v>16</v>
      </c>
      <c r="H329">
        <v>8</v>
      </c>
    </row>
    <row r="330" spans="1:8" x14ac:dyDescent="0.35">
      <c r="A330">
        <v>57271164177</v>
      </c>
      <c r="B330" t="s">
        <v>390</v>
      </c>
      <c r="C330" t="s">
        <v>151</v>
      </c>
      <c r="D330" t="s">
        <v>243</v>
      </c>
      <c r="E330" t="s">
        <v>15</v>
      </c>
      <c r="F330" t="s">
        <v>56</v>
      </c>
      <c r="G330" t="s">
        <v>16</v>
      </c>
      <c r="H330">
        <v>2</v>
      </c>
    </row>
    <row r="331" spans="1:8" x14ac:dyDescent="0.35">
      <c r="A331">
        <v>57271164306</v>
      </c>
      <c r="B331" t="s">
        <v>141</v>
      </c>
      <c r="C331" t="s">
        <v>489</v>
      </c>
      <c r="D331" t="s">
        <v>55</v>
      </c>
      <c r="E331" t="s">
        <v>15</v>
      </c>
      <c r="F331" t="s">
        <v>56</v>
      </c>
      <c r="G331" t="s">
        <v>16</v>
      </c>
      <c r="H331">
        <v>2</v>
      </c>
    </row>
    <row r="332" spans="1:8" x14ac:dyDescent="0.35">
      <c r="A332">
        <v>57271164672</v>
      </c>
      <c r="B332" t="s">
        <v>536</v>
      </c>
      <c r="C332" t="s">
        <v>53</v>
      </c>
      <c r="D332" t="s">
        <v>55</v>
      </c>
      <c r="E332" t="s">
        <v>15</v>
      </c>
      <c r="F332" t="s">
        <v>56</v>
      </c>
      <c r="G332" t="s">
        <v>16</v>
      </c>
      <c r="H332">
        <v>1</v>
      </c>
    </row>
    <row r="333" spans="1:8" x14ac:dyDescent="0.35">
      <c r="A333">
        <v>57271164771</v>
      </c>
      <c r="B333" t="s">
        <v>537</v>
      </c>
      <c r="C333" t="s">
        <v>53</v>
      </c>
      <c r="D333" t="s">
        <v>55</v>
      </c>
      <c r="E333" t="s">
        <v>15</v>
      </c>
      <c r="F333" t="s">
        <v>56</v>
      </c>
      <c r="G333" t="s">
        <v>16</v>
      </c>
      <c r="H333">
        <v>5</v>
      </c>
    </row>
    <row r="334" spans="1:8" x14ac:dyDescent="0.35">
      <c r="A334">
        <v>57271425162</v>
      </c>
      <c r="B334" t="s">
        <v>491</v>
      </c>
      <c r="C334" t="s">
        <v>146</v>
      </c>
      <c r="D334" t="s">
        <v>55</v>
      </c>
      <c r="E334" t="s">
        <v>15</v>
      </c>
      <c r="F334" t="s">
        <v>56</v>
      </c>
      <c r="G334" t="s">
        <v>16</v>
      </c>
      <c r="H334">
        <v>7</v>
      </c>
    </row>
    <row r="335" spans="1:8" x14ac:dyDescent="0.35">
      <c r="A335">
        <v>57271555180</v>
      </c>
      <c r="B335" t="s">
        <v>199</v>
      </c>
      <c r="C335" t="s">
        <v>146</v>
      </c>
      <c r="D335" t="s">
        <v>55</v>
      </c>
      <c r="E335" t="s">
        <v>15</v>
      </c>
      <c r="F335" t="s">
        <v>56</v>
      </c>
      <c r="G335" t="s">
        <v>16</v>
      </c>
      <c r="H335">
        <v>2</v>
      </c>
    </row>
    <row r="336" spans="1:8" x14ac:dyDescent="0.35">
      <c r="A336">
        <v>57271555418</v>
      </c>
      <c r="B336" t="s">
        <v>538</v>
      </c>
      <c r="C336" t="s">
        <v>9</v>
      </c>
      <c r="D336" t="s">
        <v>55</v>
      </c>
      <c r="E336" t="s">
        <v>15</v>
      </c>
      <c r="F336" t="s">
        <v>56</v>
      </c>
      <c r="G336" t="s">
        <v>16</v>
      </c>
      <c r="H336">
        <v>2</v>
      </c>
    </row>
    <row r="337" spans="1:8" x14ac:dyDescent="0.35">
      <c r="A337">
        <v>57271555432</v>
      </c>
      <c r="B337" t="s">
        <v>186</v>
      </c>
      <c r="C337" t="s">
        <v>146</v>
      </c>
      <c r="D337" t="s">
        <v>55</v>
      </c>
      <c r="E337" t="s">
        <v>15</v>
      </c>
      <c r="F337" t="s">
        <v>56</v>
      </c>
      <c r="G337" t="s">
        <v>16</v>
      </c>
      <c r="H337">
        <v>3</v>
      </c>
    </row>
    <row r="338" spans="1:8" x14ac:dyDescent="0.35">
      <c r="A338">
        <v>5727162</v>
      </c>
      <c r="B338" t="s">
        <v>180</v>
      </c>
      <c r="C338" t="s">
        <v>53</v>
      </c>
      <c r="D338" t="s">
        <v>55</v>
      </c>
      <c r="E338" t="s">
        <v>15</v>
      </c>
      <c r="F338" t="s">
        <v>56</v>
      </c>
      <c r="G338" t="s">
        <v>16</v>
      </c>
      <c r="H338">
        <v>1</v>
      </c>
    </row>
    <row r="339" spans="1:8" x14ac:dyDescent="0.35">
      <c r="A339">
        <v>57379105010</v>
      </c>
      <c r="B339" t="s">
        <v>191</v>
      </c>
      <c r="C339" t="s">
        <v>9</v>
      </c>
      <c r="D339" t="s">
        <v>189</v>
      </c>
      <c r="E339" t="s">
        <v>16</v>
      </c>
      <c r="F339" t="s">
        <v>190</v>
      </c>
      <c r="G339" t="s">
        <v>16</v>
      </c>
      <c r="H339">
        <v>2</v>
      </c>
    </row>
    <row r="340" spans="1:8" x14ac:dyDescent="0.35">
      <c r="A340">
        <v>57379600119</v>
      </c>
      <c r="B340" t="s">
        <v>212</v>
      </c>
      <c r="C340" t="s">
        <v>9</v>
      </c>
      <c r="D340" t="s">
        <v>189</v>
      </c>
      <c r="E340" t="s">
        <v>16</v>
      </c>
      <c r="F340" t="s">
        <v>190</v>
      </c>
      <c r="G340" t="s">
        <v>16</v>
      </c>
      <c r="H340">
        <v>4</v>
      </c>
    </row>
    <row r="341" spans="1:8" x14ac:dyDescent="0.35">
      <c r="A341">
        <v>59600010865</v>
      </c>
      <c r="B341" t="s">
        <v>226</v>
      </c>
      <c r="C341" t="s">
        <v>278</v>
      </c>
      <c r="D341" t="s">
        <v>539</v>
      </c>
      <c r="E341" t="s">
        <v>15</v>
      </c>
      <c r="F341" t="s">
        <v>14</v>
      </c>
      <c r="G341" t="s">
        <v>16</v>
      </c>
      <c r="H341">
        <v>1</v>
      </c>
    </row>
    <row r="342" spans="1:8" x14ac:dyDescent="0.35">
      <c r="A342">
        <v>59600038081</v>
      </c>
      <c r="B342" t="s">
        <v>540</v>
      </c>
      <c r="C342" t="s">
        <v>278</v>
      </c>
      <c r="D342" t="s">
        <v>539</v>
      </c>
      <c r="E342" t="s">
        <v>15</v>
      </c>
      <c r="F342" t="s">
        <v>14</v>
      </c>
      <c r="G342" t="s">
        <v>16</v>
      </c>
      <c r="H342">
        <v>5</v>
      </c>
    </row>
    <row r="343" spans="1:8" x14ac:dyDescent="0.35">
      <c r="A343">
        <v>5965736</v>
      </c>
      <c r="B343" t="s">
        <v>541</v>
      </c>
      <c r="C343" t="s">
        <v>542</v>
      </c>
      <c r="D343" t="s">
        <v>543</v>
      </c>
      <c r="E343" t="s">
        <v>15</v>
      </c>
      <c r="F343" t="s">
        <v>14</v>
      </c>
      <c r="G343" t="s">
        <v>16</v>
      </c>
      <c r="H343">
        <v>3</v>
      </c>
    </row>
    <row r="344" spans="1:8" x14ac:dyDescent="0.35">
      <c r="A344">
        <v>603813404005</v>
      </c>
      <c r="B344" t="s">
        <v>544</v>
      </c>
      <c r="C344" t="s">
        <v>545</v>
      </c>
      <c r="D344" t="s">
        <v>546</v>
      </c>
      <c r="E344" t="s">
        <v>547</v>
      </c>
      <c r="F344" t="s">
        <v>548</v>
      </c>
      <c r="G344" t="s">
        <v>547</v>
      </c>
      <c r="H344">
        <v>37</v>
      </c>
    </row>
    <row r="345" spans="1:8" x14ac:dyDescent="0.35">
      <c r="A345">
        <v>603813404012</v>
      </c>
      <c r="B345" t="s">
        <v>549</v>
      </c>
      <c r="C345" t="s">
        <v>192</v>
      </c>
      <c r="D345" t="s">
        <v>546</v>
      </c>
      <c r="E345" t="s">
        <v>547</v>
      </c>
      <c r="F345" t="s">
        <v>548</v>
      </c>
      <c r="G345" t="s">
        <v>547</v>
      </c>
      <c r="H345">
        <v>19</v>
      </c>
    </row>
    <row r="346" spans="1:8" x14ac:dyDescent="0.35">
      <c r="A346">
        <v>60383029616</v>
      </c>
      <c r="B346" t="s">
        <v>196</v>
      </c>
      <c r="C346" t="s">
        <v>96</v>
      </c>
      <c r="D346" t="s">
        <v>194</v>
      </c>
      <c r="E346" t="s">
        <v>16</v>
      </c>
      <c r="F346" t="s">
        <v>195</v>
      </c>
      <c r="G346" t="s">
        <v>16</v>
      </c>
      <c r="H346">
        <v>1</v>
      </c>
    </row>
    <row r="347" spans="1:8" x14ac:dyDescent="0.35">
      <c r="A347">
        <v>60383048426</v>
      </c>
      <c r="B347" t="s">
        <v>226</v>
      </c>
      <c r="C347" t="s">
        <v>200</v>
      </c>
      <c r="D347" t="s">
        <v>194</v>
      </c>
      <c r="E347" t="s">
        <v>16</v>
      </c>
      <c r="F347" t="s">
        <v>195</v>
      </c>
      <c r="G347" t="s">
        <v>16</v>
      </c>
      <c r="H347">
        <v>1</v>
      </c>
    </row>
    <row r="348" spans="1:8" x14ac:dyDescent="0.35">
      <c r="A348">
        <v>60383055370</v>
      </c>
      <c r="B348" t="s">
        <v>550</v>
      </c>
      <c r="C348" t="s">
        <v>214</v>
      </c>
      <c r="D348" t="s">
        <v>194</v>
      </c>
      <c r="E348" t="s">
        <v>16</v>
      </c>
      <c r="F348" t="s">
        <v>195</v>
      </c>
      <c r="G348" t="s">
        <v>16</v>
      </c>
      <c r="H348">
        <v>1</v>
      </c>
    </row>
    <row r="349" spans="1:8" x14ac:dyDescent="0.35">
      <c r="A349">
        <v>60383076610</v>
      </c>
      <c r="B349" t="s">
        <v>551</v>
      </c>
      <c r="C349" t="s">
        <v>96</v>
      </c>
      <c r="D349" t="s">
        <v>194</v>
      </c>
      <c r="E349" t="s">
        <v>16</v>
      </c>
      <c r="F349" t="s">
        <v>195</v>
      </c>
      <c r="G349" t="s">
        <v>16</v>
      </c>
      <c r="H349">
        <v>2</v>
      </c>
    </row>
    <row r="350" spans="1:8" x14ac:dyDescent="0.35">
      <c r="A350">
        <v>60383104177</v>
      </c>
      <c r="B350" t="s">
        <v>552</v>
      </c>
      <c r="C350" t="s">
        <v>110</v>
      </c>
      <c r="D350" t="s">
        <v>194</v>
      </c>
      <c r="E350" t="s">
        <v>16</v>
      </c>
      <c r="F350" t="s">
        <v>195</v>
      </c>
      <c r="G350" t="s">
        <v>16</v>
      </c>
      <c r="H350">
        <v>1</v>
      </c>
    </row>
    <row r="351" spans="1:8" x14ac:dyDescent="0.35">
      <c r="A351">
        <v>60383131272</v>
      </c>
      <c r="B351" t="s">
        <v>553</v>
      </c>
      <c r="C351" t="s">
        <v>236</v>
      </c>
      <c r="D351" t="s">
        <v>194</v>
      </c>
      <c r="E351" t="s">
        <v>16</v>
      </c>
      <c r="F351" t="s">
        <v>195</v>
      </c>
      <c r="G351" t="s">
        <v>16</v>
      </c>
      <c r="H351">
        <v>1</v>
      </c>
    </row>
    <row r="352" spans="1:8" x14ac:dyDescent="0.35">
      <c r="A352">
        <v>60383132002</v>
      </c>
      <c r="B352" t="s">
        <v>554</v>
      </c>
      <c r="C352" t="s">
        <v>96</v>
      </c>
      <c r="D352" t="s">
        <v>194</v>
      </c>
      <c r="E352" t="s">
        <v>16</v>
      </c>
      <c r="F352" t="s">
        <v>195</v>
      </c>
      <c r="G352" t="s">
        <v>16</v>
      </c>
      <c r="H352">
        <v>2</v>
      </c>
    </row>
    <row r="353" spans="1:8" x14ac:dyDescent="0.35">
      <c r="A353">
        <v>60383132019</v>
      </c>
      <c r="B353" t="s">
        <v>555</v>
      </c>
      <c r="C353" t="s">
        <v>96</v>
      </c>
      <c r="D353" t="s">
        <v>194</v>
      </c>
      <c r="E353" t="s">
        <v>16</v>
      </c>
      <c r="F353" t="s">
        <v>195</v>
      </c>
      <c r="G353" t="s">
        <v>16</v>
      </c>
      <c r="H353">
        <v>1</v>
      </c>
    </row>
    <row r="354" spans="1:8" x14ac:dyDescent="0.35">
      <c r="A354">
        <v>60383137700</v>
      </c>
      <c r="B354" t="s">
        <v>556</v>
      </c>
      <c r="C354" t="s">
        <v>81</v>
      </c>
      <c r="D354" t="s">
        <v>194</v>
      </c>
      <c r="E354" t="s">
        <v>16</v>
      </c>
      <c r="F354" t="s">
        <v>195</v>
      </c>
      <c r="G354" t="s">
        <v>16</v>
      </c>
      <c r="H354">
        <v>2</v>
      </c>
    </row>
    <row r="355" spans="1:8" x14ac:dyDescent="0.35">
      <c r="A355">
        <v>60383185251</v>
      </c>
      <c r="B355" t="s">
        <v>210</v>
      </c>
      <c r="C355" t="s">
        <v>96</v>
      </c>
      <c r="D355" t="s">
        <v>194</v>
      </c>
      <c r="E355" t="s">
        <v>16</v>
      </c>
      <c r="F355" t="s">
        <v>195</v>
      </c>
      <c r="G355" t="s">
        <v>16</v>
      </c>
      <c r="H355">
        <v>7</v>
      </c>
    </row>
    <row r="356" spans="1:8" x14ac:dyDescent="0.35">
      <c r="A356">
        <v>60383653293</v>
      </c>
      <c r="B356" t="s">
        <v>212</v>
      </c>
      <c r="C356" t="s">
        <v>9</v>
      </c>
      <c r="D356" t="s">
        <v>194</v>
      </c>
      <c r="E356" t="s">
        <v>16</v>
      </c>
      <c r="F356" t="s">
        <v>195</v>
      </c>
      <c r="G356" t="s">
        <v>16</v>
      </c>
      <c r="H356">
        <v>38</v>
      </c>
    </row>
    <row r="357" spans="1:8" x14ac:dyDescent="0.35">
      <c r="A357">
        <v>60383758783</v>
      </c>
      <c r="B357" t="s">
        <v>212</v>
      </c>
      <c r="C357" t="s">
        <v>9</v>
      </c>
      <c r="D357" t="s">
        <v>557</v>
      </c>
      <c r="E357" t="s">
        <v>16</v>
      </c>
      <c r="F357" t="s">
        <v>195</v>
      </c>
      <c r="G357" t="s">
        <v>16</v>
      </c>
      <c r="H357">
        <v>24</v>
      </c>
    </row>
    <row r="358" spans="1:8" x14ac:dyDescent="0.35">
      <c r="A358">
        <v>60383863449</v>
      </c>
      <c r="B358" t="s">
        <v>216</v>
      </c>
      <c r="C358" t="s">
        <v>214</v>
      </c>
      <c r="D358" t="s">
        <v>194</v>
      </c>
      <c r="E358" t="s">
        <v>16</v>
      </c>
      <c r="F358" t="s">
        <v>195</v>
      </c>
      <c r="G358" t="s">
        <v>16</v>
      </c>
      <c r="H358">
        <v>1</v>
      </c>
    </row>
    <row r="359" spans="1:8" x14ac:dyDescent="0.35">
      <c r="A359">
        <v>60383976552</v>
      </c>
      <c r="B359" t="s">
        <v>558</v>
      </c>
      <c r="C359" t="s">
        <v>559</v>
      </c>
      <c r="D359" t="s">
        <v>194</v>
      </c>
      <c r="E359" t="s">
        <v>16</v>
      </c>
      <c r="F359" t="s">
        <v>195</v>
      </c>
      <c r="G359" t="s">
        <v>16</v>
      </c>
      <c r="H359">
        <v>1</v>
      </c>
    </row>
    <row r="360" spans="1:8" x14ac:dyDescent="0.35">
      <c r="A360">
        <v>60383997076</v>
      </c>
      <c r="B360" t="s">
        <v>560</v>
      </c>
      <c r="C360" t="s">
        <v>81</v>
      </c>
      <c r="D360" t="s">
        <v>194</v>
      </c>
      <c r="E360" t="s">
        <v>16</v>
      </c>
      <c r="F360" t="s">
        <v>195</v>
      </c>
      <c r="G360" t="s">
        <v>16</v>
      </c>
      <c r="H360">
        <v>3</v>
      </c>
    </row>
    <row r="361" spans="1:8" x14ac:dyDescent="0.35">
      <c r="A361">
        <v>60410016978</v>
      </c>
      <c r="B361" t="s">
        <v>561</v>
      </c>
      <c r="C361" t="s">
        <v>562</v>
      </c>
      <c r="D361" t="s">
        <v>563</v>
      </c>
      <c r="E361" t="s">
        <v>15</v>
      </c>
      <c r="F361" t="s">
        <v>56</v>
      </c>
      <c r="G361" t="s">
        <v>16</v>
      </c>
      <c r="H361">
        <v>1</v>
      </c>
    </row>
    <row r="362" spans="1:8" x14ac:dyDescent="0.35">
      <c r="A362">
        <v>60410018019</v>
      </c>
      <c r="B362" t="s">
        <v>564</v>
      </c>
      <c r="C362" t="s">
        <v>565</v>
      </c>
      <c r="D362" t="s">
        <v>566</v>
      </c>
      <c r="E362" t="s">
        <v>15</v>
      </c>
      <c r="F362" t="s">
        <v>56</v>
      </c>
      <c r="G362" t="s">
        <v>16</v>
      </c>
      <c r="H362">
        <v>4</v>
      </c>
    </row>
    <row r="363" spans="1:8" x14ac:dyDescent="0.35">
      <c r="A363">
        <v>60410018798</v>
      </c>
      <c r="B363" t="s">
        <v>567</v>
      </c>
      <c r="C363" t="s">
        <v>568</v>
      </c>
      <c r="D363" t="s">
        <v>92</v>
      </c>
      <c r="E363" t="s">
        <v>15</v>
      </c>
      <c r="F363" t="s">
        <v>56</v>
      </c>
      <c r="G363" t="s">
        <v>16</v>
      </c>
      <c r="H363">
        <v>1</v>
      </c>
    </row>
    <row r="364" spans="1:8" x14ac:dyDescent="0.35">
      <c r="A364">
        <v>60410067826</v>
      </c>
      <c r="B364" t="s">
        <v>569</v>
      </c>
      <c r="C364" t="s">
        <v>570</v>
      </c>
      <c r="D364" t="s">
        <v>571</v>
      </c>
      <c r="E364" t="s">
        <v>15</v>
      </c>
      <c r="F364" t="s">
        <v>56</v>
      </c>
      <c r="G364" t="s">
        <v>16</v>
      </c>
      <c r="H364">
        <v>1</v>
      </c>
    </row>
    <row r="365" spans="1:8" x14ac:dyDescent="0.35">
      <c r="A365">
        <v>605388881243</v>
      </c>
      <c r="B365" t="s">
        <v>572</v>
      </c>
      <c r="C365" t="s">
        <v>9</v>
      </c>
      <c r="D365" t="s">
        <v>573</v>
      </c>
      <c r="E365" t="s">
        <v>15</v>
      </c>
      <c r="F365" t="s">
        <v>574</v>
      </c>
      <c r="G365" t="s">
        <v>16</v>
      </c>
      <c r="H365">
        <v>27</v>
      </c>
    </row>
    <row r="366" spans="1:8" x14ac:dyDescent="0.35">
      <c r="A366">
        <v>606110287722</v>
      </c>
      <c r="B366" t="s">
        <v>575</v>
      </c>
      <c r="C366" t="s">
        <v>576</v>
      </c>
      <c r="D366" t="s">
        <v>577</v>
      </c>
      <c r="E366" t="s">
        <v>578</v>
      </c>
      <c r="F366" t="s">
        <v>579</v>
      </c>
      <c r="G366" t="s">
        <v>117</v>
      </c>
      <c r="H366">
        <v>30</v>
      </c>
    </row>
    <row r="367" spans="1:8" x14ac:dyDescent="0.35">
      <c r="A367">
        <v>606110287739</v>
      </c>
      <c r="B367" t="s">
        <v>580</v>
      </c>
      <c r="C367" t="s">
        <v>472</v>
      </c>
      <c r="D367" t="s">
        <v>577</v>
      </c>
      <c r="E367" t="s">
        <v>578</v>
      </c>
      <c r="F367" t="s">
        <v>579</v>
      </c>
      <c r="G367" t="s">
        <v>117</v>
      </c>
      <c r="H367">
        <v>5</v>
      </c>
    </row>
    <row r="368" spans="1:8" x14ac:dyDescent="0.35">
      <c r="A368">
        <v>606110287746</v>
      </c>
      <c r="B368" t="s">
        <v>581</v>
      </c>
      <c r="C368" t="s">
        <v>472</v>
      </c>
      <c r="D368" t="s">
        <v>577</v>
      </c>
      <c r="E368" t="s">
        <v>578</v>
      </c>
      <c r="F368" t="s">
        <v>579</v>
      </c>
      <c r="G368" t="s">
        <v>117</v>
      </c>
      <c r="H368">
        <v>8</v>
      </c>
    </row>
    <row r="369" spans="1:8" x14ac:dyDescent="0.35">
      <c r="A369">
        <v>606110287753</v>
      </c>
      <c r="B369" t="s">
        <v>582</v>
      </c>
      <c r="C369" t="s">
        <v>472</v>
      </c>
      <c r="D369" t="s">
        <v>577</v>
      </c>
      <c r="E369" t="s">
        <v>578</v>
      </c>
      <c r="F369" t="s">
        <v>579</v>
      </c>
      <c r="G369" t="s">
        <v>117</v>
      </c>
      <c r="H369">
        <v>3</v>
      </c>
    </row>
    <row r="370" spans="1:8" x14ac:dyDescent="0.35">
      <c r="A370">
        <v>606110287753</v>
      </c>
      <c r="B370" t="s">
        <v>582</v>
      </c>
      <c r="C370" t="s">
        <v>472</v>
      </c>
      <c r="D370" t="s">
        <v>577</v>
      </c>
      <c r="E370" t="s">
        <v>578</v>
      </c>
      <c r="F370" t="s">
        <v>579</v>
      </c>
      <c r="G370" t="s">
        <v>33</v>
      </c>
      <c r="H370">
        <v>425</v>
      </c>
    </row>
    <row r="371" spans="1:8" x14ac:dyDescent="0.35">
      <c r="A371">
        <v>606110287791</v>
      </c>
      <c r="B371" t="s">
        <v>583</v>
      </c>
      <c r="C371" t="s">
        <v>472</v>
      </c>
      <c r="D371" t="s">
        <v>577</v>
      </c>
      <c r="E371" t="s">
        <v>578</v>
      </c>
      <c r="F371" t="s">
        <v>579</v>
      </c>
      <c r="G371" t="s">
        <v>117</v>
      </c>
      <c r="H371">
        <v>30</v>
      </c>
    </row>
    <row r="372" spans="1:8" x14ac:dyDescent="0.35">
      <c r="A372">
        <v>606110287814</v>
      </c>
      <c r="B372" t="s">
        <v>584</v>
      </c>
      <c r="C372" t="s">
        <v>472</v>
      </c>
      <c r="D372" t="s">
        <v>577</v>
      </c>
      <c r="E372" t="s">
        <v>578</v>
      </c>
      <c r="F372" t="s">
        <v>579</v>
      </c>
      <c r="G372" t="s">
        <v>117</v>
      </c>
      <c r="H372">
        <v>31</v>
      </c>
    </row>
    <row r="373" spans="1:8" x14ac:dyDescent="0.35">
      <c r="A373">
        <v>606110287968</v>
      </c>
      <c r="B373" t="s">
        <v>295</v>
      </c>
      <c r="C373" t="s">
        <v>472</v>
      </c>
      <c r="D373" t="s">
        <v>577</v>
      </c>
      <c r="E373" t="s">
        <v>578</v>
      </c>
      <c r="F373" t="s">
        <v>579</v>
      </c>
      <c r="G373" t="s">
        <v>117</v>
      </c>
      <c r="H373">
        <v>315</v>
      </c>
    </row>
    <row r="374" spans="1:8" x14ac:dyDescent="0.35">
      <c r="A374">
        <v>606110287968</v>
      </c>
      <c r="B374" t="s">
        <v>295</v>
      </c>
      <c r="C374" t="s">
        <v>472</v>
      </c>
      <c r="D374" t="s">
        <v>577</v>
      </c>
      <c r="E374" t="s">
        <v>578</v>
      </c>
      <c r="F374" t="s">
        <v>579</v>
      </c>
      <c r="G374" t="s">
        <v>33</v>
      </c>
      <c r="H374">
        <v>681</v>
      </c>
    </row>
    <row r="375" spans="1:8" x14ac:dyDescent="0.35">
      <c r="A375">
        <v>606110288088</v>
      </c>
      <c r="B375" t="s">
        <v>585</v>
      </c>
      <c r="C375" t="s">
        <v>472</v>
      </c>
      <c r="D375" t="s">
        <v>586</v>
      </c>
      <c r="E375" t="s">
        <v>578</v>
      </c>
      <c r="F375" t="s">
        <v>579</v>
      </c>
      <c r="G375" t="s">
        <v>578</v>
      </c>
      <c r="H375">
        <v>2</v>
      </c>
    </row>
    <row r="376" spans="1:8" x14ac:dyDescent="0.35">
      <c r="A376">
        <v>606110288095</v>
      </c>
      <c r="B376" t="s">
        <v>587</v>
      </c>
      <c r="C376" t="s">
        <v>472</v>
      </c>
      <c r="D376" t="s">
        <v>586</v>
      </c>
      <c r="E376" t="s">
        <v>578</v>
      </c>
      <c r="F376" t="s">
        <v>579</v>
      </c>
      <c r="G376" t="s">
        <v>578</v>
      </c>
      <c r="H376">
        <v>10</v>
      </c>
    </row>
    <row r="377" spans="1:8" x14ac:dyDescent="0.35">
      <c r="A377">
        <v>606110288118</v>
      </c>
      <c r="B377" t="s">
        <v>588</v>
      </c>
      <c r="C377" t="s">
        <v>472</v>
      </c>
      <c r="D377" t="s">
        <v>577</v>
      </c>
      <c r="E377" t="s">
        <v>578</v>
      </c>
      <c r="F377" t="s">
        <v>579</v>
      </c>
      <c r="G377" t="s">
        <v>117</v>
      </c>
      <c r="H377">
        <v>14</v>
      </c>
    </row>
    <row r="378" spans="1:8" x14ac:dyDescent="0.35">
      <c r="A378">
        <v>606110701099</v>
      </c>
      <c r="B378" t="s">
        <v>589</v>
      </c>
      <c r="C378" t="s">
        <v>9</v>
      </c>
      <c r="D378" t="s">
        <v>590</v>
      </c>
      <c r="E378" t="s">
        <v>34</v>
      </c>
      <c r="F378" t="s">
        <v>591</v>
      </c>
      <c r="G378" t="s">
        <v>34</v>
      </c>
      <c r="H378">
        <v>93</v>
      </c>
    </row>
    <row r="379" spans="1:8" x14ac:dyDescent="0.35">
      <c r="A379">
        <v>606110701105</v>
      </c>
      <c r="B379" t="s">
        <v>592</v>
      </c>
      <c r="C379" t="s">
        <v>192</v>
      </c>
      <c r="D379" t="s">
        <v>590</v>
      </c>
      <c r="E379" t="s">
        <v>34</v>
      </c>
      <c r="F379" t="s">
        <v>591</v>
      </c>
      <c r="G379" t="s">
        <v>34</v>
      </c>
      <c r="H379">
        <v>3</v>
      </c>
    </row>
    <row r="380" spans="1:8" x14ac:dyDescent="0.35">
      <c r="A380">
        <v>606110701112</v>
      </c>
      <c r="B380" t="s">
        <v>592</v>
      </c>
      <c r="C380" t="s">
        <v>36</v>
      </c>
      <c r="D380" t="s">
        <v>590</v>
      </c>
      <c r="E380" t="s">
        <v>34</v>
      </c>
      <c r="F380" t="s">
        <v>591</v>
      </c>
      <c r="G380" t="s">
        <v>34</v>
      </c>
      <c r="H380">
        <v>3</v>
      </c>
    </row>
    <row r="381" spans="1:8" x14ac:dyDescent="0.35">
      <c r="A381">
        <v>606110790734</v>
      </c>
      <c r="B381" t="s">
        <v>593</v>
      </c>
      <c r="C381" t="s">
        <v>472</v>
      </c>
      <c r="D381" t="s">
        <v>594</v>
      </c>
      <c r="E381" t="s">
        <v>33</v>
      </c>
      <c r="F381" t="s">
        <v>595</v>
      </c>
      <c r="G381" t="s">
        <v>33</v>
      </c>
      <c r="H381">
        <v>20</v>
      </c>
    </row>
    <row r="382" spans="1:8" x14ac:dyDescent="0.35">
      <c r="A382">
        <v>608887089158</v>
      </c>
      <c r="B382" t="s">
        <v>596</v>
      </c>
      <c r="C382" t="s">
        <v>454</v>
      </c>
      <c r="D382" t="s">
        <v>597</v>
      </c>
      <c r="E382" t="s">
        <v>598</v>
      </c>
      <c r="F382" t="s">
        <v>599</v>
      </c>
      <c r="G382" t="s">
        <v>41</v>
      </c>
      <c r="H382">
        <v>50</v>
      </c>
    </row>
    <row r="383" spans="1:8" x14ac:dyDescent="0.35">
      <c r="A383">
        <v>608887110692</v>
      </c>
      <c r="B383" t="s">
        <v>581</v>
      </c>
      <c r="C383" t="s">
        <v>110</v>
      </c>
      <c r="D383" t="s">
        <v>600</v>
      </c>
      <c r="E383" t="s">
        <v>387</v>
      </c>
      <c r="F383" t="s">
        <v>601</v>
      </c>
      <c r="G383" t="s">
        <v>387</v>
      </c>
      <c r="H383">
        <v>2</v>
      </c>
    </row>
    <row r="384" spans="1:8" x14ac:dyDescent="0.35">
      <c r="A384">
        <v>608887110753</v>
      </c>
      <c r="B384" t="s">
        <v>581</v>
      </c>
      <c r="C384" t="s">
        <v>110</v>
      </c>
      <c r="D384" t="s">
        <v>600</v>
      </c>
      <c r="E384" t="s">
        <v>387</v>
      </c>
      <c r="F384" t="s">
        <v>601</v>
      </c>
      <c r="G384" t="s">
        <v>387</v>
      </c>
      <c r="H384">
        <v>3</v>
      </c>
    </row>
    <row r="385" spans="1:8" x14ac:dyDescent="0.35">
      <c r="A385">
        <v>608887110890</v>
      </c>
      <c r="B385" t="s">
        <v>602</v>
      </c>
      <c r="C385" t="s">
        <v>603</v>
      </c>
      <c r="D385" t="s">
        <v>604</v>
      </c>
      <c r="E385" t="s">
        <v>387</v>
      </c>
      <c r="F385" t="s">
        <v>601</v>
      </c>
      <c r="G385" t="s">
        <v>387</v>
      </c>
      <c r="H385">
        <v>2</v>
      </c>
    </row>
    <row r="386" spans="1:8" x14ac:dyDescent="0.35">
      <c r="A386">
        <v>608887110968</v>
      </c>
      <c r="B386" t="s">
        <v>605</v>
      </c>
      <c r="C386" t="s">
        <v>110</v>
      </c>
      <c r="D386" t="s">
        <v>604</v>
      </c>
      <c r="E386" t="s">
        <v>387</v>
      </c>
      <c r="F386" t="s">
        <v>601</v>
      </c>
      <c r="G386" t="s">
        <v>387</v>
      </c>
      <c r="H386">
        <v>5</v>
      </c>
    </row>
    <row r="387" spans="1:8" x14ac:dyDescent="0.35">
      <c r="A387">
        <v>610696090768</v>
      </c>
      <c r="B387" t="s">
        <v>606</v>
      </c>
      <c r="C387" t="s">
        <v>472</v>
      </c>
      <c r="D387" t="s">
        <v>607</v>
      </c>
      <c r="E387" t="s">
        <v>22</v>
      </c>
      <c r="F387" t="s">
        <v>608</v>
      </c>
      <c r="G387" t="s">
        <v>34</v>
      </c>
      <c r="H387">
        <v>23</v>
      </c>
    </row>
    <row r="388" spans="1:8" x14ac:dyDescent="0.35">
      <c r="A388">
        <v>611355387281</v>
      </c>
      <c r="B388" t="s">
        <v>609</v>
      </c>
      <c r="C388" t="s">
        <v>610</v>
      </c>
      <c r="D388" t="s">
        <v>611</v>
      </c>
      <c r="E388" t="s">
        <v>308</v>
      </c>
      <c r="F388" t="s">
        <v>309</v>
      </c>
      <c r="G388" t="s">
        <v>578</v>
      </c>
      <c r="H388">
        <v>7</v>
      </c>
    </row>
    <row r="389" spans="1:8" x14ac:dyDescent="0.35">
      <c r="A389">
        <v>612001783037</v>
      </c>
      <c r="B389" t="s">
        <v>612</v>
      </c>
      <c r="C389" t="s">
        <v>568</v>
      </c>
      <c r="D389" t="s">
        <v>613</v>
      </c>
      <c r="E389" t="s">
        <v>15</v>
      </c>
      <c r="F389" t="s">
        <v>460</v>
      </c>
      <c r="G389" t="s">
        <v>22</v>
      </c>
      <c r="H389">
        <v>1</v>
      </c>
    </row>
    <row r="390" spans="1:8" x14ac:dyDescent="0.35">
      <c r="A390">
        <v>612101726422</v>
      </c>
      <c r="B390" t="s">
        <v>614</v>
      </c>
      <c r="C390" t="s">
        <v>615</v>
      </c>
      <c r="D390" t="s">
        <v>613</v>
      </c>
      <c r="E390" t="s">
        <v>15</v>
      </c>
      <c r="F390" t="s">
        <v>460</v>
      </c>
      <c r="G390" t="s">
        <v>22</v>
      </c>
      <c r="H390">
        <v>1</v>
      </c>
    </row>
    <row r="391" spans="1:8" x14ac:dyDescent="0.35">
      <c r="A391">
        <v>612118218422</v>
      </c>
      <c r="B391" t="s">
        <v>616</v>
      </c>
      <c r="C391" t="s">
        <v>617</v>
      </c>
      <c r="D391" t="s">
        <v>613</v>
      </c>
      <c r="E391" t="s">
        <v>15</v>
      </c>
      <c r="F391" t="s">
        <v>460</v>
      </c>
      <c r="G391" t="s">
        <v>22</v>
      </c>
      <c r="H391">
        <v>1</v>
      </c>
    </row>
    <row r="392" spans="1:8" x14ac:dyDescent="0.35">
      <c r="A392">
        <v>613008725792</v>
      </c>
      <c r="B392" t="s">
        <v>618</v>
      </c>
      <c r="C392" t="s">
        <v>53</v>
      </c>
      <c r="D392" t="s">
        <v>619</v>
      </c>
      <c r="E392" t="s">
        <v>15</v>
      </c>
      <c r="F392" t="s">
        <v>620</v>
      </c>
      <c r="G392" t="s">
        <v>41</v>
      </c>
      <c r="H392">
        <v>13</v>
      </c>
    </row>
    <row r="393" spans="1:8" x14ac:dyDescent="0.35">
      <c r="A393">
        <v>61314000032</v>
      </c>
      <c r="B393" t="s">
        <v>212</v>
      </c>
      <c r="C393" t="s">
        <v>9</v>
      </c>
      <c r="D393" t="s">
        <v>219</v>
      </c>
      <c r="E393" t="s">
        <v>130</v>
      </c>
      <c r="F393" t="s">
        <v>220</v>
      </c>
      <c r="G393" t="s">
        <v>16</v>
      </c>
      <c r="H393">
        <v>1</v>
      </c>
    </row>
    <row r="394" spans="1:8" x14ac:dyDescent="0.35">
      <c r="A394">
        <v>61314000070</v>
      </c>
      <c r="B394" t="s">
        <v>621</v>
      </c>
      <c r="C394" t="s">
        <v>81</v>
      </c>
      <c r="D394" t="s">
        <v>219</v>
      </c>
      <c r="E394" t="s">
        <v>130</v>
      </c>
      <c r="F394" t="s">
        <v>220</v>
      </c>
      <c r="G394" t="s">
        <v>16</v>
      </c>
      <c r="H394">
        <v>8</v>
      </c>
    </row>
    <row r="395" spans="1:8" x14ac:dyDescent="0.35">
      <c r="A395">
        <v>616050664149</v>
      </c>
      <c r="B395" t="s">
        <v>622</v>
      </c>
      <c r="C395" t="s">
        <v>623</v>
      </c>
      <c r="D395" t="s">
        <v>624</v>
      </c>
      <c r="E395" t="s">
        <v>31</v>
      </c>
      <c r="F395" t="s">
        <v>625</v>
      </c>
      <c r="G395" t="s">
        <v>31</v>
      </c>
      <c r="H395">
        <v>62</v>
      </c>
    </row>
    <row r="396" spans="1:8" x14ac:dyDescent="0.35">
      <c r="A396">
        <v>617669180563</v>
      </c>
      <c r="B396" t="s">
        <v>626</v>
      </c>
      <c r="C396" t="s">
        <v>627</v>
      </c>
      <c r="D396" t="s">
        <v>628</v>
      </c>
      <c r="E396" t="s">
        <v>11</v>
      </c>
      <c r="F396" t="s">
        <v>629</v>
      </c>
      <c r="G396" t="s">
        <v>11</v>
      </c>
      <c r="H396">
        <v>1</v>
      </c>
    </row>
    <row r="397" spans="1:8" x14ac:dyDescent="0.35">
      <c r="A397">
        <v>617669180570</v>
      </c>
      <c r="B397" t="s">
        <v>626</v>
      </c>
      <c r="C397" t="s">
        <v>630</v>
      </c>
      <c r="D397" t="s">
        <v>628</v>
      </c>
      <c r="E397" t="s">
        <v>11</v>
      </c>
      <c r="F397" t="s">
        <v>629</v>
      </c>
      <c r="G397" t="s">
        <v>11</v>
      </c>
      <c r="H397">
        <v>1</v>
      </c>
    </row>
    <row r="398" spans="1:8" x14ac:dyDescent="0.35">
      <c r="A398">
        <v>6200017</v>
      </c>
      <c r="B398" t="s">
        <v>631</v>
      </c>
      <c r="C398" t="s">
        <v>9</v>
      </c>
      <c r="D398" t="s">
        <v>514</v>
      </c>
      <c r="E398" t="s">
        <v>15</v>
      </c>
      <c r="F398" t="s">
        <v>25</v>
      </c>
      <c r="G398" t="s">
        <v>16</v>
      </c>
      <c r="H398">
        <v>2</v>
      </c>
    </row>
    <row r="399" spans="1:8" x14ac:dyDescent="0.35">
      <c r="A399">
        <v>620042152408</v>
      </c>
      <c r="B399" t="s">
        <v>632</v>
      </c>
      <c r="C399" t="s">
        <v>9</v>
      </c>
      <c r="D399" t="s">
        <v>632</v>
      </c>
      <c r="E399" t="s">
        <v>15</v>
      </c>
      <c r="F399" t="s">
        <v>633</v>
      </c>
      <c r="G399" t="s">
        <v>16</v>
      </c>
      <c r="H399">
        <v>2</v>
      </c>
    </row>
    <row r="400" spans="1:8" x14ac:dyDescent="0.35">
      <c r="A400">
        <v>620101005218</v>
      </c>
      <c r="B400" t="s">
        <v>634</v>
      </c>
      <c r="C400" t="s">
        <v>635</v>
      </c>
      <c r="D400" t="s">
        <v>636</v>
      </c>
      <c r="E400" t="s">
        <v>637</v>
      </c>
      <c r="F400" t="s">
        <v>638</v>
      </c>
      <c r="G400" t="s">
        <v>61</v>
      </c>
      <c r="H400">
        <v>1</v>
      </c>
    </row>
    <row r="401" spans="1:8" x14ac:dyDescent="0.35">
      <c r="A401">
        <v>620213015600</v>
      </c>
      <c r="B401" t="s">
        <v>339</v>
      </c>
      <c r="C401" t="s">
        <v>128</v>
      </c>
      <c r="D401" t="s">
        <v>639</v>
      </c>
      <c r="E401" t="s">
        <v>640</v>
      </c>
      <c r="F401" t="s">
        <v>641</v>
      </c>
      <c r="G401" t="s">
        <v>16</v>
      </c>
      <c r="H401">
        <v>13</v>
      </c>
    </row>
    <row r="402" spans="1:8" x14ac:dyDescent="0.35">
      <c r="A402">
        <v>620213015709</v>
      </c>
      <c r="B402" t="s">
        <v>339</v>
      </c>
      <c r="C402" t="s">
        <v>36</v>
      </c>
      <c r="D402" t="s">
        <v>639</v>
      </c>
      <c r="E402" t="s">
        <v>640</v>
      </c>
      <c r="F402" t="s">
        <v>641</v>
      </c>
      <c r="G402" t="s">
        <v>16</v>
      </c>
      <c r="H402">
        <v>9</v>
      </c>
    </row>
    <row r="403" spans="1:8" x14ac:dyDescent="0.35">
      <c r="A403">
        <v>62100011263</v>
      </c>
      <c r="B403" t="s">
        <v>642</v>
      </c>
      <c r="C403" t="s">
        <v>9</v>
      </c>
      <c r="D403" t="s">
        <v>514</v>
      </c>
      <c r="E403" t="s">
        <v>15</v>
      </c>
      <c r="F403" t="s">
        <v>25</v>
      </c>
      <c r="G403" t="s">
        <v>16</v>
      </c>
      <c r="H403">
        <v>1</v>
      </c>
    </row>
    <row r="404" spans="1:8" x14ac:dyDescent="0.35">
      <c r="A404">
        <v>621033967506</v>
      </c>
      <c r="B404" t="s">
        <v>589</v>
      </c>
      <c r="C404" t="s">
        <v>9</v>
      </c>
      <c r="D404" t="s">
        <v>643</v>
      </c>
      <c r="E404" t="s">
        <v>34</v>
      </c>
      <c r="F404" t="s">
        <v>644</v>
      </c>
      <c r="G404" t="s">
        <v>34</v>
      </c>
      <c r="H404">
        <v>150</v>
      </c>
    </row>
    <row r="405" spans="1:8" x14ac:dyDescent="0.35">
      <c r="A405">
        <v>6210519</v>
      </c>
      <c r="B405" t="s">
        <v>645</v>
      </c>
      <c r="C405" t="s">
        <v>9</v>
      </c>
      <c r="D405" t="s">
        <v>514</v>
      </c>
      <c r="E405" t="s">
        <v>15</v>
      </c>
      <c r="F405" t="s">
        <v>25</v>
      </c>
      <c r="G405" t="s">
        <v>16</v>
      </c>
      <c r="H405">
        <v>2</v>
      </c>
    </row>
    <row r="406" spans="1:8" x14ac:dyDescent="0.35">
      <c r="A406">
        <v>6211615</v>
      </c>
      <c r="B406" t="s">
        <v>646</v>
      </c>
      <c r="C406" t="s">
        <v>9</v>
      </c>
      <c r="D406" t="s">
        <v>514</v>
      </c>
      <c r="E406" t="s">
        <v>15</v>
      </c>
      <c r="F406" t="s">
        <v>25</v>
      </c>
      <c r="G406" t="s">
        <v>16</v>
      </c>
      <c r="H406">
        <v>1</v>
      </c>
    </row>
    <row r="407" spans="1:8" x14ac:dyDescent="0.35">
      <c r="A407">
        <v>6211712</v>
      </c>
      <c r="B407" t="s">
        <v>647</v>
      </c>
      <c r="C407" t="s">
        <v>272</v>
      </c>
      <c r="D407" t="s">
        <v>514</v>
      </c>
      <c r="E407" t="s">
        <v>15</v>
      </c>
      <c r="F407" t="s">
        <v>25</v>
      </c>
      <c r="G407" t="s">
        <v>16</v>
      </c>
      <c r="H407">
        <v>2</v>
      </c>
    </row>
    <row r="408" spans="1:8" x14ac:dyDescent="0.35">
      <c r="A408">
        <v>6212313</v>
      </c>
      <c r="B408" t="s">
        <v>648</v>
      </c>
      <c r="C408" t="s">
        <v>38</v>
      </c>
      <c r="D408" t="s">
        <v>514</v>
      </c>
      <c r="E408" t="s">
        <v>15</v>
      </c>
      <c r="F408" t="s">
        <v>25</v>
      </c>
      <c r="G408" t="s">
        <v>16</v>
      </c>
      <c r="H408">
        <v>1</v>
      </c>
    </row>
    <row r="409" spans="1:8" x14ac:dyDescent="0.35">
      <c r="A409">
        <v>6215718</v>
      </c>
      <c r="B409" t="s">
        <v>394</v>
      </c>
      <c r="C409" t="s">
        <v>78</v>
      </c>
      <c r="D409" t="s">
        <v>514</v>
      </c>
      <c r="E409" t="s">
        <v>15</v>
      </c>
      <c r="F409" t="s">
        <v>25</v>
      </c>
      <c r="G409" t="s">
        <v>16</v>
      </c>
      <c r="H409">
        <v>6</v>
      </c>
    </row>
    <row r="410" spans="1:8" x14ac:dyDescent="0.35">
      <c r="A410">
        <v>6221010</v>
      </c>
      <c r="B410" t="s">
        <v>631</v>
      </c>
      <c r="C410" t="s">
        <v>146</v>
      </c>
      <c r="D410" t="s">
        <v>514</v>
      </c>
      <c r="E410" t="s">
        <v>15</v>
      </c>
      <c r="F410" t="s">
        <v>25</v>
      </c>
      <c r="G410" t="s">
        <v>16</v>
      </c>
      <c r="H410">
        <v>45</v>
      </c>
    </row>
    <row r="411" spans="1:8" x14ac:dyDescent="0.35">
      <c r="A411">
        <v>623235214839</v>
      </c>
      <c r="B411" t="s">
        <v>649</v>
      </c>
      <c r="C411" t="s">
        <v>81</v>
      </c>
      <c r="D411" t="s">
        <v>650</v>
      </c>
      <c r="E411" t="s">
        <v>71</v>
      </c>
      <c r="F411" t="s">
        <v>72</v>
      </c>
      <c r="G411" t="s">
        <v>22</v>
      </c>
      <c r="H411">
        <v>1</v>
      </c>
    </row>
    <row r="412" spans="1:8" x14ac:dyDescent="0.35">
      <c r="A412">
        <v>626570616672</v>
      </c>
      <c r="B412" t="s">
        <v>544</v>
      </c>
      <c r="C412" t="s">
        <v>472</v>
      </c>
      <c r="D412" t="s">
        <v>651</v>
      </c>
      <c r="E412" t="s">
        <v>61</v>
      </c>
      <c r="F412" t="s">
        <v>652</v>
      </c>
      <c r="G412" t="s">
        <v>61</v>
      </c>
      <c r="H412">
        <v>100</v>
      </c>
    </row>
    <row r="413" spans="1:8" x14ac:dyDescent="0.35">
      <c r="A413">
        <v>627098163365</v>
      </c>
      <c r="B413" t="s">
        <v>653</v>
      </c>
      <c r="C413" t="s">
        <v>654</v>
      </c>
      <c r="D413" t="s">
        <v>655</v>
      </c>
      <c r="E413" t="s">
        <v>16</v>
      </c>
      <c r="F413" t="s">
        <v>656</v>
      </c>
      <c r="G413" t="s">
        <v>16</v>
      </c>
      <c r="H413">
        <v>1</v>
      </c>
    </row>
    <row r="414" spans="1:8" x14ac:dyDescent="0.35">
      <c r="A414">
        <v>629071000322</v>
      </c>
      <c r="B414" t="s">
        <v>657</v>
      </c>
      <c r="C414" t="s">
        <v>278</v>
      </c>
      <c r="D414" t="s">
        <v>398</v>
      </c>
      <c r="E414" t="s">
        <v>399</v>
      </c>
      <c r="F414" t="s">
        <v>400</v>
      </c>
      <c r="G414" t="s">
        <v>16</v>
      </c>
      <c r="H414">
        <v>1</v>
      </c>
    </row>
    <row r="415" spans="1:8" x14ac:dyDescent="0.35">
      <c r="A415">
        <v>630282995963</v>
      </c>
      <c r="B415" t="s">
        <v>658</v>
      </c>
      <c r="C415" t="s">
        <v>659</v>
      </c>
      <c r="D415" t="s">
        <v>660</v>
      </c>
      <c r="E415" t="s">
        <v>41</v>
      </c>
      <c r="F415" t="s">
        <v>661</v>
      </c>
      <c r="G415" t="s">
        <v>41</v>
      </c>
      <c r="H415">
        <v>45</v>
      </c>
    </row>
    <row r="416" spans="1:8" x14ac:dyDescent="0.35">
      <c r="A416">
        <v>63124005443</v>
      </c>
      <c r="B416" t="s">
        <v>269</v>
      </c>
      <c r="C416" t="s">
        <v>9</v>
      </c>
      <c r="D416" t="s">
        <v>224</v>
      </c>
      <c r="E416" t="s">
        <v>16</v>
      </c>
      <c r="F416" t="s">
        <v>225</v>
      </c>
      <c r="G416" t="s">
        <v>16</v>
      </c>
      <c r="H416">
        <v>2</v>
      </c>
    </row>
    <row r="417" spans="1:8" x14ac:dyDescent="0.35">
      <c r="A417">
        <v>631282994963</v>
      </c>
      <c r="B417" t="s">
        <v>662</v>
      </c>
      <c r="C417" t="s">
        <v>663</v>
      </c>
      <c r="D417" t="s">
        <v>660</v>
      </c>
      <c r="E417" t="s">
        <v>41</v>
      </c>
      <c r="F417" t="s">
        <v>661</v>
      </c>
      <c r="G417" t="s">
        <v>41</v>
      </c>
      <c r="H417">
        <v>50</v>
      </c>
    </row>
    <row r="418" spans="1:8" x14ac:dyDescent="0.35">
      <c r="A418">
        <v>63209091736</v>
      </c>
      <c r="B418" t="s">
        <v>664</v>
      </c>
      <c r="C418" t="s">
        <v>38</v>
      </c>
      <c r="D418" t="s">
        <v>227</v>
      </c>
      <c r="E418" t="s">
        <v>16</v>
      </c>
      <c r="F418" t="s">
        <v>228</v>
      </c>
      <c r="G418" t="s">
        <v>16</v>
      </c>
      <c r="H418">
        <v>8</v>
      </c>
    </row>
    <row r="419" spans="1:8" x14ac:dyDescent="0.35">
      <c r="A419">
        <v>6328986</v>
      </c>
      <c r="B419" t="s">
        <v>229</v>
      </c>
      <c r="C419" t="s">
        <v>230</v>
      </c>
      <c r="D419" t="s">
        <v>227</v>
      </c>
      <c r="E419" t="s">
        <v>16</v>
      </c>
      <c r="F419" t="s">
        <v>228</v>
      </c>
      <c r="G419" t="s">
        <v>16</v>
      </c>
      <c r="H419">
        <v>3</v>
      </c>
    </row>
    <row r="420" spans="1:8" x14ac:dyDescent="0.35">
      <c r="A420">
        <v>6392192</v>
      </c>
      <c r="B420" t="s">
        <v>269</v>
      </c>
      <c r="C420" t="s">
        <v>110</v>
      </c>
      <c r="D420" t="s">
        <v>260</v>
      </c>
      <c r="E420" t="s">
        <v>16</v>
      </c>
      <c r="F420" t="s">
        <v>261</v>
      </c>
      <c r="G420" t="s">
        <v>16</v>
      </c>
      <c r="H420">
        <v>1</v>
      </c>
    </row>
    <row r="421" spans="1:8" x14ac:dyDescent="0.35">
      <c r="A421">
        <v>6440060</v>
      </c>
      <c r="B421" t="s">
        <v>235</v>
      </c>
      <c r="C421" t="s">
        <v>9</v>
      </c>
      <c r="D421" t="s">
        <v>27</v>
      </c>
      <c r="E421" t="s">
        <v>16</v>
      </c>
      <c r="F421" t="s">
        <v>28</v>
      </c>
      <c r="G421" t="s">
        <v>16</v>
      </c>
      <c r="H421">
        <v>3</v>
      </c>
    </row>
    <row r="422" spans="1:8" x14ac:dyDescent="0.35">
      <c r="A422">
        <v>64480001018</v>
      </c>
      <c r="B422" t="s">
        <v>167</v>
      </c>
      <c r="C422" t="s">
        <v>214</v>
      </c>
      <c r="D422" t="s">
        <v>27</v>
      </c>
      <c r="E422" t="s">
        <v>16</v>
      </c>
      <c r="F422" t="s">
        <v>28</v>
      </c>
      <c r="G422" t="s">
        <v>16</v>
      </c>
      <c r="H422">
        <v>1</v>
      </c>
    </row>
    <row r="423" spans="1:8" x14ac:dyDescent="0.35">
      <c r="A423">
        <v>64480001032</v>
      </c>
      <c r="B423" t="s">
        <v>252</v>
      </c>
      <c r="C423" t="s">
        <v>214</v>
      </c>
      <c r="D423" t="s">
        <v>27</v>
      </c>
      <c r="E423" t="s">
        <v>16</v>
      </c>
      <c r="F423" t="s">
        <v>28</v>
      </c>
      <c r="G423" t="s">
        <v>16</v>
      </c>
      <c r="H423">
        <v>1</v>
      </c>
    </row>
    <row r="424" spans="1:8" x14ac:dyDescent="0.35">
      <c r="A424">
        <v>64480001049</v>
      </c>
      <c r="B424" t="s">
        <v>665</v>
      </c>
      <c r="C424" t="s">
        <v>214</v>
      </c>
      <c r="D424" t="s">
        <v>27</v>
      </c>
      <c r="E424" t="s">
        <v>16</v>
      </c>
      <c r="F424" t="s">
        <v>28</v>
      </c>
      <c r="G424" t="s">
        <v>16</v>
      </c>
      <c r="H424">
        <v>1</v>
      </c>
    </row>
    <row r="425" spans="1:8" x14ac:dyDescent="0.35">
      <c r="A425">
        <v>64480001100</v>
      </c>
      <c r="B425" t="s">
        <v>666</v>
      </c>
      <c r="C425" t="s">
        <v>78</v>
      </c>
      <c r="D425" t="s">
        <v>27</v>
      </c>
      <c r="E425" t="s">
        <v>16</v>
      </c>
      <c r="F425" t="s">
        <v>28</v>
      </c>
      <c r="G425" t="s">
        <v>16</v>
      </c>
      <c r="H425">
        <v>7</v>
      </c>
    </row>
    <row r="426" spans="1:8" x14ac:dyDescent="0.35">
      <c r="A426">
        <v>64480001254</v>
      </c>
      <c r="B426" t="s">
        <v>667</v>
      </c>
      <c r="C426" t="s">
        <v>214</v>
      </c>
      <c r="D426" t="s">
        <v>27</v>
      </c>
      <c r="E426" t="s">
        <v>16</v>
      </c>
      <c r="F426" t="s">
        <v>28</v>
      </c>
      <c r="G426" t="s">
        <v>16</v>
      </c>
      <c r="H426">
        <v>2</v>
      </c>
    </row>
    <row r="427" spans="1:8" x14ac:dyDescent="0.35">
      <c r="A427">
        <v>64480003005</v>
      </c>
      <c r="B427" t="s">
        <v>668</v>
      </c>
      <c r="C427" t="s">
        <v>278</v>
      </c>
      <c r="D427" t="s">
        <v>27</v>
      </c>
      <c r="E427" t="s">
        <v>16</v>
      </c>
      <c r="F427" t="s">
        <v>28</v>
      </c>
      <c r="G427" t="s">
        <v>16</v>
      </c>
      <c r="H427">
        <v>2</v>
      </c>
    </row>
    <row r="428" spans="1:8" x14ac:dyDescent="0.35">
      <c r="A428">
        <v>64480003012</v>
      </c>
      <c r="B428" t="s">
        <v>669</v>
      </c>
      <c r="C428" t="s">
        <v>278</v>
      </c>
      <c r="D428" t="s">
        <v>27</v>
      </c>
      <c r="E428" t="s">
        <v>16</v>
      </c>
      <c r="F428" t="s">
        <v>28</v>
      </c>
      <c r="G428" t="s">
        <v>16</v>
      </c>
      <c r="H428">
        <v>4</v>
      </c>
    </row>
    <row r="429" spans="1:8" x14ac:dyDescent="0.35">
      <c r="A429">
        <v>64480003029</v>
      </c>
      <c r="B429" t="s">
        <v>26</v>
      </c>
      <c r="C429" t="s">
        <v>181</v>
      </c>
      <c r="D429" t="s">
        <v>27</v>
      </c>
      <c r="E429" t="s">
        <v>16</v>
      </c>
      <c r="F429" t="s">
        <v>28</v>
      </c>
      <c r="G429" t="s">
        <v>16</v>
      </c>
      <c r="H429">
        <v>5</v>
      </c>
    </row>
    <row r="430" spans="1:8" x14ac:dyDescent="0.35">
      <c r="A430">
        <v>64480003043</v>
      </c>
      <c r="B430" t="s">
        <v>670</v>
      </c>
      <c r="C430" t="s">
        <v>278</v>
      </c>
      <c r="D430" t="s">
        <v>27</v>
      </c>
      <c r="E430" t="s">
        <v>16</v>
      </c>
      <c r="F430" t="s">
        <v>28</v>
      </c>
      <c r="G430" t="s">
        <v>16</v>
      </c>
      <c r="H430">
        <v>2</v>
      </c>
    </row>
    <row r="431" spans="1:8" x14ac:dyDescent="0.35">
      <c r="A431">
        <v>64480003050</v>
      </c>
      <c r="B431" t="s">
        <v>671</v>
      </c>
      <c r="C431" t="s">
        <v>278</v>
      </c>
      <c r="D431" t="s">
        <v>27</v>
      </c>
      <c r="E431" t="s">
        <v>16</v>
      </c>
      <c r="F431" t="s">
        <v>28</v>
      </c>
      <c r="G431" t="s">
        <v>16</v>
      </c>
      <c r="H431">
        <v>3</v>
      </c>
    </row>
    <row r="432" spans="1:8" x14ac:dyDescent="0.35">
      <c r="A432">
        <v>64480003067</v>
      </c>
      <c r="B432" t="s">
        <v>394</v>
      </c>
      <c r="C432" t="s">
        <v>278</v>
      </c>
      <c r="D432" t="s">
        <v>27</v>
      </c>
      <c r="E432" t="s">
        <v>16</v>
      </c>
      <c r="F432" t="s">
        <v>28</v>
      </c>
      <c r="G432" t="s">
        <v>16</v>
      </c>
      <c r="H432">
        <v>2</v>
      </c>
    </row>
    <row r="433" spans="1:8" x14ac:dyDescent="0.35">
      <c r="A433">
        <v>64480006013</v>
      </c>
      <c r="B433" t="s">
        <v>672</v>
      </c>
      <c r="C433" t="s">
        <v>9</v>
      </c>
      <c r="D433" t="s">
        <v>27</v>
      </c>
      <c r="E433" t="s">
        <v>16</v>
      </c>
      <c r="F433" t="s">
        <v>28</v>
      </c>
      <c r="G433" t="s">
        <v>16</v>
      </c>
      <c r="H433">
        <v>67</v>
      </c>
    </row>
    <row r="434" spans="1:8" x14ac:dyDescent="0.35">
      <c r="A434">
        <v>64480006150</v>
      </c>
      <c r="B434" t="s">
        <v>235</v>
      </c>
      <c r="C434" t="s">
        <v>673</v>
      </c>
      <c r="D434" t="s">
        <v>27</v>
      </c>
      <c r="E434" t="s">
        <v>16</v>
      </c>
      <c r="F434" t="s">
        <v>28</v>
      </c>
      <c r="G434" t="s">
        <v>16</v>
      </c>
      <c r="H434">
        <v>4</v>
      </c>
    </row>
    <row r="435" spans="1:8" x14ac:dyDescent="0.35">
      <c r="A435">
        <v>64480006259</v>
      </c>
      <c r="B435" t="s">
        <v>674</v>
      </c>
      <c r="C435" t="s">
        <v>110</v>
      </c>
      <c r="D435" t="s">
        <v>27</v>
      </c>
      <c r="E435" t="s">
        <v>16</v>
      </c>
      <c r="F435" t="s">
        <v>28</v>
      </c>
      <c r="G435" t="s">
        <v>16</v>
      </c>
      <c r="H435">
        <v>2</v>
      </c>
    </row>
    <row r="436" spans="1:8" x14ac:dyDescent="0.35">
      <c r="A436">
        <v>64480095291</v>
      </c>
      <c r="B436" t="s">
        <v>675</v>
      </c>
      <c r="C436" t="s">
        <v>278</v>
      </c>
      <c r="D436" t="s">
        <v>27</v>
      </c>
      <c r="E436" t="s">
        <v>16</v>
      </c>
      <c r="F436" t="s">
        <v>28</v>
      </c>
      <c r="G436" t="s">
        <v>16</v>
      </c>
      <c r="H436">
        <v>3</v>
      </c>
    </row>
    <row r="437" spans="1:8" x14ac:dyDescent="0.35">
      <c r="A437">
        <v>647946942928</v>
      </c>
      <c r="B437" t="s">
        <v>676</v>
      </c>
      <c r="C437" t="s">
        <v>78</v>
      </c>
      <c r="D437" t="s">
        <v>677</v>
      </c>
      <c r="E437" t="s">
        <v>308</v>
      </c>
      <c r="F437" t="s">
        <v>309</v>
      </c>
      <c r="G437" t="s">
        <v>34</v>
      </c>
      <c r="H437">
        <v>14</v>
      </c>
    </row>
    <row r="438" spans="1:8" x14ac:dyDescent="0.35">
      <c r="A438">
        <v>647946949354</v>
      </c>
      <c r="B438" t="s">
        <v>592</v>
      </c>
      <c r="C438" t="s">
        <v>678</v>
      </c>
      <c r="D438" t="s">
        <v>679</v>
      </c>
      <c r="E438" t="s">
        <v>22</v>
      </c>
      <c r="F438" t="s">
        <v>680</v>
      </c>
      <c r="G438" t="s">
        <v>34</v>
      </c>
      <c r="H438">
        <v>72</v>
      </c>
    </row>
    <row r="439" spans="1:8" x14ac:dyDescent="0.35">
      <c r="A439">
        <v>647946949378</v>
      </c>
      <c r="B439" t="s">
        <v>592</v>
      </c>
      <c r="C439" t="s">
        <v>681</v>
      </c>
      <c r="D439" t="s">
        <v>682</v>
      </c>
      <c r="E439" t="s">
        <v>34</v>
      </c>
      <c r="F439" t="s">
        <v>683</v>
      </c>
      <c r="G439" t="s">
        <v>34</v>
      </c>
      <c r="H439">
        <v>659</v>
      </c>
    </row>
    <row r="440" spans="1:8" x14ac:dyDescent="0.35">
      <c r="A440">
        <v>647946949613</v>
      </c>
      <c r="B440" t="s">
        <v>684</v>
      </c>
      <c r="C440" t="s">
        <v>9</v>
      </c>
      <c r="D440" t="s">
        <v>682</v>
      </c>
      <c r="E440" t="s">
        <v>34</v>
      </c>
      <c r="F440" t="s">
        <v>683</v>
      </c>
      <c r="G440" t="s">
        <v>34</v>
      </c>
      <c r="H440">
        <v>65</v>
      </c>
    </row>
    <row r="441" spans="1:8" x14ac:dyDescent="0.35">
      <c r="A441">
        <v>65400001019</v>
      </c>
      <c r="B441" t="s">
        <v>685</v>
      </c>
      <c r="C441" t="s">
        <v>53</v>
      </c>
      <c r="D441" t="s">
        <v>24</v>
      </c>
      <c r="E441" t="s">
        <v>15</v>
      </c>
      <c r="F441" t="s">
        <v>25</v>
      </c>
      <c r="G441" t="s">
        <v>16</v>
      </c>
      <c r="H441">
        <v>1</v>
      </c>
    </row>
    <row r="442" spans="1:8" x14ac:dyDescent="0.35">
      <c r="A442">
        <v>65400001019</v>
      </c>
      <c r="B442" t="s">
        <v>685</v>
      </c>
      <c r="C442" t="s">
        <v>53</v>
      </c>
      <c r="D442" t="s">
        <v>24</v>
      </c>
      <c r="E442" t="s">
        <v>15</v>
      </c>
      <c r="F442" t="s">
        <v>25</v>
      </c>
      <c r="G442" t="s">
        <v>34</v>
      </c>
      <c r="H442">
        <v>3</v>
      </c>
    </row>
    <row r="443" spans="1:8" x14ac:dyDescent="0.35">
      <c r="A443">
        <v>65400005239</v>
      </c>
      <c r="B443" t="s">
        <v>23</v>
      </c>
      <c r="C443" t="s">
        <v>326</v>
      </c>
      <c r="D443" t="s">
        <v>24</v>
      </c>
      <c r="E443" t="s">
        <v>15</v>
      </c>
      <c r="F443" t="s">
        <v>25</v>
      </c>
      <c r="G443" t="s">
        <v>16</v>
      </c>
      <c r="H443">
        <v>3</v>
      </c>
    </row>
    <row r="444" spans="1:8" x14ac:dyDescent="0.35">
      <c r="A444">
        <v>65400010219</v>
      </c>
      <c r="B444" t="s">
        <v>23</v>
      </c>
      <c r="C444" t="s">
        <v>278</v>
      </c>
      <c r="D444" t="s">
        <v>24</v>
      </c>
      <c r="E444" t="s">
        <v>15</v>
      </c>
      <c r="F444" t="s">
        <v>25</v>
      </c>
      <c r="G444" t="s">
        <v>16</v>
      </c>
      <c r="H444">
        <v>1</v>
      </c>
    </row>
    <row r="445" spans="1:8" x14ac:dyDescent="0.35">
      <c r="A445">
        <v>65400010981</v>
      </c>
      <c r="B445" t="s">
        <v>167</v>
      </c>
      <c r="C445" t="s">
        <v>239</v>
      </c>
      <c r="D445" t="s">
        <v>240</v>
      </c>
      <c r="E445" t="s">
        <v>15</v>
      </c>
      <c r="F445" t="s">
        <v>56</v>
      </c>
      <c r="G445" t="s">
        <v>16</v>
      </c>
      <c r="H445">
        <v>3</v>
      </c>
    </row>
    <row r="446" spans="1:8" x14ac:dyDescent="0.35">
      <c r="A446">
        <v>65400010998</v>
      </c>
      <c r="B446" t="s">
        <v>478</v>
      </c>
      <c r="C446" t="s">
        <v>686</v>
      </c>
      <c r="D446" t="s">
        <v>240</v>
      </c>
      <c r="E446" t="s">
        <v>15</v>
      </c>
      <c r="F446" t="s">
        <v>56</v>
      </c>
      <c r="G446" t="s">
        <v>16</v>
      </c>
      <c r="H446">
        <v>1</v>
      </c>
    </row>
    <row r="447" spans="1:8" x14ac:dyDescent="0.35">
      <c r="A447">
        <v>65400011001</v>
      </c>
      <c r="B447" t="s">
        <v>687</v>
      </c>
      <c r="C447" t="s">
        <v>239</v>
      </c>
      <c r="D447" t="s">
        <v>240</v>
      </c>
      <c r="E447" t="s">
        <v>15</v>
      </c>
      <c r="F447" t="s">
        <v>56</v>
      </c>
      <c r="G447" t="s">
        <v>16</v>
      </c>
      <c r="H447">
        <v>5</v>
      </c>
    </row>
    <row r="448" spans="1:8" x14ac:dyDescent="0.35">
      <c r="A448">
        <v>65400011254</v>
      </c>
      <c r="B448" t="s">
        <v>244</v>
      </c>
      <c r="C448" t="s">
        <v>239</v>
      </c>
      <c r="D448" t="s">
        <v>240</v>
      </c>
      <c r="E448" t="s">
        <v>15</v>
      </c>
      <c r="F448" t="s">
        <v>56</v>
      </c>
      <c r="G448" t="s">
        <v>16</v>
      </c>
      <c r="H448">
        <v>3</v>
      </c>
    </row>
    <row r="449" spans="1:8" x14ac:dyDescent="0.35">
      <c r="A449">
        <v>6547339</v>
      </c>
      <c r="B449" t="s">
        <v>688</v>
      </c>
      <c r="C449" t="s">
        <v>214</v>
      </c>
      <c r="D449" t="s">
        <v>273</v>
      </c>
      <c r="E449" t="s">
        <v>15</v>
      </c>
      <c r="F449" t="s">
        <v>56</v>
      </c>
      <c r="G449" t="s">
        <v>16</v>
      </c>
      <c r="H449">
        <v>1</v>
      </c>
    </row>
    <row r="450" spans="1:8" x14ac:dyDescent="0.35">
      <c r="A450">
        <v>6547436</v>
      </c>
      <c r="B450" t="s">
        <v>689</v>
      </c>
      <c r="C450" t="s">
        <v>78</v>
      </c>
      <c r="D450" t="s">
        <v>24</v>
      </c>
      <c r="E450" t="s">
        <v>15</v>
      </c>
      <c r="F450" t="s">
        <v>25</v>
      </c>
      <c r="G450" t="s">
        <v>16</v>
      </c>
      <c r="H450">
        <v>4</v>
      </c>
    </row>
    <row r="451" spans="1:8" x14ac:dyDescent="0.35">
      <c r="A451">
        <v>655003919240</v>
      </c>
      <c r="B451" t="s">
        <v>339</v>
      </c>
      <c r="C451" t="s">
        <v>128</v>
      </c>
      <c r="D451" t="s">
        <v>690</v>
      </c>
      <c r="E451" t="s">
        <v>16</v>
      </c>
      <c r="F451" t="s">
        <v>691</v>
      </c>
      <c r="G451" t="s">
        <v>16</v>
      </c>
      <c r="H451">
        <v>5</v>
      </c>
    </row>
    <row r="452" spans="1:8" x14ac:dyDescent="0.35">
      <c r="A452">
        <v>65684112647</v>
      </c>
      <c r="B452" t="s">
        <v>692</v>
      </c>
      <c r="C452" t="s">
        <v>43</v>
      </c>
      <c r="D452" t="s">
        <v>693</v>
      </c>
      <c r="E452" t="s">
        <v>15</v>
      </c>
      <c r="F452" t="s">
        <v>172</v>
      </c>
      <c r="G452" t="s">
        <v>16</v>
      </c>
      <c r="H452">
        <v>1</v>
      </c>
    </row>
    <row r="453" spans="1:8" x14ac:dyDescent="0.35">
      <c r="A453">
        <v>65684116157</v>
      </c>
      <c r="B453" t="s">
        <v>693</v>
      </c>
      <c r="C453" t="s">
        <v>81</v>
      </c>
      <c r="D453" t="s">
        <v>693</v>
      </c>
      <c r="E453" t="s">
        <v>15</v>
      </c>
      <c r="F453" t="s">
        <v>172</v>
      </c>
      <c r="G453" t="s">
        <v>16</v>
      </c>
      <c r="H453">
        <v>1</v>
      </c>
    </row>
    <row r="454" spans="1:8" x14ac:dyDescent="0.35">
      <c r="A454">
        <v>659048179157</v>
      </c>
      <c r="B454" t="s">
        <v>668</v>
      </c>
      <c r="C454" t="s">
        <v>114</v>
      </c>
      <c r="D454" t="s">
        <v>694</v>
      </c>
      <c r="E454" t="s">
        <v>117</v>
      </c>
      <c r="F454" t="s">
        <v>695</v>
      </c>
      <c r="G454" t="s">
        <v>117</v>
      </c>
      <c r="H454">
        <v>2</v>
      </c>
    </row>
    <row r="455" spans="1:8" x14ac:dyDescent="0.35">
      <c r="A455">
        <v>659048179164</v>
      </c>
      <c r="B455" t="s">
        <v>696</v>
      </c>
      <c r="C455" t="s">
        <v>114</v>
      </c>
      <c r="D455" t="s">
        <v>694</v>
      </c>
      <c r="E455" t="s">
        <v>117</v>
      </c>
      <c r="F455" t="s">
        <v>695</v>
      </c>
      <c r="G455" t="s">
        <v>117</v>
      </c>
      <c r="H455">
        <v>1</v>
      </c>
    </row>
    <row r="456" spans="1:8" x14ac:dyDescent="0.35">
      <c r="A456">
        <v>659048179171</v>
      </c>
      <c r="B456" t="s">
        <v>167</v>
      </c>
      <c r="C456" t="s">
        <v>114</v>
      </c>
      <c r="D456" t="s">
        <v>694</v>
      </c>
      <c r="E456" t="s">
        <v>117</v>
      </c>
      <c r="F456" t="s">
        <v>695</v>
      </c>
      <c r="G456" t="s">
        <v>117</v>
      </c>
      <c r="H456">
        <v>1</v>
      </c>
    </row>
    <row r="457" spans="1:8" x14ac:dyDescent="0.35">
      <c r="A457">
        <v>659525423797</v>
      </c>
      <c r="B457" t="s">
        <v>697</v>
      </c>
      <c r="C457" t="s">
        <v>83</v>
      </c>
      <c r="D457" t="s">
        <v>698</v>
      </c>
      <c r="E457" t="s">
        <v>34</v>
      </c>
      <c r="F457" t="s">
        <v>699</v>
      </c>
      <c r="G457" t="s">
        <v>34</v>
      </c>
      <c r="H457">
        <v>1</v>
      </c>
    </row>
    <row r="458" spans="1:8" x14ac:dyDescent="0.35">
      <c r="A458">
        <v>66800020228</v>
      </c>
      <c r="B458" t="s">
        <v>700</v>
      </c>
      <c r="C458" t="s">
        <v>230</v>
      </c>
      <c r="D458" t="s">
        <v>70</v>
      </c>
      <c r="E458" t="s">
        <v>71</v>
      </c>
      <c r="F458" t="s">
        <v>72</v>
      </c>
      <c r="G458" t="s">
        <v>16</v>
      </c>
      <c r="H458">
        <v>3</v>
      </c>
    </row>
    <row r="459" spans="1:8" x14ac:dyDescent="0.35">
      <c r="A459">
        <v>66800020228</v>
      </c>
      <c r="B459" t="s">
        <v>700</v>
      </c>
      <c r="C459" t="s">
        <v>230</v>
      </c>
      <c r="D459" t="s">
        <v>70</v>
      </c>
      <c r="E459" t="s">
        <v>71</v>
      </c>
      <c r="F459" t="s">
        <v>72</v>
      </c>
      <c r="G459" t="s">
        <v>31</v>
      </c>
      <c r="H459">
        <v>1</v>
      </c>
    </row>
    <row r="460" spans="1:8" x14ac:dyDescent="0.35">
      <c r="A460">
        <v>66800020235</v>
      </c>
      <c r="B460" t="s">
        <v>701</v>
      </c>
      <c r="C460" t="s">
        <v>230</v>
      </c>
      <c r="D460" t="s">
        <v>70</v>
      </c>
      <c r="E460" t="s">
        <v>71</v>
      </c>
      <c r="F460" t="s">
        <v>72</v>
      </c>
      <c r="G460" t="s">
        <v>16</v>
      </c>
      <c r="H460">
        <v>1</v>
      </c>
    </row>
    <row r="461" spans="1:8" x14ac:dyDescent="0.35">
      <c r="A461">
        <v>66800020242</v>
      </c>
      <c r="B461" t="s">
        <v>702</v>
      </c>
      <c r="C461" t="s">
        <v>230</v>
      </c>
      <c r="D461" t="s">
        <v>70</v>
      </c>
      <c r="E461" t="s">
        <v>71</v>
      </c>
      <c r="F461" t="s">
        <v>72</v>
      </c>
      <c r="G461" t="s">
        <v>16</v>
      </c>
      <c r="H461">
        <v>4</v>
      </c>
    </row>
    <row r="462" spans="1:8" x14ac:dyDescent="0.35">
      <c r="A462">
        <v>67000004452</v>
      </c>
      <c r="B462" t="s">
        <v>703</v>
      </c>
      <c r="C462" t="s">
        <v>9</v>
      </c>
      <c r="D462" t="s">
        <v>246</v>
      </c>
      <c r="E462" t="s">
        <v>15</v>
      </c>
      <c r="F462" t="s">
        <v>14</v>
      </c>
      <c r="G462" t="s">
        <v>16</v>
      </c>
      <c r="H462">
        <v>2</v>
      </c>
    </row>
    <row r="463" spans="1:8" x14ac:dyDescent="0.35">
      <c r="A463">
        <v>67000011627</v>
      </c>
      <c r="B463" t="s">
        <v>167</v>
      </c>
      <c r="C463" t="s">
        <v>9</v>
      </c>
      <c r="D463" t="s">
        <v>246</v>
      </c>
      <c r="E463" t="s">
        <v>15</v>
      </c>
      <c r="F463" t="s">
        <v>14</v>
      </c>
      <c r="G463" t="s">
        <v>16</v>
      </c>
      <c r="H463">
        <v>1</v>
      </c>
    </row>
    <row r="464" spans="1:8" x14ac:dyDescent="0.35">
      <c r="A464">
        <v>67000011689</v>
      </c>
      <c r="B464" t="s">
        <v>704</v>
      </c>
      <c r="C464" t="s">
        <v>9</v>
      </c>
      <c r="D464" t="s">
        <v>705</v>
      </c>
      <c r="E464" t="s">
        <v>15</v>
      </c>
      <c r="F464" t="s">
        <v>14</v>
      </c>
      <c r="G464" t="s">
        <v>16</v>
      </c>
      <c r="H464">
        <v>1</v>
      </c>
    </row>
    <row r="465" spans="1:8" x14ac:dyDescent="0.35">
      <c r="A465">
        <v>67000011900</v>
      </c>
      <c r="B465" t="s">
        <v>706</v>
      </c>
      <c r="C465" t="s">
        <v>51</v>
      </c>
      <c r="D465" t="s">
        <v>707</v>
      </c>
      <c r="E465" t="s">
        <v>15</v>
      </c>
      <c r="F465" t="s">
        <v>14</v>
      </c>
      <c r="G465" t="s">
        <v>16</v>
      </c>
      <c r="H465">
        <v>1</v>
      </c>
    </row>
    <row r="466" spans="1:8" x14ac:dyDescent="0.35">
      <c r="A466">
        <v>67000104022</v>
      </c>
      <c r="B466" t="s">
        <v>249</v>
      </c>
      <c r="C466" t="s">
        <v>146</v>
      </c>
      <c r="D466" t="s">
        <v>14</v>
      </c>
      <c r="E466" t="s">
        <v>15</v>
      </c>
      <c r="F466" t="s">
        <v>14</v>
      </c>
      <c r="G466" t="s">
        <v>16</v>
      </c>
      <c r="H466">
        <v>34</v>
      </c>
    </row>
    <row r="467" spans="1:8" x14ac:dyDescent="0.35">
      <c r="A467">
        <v>67000107467</v>
      </c>
      <c r="B467" t="s">
        <v>708</v>
      </c>
      <c r="C467" t="s">
        <v>146</v>
      </c>
      <c r="D467" t="s">
        <v>14</v>
      </c>
      <c r="E467" t="s">
        <v>15</v>
      </c>
      <c r="F467" t="s">
        <v>14</v>
      </c>
      <c r="G467" t="s">
        <v>16</v>
      </c>
      <c r="H467">
        <v>8</v>
      </c>
    </row>
    <row r="468" spans="1:8" x14ac:dyDescent="0.35">
      <c r="A468">
        <v>6701468</v>
      </c>
      <c r="B468" t="s">
        <v>709</v>
      </c>
      <c r="C468" t="s">
        <v>214</v>
      </c>
      <c r="D468" t="s">
        <v>14</v>
      </c>
      <c r="E468" t="s">
        <v>15</v>
      </c>
      <c r="F468" t="s">
        <v>14</v>
      </c>
      <c r="G468" t="s">
        <v>16</v>
      </c>
      <c r="H468">
        <v>1</v>
      </c>
    </row>
    <row r="469" spans="1:8" x14ac:dyDescent="0.35">
      <c r="A469">
        <v>6702106</v>
      </c>
      <c r="B469" t="s">
        <v>710</v>
      </c>
      <c r="C469" t="s">
        <v>214</v>
      </c>
      <c r="D469" t="s">
        <v>14</v>
      </c>
      <c r="E469" t="s">
        <v>15</v>
      </c>
      <c r="F469" t="s">
        <v>14</v>
      </c>
      <c r="G469" t="s">
        <v>16</v>
      </c>
      <c r="H469">
        <v>1</v>
      </c>
    </row>
    <row r="470" spans="1:8" x14ac:dyDescent="0.35">
      <c r="A470">
        <v>6717401</v>
      </c>
      <c r="B470" t="s">
        <v>684</v>
      </c>
      <c r="C470" t="s">
        <v>53</v>
      </c>
      <c r="D470" t="s">
        <v>711</v>
      </c>
      <c r="E470" t="s">
        <v>15</v>
      </c>
      <c r="F470" t="s">
        <v>14</v>
      </c>
      <c r="G470" t="s">
        <v>16</v>
      </c>
      <c r="H470">
        <v>49</v>
      </c>
    </row>
    <row r="471" spans="1:8" x14ac:dyDescent="0.35">
      <c r="A471">
        <v>6717508</v>
      </c>
      <c r="B471" t="s">
        <v>711</v>
      </c>
      <c r="C471" t="s">
        <v>110</v>
      </c>
      <c r="D471" t="s">
        <v>14</v>
      </c>
      <c r="E471" t="s">
        <v>15</v>
      </c>
      <c r="F471" t="s">
        <v>14</v>
      </c>
      <c r="G471" t="s">
        <v>16</v>
      </c>
      <c r="H471">
        <v>1</v>
      </c>
    </row>
    <row r="472" spans="1:8" x14ac:dyDescent="0.35">
      <c r="A472">
        <v>671785501008</v>
      </c>
      <c r="B472" t="s">
        <v>712</v>
      </c>
      <c r="C472" t="s">
        <v>9</v>
      </c>
      <c r="D472" t="s">
        <v>713</v>
      </c>
      <c r="E472" t="s">
        <v>16</v>
      </c>
      <c r="F472" t="s">
        <v>714</v>
      </c>
      <c r="G472" t="s">
        <v>16</v>
      </c>
      <c r="H472">
        <v>14</v>
      </c>
    </row>
    <row r="473" spans="1:8" x14ac:dyDescent="0.35">
      <c r="A473">
        <v>6720007</v>
      </c>
      <c r="B473" t="s">
        <v>715</v>
      </c>
      <c r="C473" t="s">
        <v>278</v>
      </c>
      <c r="D473" t="s">
        <v>711</v>
      </c>
      <c r="E473" t="s">
        <v>15</v>
      </c>
      <c r="F473" t="s">
        <v>14</v>
      </c>
      <c r="G473" t="s">
        <v>16</v>
      </c>
      <c r="H473">
        <v>3</v>
      </c>
    </row>
    <row r="474" spans="1:8" x14ac:dyDescent="0.35">
      <c r="A474">
        <v>67311020110</v>
      </c>
      <c r="B474" t="s">
        <v>167</v>
      </c>
      <c r="C474" t="s">
        <v>38</v>
      </c>
      <c r="D474" t="s">
        <v>255</v>
      </c>
      <c r="E474" t="s">
        <v>16</v>
      </c>
      <c r="F474" t="s">
        <v>256</v>
      </c>
      <c r="G474" t="s">
        <v>16</v>
      </c>
      <c r="H474">
        <v>14</v>
      </c>
    </row>
    <row r="475" spans="1:8" x14ac:dyDescent="0.35">
      <c r="A475">
        <v>67311028338</v>
      </c>
      <c r="B475" t="s">
        <v>716</v>
      </c>
      <c r="C475" t="s">
        <v>717</v>
      </c>
      <c r="D475" t="s">
        <v>255</v>
      </c>
      <c r="E475" t="s">
        <v>16</v>
      </c>
      <c r="F475" t="s">
        <v>256</v>
      </c>
      <c r="G475" t="s">
        <v>16</v>
      </c>
      <c r="H475">
        <v>1</v>
      </c>
    </row>
    <row r="476" spans="1:8" x14ac:dyDescent="0.35">
      <c r="A476">
        <v>67311141273</v>
      </c>
      <c r="B476" t="s">
        <v>718</v>
      </c>
      <c r="C476" t="s">
        <v>38</v>
      </c>
      <c r="D476" t="s">
        <v>255</v>
      </c>
      <c r="E476" t="s">
        <v>16</v>
      </c>
      <c r="F476" t="s">
        <v>256</v>
      </c>
      <c r="G476" t="s">
        <v>16</v>
      </c>
      <c r="H476">
        <v>4</v>
      </c>
    </row>
    <row r="477" spans="1:8" x14ac:dyDescent="0.35">
      <c r="A477">
        <v>67311141273</v>
      </c>
      <c r="B477" t="s">
        <v>718</v>
      </c>
      <c r="C477" t="s">
        <v>38</v>
      </c>
      <c r="D477" t="s">
        <v>255</v>
      </c>
      <c r="E477" t="s">
        <v>16</v>
      </c>
      <c r="F477" t="s">
        <v>256</v>
      </c>
      <c r="G477" t="s">
        <v>31</v>
      </c>
      <c r="H477">
        <v>4</v>
      </c>
    </row>
    <row r="478" spans="1:8" x14ac:dyDescent="0.35">
      <c r="A478">
        <v>67311723134</v>
      </c>
      <c r="B478" t="s">
        <v>719</v>
      </c>
      <c r="C478" t="s">
        <v>257</v>
      </c>
      <c r="D478" t="s">
        <v>258</v>
      </c>
      <c r="E478" t="s">
        <v>16</v>
      </c>
      <c r="F478" t="s">
        <v>256</v>
      </c>
      <c r="G478" t="s">
        <v>16</v>
      </c>
      <c r="H478">
        <v>2</v>
      </c>
    </row>
    <row r="479" spans="1:8" x14ac:dyDescent="0.35">
      <c r="A479">
        <v>6741602</v>
      </c>
      <c r="B479" t="s">
        <v>249</v>
      </c>
      <c r="C479" t="s">
        <v>81</v>
      </c>
      <c r="D479" t="s">
        <v>14</v>
      </c>
      <c r="E479" t="s">
        <v>15</v>
      </c>
      <c r="F479" t="s">
        <v>14</v>
      </c>
      <c r="G479" t="s">
        <v>16</v>
      </c>
      <c r="H479">
        <v>2</v>
      </c>
    </row>
    <row r="480" spans="1:8" x14ac:dyDescent="0.35">
      <c r="A480">
        <v>6742708</v>
      </c>
      <c r="B480" t="s">
        <v>13</v>
      </c>
      <c r="C480" t="s">
        <v>78</v>
      </c>
      <c r="D480" t="s">
        <v>14</v>
      </c>
      <c r="E480" t="s">
        <v>15</v>
      </c>
      <c r="F480" t="s">
        <v>14</v>
      </c>
      <c r="G480" t="s">
        <v>16</v>
      </c>
      <c r="H480">
        <v>6</v>
      </c>
    </row>
    <row r="481" spans="1:8" x14ac:dyDescent="0.35">
      <c r="A481">
        <v>6746209</v>
      </c>
      <c r="B481" t="s">
        <v>14</v>
      </c>
      <c r="C481" t="s">
        <v>9</v>
      </c>
      <c r="D481" t="s">
        <v>14</v>
      </c>
      <c r="E481" t="s">
        <v>15</v>
      </c>
      <c r="F481" t="s">
        <v>14</v>
      </c>
      <c r="G481" t="s">
        <v>16</v>
      </c>
      <c r="H481">
        <v>26</v>
      </c>
    </row>
    <row r="482" spans="1:8" x14ac:dyDescent="0.35">
      <c r="A482">
        <v>6746306</v>
      </c>
      <c r="B482" t="s">
        <v>251</v>
      </c>
      <c r="C482" t="s">
        <v>9</v>
      </c>
      <c r="D482" t="s">
        <v>14</v>
      </c>
      <c r="E482" t="s">
        <v>15</v>
      </c>
      <c r="F482" t="s">
        <v>14</v>
      </c>
      <c r="G482" t="s">
        <v>16</v>
      </c>
      <c r="H482">
        <v>4</v>
      </c>
    </row>
    <row r="483" spans="1:8" x14ac:dyDescent="0.35">
      <c r="A483">
        <v>6746403</v>
      </c>
      <c r="B483" t="s">
        <v>250</v>
      </c>
      <c r="C483" t="s">
        <v>9</v>
      </c>
      <c r="D483" t="s">
        <v>14</v>
      </c>
      <c r="E483" t="s">
        <v>15</v>
      </c>
      <c r="F483" t="s">
        <v>14</v>
      </c>
      <c r="G483" t="s">
        <v>16</v>
      </c>
      <c r="H483">
        <v>18</v>
      </c>
    </row>
    <row r="484" spans="1:8" x14ac:dyDescent="0.35">
      <c r="A484">
        <v>6746500</v>
      </c>
      <c r="B484" t="s">
        <v>156</v>
      </c>
      <c r="C484" t="s">
        <v>9</v>
      </c>
      <c r="D484" t="s">
        <v>705</v>
      </c>
      <c r="E484" t="s">
        <v>15</v>
      </c>
      <c r="F484" t="s">
        <v>14</v>
      </c>
      <c r="G484" t="s">
        <v>16</v>
      </c>
      <c r="H484">
        <v>14</v>
      </c>
    </row>
    <row r="485" spans="1:8" x14ac:dyDescent="0.35">
      <c r="A485">
        <v>6747606</v>
      </c>
      <c r="B485" t="s">
        <v>720</v>
      </c>
      <c r="C485" t="s">
        <v>53</v>
      </c>
      <c r="D485" t="s">
        <v>707</v>
      </c>
      <c r="E485" t="s">
        <v>15</v>
      </c>
      <c r="F485" t="s">
        <v>14</v>
      </c>
      <c r="G485" t="s">
        <v>16</v>
      </c>
      <c r="H485">
        <v>2</v>
      </c>
    </row>
    <row r="486" spans="1:8" x14ac:dyDescent="0.35">
      <c r="A486">
        <v>6747907</v>
      </c>
      <c r="B486" t="s">
        <v>167</v>
      </c>
      <c r="C486" t="s">
        <v>53</v>
      </c>
      <c r="D486" t="s">
        <v>707</v>
      </c>
      <c r="E486" t="s">
        <v>15</v>
      </c>
      <c r="F486" t="s">
        <v>14</v>
      </c>
      <c r="G486" t="s">
        <v>16</v>
      </c>
      <c r="H486">
        <v>8</v>
      </c>
    </row>
    <row r="487" spans="1:8" x14ac:dyDescent="0.35">
      <c r="A487">
        <v>6748003</v>
      </c>
      <c r="B487" t="s">
        <v>213</v>
      </c>
      <c r="C487" t="s">
        <v>53</v>
      </c>
      <c r="D487" t="s">
        <v>707</v>
      </c>
      <c r="E487" t="s">
        <v>15</v>
      </c>
      <c r="F487" t="s">
        <v>14</v>
      </c>
      <c r="G487" t="s">
        <v>16</v>
      </c>
      <c r="H487">
        <v>4</v>
      </c>
    </row>
    <row r="488" spans="1:8" x14ac:dyDescent="0.35">
      <c r="A488">
        <v>6748508</v>
      </c>
      <c r="B488" t="s">
        <v>721</v>
      </c>
      <c r="C488" t="s">
        <v>146</v>
      </c>
      <c r="D488" t="s">
        <v>707</v>
      </c>
      <c r="E488" t="s">
        <v>15</v>
      </c>
      <c r="F488" t="s">
        <v>14</v>
      </c>
      <c r="G488" t="s">
        <v>16</v>
      </c>
      <c r="H488">
        <v>11</v>
      </c>
    </row>
    <row r="489" spans="1:8" x14ac:dyDescent="0.35">
      <c r="A489">
        <v>6748605</v>
      </c>
      <c r="B489" t="s">
        <v>722</v>
      </c>
      <c r="C489" t="s">
        <v>146</v>
      </c>
      <c r="D489" t="s">
        <v>707</v>
      </c>
      <c r="E489" t="s">
        <v>15</v>
      </c>
      <c r="F489" t="s">
        <v>14</v>
      </c>
      <c r="G489" t="s">
        <v>16</v>
      </c>
      <c r="H489">
        <v>2</v>
      </c>
    </row>
    <row r="490" spans="1:8" x14ac:dyDescent="0.35">
      <c r="A490">
        <v>6748702</v>
      </c>
      <c r="B490" t="s">
        <v>167</v>
      </c>
      <c r="C490" t="s">
        <v>146</v>
      </c>
      <c r="D490" t="s">
        <v>707</v>
      </c>
      <c r="E490" t="s">
        <v>15</v>
      </c>
      <c r="F490" t="s">
        <v>14</v>
      </c>
      <c r="G490" t="s">
        <v>16</v>
      </c>
      <c r="H490">
        <v>1</v>
      </c>
    </row>
    <row r="491" spans="1:8" x14ac:dyDescent="0.35">
      <c r="A491">
        <v>6748809</v>
      </c>
      <c r="B491" t="s">
        <v>723</v>
      </c>
      <c r="C491" t="s">
        <v>146</v>
      </c>
      <c r="D491" t="s">
        <v>707</v>
      </c>
      <c r="E491" t="s">
        <v>15</v>
      </c>
      <c r="F491" t="s">
        <v>14</v>
      </c>
      <c r="G491" t="s">
        <v>16</v>
      </c>
      <c r="H491">
        <v>3</v>
      </c>
    </row>
    <row r="492" spans="1:8" x14ac:dyDescent="0.35">
      <c r="A492">
        <v>6748906</v>
      </c>
      <c r="B492" t="s">
        <v>724</v>
      </c>
      <c r="C492" t="s">
        <v>146</v>
      </c>
      <c r="D492" t="s">
        <v>707</v>
      </c>
      <c r="E492" t="s">
        <v>15</v>
      </c>
      <c r="F492" t="s">
        <v>14</v>
      </c>
      <c r="G492" t="s">
        <v>16</v>
      </c>
      <c r="H492">
        <v>2</v>
      </c>
    </row>
    <row r="493" spans="1:8" x14ac:dyDescent="0.35">
      <c r="A493">
        <v>6749002</v>
      </c>
      <c r="B493" t="s">
        <v>725</v>
      </c>
      <c r="C493" t="s">
        <v>146</v>
      </c>
      <c r="D493" t="s">
        <v>707</v>
      </c>
      <c r="E493" t="s">
        <v>15</v>
      </c>
      <c r="F493" t="s">
        <v>14</v>
      </c>
      <c r="G493" t="s">
        <v>16</v>
      </c>
      <c r="H493">
        <v>4</v>
      </c>
    </row>
    <row r="494" spans="1:8" x14ac:dyDescent="0.35">
      <c r="A494">
        <v>6750600</v>
      </c>
      <c r="B494" t="s">
        <v>156</v>
      </c>
      <c r="C494" t="s">
        <v>78</v>
      </c>
      <c r="D494" t="s">
        <v>705</v>
      </c>
      <c r="E494" t="s">
        <v>15</v>
      </c>
      <c r="F494" t="s">
        <v>14</v>
      </c>
      <c r="G494" t="s">
        <v>16</v>
      </c>
      <c r="H494">
        <v>3</v>
      </c>
    </row>
    <row r="495" spans="1:8" x14ac:dyDescent="0.35">
      <c r="A495">
        <v>6750600</v>
      </c>
      <c r="B495" t="s">
        <v>156</v>
      </c>
      <c r="C495" t="s">
        <v>78</v>
      </c>
      <c r="D495" t="s">
        <v>705</v>
      </c>
      <c r="E495" t="s">
        <v>15</v>
      </c>
      <c r="F495" t="s">
        <v>14</v>
      </c>
      <c r="G495" t="s">
        <v>34</v>
      </c>
      <c r="H495">
        <v>120</v>
      </c>
    </row>
    <row r="496" spans="1:8" x14ac:dyDescent="0.35">
      <c r="A496">
        <v>6756905</v>
      </c>
      <c r="B496" t="s">
        <v>626</v>
      </c>
      <c r="C496" t="s">
        <v>9</v>
      </c>
      <c r="D496" t="s">
        <v>14</v>
      </c>
      <c r="E496" t="s">
        <v>15</v>
      </c>
      <c r="F496" t="s">
        <v>14</v>
      </c>
      <c r="G496" t="s">
        <v>16</v>
      </c>
      <c r="H496">
        <v>1</v>
      </c>
    </row>
    <row r="497" spans="1:8" x14ac:dyDescent="0.35">
      <c r="A497">
        <v>6757700</v>
      </c>
      <c r="B497" t="s">
        <v>726</v>
      </c>
      <c r="C497" t="s">
        <v>146</v>
      </c>
      <c r="D497" t="s">
        <v>707</v>
      </c>
      <c r="E497" t="s">
        <v>15</v>
      </c>
      <c r="F497" t="s">
        <v>14</v>
      </c>
      <c r="G497" t="s">
        <v>16</v>
      </c>
      <c r="H497">
        <v>1</v>
      </c>
    </row>
    <row r="498" spans="1:8" x14ac:dyDescent="0.35">
      <c r="A498">
        <v>6757807</v>
      </c>
      <c r="B498" t="s">
        <v>727</v>
      </c>
      <c r="C498" t="s">
        <v>146</v>
      </c>
      <c r="D498" t="s">
        <v>707</v>
      </c>
      <c r="E498" t="s">
        <v>15</v>
      </c>
      <c r="F498" t="s">
        <v>14</v>
      </c>
      <c r="G498" t="s">
        <v>16</v>
      </c>
      <c r="H498">
        <v>1</v>
      </c>
    </row>
    <row r="499" spans="1:8" x14ac:dyDescent="0.35">
      <c r="A499">
        <v>6780504</v>
      </c>
      <c r="B499" t="s">
        <v>249</v>
      </c>
      <c r="C499" t="s">
        <v>38</v>
      </c>
      <c r="D499" t="s">
        <v>14</v>
      </c>
      <c r="E499" t="s">
        <v>15</v>
      </c>
      <c r="F499" t="s">
        <v>14</v>
      </c>
      <c r="G499" t="s">
        <v>16</v>
      </c>
      <c r="H499">
        <v>21</v>
      </c>
    </row>
    <row r="500" spans="1:8" x14ac:dyDescent="0.35">
      <c r="A500">
        <v>6780601</v>
      </c>
      <c r="B500" t="s">
        <v>250</v>
      </c>
      <c r="C500" t="s">
        <v>38</v>
      </c>
      <c r="D500" t="s">
        <v>14</v>
      </c>
      <c r="E500" t="s">
        <v>15</v>
      </c>
      <c r="F500" t="s">
        <v>14</v>
      </c>
      <c r="G500" t="s">
        <v>16</v>
      </c>
      <c r="H500">
        <v>4</v>
      </c>
    </row>
    <row r="501" spans="1:8" x14ac:dyDescent="0.35">
      <c r="A501">
        <v>6780805</v>
      </c>
      <c r="B501" t="s">
        <v>728</v>
      </c>
      <c r="C501" t="s">
        <v>38</v>
      </c>
      <c r="D501" t="s">
        <v>705</v>
      </c>
      <c r="E501" t="s">
        <v>15</v>
      </c>
      <c r="F501" t="s">
        <v>14</v>
      </c>
      <c r="G501" t="s">
        <v>16</v>
      </c>
      <c r="H501">
        <v>4</v>
      </c>
    </row>
    <row r="502" spans="1:8" x14ac:dyDescent="0.35">
      <c r="A502">
        <v>6781804</v>
      </c>
      <c r="B502" t="s">
        <v>729</v>
      </c>
      <c r="C502" t="s">
        <v>9</v>
      </c>
      <c r="D502" t="s">
        <v>14</v>
      </c>
      <c r="E502" t="s">
        <v>15</v>
      </c>
      <c r="F502" t="s">
        <v>14</v>
      </c>
      <c r="G502" t="s">
        <v>16</v>
      </c>
      <c r="H502">
        <v>1</v>
      </c>
    </row>
    <row r="503" spans="1:8" x14ac:dyDescent="0.35">
      <c r="A503">
        <v>6790608</v>
      </c>
      <c r="B503" t="s">
        <v>250</v>
      </c>
      <c r="C503" t="s">
        <v>81</v>
      </c>
      <c r="D503" t="s">
        <v>14</v>
      </c>
      <c r="E503" t="s">
        <v>15</v>
      </c>
      <c r="F503" t="s">
        <v>14</v>
      </c>
      <c r="G503" t="s">
        <v>16</v>
      </c>
      <c r="H503">
        <v>2</v>
      </c>
    </row>
    <row r="504" spans="1:8" x14ac:dyDescent="0.35">
      <c r="A504">
        <v>6791801</v>
      </c>
      <c r="B504" t="s">
        <v>249</v>
      </c>
      <c r="C504" t="s">
        <v>272</v>
      </c>
      <c r="D504" t="s">
        <v>14</v>
      </c>
      <c r="E504" t="s">
        <v>15</v>
      </c>
      <c r="F504" t="s">
        <v>14</v>
      </c>
      <c r="G504" t="s">
        <v>16</v>
      </c>
      <c r="H504">
        <v>2</v>
      </c>
    </row>
    <row r="505" spans="1:8" x14ac:dyDescent="0.35">
      <c r="A505">
        <v>6792004</v>
      </c>
      <c r="B505" t="s">
        <v>709</v>
      </c>
      <c r="C505" t="s">
        <v>272</v>
      </c>
      <c r="D505" t="s">
        <v>14</v>
      </c>
      <c r="E505" t="s">
        <v>15</v>
      </c>
      <c r="F505" t="s">
        <v>14</v>
      </c>
      <c r="G505" t="s">
        <v>16</v>
      </c>
      <c r="H505">
        <v>1</v>
      </c>
    </row>
    <row r="506" spans="1:8" x14ac:dyDescent="0.35">
      <c r="A506">
        <v>6792101</v>
      </c>
      <c r="B506" t="s">
        <v>730</v>
      </c>
      <c r="C506" t="s">
        <v>272</v>
      </c>
      <c r="D506" t="s">
        <v>705</v>
      </c>
      <c r="E506" t="s">
        <v>15</v>
      </c>
      <c r="F506" t="s">
        <v>14</v>
      </c>
      <c r="G506" t="s">
        <v>16</v>
      </c>
      <c r="H506">
        <v>2</v>
      </c>
    </row>
    <row r="507" spans="1:8" x14ac:dyDescent="0.35">
      <c r="A507">
        <v>6796000</v>
      </c>
      <c r="B507" t="s">
        <v>731</v>
      </c>
      <c r="C507" t="s">
        <v>9</v>
      </c>
      <c r="D507" t="s">
        <v>254</v>
      </c>
      <c r="E507" t="s">
        <v>15</v>
      </c>
      <c r="F507" t="s">
        <v>14</v>
      </c>
      <c r="G507" t="s">
        <v>16</v>
      </c>
      <c r="H507">
        <v>1</v>
      </c>
    </row>
    <row r="508" spans="1:8" x14ac:dyDescent="0.35">
      <c r="A508">
        <v>6796000</v>
      </c>
      <c r="B508" t="s">
        <v>731</v>
      </c>
      <c r="C508" t="s">
        <v>9</v>
      </c>
      <c r="D508" t="s">
        <v>254</v>
      </c>
      <c r="E508" t="s">
        <v>15</v>
      </c>
      <c r="F508" t="s">
        <v>14</v>
      </c>
      <c r="G508" t="s">
        <v>33</v>
      </c>
      <c r="H508">
        <v>169</v>
      </c>
    </row>
    <row r="509" spans="1:8" x14ac:dyDescent="0.35">
      <c r="A509">
        <v>67997020558</v>
      </c>
      <c r="B509" t="s">
        <v>732</v>
      </c>
      <c r="C509" t="s">
        <v>110</v>
      </c>
      <c r="D509" t="s">
        <v>260</v>
      </c>
      <c r="E509" t="s">
        <v>16</v>
      </c>
      <c r="F509" t="s">
        <v>261</v>
      </c>
      <c r="G509" t="s">
        <v>16</v>
      </c>
      <c r="H509">
        <v>2</v>
      </c>
    </row>
    <row r="510" spans="1:8" x14ac:dyDescent="0.35">
      <c r="A510">
        <v>67997719995</v>
      </c>
      <c r="B510" t="s">
        <v>733</v>
      </c>
      <c r="C510" t="s">
        <v>230</v>
      </c>
      <c r="D510" t="s">
        <v>260</v>
      </c>
      <c r="E510" t="s">
        <v>16</v>
      </c>
      <c r="F510" t="s">
        <v>261</v>
      </c>
      <c r="G510" t="s">
        <v>16</v>
      </c>
      <c r="H510">
        <v>2</v>
      </c>
    </row>
    <row r="511" spans="1:8" x14ac:dyDescent="0.35">
      <c r="A511">
        <v>67997720199</v>
      </c>
      <c r="B511" t="s">
        <v>269</v>
      </c>
      <c r="C511" t="s">
        <v>230</v>
      </c>
      <c r="D511" t="s">
        <v>260</v>
      </c>
      <c r="E511" t="s">
        <v>16</v>
      </c>
      <c r="F511" t="s">
        <v>261</v>
      </c>
      <c r="G511" t="s">
        <v>16</v>
      </c>
      <c r="H511">
        <v>16</v>
      </c>
    </row>
    <row r="512" spans="1:8" x14ac:dyDescent="0.35">
      <c r="A512">
        <v>680018009020</v>
      </c>
      <c r="B512" t="s">
        <v>734</v>
      </c>
      <c r="C512" t="s">
        <v>431</v>
      </c>
      <c r="D512" t="s">
        <v>735</v>
      </c>
      <c r="E512" t="s">
        <v>637</v>
      </c>
      <c r="F512" t="s">
        <v>736</v>
      </c>
      <c r="G512" t="s">
        <v>41</v>
      </c>
      <c r="H512">
        <v>50</v>
      </c>
    </row>
    <row r="513" spans="1:8" x14ac:dyDescent="0.35">
      <c r="A513">
        <v>681103202531</v>
      </c>
      <c r="B513" t="s">
        <v>737</v>
      </c>
      <c r="C513" t="s">
        <v>36</v>
      </c>
      <c r="D513" t="s">
        <v>738</v>
      </c>
      <c r="E513" t="s">
        <v>34</v>
      </c>
      <c r="F513" t="s">
        <v>739</v>
      </c>
      <c r="G513" t="s">
        <v>34</v>
      </c>
      <c r="H513">
        <v>252</v>
      </c>
    </row>
    <row r="514" spans="1:8" x14ac:dyDescent="0.35">
      <c r="A514">
        <v>681103202586</v>
      </c>
      <c r="B514" t="s">
        <v>740</v>
      </c>
      <c r="C514" t="s">
        <v>472</v>
      </c>
      <c r="D514" t="s">
        <v>738</v>
      </c>
      <c r="E514" t="s">
        <v>34</v>
      </c>
      <c r="F514" t="s">
        <v>739</v>
      </c>
      <c r="G514" t="s">
        <v>34</v>
      </c>
      <c r="H514">
        <v>1</v>
      </c>
    </row>
    <row r="515" spans="1:8" x14ac:dyDescent="0.35">
      <c r="A515">
        <v>681103202593</v>
      </c>
      <c r="B515" t="s">
        <v>741</v>
      </c>
      <c r="C515" t="s">
        <v>472</v>
      </c>
      <c r="D515" t="s">
        <v>738</v>
      </c>
      <c r="E515" t="s">
        <v>34</v>
      </c>
      <c r="F515" t="s">
        <v>739</v>
      </c>
      <c r="G515" t="s">
        <v>34</v>
      </c>
      <c r="H515">
        <v>453</v>
      </c>
    </row>
    <row r="516" spans="1:8" x14ac:dyDescent="0.35">
      <c r="A516">
        <v>681103202609</v>
      </c>
      <c r="B516" t="s">
        <v>742</v>
      </c>
      <c r="C516" t="s">
        <v>472</v>
      </c>
      <c r="D516" t="s">
        <v>738</v>
      </c>
      <c r="E516" t="s">
        <v>34</v>
      </c>
      <c r="F516" t="s">
        <v>739</v>
      </c>
      <c r="G516" t="s">
        <v>34</v>
      </c>
      <c r="H516">
        <v>101</v>
      </c>
    </row>
    <row r="517" spans="1:8" x14ac:dyDescent="0.35">
      <c r="A517">
        <v>681103202678</v>
      </c>
      <c r="B517" t="s">
        <v>743</v>
      </c>
      <c r="C517" t="s">
        <v>110</v>
      </c>
      <c r="D517" t="s">
        <v>738</v>
      </c>
      <c r="E517" t="s">
        <v>34</v>
      </c>
      <c r="F517" t="s">
        <v>739</v>
      </c>
      <c r="G517" t="s">
        <v>34</v>
      </c>
      <c r="H517">
        <v>1</v>
      </c>
    </row>
    <row r="518" spans="1:8" x14ac:dyDescent="0.35">
      <c r="A518">
        <v>681103202722</v>
      </c>
      <c r="B518" t="s">
        <v>744</v>
      </c>
      <c r="C518" t="s">
        <v>472</v>
      </c>
      <c r="D518" t="s">
        <v>738</v>
      </c>
      <c r="E518" t="s">
        <v>34</v>
      </c>
      <c r="F518" t="s">
        <v>739</v>
      </c>
      <c r="G518" t="s">
        <v>34</v>
      </c>
      <c r="H518">
        <v>1</v>
      </c>
    </row>
    <row r="519" spans="1:8" x14ac:dyDescent="0.35">
      <c r="A519">
        <v>68274000072</v>
      </c>
      <c r="B519" t="s">
        <v>745</v>
      </c>
      <c r="C519" t="s">
        <v>146</v>
      </c>
      <c r="D519" t="s">
        <v>222</v>
      </c>
      <c r="E519" t="s">
        <v>71</v>
      </c>
      <c r="F519" t="s">
        <v>72</v>
      </c>
      <c r="G519" t="s">
        <v>16</v>
      </c>
      <c r="H519">
        <v>4</v>
      </c>
    </row>
    <row r="520" spans="1:8" x14ac:dyDescent="0.35">
      <c r="A520">
        <v>68274193996</v>
      </c>
      <c r="B520" t="s">
        <v>288</v>
      </c>
      <c r="C520" t="s">
        <v>9</v>
      </c>
      <c r="D520" t="s">
        <v>746</v>
      </c>
      <c r="E520" t="s">
        <v>15</v>
      </c>
      <c r="F520" t="s">
        <v>747</v>
      </c>
      <c r="G520" t="s">
        <v>16</v>
      </c>
      <c r="H520">
        <v>26</v>
      </c>
    </row>
    <row r="521" spans="1:8" x14ac:dyDescent="0.35">
      <c r="A521">
        <v>68274194665</v>
      </c>
      <c r="B521" t="s">
        <v>748</v>
      </c>
      <c r="C521" t="s">
        <v>9</v>
      </c>
      <c r="D521" t="s">
        <v>746</v>
      </c>
      <c r="E521" t="s">
        <v>15</v>
      </c>
      <c r="F521" t="s">
        <v>747</v>
      </c>
      <c r="G521" t="s">
        <v>16</v>
      </c>
      <c r="H521">
        <v>1</v>
      </c>
    </row>
    <row r="522" spans="1:8" x14ac:dyDescent="0.35">
      <c r="A522">
        <v>68274264450</v>
      </c>
      <c r="B522" t="s">
        <v>749</v>
      </c>
      <c r="C522" t="s">
        <v>9</v>
      </c>
      <c r="D522" t="s">
        <v>746</v>
      </c>
      <c r="E522" t="s">
        <v>15</v>
      </c>
      <c r="F522" t="s">
        <v>747</v>
      </c>
      <c r="G522" t="s">
        <v>16</v>
      </c>
      <c r="H522">
        <v>2</v>
      </c>
    </row>
    <row r="523" spans="1:8" x14ac:dyDescent="0.35">
      <c r="A523">
        <v>68274264498</v>
      </c>
      <c r="B523" t="s">
        <v>213</v>
      </c>
      <c r="C523" t="s">
        <v>9</v>
      </c>
      <c r="D523" t="s">
        <v>746</v>
      </c>
      <c r="E523" t="s">
        <v>15</v>
      </c>
      <c r="F523" t="s">
        <v>747</v>
      </c>
      <c r="G523" t="s">
        <v>16</v>
      </c>
      <c r="H523">
        <v>20</v>
      </c>
    </row>
    <row r="524" spans="1:8" x14ac:dyDescent="0.35">
      <c r="A524">
        <v>68274311475</v>
      </c>
      <c r="B524" t="s">
        <v>750</v>
      </c>
      <c r="C524" t="s">
        <v>110</v>
      </c>
      <c r="D524" t="s">
        <v>222</v>
      </c>
      <c r="E524" t="s">
        <v>71</v>
      </c>
      <c r="F524" t="s">
        <v>72</v>
      </c>
      <c r="G524" t="s">
        <v>16</v>
      </c>
      <c r="H524">
        <v>1</v>
      </c>
    </row>
    <row r="525" spans="1:8" x14ac:dyDescent="0.35">
      <c r="A525">
        <v>68274311482</v>
      </c>
      <c r="B525" t="s">
        <v>751</v>
      </c>
      <c r="C525" t="s">
        <v>110</v>
      </c>
      <c r="D525" t="s">
        <v>222</v>
      </c>
      <c r="E525" t="s">
        <v>71</v>
      </c>
      <c r="F525" t="s">
        <v>72</v>
      </c>
      <c r="G525" t="s">
        <v>16</v>
      </c>
      <c r="H525">
        <v>1</v>
      </c>
    </row>
    <row r="526" spans="1:8" x14ac:dyDescent="0.35">
      <c r="A526">
        <v>6827465</v>
      </c>
      <c r="B526" t="s">
        <v>752</v>
      </c>
      <c r="C526" t="s">
        <v>9</v>
      </c>
      <c r="D526" t="s">
        <v>222</v>
      </c>
      <c r="E526" t="s">
        <v>71</v>
      </c>
      <c r="F526" t="s">
        <v>72</v>
      </c>
      <c r="G526" t="s">
        <v>22</v>
      </c>
      <c r="H526">
        <v>1</v>
      </c>
    </row>
    <row r="527" spans="1:8" x14ac:dyDescent="0.35">
      <c r="A527">
        <v>684910297783</v>
      </c>
      <c r="B527" t="s">
        <v>753</v>
      </c>
      <c r="C527" t="s">
        <v>83</v>
      </c>
      <c r="D527" t="s">
        <v>694</v>
      </c>
      <c r="E527" t="s">
        <v>117</v>
      </c>
      <c r="F527" t="s">
        <v>695</v>
      </c>
      <c r="G527" t="s">
        <v>117</v>
      </c>
      <c r="H527">
        <v>3</v>
      </c>
    </row>
    <row r="528" spans="1:8" x14ac:dyDescent="0.35">
      <c r="A528">
        <v>68493427186</v>
      </c>
      <c r="B528" t="s">
        <v>212</v>
      </c>
      <c r="C528" t="s">
        <v>9</v>
      </c>
      <c r="D528" t="s">
        <v>754</v>
      </c>
      <c r="E528" t="s">
        <v>16</v>
      </c>
      <c r="F528" t="s">
        <v>755</v>
      </c>
      <c r="G528" t="s">
        <v>16</v>
      </c>
      <c r="H528">
        <v>5</v>
      </c>
    </row>
    <row r="529" spans="1:8" x14ac:dyDescent="0.35">
      <c r="A529">
        <v>6854836</v>
      </c>
      <c r="B529" t="s">
        <v>756</v>
      </c>
      <c r="C529" t="s">
        <v>603</v>
      </c>
      <c r="D529" t="s">
        <v>756</v>
      </c>
      <c r="E529" t="s">
        <v>308</v>
      </c>
      <c r="F529" t="s">
        <v>309</v>
      </c>
      <c r="G529" t="s">
        <v>33</v>
      </c>
      <c r="H529">
        <v>100</v>
      </c>
    </row>
    <row r="530" spans="1:8" x14ac:dyDescent="0.35">
      <c r="A530">
        <v>6854836</v>
      </c>
      <c r="B530" t="s">
        <v>756</v>
      </c>
      <c r="C530" t="s">
        <v>603</v>
      </c>
      <c r="D530" t="s">
        <v>756</v>
      </c>
      <c r="E530" t="s">
        <v>308</v>
      </c>
      <c r="F530" t="s">
        <v>309</v>
      </c>
      <c r="G530" t="s">
        <v>34</v>
      </c>
      <c r="H530">
        <v>278</v>
      </c>
    </row>
    <row r="531" spans="1:8" x14ac:dyDescent="0.35">
      <c r="A531">
        <v>68700302572</v>
      </c>
      <c r="B531" t="s">
        <v>757</v>
      </c>
      <c r="C531" t="s">
        <v>272</v>
      </c>
      <c r="D531" t="s">
        <v>270</v>
      </c>
      <c r="E531" t="s">
        <v>16</v>
      </c>
      <c r="F531" t="s">
        <v>225</v>
      </c>
      <c r="G531" t="s">
        <v>16</v>
      </c>
      <c r="H531">
        <v>3</v>
      </c>
    </row>
    <row r="532" spans="1:8" x14ac:dyDescent="0.35">
      <c r="A532">
        <v>69000009826</v>
      </c>
      <c r="B532" t="s">
        <v>668</v>
      </c>
      <c r="C532" t="s">
        <v>110</v>
      </c>
      <c r="D532" t="s">
        <v>273</v>
      </c>
      <c r="E532" t="s">
        <v>15</v>
      </c>
      <c r="F532" t="s">
        <v>56</v>
      </c>
      <c r="G532" t="s">
        <v>16</v>
      </c>
      <c r="H532">
        <v>3</v>
      </c>
    </row>
    <row r="533" spans="1:8" x14ac:dyDescent="0.35">
      <c r="A533">
        <v>69000009840</v>
      </c>
      <c r="B533" t="s">
        <v>273</v>
      </c>
      <c r="C533" t="s">
        <v>758</v>
      </c>
      <c r="D533" t="s">
        <v>273</v>
      </c>
      <c r="E533" t="s">
        <v>15</v>
      </c>
      <c r="F533" t="s">
        <v>56</v>
      </c>
      <c r="G533" t="s">
        <v>16</v>
      </c>
      <c r="H533">
        <v>3</v>
      </c>
    </row>
    <row r="534" spans="1:8" x14ac:dyDescent="0.35">
      <c r="A534">
        <v>69000010020</v>
      </c>
      <c r="B534" t="s">
        <v>668</v>
      </c>
      <c r="C534" t="s">
        <v>278</v>
      </c>
      <c r="D534" t="s">
        <v>273</v>
      </c>
      <c r="E534" t="s">
        <v>15</v>
      </c>
      <c r="F534" t="s">
        <v>56</v>
      </c>
      <c r="G534" t="s">
        <v>16</v>
      </c>
      <c r="H534">
        <v>6</v>
      </c>
    </row>
    <row r="535" spans="1:8" x14ac:dyDescent="0.35">
      <c r="A535">
        <v>69000010631</v>
      </c>
      <c r="B535" t="s">
        <v>275</v>
      </c>
      <c r="C535" t="s">
        <v>81</v>
      </c>
      <c r="D535" t="s">
        <v>273</v>
      </c>
      <c r="E535" t="s">
        <v>15</v>
      </c>
      <c r="F535" t="s">
        <v>56</v>
      </c>
      <c r="G535" t="s">
        <v>16</v>
      </c>
      <c r="H535">
        <v>1</v>
      </c>
    </row>
    <row r="536" spans="1:8" x14ac:dyDescent="0.35">
      <c r="A536">
        <v>69000010785</v>
      </c>
      <c r="B536" t="s">
        <v>759</v>
      </c>
      <c r="C536" t="s">
        <v>472</v>
      </c>
      <c r="D536" t="s">
        <v>273</v>
      </c>
      <c r="E536" t="s">
        <v>15</v>
      </c>
      <c r="F536" t="s">
        <v>56</v>
      </c>
      <c r="G536" t="s">
        <v>16</v>
      </c>
      <c r="H536">
        <v>1</v>
      </c>
    </row>
    <row r="537" spans="1:8" x14ac:dyDescent="0.35">
      <c r="A537">
        <v>69000013748</v>
      </c>
      <c r="B537" t="s">
        <v>760</v>
      </c>
      <c r="C537" t="s">
        <v>53</v>
      </c>
      <c r="D537" t="s">
        <v>273</v>
      </c>
      <c r="E537" t="s">
        <v>15</v>
      </c>
      <c r="F537" t="s">
        <v>56</v>
      </c>
      <c r="G537" t="s">
        <v>16</v>
      </c>
      <c r="H537">
        <v>5</v>
      </c>
    </row>
    <row r="538" spans="1:8" x14ac:dyDescent="0.35">
      <c r="A538">
        <v>69000013830</v>
      </c>
      <c r="B538" t="s">
        <v>689</v>
      </c>
      <c r="C538" t="s">
        <v>146</v>
      </c>
      <c r="D538" t="s">
        <v>273</v>
      </c>
      <c r="E538" t="s">
        <v>15</v>
      </c>
      <c r="F538" t="s">
        <v>56</v>
      </c>
      <c r="G538" t="s">
        <v>16</v>
      </c>
      <c r="H538">
        <v>1</v>
      </c>
    </row>
    <row r="539" spans="1:8" x14ac:dyDescent="0.35">
      <c r="A539">
        <v>69000016213</v>
      </c>
      <c r="B539" t="s">
        <v>761</v>
      </c>
      <c r="C539" t="s">
        <v>53</v>
      </c>
      <c r="D539" t="s">
        <v>280</v>
      </c>
      <c r="E539" t="s">
        <v>15</v>
      </c>
      <c r="F539" t="s">
        <v>56</v>
      </c>
      <c r="G539" t="s">
        <v>16</v>
      </c>
      <c r="H539">
        <v>5</v>
      </c>
    </row>
    <row r="540" spans="1:8" x14ac:dyDescent="0.35">
      <c r="A540">
        <v>69000019832</v>
      </c>
      <c r="B540" t="s">
        <v>275</v>
      </c>
      <c r="C540" t="s">
        <v>53</v>
      </c>
      <c r="D540" t="s">
        <v>273</v>
      </c>
      <c r="E540" t="s">
        <v>15</v>
      </c>
      <c r="F540" t="s">
        <v>56</v>
      </c>
      <c r="G540" t="s">
        <v>16</v>
      </c>
      <c r="H540">
        <v>9</v>
      </c>
    </row>
    <row r="541" spans="1:8" x14ac:dyDescent="0.35">
      <c r="A541">
        <v>69000020081</v>
      </c>
      <c r="B541" t="s">
        <v>283</v>
      </c>
      <c r="C541" t="s">
        <v>78</v>
      </c>
      <c r="D541" t="s">
        <v>283</v>
      </c>
      <c r="E541" t="s">
        <v>15</v>
      </c>
      <c r="F541" t="s">
        <v>56</v>
      </c>
      <c r="G541" t="s">
        <v>16</v>
      </c>
      <c r="H541">
        <v>1</v>
      </c>
    </row>
    <row r="542" spans="1:8" x14ac:dyDescent="0.35">
      <c r="A542">
        <v>69000040607</v>
      </c>
      <c r="B542" t="s">
        <v>762</v>
      </c>
      <c r="C542" t="s">
        <v>151</v>
      </c>
      <c r="D542" t="s">
        <v>282</v>
      </c>
      <c r="E542" t="s">
        <v>15</v>
      </c>
      <c r="F542" t="s">
        <v>56</v>
      </c>
      <c r="G542" t="s">
        <v>16</v>
      </c>
      <c r="H542">
        <v>10</v>
      </c>
    </row>
    <row r="543" spans="1:8" x14ac:dyDescent="0.35">
      <c r="A543">
        <v>69000050569</v>
      </c>
      <c r="B543" t="s">
        <v>139</v>
      </c>
      <c r="C543" t="s">
        <v>9</v>
      </c>
      <c r="D543" t="s">
        <v>283</v>
      </c>
      <c r="E543" t="s">
        <v>15</v>
      </c>
      <c r="F543" t="s">
        <v>56</v>
      </c>
      <c r="G543" t="s">
        <v>16</v>
      </c>
      <c r="H543">
        <v>4</v>
      </c>
    </row>
    <row r="544" spans="1:8" x14ac:dyDescent="0.35">
      <c r="A544">
        <v>69000052273</v>
      </c>
      <c r="B544" t="s">
        <v>477</v>
      </c>
      <c r="C544" t="s">
        <v>151</v>
      </c>
      <c r="D544" t="s">
        <v>285</v>
      </c>
      <c r="E544" t="s">
        <v>15</v>
      </c>
      <c r="F544" t="s">
        <v>56</v>
      </c>
      <c r="G544" t="s">
        <v>16</v>
      </c>
      <c r="H544">
        <v>3</v>
      </c>
    </row>
    <row r="545" spans="1:8" x14ac:dyDescent="0.35">
      <c r="A545">
        <v>69000052617</v>
      </c>
      <c r="B545" t="s">
        <v>763</v>
      </c>
      <c r="C545" t="s">
        <v>53</v>
      </c>
      <c r="D545" t="s">
        <v>285</v>
      </c>
      <c r="E545" t="s">
        <v>15</v>
      </c>
      <c r="F545" t="s">
        <v>56</v>
      </c>
      <c r="G545" t="s">
        <v>16</v>
      </c>
      <c r="H545">
        <v>1</v>
      </c>
    </row>
    <row r="546" spans="1:8" x14ac:dyDescent="0.35">
      <c r="A546">
        <v>69000061008</v>
      </c>
      <c r="B546" t="s">
        <v>764</v>
      </c>
      <c r="C546" t="s">
        <v>9</v>
      </c>
      <c r="D546" t="s">
        <v>285</v>
      </c>
      <c r="E546" t="s">
        <v>15</v>
      </c>
      <c r="F546" t="s">
        <v>56</v>
      </c>
      <c r="G546" t="s">
        <v>16</v>
      </c>
      <c r="H546">
        <v>14</v>
      </c>
    </row>
    <row r="547" spans="1:8" x14ac:dyDescent="0.35">
      <c r="A547">
        <v>69000061015</v>
      </c>
      <c r="B547" t="s">
        <v>765</v>
      </c>
      <c r="C547" t="s">
        <v>53</v>
      </c>
      <c r="D547" t="s">
        <v>285</v>
      </c>
      <c r="E547" t="s">
        <v>15</v>
      </c>
      <c r="F547" t="s">
        <v>56</v>
      </c>
      <c r="G547" t="s">
        <v>16</v>
      </c>
      <c r="H547">
        <v>15</v>
      </c>
    </row>
    <row r="548" spans="1:8" x14ac:dyDescent="0.35">
      <c r="A548">
        <v>69000061015</v>
      </c>
      <c r="B548" t="s">
        <v>765</v>
      </c>
      <c r="C548" t="s">
        <v>53</v>
      </c>
      <c r="D548" t="s">
        <v>285</v>
      </c>
      <c r="E548" t="s">
        <v>15</v>
      </c>
      <c r="F548" t="s">
        <v>56</v>
      </c>
      <c r="G548" t="s">
        <v>31</v>
      </c>
      <c r="H548">
        <v>2</v>
      </c>
    </row>
    <row r="549" spans="1:8" x14ac:dyDescent="0.35">
      <c r="A549">
        <v>69000061039</v>
      </c>
      <c r="B549" t="s">
        <v>384</v>
      </c>
      <c r="C549" t="s">
        <v>146</v>
      </c>
      <c r="D549" t="s">
        <v>285</v>
      </c>
      <c r="E549" t="s">
        <v>15</v>
      </c>
      <c r="F549" t="s">
        <v>56</v>
      </c>
      <c r="G549" t="s">
        <v>16</v>
      </c>
      <c r="H549">
        <v>1</v>
      </c>
    </row>
    <row r="550" spans="1:8" x14ac:dyDescent="0.35">
      <c r="A550">
        <v>69000061053</v>
      </c>
      <c r="B550" t="s">
        <v>766</v>
      </c>
      <c r="C550" t="s">
        <v>192</v>
      </c>
      <c r="D550" t="s">
        <v>285</v>
      </c>
      <c r="E550" t="s">
        <v>15</v>
      </c>
      <c r="F550" t="s">
        <v>56</v>
      </c>
      <c r="G550" t="s">
        <v>16</v>
      </c>
      <c r="H550">
        <v>1</v>
      </c>
    </row>
    <row r="551" spans="1:8" x14ac:dyDescent="0.35">
      <c r="A551">
        <v>69000061053</v>
      </c>
      <c r="B551" t="s">
        <v>766</v>
      </c>
      <c r="C551" t="s">
        <v>192</v>
      </c>
      <c r="D551" t="s">
        <v>285</v>
      </c>
      <c r="E551" t="s">
        <v>15</v>
      </c>
      <c r="F551" t="s">
        <v>56</v>
      </c>
      <c r="G551" t="s">
        <v>31</v>
      </c>
      <c r="H551">
        <v>2</v>
      </c>
    </row>
    <row r="552" spans="1:8" x14ac:dyDescent="0.35">
      <c r="A552">
        <v>69000070116</v>
      </c>
      <c r="B552" t="s">
        <v>201</v>
      </c>
      <c r="C552" t="s">
        <v>53</v>
      </c>
      <c r="D552" t="s">
        <v>280</v>
      </c>
      <c r="E552" t="s">
        <v>15</v>
      </c>
      <c r="F552" t="s">
        <v>56</v>
      </c>
      <c r="G552" t="s">
        <v>16</v>
      </c>
      <c r="H552">
        <v>2</v>
      </c>
    </row>
    <row r="553" spans="1:8" x14ac:dyDescent="0.35">
      <c r="A553">
        <v>69000147344</v>
      </c>
      <c r="B553" t="s">
        <v>767</v>
      </c>
      <c r="C553" t="s">
        <v>53</v>
      </c>
      <c r="D553" t="s">
        <v>283</v>
      </c>
      <c r="E553" t="s">
        <v>15</v>
      </c>
      <c r="F553" t="s">
        <v>56</v>
      </c>
      <c r="G553" t="s">
        <v>16</v>
      </c>
      <c r="H553">
        <v>7</v>
      </c>
    </row>
    <row r="554" spans="1:8" x14ac:dyDescent="0.35">
      <c r="A554">
        <v>69000154939</v>
      </c>
      <c r="B554" t="s">
        <v>291</v>
      </c>
      <c r="C554" t="s">
        <v>53</v>
      </c>
      <c r="D554" t="s">
        <v>283</v>
      </c>
      <c r="E554" t="s">
        <v>15</v>
      </c>
      <c r="F554" t="s">
        <v>56</v>
      </c>
      <c r="G554" t="s">
        <v>16</v>
      </c>
      <c r="H554">
        <v>5</v>
      </c>
    </row>
    <row r="555" spans="1:8" x14ac:dyDescent="0.35">
      <c r="A555">
        <v>69000158715</v>
      </c>
      <c r="B555" t="s">
        <v>768</v>
      </c>
      <c r="C555" t="s">
        <v>53</v>
      </c>
      <c r="D555" t="s">
        <v>283</v>
      </c>
      <c r="E555" t="s">
        <v>15</v>
      </c>
      <c r="F555" t="s">
        <v>56</v>
      </c>
      <c r="G555" t="s">
        <v>16</v>
      </c>
      <c r="H555">
        <v>5</v>
      </c>
    </row>
    <row r="556" spans="1:8" x14ac:dyDescent="0.35">
      <c r="A556">
        <v>69000158920</v>
      </c>
      <c r="B556" t="s">
        <v>769</v>
      </c>
      <c r="C556" t="s">
        <v>53</v>
      </c>
      <c r="D556" t="s">
        <v>283</v>
      </c>
      <c r="E556" t="s">
        <v>15</v>
      </c>
      <c r="F556" t="s">
        <v>56</v>
      </c>
      <c r="G556" t="s">
        <v>16</v>
      </c>
      <c r="H556">
        <v>2</v>
      </c>
    </row>
    <row r="557" spans="1:8" x14ac:dyDescent="0.35">
      <c r="A557">
        <v>69000159286</v>
      </c>
      <c r="B557" t="s">
        <v>770</v>
      </c>
      <c r="C557" t="s">
        <v>53</v>
      </c>
      <c r="D557" t="s">
        <v>283</v>
      </c>
      <c r="E557" t="s">
        <v>15</v>
      </c>
      <c r="F557" t="s">
        <v>56</v>
      </c>
      <c r="G557" t="s">
        <v>16</v>
      </c>
      <c r="H557">
        <v>3</v>
      </c>
    </row>
    <row r="558" spans="1:8" x14ac:dyDescent="0.35">
      <c r="A558">
        <v>69000160671</v>
      </c>
      <c r="B558" t="s">
        <v>771</v>
      </c>
      <c r="C558" t="s">
        <v>53</v>
      </c>
      <c r="D558" t="s">
        <v>283</v>
      </c>
      <c r="E558" t="s">
        <v>15</v>
      </c>
      <c r="F558" t="s">
        <v>56</v>
      </c>
      <c r="G558" t="s">
        <v>16</v>
      </c>
      <c r="H558">
        <v>3</v>
      </c>
    </row>
    <row r="559" spans="1:8" x14ac:dyDescent="0.35">
      <c r="A559">
        <v>6900700</v>
      </c>
      <c r="B559" t="s">
        <v>772</v>
      </c>
      <c r="C559" t="s">
        <v>110</v>
      </c>
      <c r="D559" t="s">
        <v>273</v>
      </c>
      <c r="E559" t="s">
        <v>15</v>
      </c>
      <c r="F559" t="s">
        <v>56</v>
      </c>
      <c r="G559" t="s">
        <v>16</v>
      </c>
      <c r="H559">
        <v>2</v>
      </c>
    </row>
    <row r="560" spans="1:8" x14ac:dyDescent="0.35">
      <c r="A560">
        <v>6926102</v>
      </c>
      <c r="B560" t="s">
        <v>273</v>
      </c>
      <c r="C560" t="s">
        <v>78</v>
      </c>
      <c r="D560" t="s">
        <v>273</v>
      </c>
      <c r="E560" t="s">
        <v>15</v>
      </c>
      <c r="F560" t="s">
        <v>56</v>
      </c>
      <c r="G560" t="s">
        <v>16</v>
      </c>
      <c r="H560">
        <v>5</v>
      </c>
    </row>
    <row r="561" spans="1:8" x14ac:dyDescent="0.35">
      <c r="A561">
        <v>6998206</v>
      </c>
      <c r="B561" t="s">
        <v>273</v>
      </c>
      <c r="C561" t="s">
        <v>81</v>
      </c>
      <c r="D561" t="s">
        <v>273</v>
      </c>
      <c r="E561" t="s">
        <v>15</v>
      </c>
      <c r="F561" t="s">
        <v>56</v>
      </c>
      <c r="G561" t="s">
        <v>16</v>
      </c>
      <c r="H561">
        <v>9</v>
      </c>
    </row>
    <row r="562" spans="1:8" x14ac:dyDescent="0.35">
      <c r="A562">
        <v>6999100</v>
      </c>
      <c r="B562" t="s">
        <v>668</v>
      </c>
      <c r="C562" t="s">
        <v>151</v>
      </c>
      <c r="D562" t="s">
        <v>273</v>
      </c>
      <c r="E562" t="s">
        <v>15</v>
      </c>
      <c r="F562" t="s">
        <v>56</v>
      </c>
      <c r="G562" t="s">
        <v>16</v>
      </c>
      <c r="H562">
        <v>2</v>
      </c>
    </row>
    <row r="563" spans="1:8" x14ac:dyDescent="0.35">
      <c r="A563">
        <v>6999108</v>
      </c>
      <c r="B563" t="s">
        <v>273</v>
      </c>
      <c r="C563" t="s">
        <v>53</v>
      </c>
      <c r="D563" t="s">
        <v>273</v>
      </c>
      <c r="E563" t="s">
        <v>15</v>
      </c>
      <c r="F563" t="s">
        <v>56</v>
      </c>
      <c r="G563" t="s">
        <v>16</v>
      </c>
      <c r="H563">
        <v>17</v>
      </c>
    </row>
    <row r="564" spans="1:8" x14ac:dyDescent="0.35">
      <c r="A564">
        <v>700083059390</v>
      </c>
      <c r="B564" t="s">
        <v>773</v>
      </c>
      <c r="C564" t="s">
        <v>774</v>
      </c>
      <c r="D564" t="s">
        <v>775</v>
      </c>
      <c r="E564" t="s">
        <v>776</v>
      </c>
      <c r="F564" t="s">
        <v>777</v>
      </c>
      <c r="G564" t="s">
        <v>34</v>
      </c>
      <c r="H564">
        <v>2</v>
      </c>
    </row>
    <row r="565" spans="1:8" x14ac:dyDescent="0.35">
      <c r="A565">
        <v>700083059826</v>
      </c>
      <c r="B565" t="s">
        <v>778</v>
      </c>
      <c r="C565" t="s">
        <v>272</v>
      </c>
      <c r="D565" t="s">
        <v>779</v>
      </c>
      <c r="E565" t="s">
        <v>780</v>
      </c>
      <c r="F565" t="s">
        <v>781</v>
      </c>
      <c r="G565" t="s">
        <v>34</v>
      </c>
      <c r="H565">
        <v>328</v>
      </c>
    </row>
    <row r="566" spans="1:8" x14ac:dyDescent="0.35">
      <c r="A566">
        <v>700083060006</v>
      </c>
      <c r="B566" t="s">
        <v>295</v>
      </c>
      <c r="C566" t="s">
        <v>472</v>
      </c>
      <c r="D566" t="s">
        <v>679</v>
      </c>
      <c r="E566" t="s">
        <v>22</v>
      </c>
      <c r="F566" t="s">
        <v>680</v>
      </c>
      <c r="G566" t="s">
        <v>34</v>
      </c>
      <c r="H566">
        <v>1</v>
      </c>
    </row>
    <row r="567" spans="1:8" x14ac:dyDescent="0.35">
      <c r="A567">
        <v>700083060273</v>
      </c>
      <c r="B567" t="s">
        <v>167</v>
      </c>
      <c r="C567" t="s">
        <v>472</v>
      </c>
      <c r="D567" t="s">
        <v>782</v>
      </c>
      <c r="E567" t="s">
        <v>578</v>
      </c>
      <c r="F567" t="s">
        <v>783</v>
      </c>
      <c r="G567" t="s">
        <v>117</v>
      </c>
      <c r="H567">
        <v>6</v>
      </c>
    </row>
    <row r="568" spans="1:8" x14ac:dyDescent="0.35">
      <c r="A568">
        <v>700083060280</v>
      </c>
      <c r="B568" t="s">
        <v>668</v>
      </c>
      <c r="C568" t="s">
        <v>472</v>
      </c>
      <c r="D568" t="s">
        <v>782</v>
      </c>
      <c r="E568" t="s">
        <v>578</v>
      </c>
      <c r="F568" t="s">
        <v>783</v>
      </c>
      <c r="G568" t="s">
        <v>117</v>
      </c>
      <c r="H568">
        <v>5</v>
      </c>
    </row>
    <row r="569" spans="1:8" x14ac:dyDescent="0.35">
      <c r="A569">
        <v>700083060297</v>
      </c>
      <c r="B569" t="s">
        <v>784</v>
      </c>
      <c r="C569" t="s">
        <v>472</v>
      </c>
      <c r="D569" t="s">
        <v>782</v>
      </c>
      <c r="E569" t="s">
        <v>578</v>
      </c>
      <c r="F569" t="s">
        <v>783</v>
      </c>
      <c r="G569" t="s">
        <v>117</v>
      </c>
      <c r="H569">
        <v>4</v>
      </c>
    </row>
    <row r="570" spans="1:8" x14ac:dyDescent="0.35">
      <c r="A570">
        <v>700083060679</v>
      </c>
      <c r="B570" t="s">
        <v>675</v>
      </c>
      <c r="C570" t="s">
        <v>472</v>
      </c>
      <c r="D570" t="s">
        <v>782</v>
      </c>
      <c r="E570" t="s">
        <v>578</v>
      </c>
      <c r="F570" t="s">
        <v>783</v>
      </c>
      <c r="G570" t="s">
        <v>117</v>
      </c>
      <c r="H570">
        <v>12</v>
      </c>
    </row>
    <row r="571" spans="1:8" x14ac:dyDescent="0.35">
      <c r="A571">
        <v>700083060709</v>
      </c>
      <c r="B571" t="s">
        <v>668</v>
      </c>
      <c r="C571" t="s">
        <v>472</v>
      </c>
      <c r="D571" t="s">
        <v>785</v>
      </c>
      <c r="E571" t="s">
        <v>578</v>
      </c>
      <c r="F571" t="s">
        <v>783</v>
      </c>
      <c r="G571" t="s">
        <v>117</v>
      </c>
      <c r="H571">
        <v>1</v>
      </c>
    </row>
    <row r="572" spans="1:8" x14ac:dyDescent="0.35">
      <c r="A572">
        <v>700083060730</v>
      </c>
      <c r="B572" t="s">
        <v>288</v>
      </c>
      <c r="C572" t="s">
        <v>472</v>
      </c>
      <c r="D572" t="s">
        <v>785</v>
      </c>
      <c r="E572" t="s">
        <v>578</v>
      </c>
      <c r="F572" t="s">
        <v>783</v>
      </c>
      <c r="G572" t="s">
        <v>117</v>
      </c>
      <c r="H572">
        <v>3</v>
      </c>
    </row>
    <row r="573" spans="1:8" x14ac:dyDescent="0.35">
      <c r="A573">
        <v>700083060815</v>
      </c>
      <c r="B573" t="s">
        <v>581</v>
      </c>
      <c r="C573" t="s">
        <v>472</v>
      </c>
      <c r="D573" t="s">
        <v>611</v>
      </c>
      <c r="E573" t="s">
        <v>308</v>
      </c>
      <c r="F573" t="s">
        <v>309</v>
      </c>
      <c r="G573" t="s">
        <v>117</v>
      </c>
      <c r="H573">
        <v>1</v>
      </c>
    </row>
    <row r="574" spans="1:8" x14ac:dyDescent="0.35">
      <c r="A574">
        <v>701197345706</v>
      </c>
      <c r="B574" t="s">
        <v>786</v>
      </c>
      <c r="C574" t="s">
        <v>9</v>
      </c>
      <c r="D574" t="s">
        <v>787</v>
      </c>
      <c r="E574" t="s">
        <v>788</v>
      </c>
      <c r="F574" t="s">
        <v>789</v>
      </c>
      <c r="G574" t="s">
        <v>33</v>
      </c>
      <c r="H574">
        <v>24</v>
      </c>
    </row>
    <row r="575" spans="1:8" x14ac:dyDescent="0.35">
      <c r="A575">
        <v>701698525010</v>
      </c>
      <c r="B575" t="s">
        <v>790</v>
      </c>
      <c r="C575" t="s">
        <v>9</v>
      </c>
      <c r="D575" t="s">
        <v>791</v>
      </c>
      <c r="E575" t="s">
        <v>34</v>
      </c>
      <c r="F575" t="s">
        <v>792</v>
      </c>
      <c r="G575" t="s">
        <v>34</v>
      </c>
      <c r="H575">
        <v>267</v>
      </c>
    </row>
    <row r="576" spans="1:8" x14ac:dyDescent="0.35">
      <c r="A576">
        <v>701698525027</v>
      </c>
      <c r="B576" t="s">
        <v>790</v>
      </c>
      <c r="C576" t="s">
        <v>192</v>
      </c>
      <c r="D576" t="s">
        <v>791</v>
      </c>
      <c r="E576" t="s">
        <v>34</v>
      </c>
      <c r="F576" t="s">
        <v>792</v>
      </c>
      <c r="G576" t="s">
        <v>34</v>
      </c>
      <c r="H576">
        <v>119</v>
      </c>
    </row>
    <row r="577" spans="1:8" x14ac:dyDescent="0.35">
      <c r="A577">
        <v>701698525034</v>
      </c>
      <c r="B577" t="s">
        <v>793</v>
      </c>
      <c r="C577" t="s">
        <v>75</v>
      </c>
      <c r="D577" t="s">
        <v>791</v>
      </c>
      <c r="E577" t="s">
        <v>34</v>
      </c>
      <c r="F577" t="s">
        <v>792</v>
      </c>
      <c r="G577" t="s">
        <v>34</v>
      </c>
      <c r="H577">
        <v>22</v>
      </c>
    </row>
    <row r="578" spans="1:8" x14ac:dyDescent="0.35">
      <c r="A578">
        <v>705632476345</v>
      </c>
      <c r="B578" t="s">
        <v>794</v>
      </c>
      <c r="C578" t="s">
        <v>9</v>
      </c>
      <c r="D578" t="s">
        <v>795</v>
      </c>
      <c r="E578" t="s">
        <v>33</v>
      </c>
      <c r="F578" t="s">
        <v>796</v>
      </c>
      <c r="G578" t="s">
        <v>33</v>
      </c>
      <c r="H578">
        <v>245</v>
      </c>
    </row>
    <row r="579" spans="1:8" x14ac:dyDescent="0.35">
      <c r="A579">
        <v>705632559215</v>
      </c>
      <c r="B579" t="s">
        <v>797</v>
      </c>
      <c r="C579" t="s">
        <v>9</v>
      </c>
      <c r="D579" t="s">
        <v>798</v>
      </c>
      <c r="E579" t="s">
        <v>71</v>
      </c>
      <c r="F579" t="s">
        <v>799</v>
      </c>
      <c r="G579" t="s">
        <v>11</v>
      </c>
      <c r="H579">
        <v>17</v>
      </c>
    </row>
    <row r="580" spans="1:8" x14ac:dyDescent="0.35">
      <c r="A580">
        <v>705632559222</v>
      </c>
      <c r="B580" t="s">
        <v>800</v>
      </c>
      <c r="C580" t="s">
        <v>801</v>
      </c>
      <c r="D580" t="s">
        <v>798</v>
      </c>
      <c r="E580" t="s">
        <v>71</v>
      </c>
      <c r="F580" t="s">
        <v>799</v>
      </c>
      <c r="G580" t="s">
        <v>11</v>
      </c>
      <c r="H580">
        <v>6</v>
      </c>
    </row>
    <row r="581" spans="1:8" x14ac:dyDescent="0.35">
      <c r="A581">
        <v>705632559222</v>
      </c>
      <c r="B581" t="s">
        <v>800</v>
      </c>
      <c r="C581" t="s">
        <v>801</v>
      </c>
      <c r="D581" t="s">
        <v>798</v>
      </c>
      <c r="E581" t="s">
        <v>71</v>
      </c>
      <c r="F581" t="s">
        <v>799</v>
      </c>
      <c r="G581" t="s">
        <v>150</v>
      </c>
      <c r="H581">
        <v>11</v>
      </c>
    </row>
    <row r="582" spans="1:8" x14ac:dyDescent="0.35">
      <c r="A582">
        <v>705632600955</v>
      </c>
      <c r="B582" t="s">
        <v>802</v>
      </c>
      <c r="C582" t="s">
        <v>272</v>
      </c>
      <c r="D582" t="s">
        <v>802</v>
      </c>
      <c r="E582" t="s">
        <v>41</v>
      </c>
      <c r="F582" t="s">
        <v>803</v>
      </c>
      <c r="G582" t="s">
        <v>578</v>
      </c>
      <c r="H582">
        <v>3</v>
      </c>
    </row>
    <row r="583" spans="1:8" x14ac:dyDescent="0.35">
      <c r="A583">
        <v>707389527660</v>
      </c>
      <c r="B583" t="s">
        <v>581</v>
      </c>
      <c r="C583" t="s">
        <v>472</v>
      </c>
      <c r="D583" t="s">
        <v>804</v>
      </c>
      <c r="E583" t="s">
        <v>578</v>
      </c>
      <c r="F583" t="s">
        <v>783</v>
      </c>
      <c r="G583" t="s">
        <v>117</v>
      </c>
      <c r="H583">
        <v>1</v>
      </c>
    </row>
    <row r="584" spans="1:8" x14ac:dyDescent="0.35">
      <c r="A584">
        <v>708002401619</v>
      </c>
      <c r="B584" t="s">
        <v>805</v>
      </c>
      <c r="C584" t="s">
        <v>806</v>
      </c>
      <c r="D584" t="s">
        <v>807</v>
      </c>
      <c r="E584" t="s">
        <v>22</v>
      </c>
      <c r="F584" t="s">
        <v>808</v>
      </c>
      <c r="G584" t="s">
        <v>22</v>
      </c>
      <c r="H584">
        <v>1</v>
      </c>
    </row>
    <row r="585" spans="1:8" x14ac:dyDescent="0.35">
      <c r="A585">
        <v>708002407727</v>
      </c>
      <c r="B585" t="s">
        <v>809</v>
      </c>
      <c r="C585" t="s">
        <v>806</v>
      </c>
      <c r="D585" t="s">
        <v>807</v>
      </c>
      <c r="E585" t="s">
        <v>22</v>
      </c>
      <c r="F585" t="s">
        <v>808</v>
      </c>
      <c r="G585" t="s">
        <v>22</v>
      </c>
      <c r="H585">
        <v>1</v>
      </c>
    </row>
    <row r="586" spans="1:8" x14ac:dyDescent="0.35">
      <c r="A586">
        <v>70847029656</v>
      </c>
      <c r="B586" t="s">
        <v>810</v>
      </c>
      <c r="C586" t="s">
        <v>623</v>
      </c>
      <c r="D586" t="s">
        <v>296</v>
      </c>
      <c r="E586" t="s">
        <v>15</v>
      </c>
      <c r="F586" t="s">
        <v>297</v>
      </c>
      <c r="G586" t="s">
        <v>16</v>
      </c>
      <c r="H586">
        <v>1</v>
      </c>
    </row>
    <row r="587" spans="1:8" x14ac:dyDescent="0.35">
      <c r="A587">
        <v>7216718</v>
      </c>
      <c r="B587" t="s">
        <v>494</v>
      </c>
      <c r="C587" t="s">
        <v>9</v>
      </c>
      <c r="D587" t="s">
        <v>55</v>
      </c>
      <c r="E587" t="s">
        <v>15</v>
      </c>
      <c r="F587" t="s">
        <v>56</v>
      </c>
      <c r="G587" t="s">
        <v>16</v>
      </c>
      <c r="H587">
        <v>1</v>
      </c>
    </row>
    <row r="588" spans="1:8" x14ac:dyDescent="0.35">
      <c r="A588">
        <v>722777707509</v>
      </c>
      <c r="B588" t="s">
        <v>380</v>
      </c>
      <c r="C588" t="s">
        <v>326</v>
      </c>
      <c r="D588" t="s">
        <v>811</v>
      </c>
      <c r="E588" t="s">
        <v>117</v>
      </c>
      <c r="F588" t="s">
        <v>695</v>
      </c>
      <c r="G588" t="s">
        <v>117</v>
      </c>
      <c r="H588">
        <v>2687</v>
      </c>
    </row>
    <row r="589" spans="1:8" x14ac:dyDescent="0.35">
      <c r="A589">
        <v>722777707523</v>
      </c>
      <c r="B589" t="s">
        <v>812</v>
      </c>
      <c r="C589" t="s">
        <v>192</v>
      </c>
      <c r="D589" t="s">
        <v>811</v>
      </c>
      <c r="E589" t="s">
        <v>117</v>
      </c>
      <c r="F589" t="s">
        <v>695</v>
      </c>
      <c r="G589" t="s">
        <v>117</v>
      </c>
      <c r="H589">
        <v>6</v>
      </c>
    </row>
    <row r="590" spans="1:8" x14ac:dyDescent="0.35">
      <c r="A590">
        <v>728028491876</v>
      </c>
      <c r="B590" t="s">
        <v>813</v>
      </c>
      <c r="C590" t="s">
        <v>814</v>
      </c>
      <c r="D590" t="s">
        <v>815</v>
      </c>
      <c r="E590" t="s">
        <v>816</v>
      </c>
      <c r="F590" t="s">
        <v>817</v>
      </c>
      <c r="G590" t="s">
        <v>33</v>
      </c>
      <c r="H590">
        <v>50</v>
      </c>
    </row>
    <row r="591" spans="1:8" x14ac:dyDescent="0.35">
      <c r="A591">
        <v>735850727455</v>
      </c>
      <c r="B591" t="s">
        <v>818</v>
      </c>
      <c r="C591" t="s">
        <v>9</v>
      </c>
      <c r="D591" t="s">
        <v>819</v>
      </c>
      <c r="E591" t="s">
        <v>776</v>
      </c>
      <c r="F591" t="s">
        <v>820</v>
      </c>
      <c r="G591" t="s">
        <v>34</v>
      </c>
      <c r="H591">
        <v>303</v>
      </c>
    </row>
    <row r="592" spans="1:8" x14ac:dyDescent="0.35">
      <c r="A592">
        <v>735850727455</v>
      </c>
      <c r="B592" t="s">
        <v>818</v>
      </c>
      <c r="C592" t="s">
        <v>9</v>
      </c>
      <c r="D592" t="s">
        <v>819</v>
      </c>
      <c r="E592" t="s">
        <v>776</v>
      </c>
      <c r="F592" t="s">
        <v>820</v>
      </c>
      <c r="G592" t="s">
        <v>73</v>
      </c>
      <c r="H592">
        <v>1</v>
      </c>
    </row>
    <row r="593" spans="1:8" x14ac:dyDescent="0.35">
      <c r="A593">
        <v>735850727462</v>
      </c>
      <c r="B593" t="s">
        <v>821</v>
      </c>
      <c r="C593" t="s">
        <v>192</v>
      </c>
      <c r="D593" t="s">
        <v>819</v>
      </c>
      <c r="E593" t="s">
        <v>776</v>
      </c>
      <c r="F593" t="s">
        <v>820</v>
      </c>
      <c r="G593" t="s">
        <v>33</v>
      </c>
      <c r="H593">
        <v>5</v>
      </c>
    </row>
    <row r="594" spans="1:8" x14ac:dyDescent="0.35">
      <c r="A594">
        <v>735850727462</v>
      </c>
      <c r="B594" t="s">
        <v>821</v>
      </c>
      <c r="C594" t="s">
        <v>192</v>
      </c>
      <c r="D594" t="s">
        <v>819</v>
      </c>
      <c r="E594" t="s">
        <v>776</v>
      </c>
      <c r="F594" t="s">
        <v>820</v>
      </c>
      <c r="G594" t="s">
        <v>34</v>
      </c>
      <c r="H594">
        <v>205</v>
      </c>
    </row>
    <row r="595" spans="1:8" x14ac:dyDescent="0.35">
      <c r="A595">
        <v>736532548139</v>
      </c>
      <c r="B595" t="s">
        <v>822</v>
      </c>
      <c r="C595" t="s">
        <v>681</v>
      </c>
      <c r="D595" t="s">
        <v>823</v>
      </c>
      <c r="E595" t="s">
        <v>308</v>
      </c>
      <c r="F595" t="s">
        <v>309</v>
      </c>
      <c r="G595" t="s">
        <v>34</v>
      </c>
      <c r="H595">
        <v>1</v>
      </c>
    </row>
    <row r="596" spans="1:8" x14ac:dyDescent="0.35">
      <c r="A596">
        <v>739252175913</v>
      </c>
      <c r="B596" t="s">
        <v>446</v>
      </c>
      <c r="C596" t="s">
        <v>192</v>
      </c>
      <c r="D596" t="s">
        <v>824</v>
      </c>
      <c r="E596" t="s">
        <v>308</v>
      </c>
      <c r="F596" t="s">
        <v>309</v>
      </c>
      <c r="G596" t="s">
        <v>117</v>
      </c>
      <c r="H596">
        <v>5</v>
      </c>
    </row>
    <row r="597" spans="1:8" x14ac:dyDescent="0.35">
      <c r="A597">
        <v>745110162568</v>
      </c>
      <c r="B597" t="s">
        <v>485</v>
      </c>
      <c r="C597" t="s">
        <v>825</v>
      </c>
      <c r="D597" t="s">
        <v>826</v>
      </c>
      <c r="E597" t="s">
        <v>827</v>
      </c>
      <c r="F597" t="s">
        <v>828</v>
      </c>
      <c r="G597" t="s">
        <v>150</v>
      </c>
      <c r="H597">
        <v>22</v>
      </c>
    </row>
    <row r="598" spans="1:8" x14ac:dyDescent="0.35">
      <c r="A598">
        <v>745110162575</v>
      </c>
      <c r="B598" t="s">
        <v>829</v>
      </c>
      <c r="C598" t="s">
        <v>114</v>
      </c>
      <c r="D598" t="s">
        <v>826</v>
      </c>
      <c r="E598" t="s">
        <v>827</v>
      </c>
      <c r="F598" t="s">
        <v>828</v>
      </c>
      <c r="G598" t="s">
        <v>150</v>
      </c>
      <c r="H598">
        <v>3</v>
      </c>
    </row>
    <row r="599" spans="1:8" x14ac:dyDescent="0.35">
      <c r="A599">
        <v>745110332619</v>
      </c>
      <c r="B599" t="s">
        <v>544</v>
      </c>
      <c r="C599" t="s">
        <v>81</v>
      </c>
      <c r="D599" t="s">
        <v>830</v>
      </c>
      <c r="E599" t="s">
        <v>308</v>
      </c>
      <c r="F599" t="s">
        <v>309</v>
      </c>
      <c r="G599" t="s">
        <v>11</v>
      </c>
      <c r="H599">
        <v>14</v>
      </c>
    </row>
    <row r="600" spans="1:8" x14ac:dyDescent="0.35">
      <c r="A600">
        <v>745110360049</v>
      </c>
      <c r="B600" t="s">
        <v>831</v>
      </c>
      <c r="C600" t="s">
        <v>81</v>
      </c>
      <c r="D600" t="s">
        <v>832</v>
      </c>
      <c r="E600" t="s">
        <v>11</v>
      </c>
      <c r="F600" t="s">
        <v>833</v>
      </c>
      <c r="G600" t="s">
        <v>150</v>
      </c>
      <c r="H600">
        <v>15</v>
      </c>
    </row>
    <row r="601" spans="1:8" x14ac:dyDescent="0.35">
      <c r="A601">
        <v>745110421344</v>
      </c>
      <c r="B601" t="s">
        <v>834</v>
      </c>
      <c r="C601" t="s">
        <v>9</v>
      </c>
      <c r="D601" t="s">
        <v>835</v>
      </c>
      <c r="E601" t="s">
        <v>11</v>
      </c>
      <c r="F601" t="s">
        <v>836</v>
      </c>
      <c r="G601" t="s">
        <v>11</v>
      </c>
      <c r="H601">
        <v>2</v>
      </c>
    </row>
    <row r="602" spans="1:8" x14ac:dyDescent="0.35">
      <c r="A602">
        <v>745110421344</v>
      </c>
      <c r="B602" t="s">
        <v>834</v>
      </c>
      <c r="C602" t="s">
        <v>9</v>
      </c>
      <c r="D602" t="s">
        <v>835</v>
      </c>
      <c r="E602" t="s">
        <v>11</v>
      </c>
      <c r="F602" t="s">
        <v>836</v>
      </c>
      <c r="G602" t="s">
        <v>34</v>
      </c>
      <c r="H602">
        <v>4</v>
      </c>
    </row>
    <row r="603" spans="1:8" x14ac:dyDescent="0.35">
      <c r="A603">
        <v>745110421351</v>
      </c>
      <c r="B603" t="s">
        <v>8</v>
      </c>
      <c r="C603" t="s">
        <v>825</v>
      </c>
      <c r="D603" t="s">
        <v>835</v>
      </c>
      <c r="E603" t="s">
        <v>11</v>
      </c>
      <c r="F603" t="s">
        <v>836</v>
      </c>
      <c r="G603" t="s">
        <v>11</v>
      </c>
      <c r="H603">
        <v>1</v>
      </c>
    </row>
    <row r="604" spans="1:8" x14ac:dyDescent="0.35">
      <c r="A604">
        <v>745110422457</v>
      </c>
      <c r="B604" t="s">
        <v>838</v>
      </c>
      <c r="C604" t="s">
        <v>326</v>
      </c>
      <c r="D604" t="s">
        <v>839</v>
      </c>
      <c r="E604" t="s">
        <v>117</v>
      </c>
      <c r="F604" t="s">
        <v>840</v>
      </c>
      <c r="G604" t="s">
        <v>117</v>
      </c>
      <c r="H604">
        <v>4</v>
      </c>
    </row>
    <row r="605" spans="1:8" x14ac:dyDescent="0.35">
      <c r="A605">
        <v>745110637950</v>
      </c>
      <c r="B605" t="s">
        <v>384</v>
      </c>
      <c r="C605" t="s">
        <v>9</v>
      </c>
      <c r="D605" t="s">
        <v>841</v>
      </c>
      <c r="E605" t="s">
        <v>22</v>
      </c>
      <c r="F605" t="s">
        <v>842</v>
      </c>
      <c r="G605" t="s">
        <v>31</v>
      </c>
      <c r="H605">
        <v>22</v>
      </c>
    </row>
    <row r="606" spans="1:8" x14ac:dyDescent="0.35">
      <c r="A606">
        <v>745110637967</v>
      </c>
      <c r="B606" t="s">
        <v>843</v>
      </c>
      <c r="C606" t="s">
        <v>825</v>
      </c>
      <c r="D606" t="s">
        <v>844</v>
      </c>
      <c r="E606" t="s">
        <v>308</v>
      </c>
      <c r="F606" t="s">
        <v>309</v>
      </c>
      <c r="G606" t="s">
        <v>31</v>
      </c>
      <c r="H606">
        <v>4</v>
      </c>
    </row>
    <row r="607" spans="1:8" x14ac:dyDescent="0.35">
      <c r="A607">
        <v>745110738671</v>
      </c>
      <c r="B607" t="s">
        <v>845</v>
      </c>
      <c r="C607" t="s">
        <v>326</v>
      </c>
      <c r="D607" t="s">
        <v>846</v>
      </c>
      <c r="E607" t="s">
        <v>117</v>
      </c>
      <c r="F607" t="s">
        <v>847</v>
      </c>
      <c r="G607" t="s">
        <v>117</v>
      </c>
      <c r="H607">
        <v>7</v>
      </c>
    </row>
    <row r="608" spans="1:8" x14ac:dyDescent="0.35">
      <c r="A608">
        <v>745110855545</v>
      </c>
      <c r="B608" t="s">
        <v>848</v>
      </c>
      <c r="C608" t="s">
        <v>849</v>
      </c>
      <c r="D608" t="s">
        <v>850</v>
      </c>
      <c r="E608" t="s">
        <v>578</v>
      </c>
      <c r="F608" t="s">
        <v>579</v>
      </c>
      <c r="G608" t="s">
        <v>117</v>
      </c>
      <c r="H608">
        <v>50</v>
      </c>
    </row>
    <row r="609" spans="1:8" x14ac:dyDescent="0.35">
      <c r="A609">
        <v>745110855552</v>
      </c>
      <c r="B609" t="s">
        <v>850</v>
      </c>
      <c r="C609" t="s">
        <v>849</v>
      </c>
      <c r="D609" t="s">
        <v>850</v>
      </c>
      <c r="E609" t="s">
        <v>578</v>
      </c>
      <c r="F609" t="s">
        <v>579</v>
      </c>
      <c r="G609" t="s">
        <v>117</v>
      </c>
      <c r="H609">
        <v>50</v>
      </c>
    </row>
    <row r="610" spans="1:8" x14ac:dyDescent="0.35">
      <c r="A610">
        <v>745110904571</v>
      </c>
      <c r="B610" t="s">
        <v>851</v>
      </c>
      <c r="C610" t="s">
        <v>9</v>
      </c>
      <c r="D610" t="s">
        <v>852</v>
      </c>
      <c r="E610" t="s">
        <v>308</v>
      </c>
      <c r="F610" t="s">
        <v>309</v>
      </c>
      <c r="G610" t="s">
        <v>11</v>
      </c>
      <c r="H610">
        <v>4</v>
      </c>
    </row>
    <row r="611" spans="1:8" x14ac:dyDescent="0.35">
      <c r="A611">
        <v>745110917106</v>
      </c>
      <c r="B611" t="s">
        <v>167</v>
      </c>
      <c r="C611" t="s">
        <v>806</v>
      </c>
      <c r="D611" t="s">
        <v>694</v>
      </c>
      <c r="E611" t="s">
        <v>117</v>
      </c>
      <c r="F611" t="s">
        <v>695</v>
      </c>
      <c r="G611" t="s">
        <v>117</v>
      </c>
      <c r="H611">
        <v>135</v>
      </c>
    </row>
    <row r="612" spans="1:8" x14ac:dyDescent="0.35">
      <c r="A612">
        <v>745110917113</v>
      </c>
      <c r="B612" t="s">
        <v>853</v>
      </c>
      <c r="C612" t="s">
        <v>806</v>
      </c>
      <c r="D612" t="s">
        <v>694</v>
      </c>
      <c r="E612" t="s">
        <v>117</v>
      </c>
      <c r="F612" t="s">
        <v>695</v>
      </c>
      <c r="G612" t="s">
        <v>117</v>
      </c>
      <c r="H612">
        <v>4</v>
      </c>
    </row>
    <row r="613" spans="1:8" x14ac:dyDescent="0.35">
      <c r="A613">
        <v>745110917120</v>
      </c>
      <c r="B613" t="s">
        <v>854</v>
      </c>
      <c r="C613" t="s">
        <v>806</v>
      </c>
      <c r="D613" t="s">
        <v>694</v>
      </c>
      <c r="E613" t="s">
        <v>117</v>
      </c>
      <c r="F613" t="s">
        <v>695</v>
      </c>
      <c r="G613" t="s">
        <v>117</v>
      </c>
      <c r="H613">
        <v>12</v>
      </c>
    </row>
    <row r="614" spans="1:8" x14ac:dyDescent="0.35">
      <c r="A614">
        <v>745110917137</v>
      </c>
      <c r="B614" t="s">
        <v>696</v>
      </c>
      <c r="C614" t="s">
        <v>806</v>
      </c>
      <c r="D614" t="s">
        <v>694</v>
      </c>
      <c r="E614" t="s">
        <v>117</v>
      </c>
      <c r="F614" t="s">
        <v>695</v>
      </c>
      <c r="G614" t="s">
        <v>117</v>
      </c>
      <c r="H614">
        <v>97</v>
      </c>
    </row>
    <row r="615" spans="1:8" x14ac:dyDescent="0.35">
      <c r="A615">
        <v>745110917144</v>
      </c>
      <c r="B615" t="s">
        <v>855</v>
      </c>
      <c r="C615" t="s">
        <v>83</v>
      </c>
      <c r="D615" t="s">
        <v>694</v>
      </c>
      <c r="E615" t="s">
        <v>117</v>
      </c>
      <c r="F615" t="s">
        <v>695</v>
      </c>
      <c r="G615" t="s">
        <v>117</v>
      </c>
      <c r="H615">
        <v>4</v>
      </c>
    </row>
    <row r="616" spans="1:8" x14ac:dyDescent="0.35">
      <c r="A616">
        <v>745110917168</v>
      </c>
      <c r="B616" t="s">
        <v>668</v>
      </c>
      <c r="C616" t="s">
        <v>83</v>
      </c>
      <c r="D616" t="s">
        <v>694</v>
      </c>
      <c r="E616" t="s">
        <v>117</v>
      </c>
      <c r="F616" t="s">
        <v>695</v>
      </c>
      <c r="G616" t="s">
        <v>117</v>
      </c>
      <c r="H616">
        <v>60</v>
      </c>
    </row>
    <row r="617" spans="1:8" x14ac:dyDescent="0.35">
      <c r="A617">
        <v>745125053370</v>
      </c>
      <c r="B617" t="s">
        <v>856</v>
      </c>
      <c r="C617" t="s">
        <v>9</v>
      </c>
      <c r="D617" t="s">
        <v>357</v>
      </c>
      <c r="E617" t="s">
        <v>150</v>
      </c>
      <c r="F617" t="s">
        <v>358</v>
      </c>
      <c r="G617" t="s">
        <v>11</v>
      </c>
      <c r="H617">
        <v>24</v>
      </c>
    </row>
    <row r="618" spans="1:8" x14ac:dyDescent="0.35">
      <c r="A618">
        <v>745125114736</v>
      </c>
      <c r="B618" t="s">
        <v>857</v>
      </c>
      <c r="C618" t="s">
        <v>272</v>
      </c>
      <c r="D618" t="s">
        <v>858</v>
      </c>
      <c r="E618" t="s">
        <v>11</v>
      </c>
      <c r="F618" t="s">
        <v>859</v>
      </c>
      <c r="G618" t="s">
        <v>11</v>
      </c>
      <c r="H618">
        <v>20</v>
      </c>
    </row>
    <row r="619" spans="1:8" x14ac:dyDescent="0.35">
      <c r="A619">
        <v>745125752327</v>
      </c>
      <c r="B619" t="s">
        <v>589</v>
      </c>
      <c r="C619" t="s">
        <v>192</v>
      </c>
      <c r="D619" t="s">
        <v>860</v>
      </c>
      <c r="E619" t="s">
        <v>11</v>
      </c>
      <c r="F619" t="s">
        <v>861</v>
      </c>
      <c r="G619" t="s">
        <v>34</v>
      </c>
      <c r="H619">
        <v>2</v>
      </c>
    </row>
    <row r="620" spans="1:8" x14ac:dyDescent="0.35">
      <c r="A620">
        <v>745178589840</v>
      </c>
      <c r="B620" t="s">
        <v>834</v>
      </c>
      <c r="C620" t="s">
        <v>9</v>
      </c>
      <c r="D620" t="s">
        <v>862</v>
      </c>
      <c r="E620" t="s">
        <v>11</v>
      </c>
      <c r="F620" t="s">
        <v>863</v>
      </c>
      <c r="G620" t="s">
        <v>11</v>
      </c>
      <c r="H620">
        <v>507</v>
      </c>
    </row>
    <row r="621" spans="1:8" x14ac:dyDescent="0.35">
      <c r="A621">
        <v>745178589857</v>
      </c>
      <c r="B621" t="s">
        <v>834</v>
      </c>
      <c r="C621" t="s">
        <v>192</v>
      </c>
      <c r="D621" t="s">
        <v>862</v>
      </c>
      <c r="E621" t="s">
        <v>11</v>
      </c>
      <c r="F621" t="s">
        <v>863</v>
      </c>
      <c r="G621" t="s">
        <v>11</v>
      </c>
      <c r="H621">
        <v>1</v>
      </c>
    </row>
    <row r="622" spans="1:8" x14ac:dyDescent="0.35">
      <c r="A622">
        <v>745178751117</v>
      </c>
      <c r="B622" t="s">
        <v>864</v>
      </c>
      <c r="C622" t="s">
        <v>865</v>
      </c>
      <c r="D622" t="s">
        <v>866</v>
      </c>
      <c r="E622" t="s">
        <v>867</v>
      </c>
      <c r="F622" t="s">
        <v>868</v>
      </c>
      <c r="G622" t="s">
        <v>41</v>
      </c>
      <c r="H622">
        <v>54</v>
      </c>
    </row>
    <row r="623" spans="1:8" x14ac:dyDescent="0.35">
      <c r="A623">
        <v>745178919531</v>
      </c>
      <c r="B623" t="s">
        <v>834</v>
      </c>
      <c r="C623" t="s">
        <v>9</v>
      </c>
      <c r="D623" t="s">
        <v>869</v>
      </c>
      <c r="E623" t="s">
        <v>11</v>
      </c>
      <c r="F623" t="s">
        <v>870</v>
      </c>
      <c r="G623" t="s">
        <v>11</v>
      </c>
      <c r="H623">
        <v>53</v>
      </c>
    </row>
    <row r="624" spans="1:8" x14ac:dyDescent="0.35">
      <c r="A624">
        <v>745240015505</v>
      </c>
      <c r="B624" t="s">
        <v>262</v>
      </c>
      <c r="C624" t="s">
        <v>472</v>
      </c>
      <c r="D624" t="s">
        <v>871</v>
      </c>
      <c r="E624" t="s">
        <v>61</v>
      </c>
      <c r="F624" t="s">
        <v>872</v>
      </c>
      <c r="G624" t="s">
        <v>61</v>
      </c>
      <c r="H624">
        <v>70</v>
      </c>
    </row>
    <row r="625" spans="1:8" x14ac:dyDescent="0.35">
      <c r="A625">
        <v>745240015512</v>
      </c>
      <c r="B625" t="s">
        <v>262</v>
      </c>
      <c r="C625" t="s">
        <v>9</v>
      </c>
      <c r="D625" t="s">
        <v>871</v>
      </c>
      <c r="E625" t="s">
        <v>61</v>
      </c>
      <c r="F625" t="s">
        <v>872</v>
      </c>
      <c r="G625" t="s">
        <v>61</v>
      </c>
      <c r="H625">
        <v>20</v>
      </c>
    </row>
    <row r="626" spans="1:8" x14ac:dyDescent="0.35">
      <c r="A626">
        <v>745240015529</v>
      </c>
      <c r="B626" t="s">
        <v>262</v>
      </c>
      <c r="C626" t="s">
        <v>825</v>
      </c>
      <c r="D626" t="s">
        <v>871</v>
      </c>
      <c r="E626" t="s">
        <v>61</v>
      </c>
      <c r="F626" t="s">
        <v>872</v>
      </c>
      <c r="G626" t="s">
        <v>61</v>
      </c>
      <c r="H626">
        <v>100</v>
      </c>
    </row>
    <row r="627" spans="1:8" x14ac:dyDescent="0.35">
      <c r="A627">
        <v>745240447696</v>
      </c>
      <c r="B627" t="s">
        <v>873</v>
      </c>
      <c r="C627" t="s">
        <v>603</v>
      </c>
      <c r="D627" t="s">
        <v>756</v>
      </c>
      <c r="E627" t="s">
        <v>308</v>
      </c>
      <c r="F627" t="s">
        <v>309</v>
      </c>
      <c r="G627" t="s">
        <v>34</v>
      </c>
      <c r="H627">
        <v>228</v>
      </c>
    </row>
    <row r="628" spans="1:8" x14ac:dyDescent="0.35">
      <c r="A628">
        <v>745240560999</v>
      </c>
      <c r="B628" t="s">
        <v>544</v>
      </c>
      <c r="C628" t="s">
        <v>81</v>
      </c>
      <c r="D628" t="s">
        <v>874</v>
      </c>
      <c r="E628" t="s">
        <v>308</v>
      </c>
      <c r="F628" t="s">
        <v>309</v>
      </c>
      <c r="G628" t="s">
        <v>11</v>
      </c>
      <c r="H628">
        <v>16</v>
      </c>
    </row>
    <row r="629" spans="1:8" x14ac:dyDescent="0.35">
      <c r="A629">
        <v>745760402601</v>
      </c>
      <c r="B629" t="s">
        <v>834</v>
      </c>
      <c r="C629" t="s">
        <v>9</v>
      </c>
      <c r="D629" t="s">
        <v>875</v>
      </c>
      <c r="E629" t="s">
        <v>308</v>
      </c>
      <c r="F629" t="s">
        <v>309</v>
      </c>
      <c r="G629" t="s">
        <v>11</v>
      </c>
      <c r="H629">
        <v>25</v>
      </c>
    </row>
    <row r="630" spans="1:8" x14ac:dyDescent="0.35">
      <c r="A630">
        <v>745760467068</v>
      </c>
      <c r="B630" t="s">
        <v>876</v>
      </c>
      <c r="C630" t="s">
        <v>877</v>
      </c>
      <c r="D630" t="s">
        <v>876</v>
      </c>
      <c r="E630" t="s">
        <v>130</v>
      </c>
      <c r="F630" t="s">
        <v>878</v>
      </c>
      <c r="G630" t="s">
        <v>150</v>
      </c>
      <c r="H630">
        <v>82</v>
      </c>
    </row>
    <row r="631" spans="1:8" x14ac:dyDescent="0.35">
      <c r="A631">
        <v>745760741090</v>
      </c>
      <c r="B631" t="s">
        <v>879</v>
      </c>
      <c r="C631" t="s">
        <v>38</v>
      </c>
      <c r="D631" t="s">
        <v>880</v>
      </c>
      <c r="E631" t="s">
        <v>31</v>
      </c>
      <c r="F631" t="s">
        <v>881</v>
      </c>
      <c r="G631" t="s">
        <v>31</v>
      </c>
      <c r="H631">
        <v>31</v>
      </c>
    </row>
    <row r="632" spans="1:8" x14ac:dyDescent="0.35">
      <c r="A632">
        <v>760122320546</v>
      </c>
      <c r="B632" t="s">
        <v>668</v>
      </c>
      <c r="C632" t="s">
        <v>114</v>
      </c>
      <c r="D632" t="s">
        <v>882</v>
      </c>
      <c r="E632" t="s">
        <v>598</v>
      </c>
      <c r="F632" t="s">
        <v>883</v>
      </c>
      <c r="G632" t="s">
        <v>598</v>
      </c>
      <c r="H632">
        <v>12</v>
      </c>
    </row>
    <row r="633" spans="1:8" x14ac:dyDescent="0.35">
      <c r="A633">
        <v>769503196770</v>
      </c>
      <c r="B633" t="s">
        <v>884</v>
      </c>
      <c r="C633" t="s">
        <v>610</v>
      </c>
      <c r="D633" t="s">
        <v>885</v>
      </c>
      <c r="E633" t="s">
        <v>117</v>
      </c>
      <c r="F633" t="s">
        <v>886</v>
      </c>
      <c r="G633" t="s">
        <v>117</v>
      </c>
      <c r="H633">
        <v>19</v>
      </c>
    </row>
    <row r="634" spans="1:8" x14ac:dyDescent="0.35">
      <c r="A634">
        <v>769503452036</v>
      </c>
      <c r="B634" t="s">
        <v>887</v>
      </c>
      <c r="C634" t="s">
        <v>38</v>
      </c>
      <c r="D634" t="s">
        <v>888</v>
      </c>
      <c r="E634" t="s">
        <v>61</v>
      </c>
      <c r="F634" t="s">
        <v>364</v>
      </c>
      <c r="G634" t="s">
        <v>33</v>
      </c>
      <c r="H634">
        <v>25</v>
      </c>
    </row>
    <row r="635" spans="1:8" x14ac:dyDescent="0.35">
      <c r="A635">
        <v>769503452043</v>
      </c>
      <c r="B635" t="s">
        <v>889</v>
      </c>
      <c r="C635" t="s">
        <v>38</v>
      </c>
      <c r="D635" t="s">
        <v>888</v>
      </c>
      <c r="E635" t="s">
        <v>61</v>
      </c>
      <c r="F635" t="s">
        <v>364</v>
      </c>
      <c r="G635" t="s">
        <v>33</v>
      </c>
      <c r="H635">
        <v>86</v>
      </c>
    </row>
    <row r="636" spans="1:8" x14ac:dyDescent="0.35">
      <c r="A636">
        <v>769503826110</v>
      </c>
      <c r="B636" t="s">
        <v>890</v>
      </c>
      <c r="C636" t="s">
        <v>38</v>
      </c>
      <c r="D636" t="s">
        <v>888</v>
      </c>
      <c r="E636" t="s">
        <v>61</v>
      </c>
      <c r="F636" t="s">
        <v>364</v>
      </c>
      <c r="G636" t="s">
        <v>33</v>
      </c>
      <c r="H636">
        <v>25</v>
      </c>
    </row>
    <row r="637" spans="1:8" x14ac:dyDescent="0.35">
      <c r="A637">
        <v>776103000222</v>
      </c>
      <c r="B637" t="s">
        <v>891</v>
      </c>
      <c r="C637" t="s">
        <v>892</v>
      </c>
      <c r="D637" t="s">
        <v>330</v>
      </c>
      <c r="E637" t="s">
        <v>22</v>
      </c>
      <c r="F637" t="s">
        <v>328</v>
      </c>
      <c r="G637" t="s">
        <v>16</v>
      </c>
      <c r="H637">
        <v>2</v>
      </c>
    </row>
    <row r="638" spans="1:8" x14ac:dyDescent="0.35">
      <c r="A638">
        <v>776103000239</v>
      </c>
      <c r="B638" t="s">
        <v>891</v>
      </c>
      <c r="C638" t="s">
        <v>36</v>
      </c>
      <c r="D638" t="s">
        <v>330</v>
      </c>
      <c r="E638" t="s">
        <v>22</v>
      </c>
      <c r="F638" t="s">
        <v>328</v>
      </c>
      <c r="G638" t="s">
        <v>16</v>
      </c>
      <c r="H638">
        <v>18</v>
      </c>
    </row>
    <row r="639" spans="1:8" x14ac:dyDescent="0.35">
      <c r="A639">
        <v>780042340844</v>
      </c>
      <c r="B639" t="s">
        <v>592</v>
      </c>
      <c r="C639" t="s">
        <v>472</v>
      </c>
      <c r="D639" t="s">
        <v>682</v>
      </c>
      <c r="E639" t="s">
        <v>34</v>
      </c>
      <c r="F639" t="s">
        <v>683</v>
      </c>
      <c r="G639" t="s">
        <v>34</v>
      </c>
      <c r="H639">
        <v>2</v>
      </c>
    </row>
    <row r="640" spans="1:8" x14ac:dyDescent="0.35">
      <c r="A640">
        <v>781159187797</v>
      </c>
      <c r="B640" t="s">
        <v>893</v>
      </c>
      <c r="C640" t="s">
        <v>38</v>
      </c>
      <c r="D640" t="s">
        <v>894</v>
      </c>
      <c r="E640" t="s">
        <v>33</v>
      </c>
      <c r="F640" t="s">
        <v>595</v>
      </c>
      <c r="G640" t="s">
        <v>33</v>
      </c>
      <c r="H640">
        <v>68</v>
      </c>
    </row>
    <row r="641" spans="1:8" x14ac:dyDescent="0.35">
      <c r="A641">
        <v>781159187865</v>
      </c>
      <c r="B641" t="s">
        <v>895</v>
      </c>
      <c r="C641" t="s">
        <v>78</v>
      </c>
      <c r="D641" t="s">
        <v>896</v>
      </c>
      <c r="E641" t="s">
        <v>33</v>
      </c>
      <c r="F641" t="s">
        <v>595</v>
      </c>
      <c r="G641" t="s">
        <v>33</v>
      </c>
      <c r="H641">
        <v>555</v>
      </c>
    </row>
    <row r="642" spans="1:8" x14ac:dyDescent="0.35">
      <c r="A642">
        <v>781159297106</v>
      </c>
      <c r="B642" t="s">
        <v>897</v>
      </c>
      <c r="C642" t="s">
        <v>81</v>
      </c>
      <c r="D642" t="s">
        <v>898</v>
      </c>
      <c r="E642" t="s">
        <v>33</v>
      </c>
      <c r="F642" t="s">
        <v>898</v>
      </c>
      <c r="G642" t="s">
        <v>33</v>
      </c>
      <c r="H642">
        <v>5</v>
      </c>
    </row>
    <row r="643" spans="1:8" x14ac:dyDescent="0.35">
      <c r="A643">
        <v>781159624544</v>
      </c>
      <c r="B643" t="s">
        <v>592</v>
      </c>
      <c r="C643" t="s">
        <v>899</v>
      </c>
      <c r="D643" t="s">
        <v>900</v>
      </c>
      <c r="E643" t="s">
        <v>15</v>
      </c>
      <c r="F643" t="s">
        <v>901</v>
      </c>
      <c r="G643" t="s">
        <v>34</v>
      </c>
      <c r="H643">
        <v>201</v>
      </c>
    </row>
    <row r="644" spans="1:8" x14ac:dyDescent="0.35">
      <c r="A644">
        <v>781718086073</v>
      </c>
      <c r="B644" t="s">
        <v>902</v>
      </c>
      <c r="C644" t="s">
        <v>903</v>
      </c>
      <c r="D644" t="s">
        <v>904</v>
      </c>
      <c r="E644" t="s">
        <v>308</v>
      </c>
      <c r="F644" t="s">
        <v>309</v>
      </c>
      <c r="G644" t="s">
        <v>34</v>
      </c>
      <c r="H644">
        <v>39</v>
      </c>
    </row>
    <row r="645" spans="1:8" x14ac:dyDescent="0.35">
      <c r="A645">
        <v>781718548212</v>
      </c>
      <c r="B645" t="s">
        <v>905</v>
      </c>
      <c r="C645" t="s">
        <v>906</v>
      </c>
      <c r="D645" t="s">
        <v>907</v>
      </c>
      <c r="E645" t="s">
        <v>308</v>
      </c>
      <c r="F645" t="s">
        <v>309</v>
      </c>
      <c r="G645" t="s">
        <v>34</v>
      </c>
      <c r="H645">
        <v>2</v>
      </c>
    </row>
    <row r="646" spans="1:8" x14ac:dyDescent="0.35">
      <c r="A646">
        <v>781718548236</v>
      </c>
      <c r="B646" t="s">
        <v>907</v>
      </c>
      <c r="C646" t="s">
        <v>9</v>
      </c>
      <c r="D646" t="s">
        <v>907</v>
      </c>
      <c r="E646" t="s">
        <v>308</v>
      </c>
      <c r="F646" t="s">
        <v>309</v>
      </c>
      <c r="G646" t="s">
        <v>11</v>
      </c>
      <c r="H646">
        <v>1</v>
      </c>
    </row>
    <row r="647" spans="1:8" x14ac:dyDescent="0.35">
      <c r="A647">
        <v>781718548236</v>
      </c>
      <c r="B647" t="s">
        <v>907</v>
      </c>
      <c r="C647" t="s">
        <v>9</v>
      </c>
      <c r="D647" t="s">
        <v>907</v>
      </c>
      <c r="E647" t="s">
        <v>308</v>
      </c>
      <c r="F647" t="s">
        <v>309</v>
      </c>
      <c r="G647" t="s">
        <v>34</v>
      </c>
      <c r="H647">
        <v>1</v>
      </c>
    </row>
    <row r="648" spans="1:8" x14ac:dyDescent="0.35">
      <c r="A648">
        <v>781718777377</v>
      </c>
      <c r="B648" t="s">
        <v>908</v>
      </c>
      <c r="C648" t="s">
        <v>909</v>
      </c>
      <c r="D648" t="s">
        <v>910</v>
      </c>
      <c r="E648" t="s">
        <v>308</v>
      </c>
      <c r="F648" t="s">
        <v>309</v>
      </c>
      <c r="G648" t="s">
        <v>34</v>
      </c>
      <c r="H648">
        <v>1</v>
      </c>
    </row>
    <row r="649" spans="1:8" x14ac:dyDescent="0.35">
      <c r="A649">
        <v>781718777377</v>
      </c>
      <c r="B649" t="s">
        <v>908</v>
      </c>
      <c r="C649" t="s">
        <v>909</v>
      </c>
      <c r="D649" t="s">
        <v>910</v>
      </c>
      <c r="E649" t="s">
        <v>308</v>
      </c>
      <c r="F649" t="s">
        <v>309</v>
      </c>
      <c r="G649" t="s">
        <v>578</v>
      </c>
      <c r="H649">
        <v>2</v>
      </c>
    </row>
    <row r="650" spans="1:8" x14ac:dyDescent="0.35">
      <c r="A650">
        <v>784300169536</v>
      </c>
      <c r="B650" t="s">
        <v>911</v>
      </c>
      <c r="C650" t="s">
        <v>912</v>
      </c>
      <c r="D650" t="s">
        <v>660</v>
      </c>
      <c r="E650" t="s">
        <v>41</v>
      </c>
      <c r="F650" t="s">
        <v>661</v>
      </c>
      <c r="G650" t="s">
        <v>41</v>
      </c>
      <c r="H650">
        <v>745</v>
      </c>
    </row>
    <row r="651" spans="1:8" x14ac:dyDescent="0.35">
      <c r="A651">
        <v>786162650030</v>
      </c>
      <c r="B651" t="s">
        <v>913</v>
      </c>
      <c r="C651" t="s">
        <v>9</v>
      </c>
      <c r="D651" t="s">
        <v>914</v>
      </c>
      <c r="E651" t="s">
        <v>15</v>
      </c>
      <c r="F651" t="s">
        <v>14</v>
      </c>
      <c r="G651" t="s">
        <v>16</v>
      </c>
      <c r="H651">
        <v>2</v>
      </c>
    </row>
    <row r="652" spans="1:8" x14ac:dyDescent="0.35">
      <c r="A652">
        <v>786162650078</v>
      </c>
      <c r="B652" t="s">
        <v>915</v>
      </c>
      <c r="C652" t="s">
        <v>9</v>
      </c>
      <c r="D652" t="s">
        <v>914</v>
      </c>
      <c r="E652" t="s">
        <v>15</v>
      </c>
      <c r="F652" t="s">
        <v>14</v>
      </c>
      <c r="G652" t="s">
        <v>16</v>
      </c>
      <c r="H652">
        <v>1</v>
      </c>
    </row>
    <row r="653" spans="1:8" x14ac:dyDescent="0.35">
      <c r="A653">
        <v>786162650115</v>
      </c>
      <c r="B653" t="s">
        <v>916</v>
      </c>
      <c r="C653" t="s">
        <v>53</v>
      </c>
      <c r="D653" t="s">
        <v>917</v>
      </c>
      <c r="E653" t="s">
        <v>15</v>
      </c>
      <c r="F653" t="s">
        <v>14</v>
      </c>
      <c r="G653" t="s">
        <v>16</v>
      </c>
      <c r="H653">
        <v>4</v>
      </c>
    </row>
    <row r="654" spans="1:8" x14ac:dyDescent="0.35">
      <c r="A654">
        <v>786162650375</v>
      </c>
      <c r="B654" t="s">
        <v>262</v>
      </c>
      <c r="C654" t="s">
        <v>81</v>
      </c>
      <c r="D654" t="s">
        <v>914</v>
      </c>
      <c r="E654" t="s">
        <v>15</v>
      </c>
      <c r="F654" t="s">
        <v>14</v>
      </c>
      <c r="G654" t="s">
        <v>16</v>
      </c>
      <c r="H654">
        <v>2</v>
      </c>
    </row>
    <row r="655" spans="1:8" x14ac:dyDescent="0.35">
      <c r="A655">
        <v>786411642021</v>
      </c>
      <c r="B655" t="s">
        <v>918</v>
      </c>
      <c r="C655" t="s">
        <v>919</v>
      </c>
      <c r="D655" t="s">
        <v>660</v>
      </c>
      <c r="E655" t="s">
        <v>41</v>
      </c>
      <c r="F655" t="s">
        <v>661</v>
      </c>
      <c r="G655" t="s">
        <v>41</v>
      </c>
      <c r="H655">
        <v>94</v>
      </c>
    </row>
    <row r="656" spans="1:8" x14ac:dyDescent="0.35">
      <c r="A656">
        <v>791688873924</v>
      </c>
      <c r="B656" t="s">
        <v>920</v>
      </c>
      <c r="C656" t="s">
        <v>83</v>
      </c>
      <c r="D656" t="s">
        <v>124</v>
      </c>
      <c r="E656" t="s">
        <v>921</v>
      </c>
      <c r="F656" t="s">
        <v>922</v>
      </c>
      <c r="G656" t="s">
        <v>921</v>
      </c>
      <c r="H656">
        <v>5</v>
      </c>
    </row>
    <row r="657" spans="1:8" x14ac:dyDescent="0.35">
      <c r="A657">
        <v>792382341429</v>
      </c>
      <c r="B657" t="s">
        <v>923</v>
      </c>
      <c r="C657" t="s">
        <v>272</v>
      </c>
      <c r="D657" t="s">
        <v>924</v>
      </c>
      <c r="E657" t="s">
        <v>150</v>
      </c>
      <c r="F657" t="s">
        <v>925</v>
      </c>
      <c r="G657" t="s">
        <v>150</v>
      </c>
      <c r="H657">
        <v>20</v>
      </c>
    </row>
    <row r="658" spans="1:8" x14ac:dyDescent="0.35">
      <c r="A658">
        <v>792382342730</v>
      </c>
      <c r="B658" t="s">
        <v>262</v>
      </c>
      <c r="C658" t="s">
        <v>9</v>
      </c>
      <c r="D658" t="s">
        <v>926</v>
      </c>
      <c r="E658" t="s">
        <v>308</v>
      </c>
      <c r="F658" t="s">
        <v>309</v>
      </c>
      <c r="G658" t="s">
        <v>11</v>
      </c>
      <c r="H658">
        <v>20</v>
      </c>
    </row>
    <row r="659" spans="1:8" x14ac:dyDescent="0.35">
      <c r="A659">
        <v>792382352296</v>
      </c>
      <c r="B659" t="s">
        <v>262</v>
      </c>
      <c r="C659" t="s">
        <v>192</v>
      </c>
      <c r="D659" t="s">
        <v>927</v>
      </c>
      <c r="E659" t="s">
        <v>11</v>
      </c>
      <c r="F659" t="s">
        <v>928</v>
      </c>
      <c r="G659" t="s">
        <v>11</v>
      </c>
      <c r="H659">
        <v>1</v>
      </c>
    </row>
    <row r="660" spans="1:8" x14ac:dyDescent="0.35">
      <c r="A660">
        <v>792382402564</v>
      </c>
      <c r="B660" t="s">
        <v>929</v>
      </c>
      <c r="C660" t="s">
        <v>9</v>
      </c>
      <c r="D660" t="s">
        <v>852</v>
      </c>
      <c r="E660" t="s">
        <v>308</v>
      </c>
      <c r="F660" t="s">
        <v>309</v>
      </c>
      <c r="G660" t="s">
        <v>11</v>
      </c>
      <c r="H660">
        <v>1</v>
      </c>
    </row>
    <row r="661" spans="1:8" x14ac:dyDescent="0.35">
      <c r="A661">
        <v>792382409518</v>
      </c>
      <c r="B661" t="s">
        <v>262</v>
      </c>
      <c r="C661" t="s">
        <v>9</v>
      </c>
      <c r="D661" t="s">
        <v>930</v>
      </c>
      <c r="E661" t="s">
        <v>308</v>
      </c>
      <c r="F661" t="s">
        <v>309</v>
      </c>
      <c r="G661" t="s">
        <v>11</v>
      </c>
      <c r="H661">
        <v>44</v>
      </c>
    </row>
    <row r="662" spans="1:8" x14ac:dyDescent="0.35">
      <c r="A662">
        <v>792382409532</v>
      </c>
      <c r="B662" t="s">
        <v>262</v>
      </c>
      <c r="C662" t="s">
        <v>81</v>
      </c>
      <c r="D662" t="s">
        <v>930</v>
      </c>
      <c r="E662" t="s">
        <v>308</v>
      </c>
      <c r="F662" t="s">
        <v>309</v>
      </c>
      <c r="G662" t="s">
        <v>11</v>
      </c>
      <c r="H662">
        <v>22</v>
      </c>
    </row>
    <row r="663" spans="1:8" x14ac:dyDescent="0.35">
      <c r="A663">
        <v>792382409549</v>
      </c>
      <c r="B663" t="s">
        <v>852</v>
      </c>
      <c r="C663" t="s">
        <v>931</v>
      </c>
      <c r="D663" t="s">
        <v>930</v>
      </c>
      <c r="E663" t="s">
        <v>308</v>
      </c>
      <c r="F663" t="s">
        <v>309</v>
      </c>
      <c r="G663" t="s">
        <v>11</v>
      </c>
      <c r="H663">
        <v>3</v>
      </c>
    </row>
    <row r="664" spans="1:8" x14ac:dyDescent="0.35">
      <c r="A664">
        <v>792382431564</v>
      </c>
      <c r="B664" t="s">
        <v>932</v>
      </c>
      <c r="C664" t="s">
        <v>272</v>
      </c>
      <c r="D664" t="s">
        <v>933</v>
      </c>
      <c r="E664" t="s">
        <v>11</v>
      </c>
      <c r="F664" t="s">
        <v>934</v>
      </c>
      <c r="G664" t="s">
        <v>11</v>
      </c>
      <c r="H664">
        <v>57</v>
      </c>
    </row>
    <row r="665" spans="1:8" x14ac:dyDescent="0.35">
      <c r="A665">
        <v>792382436460</v>
      </c>
      <c r="B665" t="s">
        <v>8</v>
      </c>
      <c r="C665" t="s">
        <v>192</v>
      </c>
      <c r="D665" t="s">
        <v>933</v>
      </c>
      <c r="E665" t="s">
        <v>11</v>
      </c>
      <c r="F665" t="s">
        <v>934</v>
      </c>
      <c r="G665" t="s">
        <v>11</v>
      </c>
      <c r="H665">
        <v>8</v>
      </c>
    </row>
    <row r="666" spans="1:8" x14ac:dyDescent="0.35">
      <c r="A666">
        <v>792382452057</v>
      </c>
      <c r="B666" t="s">
        <v>834</v>
      </c>
      <c r="C666" t="s">
        <v>9</v>
      </c>
      <c r="D666" t="s">
        <v>935</v>
      </c>
      <c r="E666" t="s">
        <v>308</v>
      </c>
      <c r="F666" t="s">
        <v>309</v>
      </c>
      <c r="G666" t="s">
        <v>11</v>
      </c>
      <c r="H666">
        <v>1</v>
      </c>
    </row>
    <row r="667" spans="1:8" x14ac:dyDescent="0.35">
      <c r="A667">
        <v>792382471072</v>
      </c>
      <c r="B667" t="s">
        <v>936</v>
      </c>
      <c r="C667" t="s">
        <v>9</v>
      </c>
      <c r="D667" t="s">
        <v>937</v>
      </c>
      <c r="E667" t="s">
        <v>776</v>
      </c>
      <c r="F667" t="s">
        <v>938</v>
      </c>
      <c r="G667" t="s">
        <v>11</v>
      </c>
      <c r="H667">
        <v>74</v>
      </c>
    </row>
    <row r="668" spans="1:8" x14ac:dyDescent="0.35">
      <c r="A668">
        <v>792382471089</v>
      </c>
      <c r="B668" t="s">
        <v>262</v>
      </c>
      <c r="C668" t="s">
        <v>81</v>
      </c>
      <c r="D668" t="s">
        <v>937</v>
      </c>
      <c r="E668" t="s">
        <v>776</v>
      </c>
      <c r="F668" t="s">
        <v>938</v>
      </c>
      <c r="G668" t="s">
        <v>11</v>
      </c>
      <c r="H668">
        <v>63</v>
      </c>
    </row>
    <row r="669" spans="1:8" x14ac:dyDescent="0.35">
      <c r="A669">
        <v>792382471140</v>
      </c>
      <c r="B669" t="s">
        <v>262</v>
      </c>
      <c r="C669" t="s">
        <v>939</v>
      </c>
      <c r="D669" t="s">
        <v>940</v>
      </c>
      <c r="E669" t="s">
        <v>11</v>
      </c>
      <c r="F669" t="s">
        <v>941</v>
      </c>
      <c r="G669" t="s">
        <v>11</v>
      </c>
      <c r="H669">
        <v>10</v>
      </c>
    </row>
    <row r="670" spans="1:8" x14ac:dyDescent="0.35">
      <c r="A670">
        <v>792382472390</v>
      </c>
      <c r="B670" t="s">
        <v>942</v>
      </c>
      <c r="C670" t="s">
        <v>943</v>
      </c>
      <c r="D670" t="s">
        <v>944</v>
      </c>
      <c r="E670" t="s">
        <v>11</v>
      </c>
      <c r="F670" t="s">
        <v>945</v>
      </c>
      <c r="G670" t="s">
        <v>11</v>
      </c>
      <c r="H670">
        <v>11</v>
      </c>
    </row>
    <row r="671" spans="1:8" x14ac:dyDescent="0.35">
      <c r="A671">
        <v>792382482009</v>
      </c>
      <c r="B671" t="s">
        <v>946</v>
      </c>
      <c r="C671" t="s">
        <v>9</v>
      </c>
      <c r="D671" t="s">
        <v>852</v>
      </c>
      <c r="E671" t="s">
        <v>308</v>
      </c>
      <c r="F671" t="s">
        <v>309</v>
      </c>
      <c r="G671" t="s">
        <v>11</v>
      </c>
      <c r="H671">
        <v>10</v>
      </c>
    </row>
    <row r="672" spans="1:8" x14ac:dyDescent="0.35">
      <c r="A672">
        <v>792382482009</v>
      </c>
      <c r="B672" t="s">
        <v>946</v>
      </c>
      <c r="C672" t="s">
        <v>9</v>
      </c>
      <c r="D672" t="s">
        <v>852</v>
      </c>
      <c r="E672" t="s">
        <v>308</v>
      </c>
      <c r="F672" t="s">
        <v>309</v>
      </c>
      <c r="G672" t="s">
        <v>34</v>
      </c>
      <c r="H672">
        <v>122</v>
      </c>
    </row>
    <row r="673" spans="1:8" x14ac:dyDescent="0.35">
      <c r="A673">
        <v>792382494569</v>
      </c>
      <c r="B673" t="s">
        <v>947</v>
      </c>
      <c r="C673" t="s">
        <v>9</v>
      </c>
      <c r="D673" t="s">
        <v>948</v>
      </c>
      <c r="E673" t="s">
        <v>308</v>
      </c>
      <c r="F673" t="s">
        <v>309</v>
      </c>
      <c r="G673" t="s">
        <v>11</v>
      </c>
      <c r="H673">
        <v>1</v>
      </c>
    </row>
    <row r="674" spans="1:8" x14ac:dyDescent="0.35">
      <c r="A674">
        <v>792382494569</v>
      </c>
      <c r="B674" t="s">
        <v>947</v>
      </c>
      <c r="C674" t="s">
        <v>9</v>
      </c>
      <c r="D674" t="s">
        <v>948</v>
      </c>
      <c r="E674" t="s">
        <v>308</v>
      </c>
      <c r="F674" t="s">
        <v>309</v>
      </c>
      <c r="G674" t="s">
        <v>34</v>
      </c>
      <c r="H674">
        <v>35</v>
      </c>
    </row>
    <row r="675" spans="1:8" x14ac:dyDescent="0.35">
      <c r="A675">
        <v>792382497843</v>
      </c>
      <c r="B675" t="s">
        <v>834</v>
      </c>
      <c r="C675" t="s">
        <v>81</v>
      </c>
      <c r="D675" t="s">
        <v>222</v>
      </c>
      <c r="E675" t="s">
        <v>71</v>
      </c>
      <c r="F675" t="s">
        <v>72</v>
      </c>
      <c r="G675" t="s">
        <v>11</v>
      </c>
      <c r="H675">
        <v>2</v>
      </c>
    </row>
    <row r="676" spans="1:8" x14ac:dyDescent="0.35">
      <c r="A676">
        <v>792382500703</v>
      </c>
      <c r="B676" t="s">
        <v>8</v>
      </c>
      <c r="C676" t="s">
        <v>9</v>
      </c>
      <c r="D676" t="s">
        <v>949</v>
      </c>
      <c r="E676" t="s">
        <v>308</v>
      </c>
      <c r="F676" t="s">
        <v>309</v>
      </c>
      <c r="G676" t="s">
        <v>11</v>
      </c>
      <c r="H676">
        <v>3</v>
      </c>
    </row>
    <row r="677" spans="1:8" x14ac:dyDescent="0.35">
      <c r="A677">
        <v>792382500710</v>
      </c>
      <c r="B677" t="s">
        <v>950</v>
      </c>
      <c r="C677" t="s">
        <v>81</v>
      </c>
      <c r="D677" t="s">
        <v>949</v>
      </c>
      <c r="E677" t="s">
        <v>308</v>
      </c>
      <c r="F677" t="s">
        <v>309</v>
      </c>
      <c r="G677" t="s">
        <v>11</v>
      </c>
      <c r="H677">
        <v>3</v>
      </c>
    </row>
    <row r="678" spans="1:8" x14ac:dyDescent="0.35">
      <c r="A678">
        <v>792382502639</v>
      </c>
      <c r="B678" t="s">
        <v>684</v>
      </c>
      <c r="C678" t="s">
        <v>9</v>
      </c>
      <c r="D678" t="s">
        <v>285</v>
      </c>
      <c r="E678" t="s">
        <v>15</v>
      </c>
      <c r="F678" t="s">
        <v>56</v>
      </c>
      <c r="G678" t="s">
        <v>16</v>
      </c>
      <c r="H678">
        <v>1</v>
      </c>
    </row>
    <row r="679" spans="1:8" x14ac:dyDescent="0.35">
      <c r="A679">
        <v>792382502639</v>
      </c>
      <c r="B679" t="s">
        <v>684</v>
      </c>
      <c r="C679" t="s">
        <v>9</v>
      </c>
      <c r="D679" t="s">
        <v>285</v>
      </c>
      <c r="E679" t="s">
        <v>15</v>
      </c>
      <c r="F679" t="s">
        <v>56</v>
      </c>
      <c r="G679" t="s">
        <v>11</v>
      </c>
      <c r="H679">
        <v>16</v>
      </c>
    </row>
    <row r="680" spans="1:8" x14ac:dyDescent="0.35">
      <c r="A680">
        <v>792382559947</v>
      </c>
      <c r="B680" t="s">
        <v>8</v>
      </c>
      <c r="C680" t="s">
        <v>9</v>
      </c>
      <c r="D680" t="s">
        <v>951</v>
      </c>
      <c r="E680" t="s">
        <v>952</v>
      </c>
      <c r="F680" t="s">
        <v>953</v>
      </c>
      <c r="G680" t="s">
        <v>11</v>
      </c>
      <c r="H680">
        <v>184</v>
      </c>
    </row>
    <row r="681" spans="1:8" x14ac:dyDescent="0.35">
      <c r="A681">
        <v>792382559961</v>
      </c>
      <c r="B681" t="s">
        <v>8</v>
      </c>
      <c r="C681" t="s">
        <v>192</v>
      </c>
      <c r="D681" t="s">
        <v>954</v>
      </c>
      <c r="E681" t="s">
        <v>952</v>
      </c>
      <c r="F681" t="s">
        <v>955</v>
      </c>
      <c r="G681" t="s">
        <v>11</v>
      </c>
      <c r="H681">
        <v>9</v>
      </c>
    </row>
    <row r="682" spans="1:8" x14ac:dyDescent="0.35">
      <c r="A682">
        <v>792382570652</v>
      </c>
      <c r="B682" t="s">
        <v>8</v>
      </c>
      <c r="C682" t="s">
        <v>9</v>
      </c>
      <c r="D682" t="s">
        <v>956</v>
      </c>
      <c r="E682" t="s">
        <v>11</v>
      </c>
      <c r="F682" t="s">
        <v>957</v>
      </c>
      <c r="G682" t="s">
        <v>11</v>
      </c>
      <c r="H682">
        <v>6</v>
      </c>
    </row>
    <row r="683" spans="1:8" x14ac:dyDescent="0.35">
      <c r="A683">
        <v>792382570669</v>
      </c>
      <c r="B683" t="s">
        <v>8</v>
      </c>
      <c r="C683" t="s">
        <v>825</v>
      </c>
      <c r="D683" t="s">
        <v>956</v>
      </c>
      <c r="E683" t="s">
        <v>11</v>
      </c>
      <c r="F683" t="s">
        <v>957</v>
      </c>
      <c r="G683" t="s">
        <v>11</v>
      </c>
      <c r="H683">
        <v>12</v>
      </c>
    </row>
    <row r="684" spans="1:8" x14ac:dyDescent="0.35">
      <c r="A684">
        <v>792382613885</v>
      </c>
      <c r="B684" t="s">
        <v>8</v>
      </c>
      <c r="C684" t="s">
        <v>958</v>
      </c>
      <c r="D684" t="s">
        <v>959</v>
      </c>
      <c r="E684" t="s">
        <v>11</v>
      </c>
      <c r="F684" t="s">
        <v>960</v>
      </c>
      <c r="G684" t="s">
        <v>11</v>
      </c>
      <c r="H684">
        <v>1</v>
      </c>
    </row>
    <row r="685" spans="1:8" x14ac:dyDescent="0.35">
      <c r="A685">
        <v>792382613908</v>
      </c>
      <c r="B685" t="s">
        <v>8</v>
      </c>
      <c r="C685" t="s">
        <v>961</v>
      </c>
      <c r="D685" t="s">
        <v>959</v>
      </c>
      <c r="E685" t="s">
        <v>11</v>
      </c>
      <c r="F685" t="s">
        <v>960</v>
      </c>
      <c r="G685" t="s">
        <v>11</v>
      </c>
      <c r="H685">
        <v>2</v>
      </c>
    </row>
    <row r="686" spans="1:8" x14ac:dyDescent="0.35">
      <c r="A686">
        <v>792721718875</v>
      </c>
      <c r="B686" t="s">
        <v>962</v>
      </c>
      <c r="C686" t="s">
        <v>919</v>
      </c>
      <c r="D686" t="s">
        <v>963</v>
      </c>
      <c r="E686" t="s">
        <v>964</v>
      </c>
      <c r="F686" t="s">
        <v>965</v>
      </c>
      <c r="G686" t="s">
        <v>61</v>
      </c>
      <c r="H686">
        <v>12</v>
      </c>
    </row>
    <row r="687" spans="1:8" x14ac:dyDescent="0.35">
      <c r="A687">
        <v>797776292752</v>
      </c>
      <c r="B687" t="s">
        <v>966</v>
      </c>
      <c r="C687" t="s">
        <v>967</v>
      </c>
      <c r="D687" t="s">
        <v>968</v>
      </c>
      <c r="E687" t="s">
        <v>117</v>
      </c>
      <c r="F687" t="s">
        <v>969</v>
      </c>
      <c r="G687" t="s">
        <v>117</v>
      </c>
      <c r="H687">
        <v>10</v>
      </c>
    </row>
    <row r="688" spans="1:8" x14ac:dyDescent="0.35">
      <c r="A688">
        <v>799439745841</v>
      </c>
      <c r="B688" t="s">
        <v>970</v>
      </c>
      <c r="C688" t="s">
        <v>971</v>
      </c>
      <c r="D688" t="s">
        <v>972</v>
      </c>
      <c r="E688" t="s">
        <v>73</v>
      </c>
      <c r="F688" t="s">
        <v>973</v>
      </c>
      <c r="G688" t="s">
        <v>34</v>
      </c>
      <c r="H688">
        <v>1</v>
      </c>
    </row>
    <row r="689" spans="1:8" x14ac:dyDescent="0.35">
      <c r="A689">
        <v>799439793835</v>
      </c>
      <c r="B689" t="s">
        <v>974</v>
      </c>
      <c r="C689" t="s">
        <v>9</v>
      </c>
      <c r="D689" t="s">
        <v>176</v>
      </c>
      <c r="E689" t="s">
        <v>33</v>
      </c>
      <c r="F689" t="s">
        <v>595</v>
      </c>
      <c r="G689" t="s">
        <v>33</v>
      </c>
      <c r="H689">
        <v>160</v>
      </c>
    </row>
    <row r="690" spans="1:8" x14ac:dyDescent="0.35">
      <c r="A690">
        <v>799439793897</v>
      </c>
      <c r="B690" t="s">
        <v>975</v>
      </c>
      <c r="C690" t="s">
        <v>472</v>
      </c>
      <c r="D690" t="s">
        <v>594</v>
      </c>
      <c r="E690" t="s">
        <v>33</v>
      </c>
      <c r="F690" t="s">
        <v>595</v>
      </c>
      <c r="G690" t="s">
        <v>33</v>
      </c>
      <c r="H690">
        <v>50</v>
      </c>
    </row>
    <row r="691" spans="1:8" x14ac:dyDescent="0.35">
      <c r="A691">
        <v>8036131</v>
      </c>
      <c r="B691" t="s">
        <v>210</v>
      </c>
      <c r="C691" t="s">
        <v>96</v>
      </c>
      <c r="D691" t="s">
        <v>194</v>
      </c>
      <c r="E691" t="s">
        <v>16</v>
      </c>
      <c r="F691" t="s">
        <v>195</v>
      </c>
      <c r="G691" t="s">
        <v>16</v>
      </c>
      <c r="H691">
        <v>1</v>
      </c>
    </row>
    <row r="692" spans="1:8" x14ac:dyDescent="0.35">
      <c r="A692">
        <v>80660620992</v>
      </c>
      <c r="B692" t="s">
        <v>976</v>
      </c>
      <c r="C692" t="s">
        <v>66</v>
      </c>
      <c r="D692" t="s">
        <v>976</v>
      </c>
      <c r="E692" t="s">
        <v>15</v>
      </c>
      <c r="F692" t="s">
        <v>343</v>
      </c>
      <c r="G692" t="s">
        <v>16</v>
      </c>
      <c r="H692">
        <v>3</v>
      </c>
    </row>
    <row r="693" spans="1:8" x14ac:dyDescent="0.35">
      <c r="A693">
        <v>810116120369</v>
      </c>
      <c r="B693" t="s">
        <v>977</v>
      </c>
      <c r="C693" t="s">
        <v>9</v>
      </c>
      <c r="D693" t="s">
        <v>978</v>
      </c>
      <c r="E693" t="s">
        <v>15</v>
      </c>
      <c r="F693" t="s">
        <v>979</v>
      </c>
      <c r="G693" t="s">
        <v>16</v>
      </c>
      <c r="H693">
        <v>1</v>
      </c>
    </row>
    <row r="694" spans="1:8" x14ac:dyDescent="0.35">
      <c r="A694">
        <v>810116123506</v>
      </c>
      <c r="B694" t="s">
        <v>980</v>
      </c>
      <c r="C694" t="s">
        <v>9</v>
      </c>
      <c r="D694" t="s">
        <v>978</v>
      </c>
      <c r="E694" t="s">
        <v>15</v>
      </c>
      <c r="F694" t="s">
        <v>979</v>
      </c>
      <c r="G694" t="s">
        <v>16</v>
      </c>
      <c r="H694">
        <v>3</v>
      </c>
    </row>
    <row r="695" spans="1:8" x14ac:dyDescent="0.35">
      <c r="A695">
        <v>817939012079</v>
      </c>
      <c r="B695" t="s">
        <v>981</v>
      </c>
      <c r="C695" t="s">
        <v>533</v>
      </c>
      <c r="D695" t="s">
        <v>982</v>
      </c>
      <c r="E695" t="s">
        <v>15</v>
      </c>
      <c r="F695" t="s">
        <v>983</v>
      </c>
      <c r="G695" t="s">
        <v>22</v>
      </c>
      <c r="H695">
        <v>4</v>
      </c>
    </row>
    <row r="696" spans="1:8" x14ac:dyDescent="0.35">
      <c r="A696">
        <v>82000743149</v>
      </c>
      <c r="B696" t="s">
        <v>891</v>
      </c>
      <c r="C696" t="s">
        <v>984</v>
      </c>
      <c r="D696" t="s">
        <v>330</v>
      </c>
      <c r="E696" t="s">
        <v>22</v>
      </c>
      <c r="F696" t="s">
        <v>328</v>
      </c>
      <c r="G696" t="s">
        <v>16</v>
      </c>
      <c r="H696">
        <v>5</v>
      </c>
    </row>
    <row r="697" spans="1:8" x14ac:dyDescent="0.35">
      <c r="A697">
        <v>82000763581</v>
      </c>
      <c r="B697" t="s">
        <v>985</v>
      </c>
      <c r="C697" t="s">
        <v>159</v>
      </c>
      <c r="D697" t="s">
        <v>330</v>
      </c>
      <c r="E697" t="s">
        <v>22</v>
      </c>
      <c r="F697" t="s">
        <v>328</v>
      </c>
      <c r="G697" t="s">
        <v>16</v>
      </c>
      <c r="H697">
        <v>1</v>
      </c>
    </row>
    <row r="698" spans="1:8" x14ac:dyDescent="0.35">
      <c r="A698">
        <v>82000795254</v>
      </c>
      <c r="B698" t="s">
        <v>986</v>
      </c>
      <c r="C698" t="s">
        <v>326</v>
      </c>
      <c r="D698" t="s">
        <v>330</v>
      </c>
      <c r="E698" t="s">
        <v>22</v>
      </c>
      <c r="F698" t="s">
        <v>328</v>
      </c>
      <c r="G698" t="s">
        <v>16</v>
      </c>
      <c r="H698">
        <v>3</v>
      </c>
    </row>
    <row r="699" spans="1:8" x14ac:dyDescent="0.35">
      <c r="A699">
        <v>821111770008</v>
      </c>
      <c r="B699" t="s">
        <v>156</v>
      </c>
      <c r="C699" t="s">
        <v>53</v>
      </c>
      <c r="D699" t="s">
        <v>55</v>
      </c>
      <c r="E699" t="s">
        <v>15</v>
      </c>
      <c r="F699" t="s">
        <v>56</v>
      </c>
      <c r="G699" t="s">
        <v>16</v>
      </c>
      <c r="H699">
        <v>1</v>
      </c>
    </row>
    <row r="700" spans="1:8" x14ac:dyDescent="0.35">
      <c r="A700">
        <v>82592633538</v>
      </c>
      <c r="B700" t="s">
        <v>987</v>
      </c>
      <c r="C700" t="s">
        <v>988</v>
      </c>
      <c r="D700" t="s">
        <v>989</v>
      </c>
      <c r="E700" t="s">
        <v>22</v>
      </c>
      <c r="F700" t="s">
        <v>990</v>
      </c>
      <c r="G700" t="s">
        <v>16</v>
      </c>
      <c r="H700">
        <v>1</v>
      </c>
    </row>
    <row r="701" spans="1:8" x14ac:dyDescent="0.35">
      <c r="A701">
        <v>83900006266</v>
      </c>
      <c r="B701" t="s">
        <v>991</v>
      </c>
      <c r="C701" t="s">
        <v>9</v>
      </c>
      <c r="D701" t="s">
        <v>332</v>
      </c>
      <c r="E701" t="s">
        <v>71</v>
      </c>
      <c r="F701" t="s">
        <v>72</v>
      </c>
      <c r="G701" t="s">
        <v>16</v>
      </c>
      <c r="H701">
        <v>5</v>
      </c>
    </row>
    <row r="702" spans="1:8" x14ac:dyDescent="0.35">
      <c r="A702">
        <v>849819001071</v>
      </c>
      <c r="B702" t="s">
        <v>992</v>
      </c>
      <c r="C702" t="s">
        <v>993</v>
      </c>
      <c r="D702" t="s">
        <v>994</v>
      </c>
      <c r="E702" t="s">
        <v>318</v>
      </c>
      <c r="F702" t="s">
        <v>319</v>
      </c>
      <c r="G702" t="s">
        <v>16</v>
      </c>
      <c r="H702">
        <v>1</v>
      </c>
    </row>
    <row r="703" spans="1:8" x14ac:dyDescent="0.35">
      <c r="A703">
        <v>850000594203</v>
      </c>
      <c r="B703" t="s">
        <v>295</v>
      </c>
      <c r="C703" t="s">
        <v>9</v>
      </c>
      <c r="D703" t="s">
        <v>995</v>
      </c>
      <c r="E703" t="s">
        <v>130</v>
      </c>
      <c r="F703" t="s">
        <v>996</v>
      </c>
      <c r="G703" t="s">
        <v>387</v>
      </c>
      <c r="H703">
        <v>173</v>
      </c>
    </row>
    <row r="704" spans="1:8" x14ac:dyDescent="0.35">
      <c r="A704">
        <v>850000594210</v>
      </c>
      <c r="B704" t="s">
        <v>997</v>
      </c>
      <c r="C704" t="s">
        <v>814</v>
      </c>
      <c r="D704" t="s">
        <v>998</v>
      </c>
      <c r="E704" t="s">
        <v>15</v>
      </c>
      <c r="F704" t="s">
        <v>901</v>
      </c>
      <c r="G704" t="s">
        <v>387</v>
      </c>
      <c r="H704">
        <v>1</v>
      </c>
    </row>
    <row r="705" spans="1:8" x14ac:dyDescent="0.35">
      <c r="A705">
        <v>850000594487</v>
      </c>
      <c r="B705" t="s">
        <v>999</v>
      </c>
      <c r="C705" t="s">
        <v>472</v>
      </c>
      <c r="D705" t="s">
        <v>1000</v>
      </c>
      <c r="E705" t="s">
        <v>15</v>
      </c>
      <c r="F705" t="s">
        <v>901</v>
      </c>
      <c r="G705" t="s">
        <v>387</v>
      </c>
      <c r="H705">
        <v>1</v>
      </c>
    </row>
    <row r="706" spans="1:8" x14ac:dyDescent="0.35">
      <c r="A706">
        <v>850000594517</v>
      </c>
      <c r="B706" t="s">
        <v>1001</v>
      </c>
      <c r="C706" t="s">
        <v>472</v>
      </c>
      <c r="D706" t="s">
        <v>998</v>
      </c>
      <c r="E706" t="s">
        <v>15</v>
      </c>
      <c r="F706" t="s">
        <v>901</v>
      </c>
      <c r="G706" t="s">
        <v>387</v>
      </c>
      <c r="H706">
        <v>80</v>
      </c>
    </row>
    <row r="707" spans="1:8" x14ac:dyDescent="0.35">
      <c r="A707">
        <v>850000594692</v>
      </c>
      <c r="B707" t="s">
        <v>998</v>
      </c>
      <c r="C707" t="s">
        <v>110</v>
      </c>
      <c r="D707" t="s">
        <v>998</v>
      </c>
      <c r="E707" t="s">
        <v>15</v>
      </c>
      <c r="F707" t="s">
        <v>901</v>
      </c>
      <c r="G707" t="s">
        <v>387</v>
      </c>
      <c r="H707">
        <v>2</v>
      </c>
    </row>
    <row r="708" spans="1:8" x14ac:dyDescent="0.35">
      <c r="A708">
        <v>850000594869</v>
      </c>
      <c r="B708" t="s">
        <v>1002</v>
      </c>
      <c r="C708" t="s">
        <v>1003</v>
      </c>
      <c r="D708" t="s">
        <v>998</v>
      </c>
      <c r="E708" t="s">
        <v>15</v>
      </c>
      <c r="F708" t="s">
        <v>901</v>
      </c>
      <c r="G708" t="s">
        <v>387</v>
      </c>
      <c r="H708">
        <v>1</v>
      </c>
    </row>
    <row r="709" spans="1:8" x14ac:dyDescent="0.35">
      <c r="A709">
        <v>850003560441</v>
      </c>
      <c r="B709" t="s">
        <v>247</v>
      </c>
      <c r="C709" t="s">
        <v>9</v>
      </c>
      <c r="D709" t="s">
        <v>978</v>
      </c>
      <c r="E709" t="s">
        <v>15</v>
      </c>
      <c r="F709" t="s">
        <v>979</v>
      </c>
      <c r="G709" t="s">
        <v>22</v>
      </c>
      <c r="H709">
        <v>1</v>
      </c>
    </row>
    <row r="710" spans="1:8" x14ac:dyDescent="0.35">
      <c r="A710">
        <v>850003560717</v>
      </c>
      <c r="B710" t="s">
        <v>247</v>
      </c>
      <c r="C710" t="s">
        <v>9</v>
      </c>
      <c r="D710" t="s">
        <v>978</v>
      </c>
      <c r="E710" t="s">
        <v>15</v>
      </c>
      <c r="F710" t="s">
        <v>979</v>
      </c>
      <c r="G710" t="s">
        <v>22</v>
      </c>
      <c r="H710">
        <v>2</v>
      </c>
    </row>
    <row r="711" spans="1:8" x14ac:dyDescent="0.35">
      <c r="A711">
        <v>850003560991</v>
      </c>
      <c r="B711" t="s">
        <v>1004</v>
      </c>
      <c r="C711" t="s">
        <v>9</v>
      </c>
      <c r="D711" t="s">
        <v>978</v>
      </c>
      <c r="E711" t="s">
        <v>15</v>
      </c>
      <c r="F711" t="s">
        <v>979</v>
      </c>
      <c r="G711" t="s">
        <v>22</v>
      </c>
      <c r="H711">
        <v>1</v>
      </c>
    </row>
    <row r="712" spans="1:8" x14ac:dyDescent="0.35">
      <c r="A712">
        <v>850027880129</v>
      </c>
      <c r="B712" t="s">
        <v>1005</v>
      </c>
      <c r="C712" t="s">
        <v>562</v>
      </c>
      <c r="D712" t="s">
        <v>1006</v>
      </c>
      <c r="E712" t="s">
        <v>15</v>
      </c>
      <c r="F712" t="s">
        <v>1007</v>
      </c>
      <c r="G712" t="s">
        <v>34</v>
      </c>
      <c r="H712">
        <v>1</v>
      </c>
    </row>
    <row r="713" spans="1:8" x14ac:dyDescent="0.35">
      <c r="A713">
        <v>853148003002</v>
      </c>
      <c r="B713" t="s">
        <v>884</v>
      </c>
      <c r="C713" t="s">
        <v>192</v>
      </c>
      <c r="D713" t="s">
        <v>386</v>
      </c>
      <c r="E713" t="s">
        <v>387</v>
      </c>
      <c r="F713" t="s">
        <v>388</v>
      </c>
      <c r="G713" t="s">
        <v>387</v>
      </c>
      <c r="H713">
        <v>716</v>
      </c>
    </row>
    <row r="714" spans="1:8" x14ac:dyDescent="0.35">
      <c r="A714">
        <v>853148003019</v>
      </c>
      <c r="B714" t="s">
        <v>884</v>
      </c>
      <c r="C714" t="s">
        <v>1008</v>
      </c>
      <c r="D714" t="s">
        <v>386</v>
      </c>
      <c r="E714" t="s">
        <v>387</v>
      </c>
      <c r="F714" t="s">
        <v>388</v>
      </c>
      <c r="G714" t="s">
        <v>387</v>
      </c>
      <c r="H714">
        <v>103</v>
      </c>
    </row>
    <row r="715" spans="1:8" x14ac:dyDescent="0.35">
      <c r="A715">
        <v>853148003040</v>
      </c>
      <c r="B715" t="s">
        <v>1009</v>
      </c>
      <c r="C715" t="s">
        <v>472</v>
      </c>
      <c r="D715" t="s">
        <v>14</v>
      </c>
      <c r="E715" t="s">
        <v>15</v>
      </c>
      <c r="F715" t="s">
        <v>14</v>
      </c>
      <c r="G715" t="s">
        <v>387</v>
      </c>
      <c r="H715">
        <v>57</v>
      </c>
    </row>
    <row r="716" spans="1:8" x14ac:dyDescent="0.35">
      <c r="A716">
        <v>853148003088</v>
      </c>
      <c r="B716" t="s">
        <v>1010</v>
      </c>
      <c r="C716" t="s">
        <v>472</v>
      </c>
      <c r="D716" t="s">
        <v>998</v>
      </c>
      <c r="E716" t="s">
        <v>15</v>
      </c>
      <c r="F716" t="s">
        <v>901</v>
      </c>
      <c r="G716" t="s">
        <v>387</v>
      </c>
      <c r="H716">
        <v>7</v>
      </c>
    </row>
    <row r="717" spans="1:8" x14ac:dyDescent="0.35">
      <c r="A717">
        <v>853148003118</v>
      </c>
      <c r="B717" t="s">
        <v>1000</v>
      </c>
      <c r="C717" t="s">
        <v>472</v>
      </c>
      <c r="D717" t="s">
        <v>1000</v>
      </c>
      <c r="E717" t="s">
        <v>15</v>
      </c>
      <c r="F717" t="s">
        <v>901</v>
      </c>
      <c r="G717" t="s">
        <v>387</v>
      </c>
      <c r="H717">
        <v>4</v>
      </c>
    </row>
    <row r="718" spans="1:8" x14ac:dyDescent="0.35">
      <c r="A718">
        <v>853148003217</v>
      </c>
      <c r="B718" t="s">
        <v>1011</v>
      </c>
      <c r="C718" t="s">
        <v>472</v>
      </c>
      <c r="D718" t="s">
        <v>998</v>
      </c>
      <c r="E718" t="s">
        <v>15</v>
      </c>
      <c r="F718" t="s">
        <v>901</v>
      </c>
      <c r="G718" t="s">
        <v>387</v>
      </c>
      <c r="H718">
        <v>90</v>
      </c>
    </row>
    <row r="719" spans="1:8" x14ac:dyDescent="0.35">
      <c r="A719">
        <v>853148003309</v>
      </c>
      <c r="B719" t="s">
        <v>1012</v>
      </c>
      <c r="C719" t="s">
        <v>110</v>
      </c>
      <c r="D719" t="s">
        <v>386</v>
      </c>
      <c r="E719" t="s">
        <v>387</v>
      </c>
      <c r="F719" t="s">
        <v>388</v>
      </c>
      <c r="G719" t="s">
        <v>387</v>
      </c>
      <c r="H719">
        <v>1</v>
      </c>
    </row>
    <row r="720" spans="1:8" x14ac:dyDescent="0.35">
      <c r="A720">
        <v>853148003316</v>
      </c>
      <c r="B720" t="s">
        <v>1013</v>
      </c>
      <c r="C720" t="s">
        <v>472</v>
      </c>
      <c r="D720" t="s">
        <v>998</v>
      </c>
      <c r="E720" t="s">
        <v>15</v>
      </c>
      <c r="F720" t="s">
        <v>901</v>
      </c>
      <c r="G720" t="s">
        <v>387</v>
      </c>
      <c r="H720">
        <v>12</v>
      </c>
    </row>
    <row r="721" spans="1:8" x14ac:dyDescent="0.35">
      <c r="A721">
        <v>853148003378</v>
      </c>
      <c r="B721" t="s">
        <v>1014</v>
      </c>
      <c r="C721" t="s">
        <v>814</v>
      </c>
      <c r="D721" t="s">
        <v>1000</v>
      </c>
      <c r="E721" t="s">
        <v>15</v>
      </c>
      <c r="F721" t="s">
        <v>901</v>
      </c>
      <c r="G721" t="s">
        <v>387</v>
      </c>
      <c r="H721">
        <v>1</v>
      </c>
    </row>
    <row r="722" spans="1:8" x14ac:dyDescent="0.35">
      <c r="A722">
        <v>853148003415</v>
      </c>
      <c r="B722" t="s">
        <v>1015</v>
      </c>
      <c r="C722" t="s">
        <v>603</v>
      </c>
      <c r="D722" t="s">
        <v>386</v>
      </c>
      <c r="E722" t="s">
        <v>387</v>
      </c>
      <c r="F722" t="s">
        <v>388</v>
      </c>
      <c r="G722" t="s">
        <v>387</v>
      </c>
      <c r="H722">
        <v>32</v>
      </c>
    </row>
    <row r="723" spans="1:8" x14ac:dyDescent="0.35">
      <c r="A723">
        <v>853148003972</v>
      </c>
      <c r="B723" t="s">
        <v>1016</v>
      </c>
      <c r="C723" t="s">
        <v>814</v>
      </c>
      <c r="D723" t="s">
        <v>1009</v>
      </c>
      <c r="E723" t="s">
        <v>41</v>
      </c>
      <c r="F723" t="s">
        <v>456</v>
      </c>
      <c r="G723" t="s">
        <v>387</v>
      </c>
      <c r="H723">
        <v>1</v>
      </c>
    </row>
    <row r="724" spans="1:8" x14ac:dyDescent="0.35">
      <c r="A724">
        <v>865613770012</v>
      </c>
      <c r="B724" t="s">
        <v>262</v>
      </c>
      <c r="C724" t="s">
        <v>81</v>
      </c>
      <c r="D724" t="s">
        <v>420</v>
      </c>
      <c r="E724" t="s">
        <v>61</v>
      </c>
      <c r="F724" t="s">
        <v>421</v>
      </c>
      <c r="G724" t="s">
        <v>61</v>
      </c>
      <c r="H724">
        <v>53</v>
      </c>
    </row>
    <row r="725" spans="1:8" x14ac:dyDescent="0.35">
      <c r="A725">
        <v>865873230004</v>
      </c>
      <c r="B725" t="s">
        <v>1017</v>
      </c>
      <c r="C725" t="s">
        <v>192</v>
      </c>
      <c r="D725" t="s">
        <v>1018</v>
      </c>
      <c r="E725" t="s">
        <v>61</v>
      </c>
      <c r="F725" t="s">
        <v>1019</v>
      </c>
      <c r="G725" t="s">
        <v>61</v>
      </c>
      <c r="H725">
        <v>50</v>
      </c>
    </row>
    <row r="726" spans="1:8" x14ac:dyDescent="0.35">
      <c r="A726">
        <v>8675729</v>
      </c>
      <c r="B726" t="s">
        <v>1020</v>
      </c>
      <c r="C726" t="s">
        <v>94</v>
      </c>
      <c r="D726" t="s">
        <v>1021</v>
      </c>
      <c r="E726" t="s">
        <v>20</v>
      </c>
      <c r="F726" t="s">
        <v>1021</v>
      </c>
      <c r="G726" t="s">
        <v>22</v>
      </c>
      <c r="H726">
        <v>1</v>
      </c>
    </row>
    <row r="727" spans="1:8" x14ac:dyDescent="0.35">
      <c r="A727">
        <v>87000007888</v>
      </c>
      <c r="B727" t="s">
        <v>339</v>
      </c>
      <c r="C727" t="s">
        <v>36</v>
      </c>
      <c r="D727" t="s">
        <v>327</v>
      </c>
      <c r="E727" t="s">
        <v>22</v>
      </c>
      <c r="F727" t="s">
        <v>328</v>
      </c>
      <c r="G727" t="s">
        <v>16</v>
      </c>
      <c r="H727">
        <v>4</v>
      </c>
    </row>
    <row r="728" spans="1:8" x14ac:dyDescent="0.35">
      <c r="A728">
        <v>87000007895</v>
      </c>
      <c r="B728" t="s">
        <v>1022</v>
      </c>
      <c r="C728" t="s">
        <v>128</v>
      </c>
      <c r="D728" t="s">
        <v>327</v>
      </c>
      <c r="E728" t="s">
        <v>22</v>
      </c>
      <c r="F728" t="s">
        <v>328</v>
      </c>
      <c r="G728" t="s">
        <v>16</v>
      </c>
      <c r="H728">
        <v>1</v>
      </c>
    </row>
    <row r="729" spans="1:8" x14ac:dyDescent="0.35">
      <c r="A729">
        <v>870929007486</v>
      </c>
      <c r="B729" t="s">
        <v>1023</v>
      </c>
      <c r="C729" t="s">
        <v>1024</v>
      </c>
      <c r="D729" t="s">
        <v>1025</v>
      </c>
      <c r="E729" t="s">
        <v>15</v>
      </c>
      <c r="F729" t="s">
        <v>1026</v>
      </c>
      <c r="G729" t="s">
        <v>15</v>
      </c>
      <c r="H729">
        <v>1</v>
      </c>
    </row>
    <row r="730" spans="1:8" x14ac:dyDescent="0.35">
      <c r="A730">
        <v>87116035461</v>
      </c>
      <c r="B730" t="s">
        <v>1027</v>
      </c>
      <c r="C730" t="s">
        <v>36</v>
      </c>
      <c r="D730" t="s">
        <v>1028</v>
      </c>
      <c r="E730" t="s">
        <v>15</v>
      </c>
      <c r="F730" t="s">
        <v>1029</v>
      </c>
      <c r="G730" t="s">
        <v>16</v>
      </c>
      <c r="H730">
        <v>2</v>
      </c>
    </row>
    <row r="731" spans="1:8" x14ac:dyDescent="0.35">
      <c r="A731">
        <v>88004034672</v>
      </c>
      <c r="B731" t="s">
        <v>1030</v>
      </c>
      <c r="C731" t="s">
        <v>66</v>
      </c>
      <c r="D731" t="s">
        <v>342</v>
      </c>
      <c r="E731" t="s">
        <v>15</v>
      </c>
      <c r="F731" t="s">
        <v>343</v>
      </c>
      <c r="G731" t="s">
        <v>16</v>
      </c>
      <c r="H731">
        <v>2</v>
      </c>
    </row>
    <row r="732" spans="1:8" x14ac:dyDescent="0.35">
      <c r="A732">
        <v>88004036102</v>
      </c>
      <c r="B732" t="s">
        <v>1031</v>
      </c>
      <c r="C732" t="s">
        <v>66</v>
      </c>
      <c r="D732" t="s">
        <v>1031</v>
      </c>
      <c r="E732" t="s">
        <v>15</v>
      </c>
      <c r="F732" t="s">
        <v>343</v>
      </c>
      <c r="G732" t="s">
        <v>16</v>
      </c>
      <c r="H732">
        <v>4</v>
      </c>
    </row>
    <row r="733" spans="1:8" x14ac:dyDescent="0.35">
      <c r="A733">
        <v>88004400453</v>
      </c>
      <c r="B733" t="s">
        <v>127</v>
      </c>
      <c r="C733" t="s">
        <v>128</v>
      </c>
      <c r="D733" t="s">
        <v>340</v>
      </c>
      <c r="E733" t="s">
        <v>308</v>
      </c>
      <c r="F733" t="s">
        <v>309</v>
      </c>
      <c r="G733" t="s">
        <v>16</v>
      </c>
      <c r="H733">
        <v>2</v>
      </c>
    </row>
    <row r="734" spans="1:8" x14ac:dyDescent="0.35">
      <c r="A734">
        <v>88004400460</v>
      </c>
      <c r="B734" t="s">
        <v>127</v>
      </c>
      <c r="C734" t="s">
        <v>326</v>
      </c>
      <c r="D734" t="s">
        <v>340</v>
      </c>
      <c r="E734" t="s">
        <v>308</v>
      </c>
      <c r="F734" t="s">
        <v>309</v>
      </c>
      <c r="G734" t="s">
        <v>16</v>
      </c>
      <c r="H734">
        <v>1</v>
      </c>
    </row>
    <row r="735" spans="1:8" x14ac:dyDescent="0.35">
      <c r="A735">
        <v>88004400712</v>
      </c>
      <c r="B735" t="s">
        <v>1032</v>
      </c>
      <c r="C735" t="s">
        <v>128</v>
      </c>
      <c r="D735" t="s">
        <v>342</v>
      </c>
      <c r="E735" t="s">
        <v>15</v>
      </c>
      <c r="F735" t="s">
        <v>343</v>
      </c>
      <c r="G735" t="s">
        <v>16</v>
      </c>
      <c r="H735">
        <v>3</v>
      </c>
    </row>
    <row r="736" spans="1:8" x14ac:dyDescent="0.35">
      <c r="A736">
        <v>881103101616</v>
      </c>
      <c r="B736" t="s">
        <v>1033</v>
      </c>
      <c r="C736" t="s">
        <v>472</v>
      </c>
      <c r="D736" t="s">
        <v>738</v>
      </c>
      <c r="E736" t="s">
        <v>34</v>
      </c>
      <c r="F736" t="s">
        <v>739</v>
      </c>
      <c r="G736" t="s">
        <v>34</v>
      </c>
      <c r="H736">
        <v>154</v>
      </c>
    </row>
    <row r="737" spans="1:8" x14ac:dyDescent="0.35">
      <c r="A737">
        <v>883043000585</v>
      </c>
      <c r="B737" t="s">
        <v>1034</v>
      </c>
      <c r="C737" t="s">
        <v>83</v>
      </c>
      <c r="D737" t="s">
        <v>528</v>
      </c>
      <c r="E737" t="s">
        <v>16</v>
      </c>
      <c r="F737" t="s">
        <v>529</v>
      </c>
      <c r="G737" t="s">
        <v>16</v>
      </c>
      <c r="H737">
        <v>1</v>
      </c>
    </row>
    <row r="738" spans="1:8" x14ac:dyDescent="0.35">
      <c r="A738">
        <v>883043001001</v>
      </c>
      <c r="B738" t="s">
        <v>1035</v>
      </c>
      <c r="C738" t="s">
        <v>83</v>
      </c>
      <c r="D738" t="s">
        <v>528</v>
      </c>
      <c r="E738" t="s">
        <v>16</v>
      </c>
      <c r="F738" t="s">
        <v>529</v>
      </c>
      <c r="G738" t="s">
        <v>16</v>
      </c>
      <c r="H738">
        <v>1</v>
      </c>
    </row>
    <row r="739" spans="1:8" x14ac:dyDescent="0.35">
      <c r="A739">
        <v>884394000330</v>
      </c>
      <c r="B739" t="s">
        <v>1036</v>
      </c>
      <c r="C739" t="s">
        <v>9</v>
      </c>
      <c r="D739" t="s">
        <v>1037</v>
      </c>
      <c r="E739" t="s">
        <v>1038</v>
      </c>
      <c r="F739" t="s">
        <v>1039</v>
      </c>
      <c r="G739" t="s">
        <v>41</v>
      </c>
      <c r="H739">
        <v>19</v>
      </c>
    </row>
    <row r="740" spans="1:8" x14ac:dyDescent="0.35">
      <c r="A740">
        <v>884770120126</v>
      </c>
      <c r="B740" t="s">
        <v>1040</v>
      </c>
      <c r="C740" t="s">
        <v>565</v>
      </c>
      <c r="D740" t="s">
        <v>1040</v>
      </c>
      <c r="E740" t="s">
        <v>1041</v>
      </c>
      <c r="F740" t="s">
        <v>1042</v>
      </c>
      <c r="G740" t="s">
        <v>41</v>
      </c>
      <c r="H740">
        <v>50</v>
      </c>
    </row>
    <row r="741" spans="1:8" x14ac:dyDescent="0.35">
      <c r="A741">
        <v>921114661157</v>
      </c>
      <c r="B741" t="s">
        <v>1043</v>
      </c>
      <c r="C741" t="s">
        <v>36</v>
      </c>
      <c r="D741" t="s">
        <v>1044</v>
      </c>
      <c r="E741" t="s">
        <v>15</v>
      </c>
      <c r="F741" t="s">
        <v>56</v>
      </c>
      <c r="G741" t="s">
        <v>22</v>
      </c>
      <c r="H741">
        <v>1</v>
      </c>
    </row>
    <row r="742" spans="1:8" x14ac:dyDescent="0.35">
      <c r="A742">
        <v>96619200603</v>
      </c>
      <c r="B742" t="s">
        <v>1045</v>
      </c>
      <c r="C742" t="s">
        <v>1046</v>
      </c>
      <c r="D742" t="s">
        <v>351</v>
      </c>
      <c r="E742" t="s">
        <v>15</v>
      </c>
      <c r="F742" t="s">
        <v>352</v>
      </c>
      <c r="G742" t="s">
        <v>16</v>
      </c>
      <c r="H742">
        <v>4</v>
      </c>
    </row>
    <row r="743" spans="1:8" x14ac:dyDescent="0.35">
      <c r="A743">
        <v>96619297542</v>
      </c>
      <c r="B743" t="s">
        <v>1047</v>
      </c>
      <c r="C743" t="s">
        <v>1048</v>
      </c>
      <c r="D743" t="s">
        <v>351</v>
      </c>
      <c r="E743" t="s">
        <v>15</v>
      </c>
      <c r="F743" t="s">
        <v>352</v>
      </c>
      <c r="G743" t="s">
        <v>22</v>
      </c>
      <c r="H743">
        <v>1</v>
      </c>
    </row>
    <row r="744" spans="1:8" x14ac:dyDescent="0.35">
      <c r="A744">
        <v>96619321841</v>
      </c>
      <c r="B744" t="s">
        <v>1049</v>
      </c>
      <c r="C744" t="s">
        <v>9</v>
      </c>
      <c r="D744" t="s">
        <v>351</v>
      </c>
      <c r="E744" t="s">
        <v>15</v>
      </c>
      <c r="F744" t="s">
        <v>352</v>
      </c>
      <c r="G744" t="s">
        <v>16</v>
      </c>
      <c r="H744">
        <v>30</v>
      </c>
    </row>
    <row r="745" spans="1:8" x14ac:dyDescent="0.35">
      <c r="A745">
        <v>96619397013</v>
      </c>
      <c r="B745" t="s">
        <v>1050</v>
      </c>
      <c r="C745" t="s">
        <v>9</v>
      </c>
      <c r="D745" t="s">
        <v>351</v>
      </c>
      <c r="E745" t="s">
        <v>15</v>
      </c>
      <c r="F745" t="s">
        <v>352</v>
      </c>
      <c r="G745" t="s">
        <v>22</v>
      </c>
      <c r="H745">
        <v>1</v>
      </c>
    </row>
    <row r="746" spans="1:8" x14ac:dyDescent="0.35">
      <c r="A746">
        <v>96619482016</v>
      </c>
      <c r="B746" t="s">
        <v>235</v>
      </c>
      <c r="C746" t="s">
        <v>9</v>
      </c>
      <c r="D746" t="s">
        <v>351</v>
      </c>
      <c r="E746" t="s">
        <v>15</v>
      </c>
      <c r="F746" t="s">
        <v>352</v>
      </c>
      <c r="G746" t="s">
        <v>22</v>
      </c>
      <c r="H746">
        <v>1</v>
      </c>
    </row>
    <row r="747" spans="1:8" x14ac:dyDescent="0.35">
      <c r="A747">
        <v>10034378</v>
      </c>
      <c r="B747" t="s">
        <v>1051</v>
      </c>
      <c r="C747" t="s">
        <v>419</v>
      </c>
      <c r="D747" t="s">
        <v>432</v>
      </c>
      <c r="E747" t="s">
        <v>22</v>
      </c>
      <c r="F747" t="s">
        <v>64</v>
      </c>
      <c r="G747" t="s">
        <v>22</v>
      </c>
      <c r="H747">
        <v>2</v>
      </c>
    </row>
    <row r="748" spans="1:8" x14ac:dyDescent="0.35">
      <c r="A748">
        <v>10045114</v>
      </c>
      <c r="B748" t="s">
        <v>1052</v>
      </c>
      <c r="C748" t="s">
        <v>419</v>
      </c>
      <c r="D748" t="s">
        <v>432</v>
      </c>
      <c r="E748" t="s">
        <v>22</v>
      </c>
      <c r="F748" t="s">
        <v>64</v>
      </c>
      <c r="G748" t="s">
        <v>22</v>
      </c>
      <c r="H748">
        <v>1</v>
      </c>
    </row>
    <row r="749" spans="1:8" x14ac:dyDescent="0.35">
      <c r="A749">
        <v>10060599</v>
      </c>
      <c r="B749" t="s">
        <v>1053</v>
      </c>
      <c r="C749" t="s">
        <v>1054</v>
      </c>
      <c r="D749" t="s">
        <v>432</v>
      </c>
      <c r="E749" t="s">
        <v>22</v>
      </c>
      <c r="F749" t="s">
        <v>64</v>
      </c>
      <c r="G749" t="s">
        <v>22</v>
      </c>
      <c r="H749">
        <v>1</v>
      </c>
    </row>
    <row r="750" spans="1:8" x14ac:dyDescent="0.35">
      <c r="A750">
        <v>10066140</v>
      </c>
      <c r="B750" t="s">
        <v>1055</v>
      </c>
      <c r="C750" t="s">
        <v>43</v>
      </c>
      <c r="D750" t="s">
        <v>432</v>
      </c>
      <c r="E750" t="s">
        <v>22</v>
      </c>
      <c r="F750" t="s">
        <v>64</v>
      </c>
      <c r="G750" t="s">
        <v>22</v>
      </c>
      <c r="H750">
        <v>1</v>
      </c>
    </row>
    <row r="751" spans="1:8" x14ac:dyDescent="0.35">
      <c r="A751">
        <v>10260142</v>
      </c>
      <c r="B751" t="s">
        <v>1056</v>
      </c>
      <c r="C751" t="s">
        <v>9</v>
      </c>
      <c r="D751" t="s">
        <v>1057</v>
      </c>
      <c r="E751" t="s">
        <v>318</v>
      </c>
      <c r="F751" t="s">
        <v>319</v>
      </c>
      <c r="G751" t="s">
        <v>22</v>
      </c>
      <c r="H751">
        <v>2</v>
      </c>
    </row>
    <row r="752" spans="1:8" x14ac:dyDescent="0.35">
      <c r="A752">
        <v>1041837271682</v>
      </c>
      <c r="B752" t="s">
        <v>566</v>
      </c>
      <c r="C752" t="s">
        <v>1058</v>
      </c>
      <c r="D752" t="s">
        <v>1059</v>
      </c>
      <c r="E752" t="s">
        <v>15</v>
      </c>
      <c r="F752" t="s">
        <v>56</v>
      </c>
      <c r="G752" t="s">
        <v>22</v>
      </c>
      <c r="H752">
        <v>1</v>
      </c>
    </row>
    <row r="753" spans="1:8" x14ac:dyDescent="0.35">
      <c r="A753">
        <v>1072343729824</v>
      </c>
      <c r="B753" t="s">
        <v>481</v>
      </c>
      <c r="C753" t="s">
        <v>272</v>
      </c>
      <c r="D753" t="s">
        <v>474</v>
      </c>
      <c r="E753" t="s">
        <v>130</v>
      </c>
      <c r="F753" t="s">
        <v>475</v>
      </c>
      <c r="G753" t="s">
        <v>22</v>
      </c>
      <c r="H753">
        <v>1</v>
      </c>
    </row>
    <row r="754" spans="1:8" x14ac:dyDescent="0.35">
      <c r="A754">
        <v>11011101</v>
      </c>
      <c r="B754" t="s">
        <v>1060</v>
      </c>
      <c r="C754" t="s">
        <v>447</v>
      </c>
      <c r="D754" t="s">
        <v>415</v>
      </c>
      <c r="E754" t="s">
        <v>61</v>
      </c>
      <c r="F754" t="s">
        <v>416</v>
      </c>
      <c r="G754" t="s">
        <v>61</v>
      </c>
      <c r="H754">
        <v>1</v>
      </c>
    </row>
    <row r="755" spans="1:8" x14ac:dyDescent="0.35">
      <c r="A755">
        <v>12204441</v>
      </c>
      <c r="B755" t="s">
        <v>1061</v>
      </c>
      <c r="C755" t="s">
        <v>110</v>
      </c>
      <c r="D755" t="s">
        <v>1062</v>
      </c>
      <c r="E755" t="s">
        <v>130</v>
      </c>
      <c r="F755" t="s">
        <v>424</v>
      </c>
      <c r="G755" t="s">
        <v>387</v>
      </c>
      <c r="H755">
        <v>2</v>
      </c>
    </row>
    <row r="756" spans="1:8" x14ac:dyDescent="0.35">
      <c r="A756">
        <v>123456789012</v>
      </c>
      <c r="B756" t="s">
        <v>1063</v>
      </c>
      <c r="C756" t="s">
        <v>114</v>
      </c>
      <c r="D756" t="s">
        <v>1064</v>
      </c>
      <c r="E756" t="s">
        <v>130</v>
      </c>
      <c r="F756" t="s">
        <v>220</v>
      </c>
      <c r="G756" t="s">
        <v>117</v>
      </c>
      <c r="H756">
        <v>53</v>
      </c>
    </row>
    <row r="757" spans="1:8" x14ac:dyDescent="0.35">
      <c r="A757">
        <v>1234567890128</v>
      </c>
      <c r="B757" t="s">
        <v>1065</v>
      </c>
      <c r="C757" t="s">
        <v>9</v>
      </c>
      <c r="D757" t="s">
        <v>1066</v>
      </c>
      <c r="E757" t="s">
        <v>150</v>
      </c>
      <c r="F757" t="s">
        <v>1067</v>
      </c>
      <c r="G757" t="s">
        <v>33</v>
      </c>
      <c r="H757">
        <v>25</v>
      </c>
    </row>
    <row r="758" spans="1:8" x14ac:dyDescent="0.35">
      <c r="A758">
        <v>1234567890128</v>
      </c>
      <c r="B758" t="s">
        <v>1065</v>
      </c>
      <c r="C758" t="s">
        <v>9</v>
      </c>
      <c r="D758" t="s">
        <v>1066</v>
      </c>
      <c r="E758" t="s">
        <v>150</v>
      </c>
      <c r="F758" t="s">
        <v>1067</v>
      </c>
      <c r="G758" t="s">
        <v>150</v>
      </c>
      <c r="H758">
        <v>6</v>
      </c>
    </row>
    <row r="759" spans="1:8" x14ac:dyDescent="0.35">
      <c r="A759">
        <v>1243487060320</v>
      </c>
      <c r="B759" t="s">
        <v>544</v>
      </c>
      <c r="C759" t="s">
        <v>1068</v>
      </c>
      <c r="D759" t="s">
        <v>1069</v>
      </c>
      <c r="E759" t="s">
        <v>61</v>
      </c>
      <c r="F759" t="s">
        <v>1070</v>
      </c>
      <c r="G759" t="s">
        <v>61</v>
      </c>
      <c r="H759">
        <v>8</v>
      </c>
    </row>
    <row r="760" spans="1:8" x14ac:dyDescent="0.35">
      <c r="A760">
        <v>12548903</v>
      </c>
      <c r="B760" t="s">
        <v>1071</v>
      </c>
      <c r="C760" t="s">
        <v>110</v>
      </c>
      <c r="D760" t="s">
        <v>14</v>
      </c>
      <c r="E760" t="s">
        <v>15</v>
      </c>
      <c r="F760" t="s">
        <v>14</v>
      </c>
      <c r="G760" t="s">
        <v>34</v>
      </c>
      <c r="H760">
        <v>52</v>
      </c>
    </row>
    <row r="761" spans="1:8" x14ac:dyDescent="0.35">
      <c r="A761">
        <v>12548903</v>
      </c>
      <c r="B761" t="s">
        <v>1071</v>
      </c>
      <c r="C761" t="s">
        <v>110</v>
      </c>
      <c r="D761" t="s">
        <v>14</v>
      </c>
      <c r="E761" t="s">
        <v>15</v>
      </c>
      <c r="F761" t="s">
        <v>14</v>
      </c>
      <c r="G761" t="s">
        <v>61</v>
      </c>
      <c r="H761">
        <v>1</v>
      </c>
    </row>
    <row r="762" spans="1:8" x14ac:dyDescent="0.35">
      <c r="A762">
        <v>13917821</v>
      </c>
      <c r="B762" t="s">
        <v>1072</v>
      </c>
      <c r="C762" t="s">
        <v>617</v>
      </c>
      <c r="D762" t="s">
        <v>1059</v>
      </c>
      <c r="E762" t="s">
        <v>15</v>
      </c>
      <c r="F762" t="s">
        <v>56</v>
      </c>
      <c r="G762" t="s">
        <v>22</v>
      </c>
      <c r="H762">
        <v>1</v>
      </c>
    </row>
    <row r="763" spans="1:8" x14ac:dyDescent="0.35">
      <c r="A763">
        <v>14021985</v>
      </c>
      <c r="B763" t="s">
        <v>1073</v>
      </c>
      <c r="C763" t="s">
        <v>603</v>
      </c>
      <c r="D763" t="s">
        <v>1074</v>
      </c>
      <c r="E763" t="s">
        <v>33</v>
      </c>
      <c r="F763" t="s">
        <v>1075</v>
      </c>
      <c r="G763" t="s">
        <v>33</v>
      </c>
      <c r="H763">
        <v>1677</v>
      </c>
    </row>
    <row r="764" spans="1:8" x14ac:dyDescent="0.35">
      <c r="A764">
        <v>14021985</v>
      </c>
      <c r="B764" t="s">
        <v>1073</v>
      </c>
      <c r="C764" t="s">
        <v>603</v>
      </c>
      <c r="D764" t="s">
        <v>1074</v>
      </c>
      <c r="E764" t="s">
        <v>33</v>
      </c>
      <c r="F764" t="s">
        <v>1075</v>
      </c>
      <c r="G764" t="s">
        <v>34</v>
      </c>
      <c r="H764">
        <v>23</v>
      </c>
    </row>
    <row r="765" spans="1:8" x14ac:dyDescent="0.35">
      <c r="A765">
        <v>1409060098504</v>
      </c>
      <c r="B765" t="s">
        <v>1076</v>
      </c>
      <c r="C765" t="s">
        <v>192</v>
      </c>
      <c r="D765" t="s">
        <v>711</v>
      </c>
      <c r="E765" t="s">
        <v>15</v>
      </c>
      <c r="F765" t="s">
        <v>14</v>
      </c>
      <c r="G765" t="s">
        <v>61</v>
      </c>
      <c r="H765">
        <v>1</v>
      </c>
    </row>
    <row r="766" spans="1:8" x14ac:dyDescent="0.35">
      <c r="A766">
        <v>1413112418431</v>
      </c>
      <c r="B766" t="s">
        <v>1077</v>
      </c>
      <c r="C766" t="s">
        <v>9</v>
      </c>
      <c r="D766" t="s">
        <v>1078</v>
      </c>
      <c r="E766" t="s">
        <v>15</v>
      </c>
      <c r="F766" t="s">
        <v>1079</v>
      </c>
      <c r="G766" t="s">
        <v>22</v>
      </c>
      <c r="H766">
        <v>2</v>
      </c>
    </row>
    <row r="767" spans="1:8" x14ac:dyDescent="0.35">
      <c r="A767">
        <v>1413821084941</v>
      </c>
      <c r="B767" t="s">
        <v>1080</v>
      </c>
      <c r="C767" t="s">
        <v>1081</v>
      </c>
      <c r="D767" t="s">
        <v>1082</v>
      </c>
      <c r="E767" t="s">
        <v>15</v>
      </c>
      <c r="F767" t="s">
        <v>14</v>
      </c>
      <c r="G767" t="s">
        <v>598</v>
      </c>
      <c r="H767">
        <v>1</v>
      </c>
    </row>
    <row r="768" spans="1:8" x14ac:dyDescent="0.35">
      <c r="A768">
        <v>15124005</v>
      </c>
      <c r="B768" t="s">
        <v>384</v>
      </c>
      <c r="C768" t="s">
        <v>1008</v>
      </c>
      <c r="D768" t="s">
        <v>546</v>
      </c>
      <c r="E768" t="s">
        <v>547</v>
      </c>
      <c r="F768" t="s">
        <v>548</v>
      </c>
      <c r="G768" t="s">
        <v>547</v>
      </c>
      <c r="H768">
        <v>1</v>
      </c>
    </row>
    <row r="769" spans="1:8" x14ac:dyDescent="0.35">
      <c r="A769">
        <v>161705450597</v>
      </c>
      <c r="B769" t="s">
        <v>1083</v>
      </c>
      <c r="C769" t="s">
        <v>1084</v>
      </c>
      <c r="D769" t="s">
        <v>1085</v>
      </c>
      <c r="E769" t="s">
        <v>31</v>
      </c>
      <c r="F769" t="s">
        <v>1086</v>
      </c>
      <c r="G769" t="s">
        <v>31</v>
      </c>
      <c r="H769">
        <v>102</v>
      </c>
    </row>
    <row r="770" spans="1:8" x14ac:dyDescent="0.35">
      <c r="A770">
        <v>17473033</v>
      </c>
      <c r="B770" t="s">
        <v>1087</v>
      </c>
      <c r="C770" t="s">
        <v>114</v>
      </c>
      <c r="D770" t="s">
        <v>222</v>
      </c>
      <c r="E770" t="s">
        <v>71</v>
      </c>
      <c r="F770" t="s">
        <v>72</v>
      </c>
      <c r="G770" t="s">
        <v>598</v>
      </c>
      <c r="H770">
        <v>1</v>
      </c>
    </row>
    <row r="771" spans="1:8" x14ac:dyDescent="0.35">
      <c r="A771">
        <v>1776473668403</v>
      </c>
      <c r="B771" t="s">
        <v>1088</v>
      </c>
      <c r="C771" t="s">
        <v>9</v>
      </c>
      <c r="D771" t="s">
        <v>1089</v>
      </c>
      <c r="E771" t="s">
        <v>41</v>
      </c>
      <c r="F771" t="s">
        <v>1090</v>
      </c>
      <c r="G771" t="s">
        <v>41</v>
      </c>
      <c r="H771">
        <v>1</v>
      </c>
    </row>
    <row r="772" spans="1:8" x14ac:dyDescent="0.35">
      <c r="A772">
        <v>1797226011222</v>
      </c>
      <c r="B772" t="s">
        <v>1091</v>
      </c>
      <c r="C772" t="s">
        <v>1092</v>
      </c>
      <c r="D772" t="s">
        <v>1093</v>
      </c>
      <c r="E772" t="s">
        <v>117</v>
      </c>
      <c r="F772" t="s">
        <v>1094</v>
      </c>
      <c r="G772" t="s">
        <v>117</v>
      </c>
      <c r="H772">
        <v>5</v>
      </c>
    </row>
    <row r="773" spans="1:8" x14ac:dyDescent="0.35">
      <c r="A773">
        <v>1863654060344</v>
      </c>
      <c r="B773" t="s">
        <v>262</v>
      </c>
      <c r="C773" t="s">
        <v>1095</v>
      </c>
      <c r="D773" t="s">
        <v>1069</v>
      </c>
      <c r="E773" t="s">
        <v>61</v>
      </c>
      <c r="F773" t="s">
        <v>1070</v>
      </c>
      <c r="G773" t="s">
        <v>61</v>
      </c>
      <c r="H773">
        <v>224</v>
      </c>
    </row>
    <row r="774" spans="1:8" x14ac:dyDescent="0.35">
      <c r="A774">
        <v>194283300138</v>
      </c>
      <c r="B774" t="s">
        <v>235</v>
      </c>
      <c r="C774" t="s">
        <v>9</v>
      </c>
      <c r="D774" t="s">
        <v>411</v>
      </c>
      <c r="E774" t="s">
        <v>16</v>
      </c>
      <c r="F774" t="s">
        <v>412</v>
      </c>
      <c r="G774" t="s">
        <v>16</v>
      </c>
      <c r="H774">
        <v>12</v>
      </c>
    </row>
    <row r="775" spans="1:8" x14ac:dyDescent="0.35">
      <c r="A775">
        <v>20000967</v>
      </c>
      <c r="B775" t="s">
        <v>1096</v>
      </c>
      <c r="C775" t="s">
        <v>912</v>
      </c>
      <c r="D775" t="s">
        <v>1097</v>
      </c>
      <c r="E775" t="s">
        <v>73</v>
      </c>
      <c r="F775" t="s">
        <v>1098</v>
      </c>
      <c r="G775" t="s">
        <v>34</v>
      </c>
      <c r="H775">
        <v>1</v>
      </c>
    </row>
    <row r="776" spans="1:8" x14ac:dyDescent="0.35">
      <c r="A776">
        <v>20011246</v>
      </c>
      <c r="B776" t="s">
        <v>1099</v>
      </c>
      <c r="C776" t="s">
        <v>83</v>
      </c>
      <c r="D776" t="s">
        <v>1097</v>
      </c>
      <c r="E776" t="s">
        <v>73</v>
      </c>
      <c r="F776" t="s">
        <v>1098</v>
      </c>
      <c r="G776" t="s">
        <v>73</v>
      </c>
      <c r="H776">
        <v>3</v>
      </c>
    </row>
    <row r="777" spans="1:8" x14ac:dyDescent="0.35">
      <c r="A777">
        <v>20011697</v>
      </c>
      <c r="B777" t="s">
        <v>1100</v>
      </c>
      <c r="C777" t="s">
        <v>78</v>
      </c>
      <c r="D777" t="s">
        <v>1097</v>
      </c>
      <c r="E777" t="s">
        <v>73</v>
      </c>
      <c r="F777" t="s">
        <v>1098</v>
      </c>
      <c r="G777" t="s">
        <v>34</v>
      </c>
      <c r="H777">
        <v>3</v>
      </c>
    </row>
    <row r="778" spans="1:8" x14ac:dyDescent="0.35">
      <c r="A778">
        <v>20011697</v>
      </c>
      <c r="B778" t="s">
        <v>1100</v>
      </c>
      <c r="C778" t="s">
        <v>78</v>
      </c>
      <c r="D778" t="s">
        <v>1097</v>
      </c>
      <c r="E778" t="s">
        <v>73</v>
      </c>
      <c r="F778" t="s">
        <v>1098</v>
      </c>
      <c r="G778" t="s">
        <v>73</v>
      </c>
      <c r="H778">
        <v>1</v>
      </c>
    </row>
    <row r="779" spans="1:8" x14ac:dyDescent="0.35">
      <c r="A779">
        <v>20011758</v>
      </c>
      <c r="B779" t="s">
        <v>1101</v>
      </c>
      <c r="C779" t="s">
        <v>9</v>
      </c>
      <c r="D779" t="s">
        <v>1097</v>
      </c>
      <c r="E779" t="s">
        <v>73</v>
      </c>
      <c r="F779" t="s">
        <v>1098</v>
      </c>
      <c r="G779" t="s">
        <v>73</v>
      </c>
      <c r="H779">
        <v>1</v>
      </c>
    </row>
    <row r="780" spans="1:8" x14ac:dyDescent="0.35">
      <c r="A780">
        <v>20017309</v>
      </c>
      <c r="B780" t="s">
        <v>1102</v>
      </c>
      <c r="C780" t="s">
        <v>443</v>
      </c>
      <c r="D780" t="s">
        <v>1097</v>
      </c>
      <c r="E780" t="s">
        <v>73</v>
      </c>
      <c r="F780" t="s">
        <v>1098</v>
      </c>
      <c r="G780" t="s">
        <v>73</v>
      </c>
      <c r="H780">
        <v>1</v>
      </c>
    </row>
    <row r="781" spans="1:8" x14ac:dyDescent="0.35">
      <c r="A781">
        <v>20017750</v>
      </c>
      <c r="B781" t="s">
        <v>1103</v>
      </c>
      <c r="C781" t="s">
        <v>1104</v>
      </c>
      <c r="D781" t="s">
        <v>1105</v>
      </c>
      <c r="E781" t="s">
        <v>308</v>
      </c>
      <c r="F781" t="s">
        <v>309</v>
      </c>
      <c r="G781" t="s">
        <v>22</v>
      </c>
      <c r="H781">
        <v>2</v>
      </c>
    </row>
    <row r="782" spans="1:8" x14ac:dyDescent="0.35">
      <c r="A782">
        <v>20024321</v>
      </c>
      <c r="B782" t="s">
        <v>1106</v>
      </c>
      <c r="C782" t="s">
        <v>69</v>
      </c>
      <c r="D782" t="s">
        <v>1097</v>
      </c>
      <c r="E782" t="s">
        <v>73</v>
      </c>
      <c r="F782" t="s">
        <v>1098</v>
      </c>
      <c r="G782" t="s">
        <v>34</v>
      </c>
      <c r="H782">
        <v>1</v>
      </c>
    </row>
    <row r="783" spans="1:8" x14ac:dyDescent="0.35">
      <c r="A783">
        <v>20026660</v>
      </c>
      <c r="B783" t="s">
        <v>1107</v>
      </c>
      <c r="C783" t="s">
        <v>431</v>
      </c>
      <c r="D783" t="s">
        <v>1097</v>
      </c>
      <c r="E783" t="s">
        <v>73</v>
      </c>
      <c r="F783" t="s">
        <v>1098</v>
      </c>
      <c r="G783" t="s">
        <v>73</v>
      </c>
      <c r="H783">
        <v>1</v>
      </c>
    </row>
    <row r="784" spans="1:8" x14ac:dyDescent="0.35">
      <c r="A784">
        <v>20026875</v>
      </c>
      <c r="B784" t="s">
        <v>1108</v>
      </c>
      <c r="C784" t="s">
        <v>78</v>
      </c>
      <c r="D784" t="s">
        <v>1097</v>
      </c>
      <c r="E784" t="s">
        <v>73</v>
      </c>
      <c r="F784" t="s">
        <v>1098</v>
      </c>
      <c r="G784" t="s">
        <v>34</v>
      </c>
      <c r="H784">
        <v>1</v>
      </c>
    </row>
    <row r="785" spans="1:8" x14ac:dyDescent="0.35">
      <c r="A785">
        <v>20026875</v>
      </c>
      <c r="B785" t="s">
        <v>1108</v>
      </c>
      <c r="C785" t="s">
        <v>78</v>
      </c>
      <c r="D785" t="s">
        <v>1097</v>
      </c>
      <c r="E785" t="s">
        <v>73</v>
      </c>
      <c r="F785" t="s">
        <v>1098</v>
      </c>
      <c r="G785" t="s">
        <v>73</v>
      </c>
      <c r="H785">
        <v>7</v>
      </c>
    </row>
    <row r="786" spans="1:8" x14ac:dyDescent="0.35">
      <c r="A786">
        <v>20040444</v>
      </c>
      <c r="B786" t="s">
        <v>1109</v>
      </c>
      <c r="C786" t="s">
        <v>9</v>
      </c>
      <c r="D786" t="s">
        <v>1097</v>
      </c>
      <c r="E786" t="s">
        <v>73</v>
      </c>
      <c r="F786" t="s">
        <v>1098</v>
      </c>
      <c r="G786" t="s">
        <v>73</v>
      </c>
      <c r="H786">
        <v>1</v>
      </c>
    </row>
    <row r="787" spans="1:8" x14ac:dyDescent="0.35">
      <c r="A787">
        <v>20049706</v>
      </c>
      <c r="B787" t="s">
        <v>1110</v>
      </c>
      <c r="C787" t="s">
        <v>110</v>
      </c>
      <c r="D787" t="s">
        <v>1097</v>
      </c>
      <c r="E787" t="s">
        <v>73</v>
      </c>
      <c r="F787" t="s">
        <v>1098</v>
      </c>
      <c r="G787" t="s">
        <v>34</v>
      </c>
      <c r="H787">
        <v>2</v>
      </c>
    </row>
    <row r="788" spans="1:8" x14ac:dyDescent="0.35">
      <c r="A788">
        <v>20049706</v>
      </c>
      <c r="B788" t="s">
        <v>1110</v>
      </c>
      <c r="C788" t="s">
        <v>110</v>
      </c>
      <c r="D788" t="s">
        <v>1097</v>
      </c>
      <c r="E788" t="s">
        <v>73</v>
      </c>
      <c r="F788" t="s">
        <v>1098</v>
      </c>
      <c r="G788" t="s">
        <v>73</v>
      </c>
      <c r="H788">
        <v>1</v>
      </c>
    </row>
    <row r="789" spans="1:8" x14ac:dyDescent="0.35">
      <c r="A789">
        <v>2005673456213</v>
      </c>
      <c r="B789" t="s">
        <v>1111</v>
      </c>
      <c r="C789" t="s">
        <v>9</v>
      </c>
      <c r="D789" t="s">
        <v>1112</v>
      </c>
      <c r="E789" t="s">
        <v>117</v>
      </c>
      <c r="F789" t="s">
        <v>1113</v>
      </c>
      <c r="G789" t="s">
        <v>117</v>
      </c>
      <c r="H789">
        <v>14</v>
      </c>
    </row>
    <row r="790" spans="1:8" x14ac:dyDescent="0.35">
      <c r="A790">
        <v>2005673456268</v>
      </c>
      <c r="B790" t="s">
        <v>1114</v>
      </c>
      <c r="C790" t="s">
        <v>1115</v>
      </c>
      <c r="D790" t="s">
        <v>1112</v>
      </c>
      <c r="E790" t="s">
        <v>117</v>
      </c>
      <c r="F790" t="s">
        <v>1113</v>
      </c>
      <c r="G790" t="s">
        <v>117</v>
      </c>
      <c r="H790">
        <v>1</v>
      </c>
    </row>
    <row r="791" spans="1:8" x14ac:dyDescent="0.35">
      <c r="A791">
        <v>20067298</v>
      </c>
      <c r="B791" t="s">
        <v>1116</v>
      </c>
      <c r="C791" t="s">
        <v>78</v>
      </c>
      <c r="D791" t="s">
        <v>1097</v>
      </c>
      <c r="E791" t="s">
        <v>73</v>
      </c>
      <c r="F791" t="s">
        <v>1098</v>
      </c>
      <c r="G791" t="s">
        <v>73</v>
      </c>
      <c r="H791">
        <v>4</v>
      </c>
    </row>
    <row r="792" spans="1:8" x14ac:dyDescent="0.35">
      <c r="A792">
        <v>20080709</v>
      </c>
      <c r="B792" t="s">
        <v>1117</v>
      </c>
      <c r="C792" t="s">
        <v>1118</v>
      </c>
      <c r="D792" t="s">
        <v>1097</v>
      </c>
      <c r="E792" t="s">
        <v>73</v>
      </c>
      <c r="F792" t="s">
        <v>1098</v>
      </c>
      <c r="G792" t="s">
        <v>73</v>
      </c>
      <c r="H792">
        <v>1</v>
      </c>
    </row>
    <row r="793" spans="1:8" x14ac:dyDescent="0.35">
      <c r="A793">
        <v>20088866</v>
      </c>
      <c r="B793" t="s">
        <v>1119</v>
      </c>
      <c r="C793" t="s">
        <v>192</v>
      </c>
      <c r="D793" t="s">
        <v>1120</v>
      </c>
      <c r="E793" t="s">
        <v>73</v>
      </c>
      <c r="F793" t="s">
        <v>1098</v>
      </c>
      <c r="G793" t="s">
        <v>34</v>
      </c>
      <c r="H793">
        <v>1</v>
      </c>
    </row>
    <row r="794" spans="1:8" x14ac:dyDescent="0.35">
      <c r="A794">
        <v>20088866</v>
      </c>
      <c r="B794" t="s">
        <v>1119</v>
      </c>
      <c r="C794" t="s">
        <v>192</v>
      </c>
      <c r="D794" t="s">
        <v>1120</v>
      </c>
      <c r="E794" t="s">
        <v>73</v>
      </c>
      <c r="F794" t="s">
        <v>1098</v>
      </c>
      <c r="G794" t="s">
        <v>73</v>
      </c>
      <c r="H794">
        <v>7</v>
      </c>
    </row>
    <row r="795" spans="1:8" x14ac:dyDescent="0.35">
      <c r="A795">
        <v>20123253</v>
      </c>
      <c r="B795" t="s">
        <v>1121</v>
      </c>
      <c r="C795" t="s">
        <v>272</v>
      </c>
      <c r="D795" t="s">
        <v>1097</v>
      </c>
      <c r="E795" t="s">
        <v>73</v>
      </c>
      <c r="F795" t="s">
        <v>1098</v>
      </c>
      <c r="G795" t="s">
        <v>73</v>
      </c>
      <c r="H795">
        <v>1</v>
      </c>
    </row>
    <row r="796" spans="1:8" x14ac:dyDescent="0.35">
      <c r="A796">
        <v>20123994</v>
      </c>
      <c r="B796" t="s">
        <v>1122</v>
      </c>
      <c r="C796" t="s">
        <v>1123</v>
      </c>
      <c r="D796" t="s">
        <v>1097</v>
      </c>
      <c r="E796" t="s">
        <v>73</v>
      </c>
      <c r="F796" t="s">
        <v>1098</v>
      </c>
      <c r="G796" t="s">
        <v>73</v>
      </c>
      <c r="H796">
        <v>3</v>
      </c>
    </row>
    <row r="797" spans="1:8" x14ac:dyDescent="0.35">
      <c r="A797">
        <v>20143268</v>
      </c>
      <c r="B797" t="s">
        <v>1124</v>
      </c>
      <c r="C797" t="s">
        <v>431</v>
      </c>
      <c r="D797" t="s">
        <v>1097</v>
      </c>
      <c r="E797" t="s">
        <v>73</v>
      </c>
      <c r="F797" t="s">
        <v>1098</v>
      </c>
      <c r="G797" t="s">
        <v>34</v>
      </c>
      <c r="H797">
        <v>1</v>
      </c>
    </row>
    <row r="798" spans="1:8" x14ac:dyDescent="0.35">
      <c r="A798">
        <v>20148089</v>
      </c>
      <c r="B798" t="s">
        <v>1125</v>
      </c>
      <c r="C798" t="s">
        <v>81</v>
      </c>
      <c r="D798" t="s">
        <v>1097</v>
      </c>
      <c r="E798" t="s">
        <v>73</v>
      </c>
      <c r="F798" t="s">
        <v>1098</v>
      </c>
      <c r="G798" t="s">
        <v>34</v>
      </c>
      <c r="H798">
        <v>1</v>
      </c>
    </row>
    <row r="799" spans="1:8" x14ac:dyDescent="0.35">
      <c r="A799">
        <v>20148089</v>
      </c>
      <c r="B799" t="s">
        <v>1125</v>
      </c>
      <c r="C799" t="s">
        <v>81</v>
      </c>
      <c r="D799" t="s">
        <v>1097</v>
      </c>
      <c r="E799" t="s">
        <v>73</v>
      </c>
      <c r="F799" t="s">
        <v>1098</v>
      </c>
      <c r="G799" t="s">
        <v>73</v>
      </c>
      <c r="H799">
        <v>1</v>
      </c>
    </row>
    <row r="800" spans="1:8" x14ac:dyDescent="0.35">
      <c r="A800">
        <v>20149826</v>
      </c>
      <c r="B800" t="s">
        <v>1126</v>
      </c>
      <c r="C800" t="s">
        <v>1127</v>
      </c>
      <c r="D800" t="s">
        <v>1097</v>
      </c>
      <c r="E800" t="s">
        <v>73</v>
      </c>
      <c r="F800" t="s">
        <v>1098</v>
      </c>
      <c r="G800" t="s">
        <v>73</v>
      </c>
      <c r="H800">
        <v>1</v>
      </c>
    </row>
    <row r="801" spans="1:8" x14ac:dyDescent="0.35">
      <c r="A801">
        <v>20156367</v>
      </c>
      <c r="B801" t="s">
        <v>1128</v>
      </c>
      <c r="C801" t="s">
        <v>9</v>
      </c>
      <c r="D801" t="s">
        <v>1097</v>
      </c>
      <c r="E801" t="s">
        <v>73</v>
      </c>
      <c r="F801" t="s">
        <v>1098</v>
      </c>
      <c r="G801" t="s">
        <v>73</v>
      </c>
      <c r="H801">
        <v>2</v>
      </c>
    </row>
    <row r="802" spans="1:8" x14ac:dyDescent="0.35">
      <c r="A802">
        <v>20162832</v>
      </c>
      <c r="B802" t="s">
        <v>1129</v>
      </c>
      <c r="C802" t="s">
        <v>192</v>
      </c>
      <c r="D802" t="s">
        <v>1097</v>
      </c>
      <c r="E802" t="s">
        <v>73</v>
      </c>
      <c r="F802" t="s">
        <v>1098</v>
      </c>
      <c r="G802" t="s">
        <v>73</v>
      </c>
      <c r="H802">
        <v>2</v>
      </c>
    </row>
    <row r="803" spans="1:8" x14ac:dyDescent="0.35">
      <c r="A803">
        <v>20167080</v>
      </c>
      <c r="B803" t="s">
        <v>1130</v>
      </c>
      <c r="C803" t="s">
        <v>1131</v>
      </c>
      <c r="D803" t="s">
        <v>1097</v>
      </c>
      <c r="E803" t="s">
        <v>73</v>
      </c>
      <c r="F803" t="s">
        <v>1098</v>
      </c>
      <c r="G803" t="s">
        <v>73</v>
      </c>
      <c r="H803">
        <v>2</v>
      </c>
    </row>
    <row r="804" spans="1:8" x14ac:dyDescent="0.35">
      <c r="A804">
        <v>20168957</v>
      </c>
      <c r="B804" t="s">
        <v>1132</v>
      </c>
      <c r="C804" t="s">
        <v>1123</v>
      </c>
      <c r="D804" t="s">
        <v>1097</v>
      </c>
      <c r="E804" t="s">
        <v>73</v>
      </c>
      <c r="F804" t="s">
        <v>1098</v>
      </c>
      <c r="G804" t="s">
        <v>73</v>
      </c>
      <c r="H804">
        <v>1</v>
      </c>
    </row>
    <row r="805" spans="1:8" x14ac:dyDescent="0.35">
      <c r="A805">
        <v>20171643</v>
      </c>
      <c r="B805" t="s">
        <v>1133</v>
      </c>
      <c r="C805" t="s">
        <v>94</v>
      </c>
      <c r="D805" t="s">
        <v>1097</v>
      </c>
      <c r="E805" t="s">
        <v>73</v>
      </c>
      <c r="F805" t="s">
        <v>1098</v>
      </c>
      <c r="G805" t="s">
        <v>34</v>
      </c>
      <c r="H805">
        <v>1</v>
      </c>
    </row>
    <row r="806" spans="1:8" x14ac:dyDescent="0.35">
      <c r="A806">
        <v>20173685</v>
      </c>
      <c r="B806" t="s">
        <v>1134</v>
      </c>
      <c r="C806" t="s">
        <v>443</v>
      </c>
      <c r="D806" t="s">
        <v>1097</v>
      </c>
      <c r="E806" t="s">
        <v>73</v>
      </c>
      <c r="F806" t="s">
        <v>1098</v>
      </c>
      <c r="G806" t="s">
        <v>73</v>
      </c>
      <c r="H806">
        <v>2</v>
      </c>
    </row>
    <row r="807" spans="1:8" x14ac:dyDescent="0.35">
      <c r="A807">
        <v>20197261</v>
      </c>
      <c r="B807" t="s">
        <v>1135</v>
      </c>
      <c r="C807" t="s">
        <v>69</v>
      </c>
      <c r="D807" t="s">
        <v>1097</v>
      </c>
      <c r="E807" t="s">
        <v>73</v>
      </c>
      <c r="F807" t="s">
        <v>1098</v>
      </c>
      <c r="G807" t="s">
        <v>73</v>
      </c>
      <c r="H807">
        <v>1</v>
      </c>
    </row>
    <row r="808" spans="1:8" x14ac:dyDescent="0.35">
      <c r="A808">
        <v>20201609</v>
      </c>
      <c r="B808" t="s">
        <v>1119</v>
      </c>
      <c r="C808" t="s">
        <v>326</v>
      </c>
      <c r="D808" t="s">
        <v>1097</v>
      </c>
      <c r="E808" t="s">
        <v>73</v>
      </c>
      <c r="F808" t="s">
        <v>1098</v>
      </c>
      <c r="G808" t="s">
        <v>34</v>
      </c>
      <c r="H808">
        <v>1</v>
      </c>
    </row>
    <row r="809" spans="1:8" x14ac:dyDescent="0.35">
      <c r="A809">
        <v>20201609</v>
      </c>
      <c r="B809" t="s">
        <v>1119</v>
      </c>
      <c r="C809" t="s">
        <v>326</v>
      </c>
      <c r="D809" t="s">
        <v>1097</v>
      </c>
      <c r="E809" t="s">
        <v>73</v>
      </c>
      <c r="F809" t="s">
        <v>1098</v>
      </c>
      <c r="G809" t="s">
        <v>73</v>
      </c>
      <c r="H809">
        <v>6</v>
      </c>
    </row>
    <row r="810" spans="1:8" x14ac:dyDescent="0.35">
      <c r="A810">
        <v>2020558253855</v>
      </c>
      <c r="B810" t="s">
        <v>201</v>
      </c>
      <c r="C810" t="s">
        <v>603</v>
      </c>
      <c r="D810" t="s">
        <v>1136</v>
      </c>
      <c r="E810" t="s">
        <v>73</v>
      </c>
      <c r="F810" t="s">
        <v>1137</v>
      </c>
      <c r="G810" t="s">
        <v>22</v>
      </c>
      <c r="H810">
        <v>1</v>
      </c>
    </row>
    <row r="811" spans="1:8" x14ac:dyDescent="0.35">
      <c r="A811">
        <v>2027143041606</v>
      </c>
      <c r="B811" t="s">
        <v>1138</v>
      </c>
      <c r="C811" t="s">
        <v>1139</v>
      </c>
      <c r="D811" t="s">
        <v>1097</v>
      </c>
      <c r="E811" t="s">
        <v>73</v>
      </c>
      <c r="F811" t="s">
        <v>1098</v>
      </c>
      <c r="G811" t="s">
        <v>73</v>
      </c>
      <c r="H811">
        <v>1</v>
      </c>
    </row>
    <row r="812" spans="1:8" x14ac:dyDescent="0.35">
      <c r="A812">
        <v>2040137139516</v>
      </c>
      <c r="B812" t="s">
        <v>1140</v>
      </c>
      <c r="C812" t="s">
        <v>1141</v>
      </c>
      <c r="D812" t="s">
        <v>1142</v>
      </c>
      <c r="E812" t="s">
        <v>22</v>
      </c>
      <c r="F812" t="s">
        <v>1143</v>
      </c>
      <c r="G812" t="s">
        <v>22</v>
      </c>
      <c r="H812">
        <v>1</v>
      </c>
    </row>
    <row r="813" spans="1:8" x14ac:dyDescent="0.35">
      <c r="A813">
        <v>20412074</v>
      </c>
      <c r="B813" t="s">
        <v>1144</v>
      </c>
      <c r="C813" t="s">
        <v>94</v>
      </c>
      <c r="D813" t="s">
        <v>1145</v>
      </c>
      <c r="E813" t="s">
        <v>20</v>
      </c>
      <c r="F813" t="s">
        <v>314</v>
      </c>
      <c r="G813" t="s">
        <v>22</v>
      </c>
      <c r="H813">
        <v>1</v>
      </c>
    </row>
    <row r="814" spans="1:8" x14ac:dyDescent="0.35">
      <c r="A814">
        <v>2042509031176</v>
      </c>
      <c r="B814" t="s">
        <v>1146</v>
      </c>
      <c r="C814" t="s">
        <v>1123</v>
      </c>
      <c r="D814" t="s">
        <v>1147</v>
      </c>
      <c r="E814" t="s">
        <v>20</v>
      </c>
      <c r="F814" t="s">
        <v>1148</v>
      </c>
      <c r="G814" t="s">
        <v>22</v>
      </c>
      <c r="H814">
        <v>1</v>
      </c>
    </row>
    <row r="815" spans="1:8" x14ac:dyDescent="0.35">
      <c r="A815">
        <v>2057672265358</v>
      </c>
      <c r="B815" t="s">
        <v>384</v>
      </c>
      <c r="C815" t="s">
        <v>9</v>
      </c>
      <c r="D815" t="s">
        <v>1064</v>
      </c>
      <c r="E815" t="s">
        <v>130</v>
      </c>
      <c r="F815" t="s">
        <v>220</v>
      </c>
      <c r="G815" t="s">
        <v>20</v>
      </c>
      <c r="H815">
        <v>1</v>
      </c>
    </row>
    <row r="816" spans="1:8" x14ac:dyDescent="0.35">
      <c r="A816">
        <v>2089616370071</v>
      </c>
      <c r="B816" t="s">
        <v>790</v>
      </c>
      <c r="C816" t="s">
        <v>75</v>
      </c>
      <c r="D816" t="s">
        <v>1149</v>
      </c>
      <c r="E816" t="s">
        <v>34</v>
      </c>
      <c r="F816" t="s">
        <v>1150</v>
      </c>
      <c r="G816" t="s">
        <v>34</v>
      </c>
      <c r="H816">
        <v>4672</v>
      </c>
    </row>
    <row r="817" spans="1:8" x14ac:dyDescent="0.35">
      <c r="A817">
        <v>2089676370523</v>
      </c>
      <c r="B817" t="s">
        <v>1151</v>
      </c>
      <c r="C817" t="s">
        <v>9</v>
      </c>
      <c r="D817" t="s">
        <v>1152</v>
      </c>
      <c r="E817" t="s">
        <v>34</v>
      </c>
      <c r="F817" t="s">
        <v>1150</v>
      </c>
      <c r="G817" t="s">
        <v>34</v>
      </c>
      <c r="H817">
        <v>16</v>
      </c>
    </row>
    <row r="818" spans="1:8" x14ac:dyDescent="0.35">
      <c r="A818">
        <v>21026034</v>
      </c>
      <c r="B818" t="s">
        <v>119</v>
      </c>
      <c r="C818" t="s">
        <v>78</v>
      </c>
      <c r="D818" t="s">
        <v>1153</v>
      </c>
      <c r="E818" t="s">
        <v>15</v>
      </c>
      <c r="F818" t="s">
        <v>574</v>
      </c>
      <c r="G818" t="s">
        <v>22</v>
      </c>
      <c r="H818">
        <v>1</v>
      </c>
    </row>
    <row r="819" spans="1:8" x14ac:dyDescent="0.35">
      <c r="A819">
        <v>2110110781107</v>
      </c>
      <c r="B819" t="s">
        <v>1060</v>
      </c>
      <c r="C819" t="s">
        <v>114</v>
      </c>
      <c r="D819" t="s">
        <v>415</v>
      </c>
      <c r="E819" t="s">
        <v>61</v>
      </c>
      <c r="F819" t="s">
        <v>416</v>
      </c>
      <c r="G819" t="s">
        <v>61</v>
      </c>
      <c r="H819">
        <v>4</v>
      </c>
    </row>
    <row r="820" spans="1:8" x14ac:dyDescent="0.35">
      <c r="A820">
        <v>2191101450127</v>
      </c>
      <c r="B820" t="s">
        <v>1083</v>
      </c>
      <c r="C820" t="s">
        <v>1154</v>
      </c>
      <c r="D820" t="s">
        <v>1085</v>
      </c>
      <c r="E820" t="s">
        <v>31</v>
      </c>
      <c r="F820" t="s">
        <v>1086</v>
      </c>
      <c r="G820" t="s">
        <v>31</v>
      </c>
      <c r="H820">
        <v>1</v>
      </c>
    </row>
    <row r="821" spans="1:8" x14ac:dyDescent="0.35">
      <c r="A821">
        <v>22041111</v>
      </c>
      <c r="B821" t="s">
        <v>1155</v>
      </c>
      <c r="C821" t="s">
        <v>110</v>
      </c>
      <c r="D821" t="s">
        <v>1156</v>
      </c>
      <c r="E821" t="s">
        <v>387</v>
      </c>
      <c r="F821" t="s">
        <v>1157</v>
      </c>
      <c r="G821" t="s">
        <v>387</v>
      </c>
      <c r="H821">
        <v>1</v>
      </c>
    </row>
    <row r="822" spans="1:8" x14ac:dyDescent="0.35">
      <c r="A822">
        <v>2283011221123</v>
      </c>
      <c r="B822" t="s">
        <v>82</v>
      </c>
      <c r="C822" t="s">
        <v>83</v>
      </c>
      <c r="D822" t="s">
        <v>84</v>
      </c>
      <c r="E822" t="s">
        <v>61</v>
      </c>
      <c r="F822" t="s">
        <v>85</v>
      </c>
      <c r="G822" t="s">
        <v>61</v>
      </c>
      <c r="H822">
        <v>1</v>
      </c>
    </row>
    <row r="823" spans="1:8" x14ac:dyDescent="0.35">
      <c r="A823">
        <v>24001663</v>
      </c>
      <c r="B823" t="s">
        <v>1158</v>
      </c>
      <c r="C823" t="s">
        <v>192</v>
      </c>
      <c r="D823" t="s">
        <v>19</v>
      </c>
      <c r="E823" t="s">
        <v>20</v>
      </c>
      <c r="F823" t="s">
        <v>21</v>
      </c>
      <c r="G823" t="s">
        <v>464</v>
      </c>
      <c r="H823">
        <v>8</v>
      </c>
    </row>
    <row r="824" spans="1:8" x14ac:dyDescent="0.35">
      <c r="A824">
        <v>2434756897603</v>
      </c>
      <c r="B824" t="s">
        <v>1159</v>
      </c>
      <c r="C824" t="s">
        <v>610</v>
      </c>
      <c r="D824" t="s">
        <v>1160</v>
      </c>
      <c r="E824" t="s">
        <v>117</v>
      </c>
      <c r="F824" t="s">
        <v>1161</v>
      </c>
      <c r="G824" t="s">
        <v>117</v>
      </c>
      <c r="H824">
        <v>6</v>
      </c>
    </row>
    <row r="825" spans="1:8" x14ac:dyDescent="0.35">
      <c r="A825">
        <v>24643177</v>
      </c>
      <c r="B825" t="s">
        <v>1016</v>
      </c>
      <c r="C825" t="s">
        <v>1162</v>
      </c>
      <c r="D825" t="s">
        <v>14</v>
      </c>
      <c r="E825" t="s">
        <v>15</v>
      </c>
      <c r="F825" t="s">
        <v>14</v>
      </c>
      <c r="G825" t="s">
        <v>598</v>
      </c>
      <c r="H825">
        <v>1</v>
      </c>
    </row>
    <row r="826" spans="1:8" x14ac:dyDescent="0.35">
      <c r="A826">
        <v>25218787</v>
      </c>
      <c r="B826" t="s">
        <v>422</v>
      </c>
      <c r="C826" t="s">
        <v>83</v>
      </c>
      <c r="D826" t="s">
        <v>84</v>
      </c>
      <c r="E826" t="s">
        <v>61</v>
      </c>
      <c r="F826" t="s">
        <v>85</v>
      </c>
      <c r="G826" t="s">
        <v>61</v>
      </c>
      <c r="H826">
        <v>1</v>
      </c>
    </row>
    <row r="827" spans="1:8" x14ac:dyDescent="0.35">
      <c r="A827">
        <v>2610858664132</v>
      </c>
      <c r="B827" t="s">
        <v>1163</v>
      </c>
      <c r="C827" t="s">
        <v>192</v>
      </c>
      <c r="D827" t="s">
        <v>624</v>
      </c>
      <c r="E827" t="s">
        <v>31</v>
      </c>
      <c r="F827" t="s">
        <v>625</v>
      </c>
      <c r="G827" t="s">
        <v>31</v>
      </c>
      <c r="H827">
        <v>7</v>
      </c>
    </row>
    <row r="828" spans="1:8" x14ac:dyDescent="0.35">
      <c r="A828">
        <v>2703920843273</v>
      </c>
      <c r="B828" t="s">
        <v>1164</v>
      </c>
      <c r="C828" t="s">
        <v>9</v>
      </c>
      <c r="D828" t="s">
        <v>1165</v>
      </c>
      <c r="E828" t="s">
        <v>382</v>
      </c>
      <c r="F828" t="s">
        <v>1166</v>
      </c>
      <c r="G828" t="s">
        <v>61</v>
      </c>
      <c r="H828">
        <v>21</v>
      </c>
    </row>
    <row r="829" spans="1:8" x14ac:dyDescent="0.35">
      <c r="A829">
        <v>27533864</v>
      </c>
      <c r="B829" t="s">
        <v>1167</v>
      </c>
      <c r="C829" t="s">
        <v>81</v>
      </c>
      <c r="D829" t="s">
        <v>1153</v>
      </c>
      <c r="E829" t="s">
        <v>15</v>
      </c>
      <c r="F829" t="s">
        <v>574</v>
      </c>
      <c r="G829" t="s">
        <v>22</v>
      </c>
      <c r="H829">
        <v>1</v>
      </c>
    </row>
    <row r="830" spans="1:8" x14ac:dyDescent="0.35">
      <c r="A830">
        <v>28482963</v>
      </c>
      <c r="B830" t="s">
        <v>1168</v>
      </c>
      <c r="C830" t="s">
        <v>38</v>
      </c>
      <c r="D830" t="s">
        <v>1169</v>
      </c>
      <c r="E830" t="s">
        <v>61</v>
      </c>
      <c r="F830" t="s">
        <v>1170</v>
      </c>
      <c r="G830" t="s">
        <v>61</v>
      </c>
      <c r="H830">
        <v>6</v>
      </c>
    </row>
    <row r="831" spans="1:8" x14ac:dyDescent="0.35">
      <c r="A831">
        <v>29060733</v>
      </c>
      <c r="B831" t="s">
        <v>1171</v>
      </c>
      <c r="C831" t="s">
        <v>419</v>
      </c>
      <c r="D831" t="s">
        <v>44</v>
      </c>
      <c r="E831" t="s">
        <v>22</v>
      </c>
      <c r="F831" t="s">
        <v>45</v>
      </c>
      <c r="G831" t="s">
        <v>22</v>
      </c>
      <c r="H831">
        <v>1</v>
      </c>
    </row>
    <row r="832" spans="1:8" x14ac:dyDescent="0.35">
      <c r="A832">
        <v>29087709</v>
      </c>
      <c r="B832" t="s">
        <v>1172</v>
      </c>
      <c r="C832" t="s">
        <v>9</v>
      </c>
      <c r="D832" t="s">
        <v>44</v>
      </c>
      <c r="E832" t="s">
        <v>22</v>
      </c>
      <c r="F832" t="s">
        <v>45</v>
      </c>
      <c r="G832" t="s">
        <v>22</v>
      </c>
      <c r="H832">
        <v>1</v>
      </c>
    </row>
    <row r="833" spans="1:8" x14ac:dyDescent="0.35">
      <c r="A833">
        <v>29087709</v>
      </c>
      <c r="B833" t="s">
        <v>1172</v>
      </c>
      <c r="C833" t="s">
        <v>9</v>
      </c>
      <c r="D833" t="s">
        <v>44</v>
      </c>
      <c r="E833" t="s">
        <v>22</v>
      </c>
      <c r="F833" t="s">
        <v>45</v>
      </c>
      <c r="G833" t="s">
        <v>31</v>
      </c>
      <c r="H833">
        <v>1</v>
      </c>
    </row>
    <row r="834" spans="1:8" x14ac:dyDescent="0.35">
      <c r="A834">
        <v>2910112560317</v>
      </c>
      <c r="B834" t="s">
        <v>262</v>
      </c>
      <c r="C834" t="s">
        <v>1173</v>
      </c>
      <c r="D834" t="s">
        <v>366</v>
      </c>
      <c r="E834" t="s">
        <v>61</v>
      </c>
      <c r="F834" t="s">
        <v>364</v>
      </c>
      <c r="G834" t="s">
        <v>61</v>
      </c>
      <c r="H834">
        <v>20</v>
      </c>
    </row>
    <row r="835" spans="1:8" x14ac:dyDescent="0.35">
      <c r="A835">
        <v>3023290025338</v>
      </c>
      <c r="B835" t="s">
        <v>1174</v>
      </c>
      <c r="C835" t="s">
        <v>1175</v>
      </c>
      <c r="D835" t="s">
        <v>70</v>
      </c>
      <c r="E835" t="s">
        <v>71</v>
      </c>
      <c r="F835" t="s">
        <v>72</v>
      </c>
      <c r="G835" t="s">
        <v>22</v>
      </c>
      <c r="H835">
        <v>1</v>
      </c>
    </row>
    <row r="836" spans="1:8" x14ac:dyDescent="0.35">
      <c r="A836">
        <v>3042614542320</v>
      </c>
      <c r="B836" t="s">
        <v>295</v>
      </c>
      <c r="C836" t="s">
        <v>38</v>
      </c>
      <c r="D836" t="s">
        <v>1176</v>
      </c>
      <c r="E836" t="s">
        <v>61</v>
      </c>
      <c r="F836" t="s">
        <v>1070</v>
      </c>
      <c r="G836" t="s">
        <v>150</v>
      </c>
      <c r="H836">
        <v>1</v>
      </c>
    </row>
    <row r="837" spans="1:8" x14ac:dyDescent="0.35">
      <c r="A837">
        <v>3057640100178</v>
      </c>
      <c r="B837" t="s">
        <v>1151</v>
      </c>
      <c r="C837" t="s">
        <v>192</v>
      </c>
      <c r="D837" t="s">
        <v>1064</v>
      </c>
      <c r="E837" t="s">
        <v>130</v>
      </c>
      <c r="F837" t="s">
        <v>220</v>
      </c>
      <c r="G837" t="s">
        <v>22</v>
      </c>
      <c r="H837">
        <v>3</v>
      </c>
    </row>
    <row r="838" spans="1:8" x14ac:dyDescent="0.35">
      <c r="A838">
        <v>3057640100178</v>
      </c>
      <c r="B838" t="s">
        <v>1151</v>
      </c>
      <c r="C838" t="s">
        <v>192</v>
      </c>
      <c r="D838" t="s">
        <v>1064</v>
      </c>
      <c r="E838" t="s">
        <v>130</v>
      </c>
      <c r="F838" t="s">
        <v>220</v>
      </c>
      <c r="G838" t="s">
        <v>31</v>
      </c>
      <c r="H838">
        <v>2</v>
      </c>
    </row>
    <row r="839" spans="1:8" x14ac:dyDescent="0.35">
      <c r="A839">
        <v>3057640100673</v>
      </c>
      <c r="B839" t="s">
        <v>1151</v>
      </c>
      <c r="C839" t="s">
        <v>9</v>
      </c>
      <c r="D839" t="s">
        <v>1064</v>
      </c>
      <c r="E839" t="s">
        <v>130</v>
      </c>
      <c r="F839" t="s">
        <v>220</v>
      </c>
      <c r="G839" t="s">
        <v>22</v>
      </c>
      <c r="H839">
        <v>8</v>
      </c>
    </row>
    <row r="840" spans="1:8" x14ac:dyDescent="0.35">
      <c r="A840">
        <v>3057640136993</v>
      </c>
      <c r="B840" t="s">
        <v>1151</v>
      </c>
      <c r="C840" t="s">
        <v>81</v>
      </c>
      <c r="D840" t="s">
        <v>1064</v>
      </c>
      <c r="E840" t="s">
        <v>130</v>
      </c>
      <c r="F840" t="s">
        <v>220</v>
      </c>
      <c r="G840" t="s">
        <v>22</v>
      </c>
      <c r="H840">
        <v>7</v>
      </c>
    </row>
    <row r="841" spans="1:8" x14ac:dyDescent="0.35">
      <c r="A841">
        <v>3057640183843</v>
      </c>
      <c r="B841" t="s">
        <v>384</v>
      </c>
      <c r="C841" t="s">
        <v>801</v>
      </c>
      <c r="D841" t="s">
        <v>1064</v>
      </c>
      <c r="E841" t="s">
        <v>130</v>
      </c>
      <c r="F841" t="s">
        <v>220</v>
      </c>
      <c r="G841" t="s">
        <v>20</v>
      </c>
      <c r="H841">
        <v>1</v>
      </c>
    </row>
    <row r="842" spans="1:8" x14ac:dyDescent="0.35">
      <c r="A842">
        <v>3057640316098</v>
      </c>
      <c r="B842" t="s">
        <v>1177</v>
      </c>
      <c r="C842" t="s">
        <v>192</v>
      </c>
      <c r="D842" t="s">
        <v>1064</v>
      </c>
      <c r="E842" t="s">
        <v>130</v>
      </c>
      <c r="F842" t="s">
        <v>220</v>
      </c>
      <c r="G842" t="s">
        <v>22</v>
      </c>
      <c r="H842">
        <v>1</v>
      </c>
    </row>
    <row r="843" spans="1:8" x14ac:dyDescent="0.35">
      <c r="A843">
        <v>3057640373183</v>
      </c>
      <c r="B843" t="s">
        <v>1178</v>
      </c>
      <c r="C843" t="s">
        <v>9</v>
      </c>
      <c r="D843" t="s">
        <v>1064</v>
      </c>
      <c r="E843" t="s">
        <v>130</v>
      </c>
      <c r="F843" t="s">
        <v>220</v>
      </c>
      <c r="G843" t="s">
        <v>22</v>
      </c>
      <c r="H843">
        <v>1</v>
      </c>
    </row>
    <row r="844" spans="1:8" x14ac:dyDescent="0.35">
      <c r="A844">
        <v>3057640406423</v>
      </c>
      <c r="B844" t="s">
        <v>1179</v>
      </c>
      <c r="C844" t="s">
        <v>326</v>
      </c>
      <c r="D844" t="s">
        <v>1064</v>
      </c>
      <c r="E844" t="s">
        <v>130</v>
      </c>
      <c r="F844" t="s">
        <v>220</v>
      </c>
      <c r="G844" t="s">
        <v>22</v>
      </c>
      <c r="H844">
        <v>1</v>
      </c>
    </row>
    <row r="845" spans="1:8" x14ac:dyDescent="0.35">
      <c r="A845">
        <v>3057640406843</v>
      </c>
      <c r="B845" t="s">
        <v>1180</v>
      </c>
      <c r="C845" t="s">
        <v>610</v>
      </c>
      <c r="D845" t="s">
        <v>1064</v>
      </c>
      <c r="E845" t="s">
        <v>130</v>
      </c>
      <c r="F845" t="s">
        <v>220</v>
      </c>
      <c r="G845" t="s">
        <v>22</v>
      </c>
      <c r="H845">
        <v>1</v>
      </c>
    </row>
    <row r="846" spans="1:8" x14ac:dyDescent="0.35">
      <c r="A846">
        <v>3057640492983</v>
      </c>
      <c r="B846" t="s">
        <v>1181</v>
      </c>
      <c r="C846" t="s">
        <v>78</v>
      </c>
      <c r="D846" t="s">
        <v>1064</v>
      </c>
      <c r="E846" t="s">
        <v>130</v>
      </c>
      <c r="F846" t="s">
        <v>220</v>
      </c>
      <c r="G846" t="s">
        <v>22</v>
      </c>
      <c r="H846">
        <v>2</v>
      </c>
    </row>
    <row r="847" spans="1:8" x14ac:dyDescent="0.35">
      <c r="A847">
        <v>3057640510533</v>
      </c>
      <c r="B847" t="s">
        <v>1182</v>
      </c>
      <c r="C847" t="s">
        <v>326</v>
      </c>
      <c r="D847" t="s">
        <v>1064</v>
      </c>
      <c r="E847" t="s">
        <v>130</v>
      </c>
      <c r="F847" t="s">
        <v>220</v>
      </c>
      <c r="G847" t="s">
        <v>22</v>
      </c>
      <c r="H847">
        <v>2</v>
      </c>
    </row>
    <row r="848" spans="1:8" x14ac:dyDescent="0.35">
      <c r="A848">
        <v>3057640510878</v>
      </c>
      <c r="B848" t="s">
        <v>1183</v>
      </c>
      <c r="C848" t="s">
        <v>1184</v>
      </c>
      <c r="D848" t="s">
        <v>1064</v>
      </c>
      <c r="E848" t="s">
        <v>130</v>
      </c>
      <c r="F848" t="s">
        <v>220</v>
      </c>
      <c r="G848" t="s">
        <v>22</v>
      </c>
      <c r="H848">
        <v>1</v>
      </c>
    </row>
    <row r="849" spans="1:8" x14ac:dyDescent="0.35">
      <c r="A849">
        <v>3057640535123</v>
      </c>
      <c r="B849" t="s">
        <v>1185</v>
      </c>
      <c r="C849" t="s">
        <v>326</v>
      </c>
      <c r="D849" t="s">
        <v>1064</v>
      </c>
      <c r="E849" t="s">
        <v>130</v>
      </c>
      <c r="F849" t="s">
        <v>220</v>
      </c>
      <c r="G849" t="s">
        <v>22</v>
      </c>
      <c r="H849">
        <v>1</v>
      </c>
    </row>
    <row r="850" spans="1:8" x14ac:dyDescent="0.35">
      <c r="A850">
        <v>3057640548598</v>
      </c>
      <c r="B850" t="s">
        <v>1186</v>
      </c>
      <c r="C850" t="s">
        <v>9</v>
      </c>
      <c r="D850" t="s">
        <v>1064</v>
      </c>
      <c r="E850" t="s">
        <v>130</v>
      </c>
      <c r="F850" t="s">
        <v>220</v>
      </c>
      <c r="G850" t="s">
        <v>22</v>
      </c>
      <c r="H850">
        <v>1</v>
      </c>
    </row>
    <row r="851" spans="1:8" x14ac:dyDescent="0.35">
      <c r="A851">
        <v>3068320014067</v>
      </c>
      <c r="B851" t="s">
        <v>1151</v>
      </c>
      <c r="C851" t="s">
        <v>326</v>
      </c>
      <c r="D851" t="s">
        <v>219</v>
      </c>
      <c r="E851" t="s">
        <v>130</v>
      </c>
      <c r="F851" t="s">
        <v>220</v>
      </c>
      <c r="G851" t="s">
        <v>16</v>
      </c>
      <c r="H851">
        <v>2</v>
      </c>
    </row>
    <row r="852" spans="1:8" x14ac:dyDescent="0.35">
      <c r="A852">
        <v>3068320014067</v>
      </c>
      <c r="B852" t="s">
        <v>1151</v>
      </c>
      <c r="C852" t="s">
        <v>326</v>
      </c>
      <c r="D852" t="s">
        <v>219</v>
      </c>
      <c r="E852" t="s">
        <v>130</v>
      </c>
      <c r="F852" t="s">
        <v>220</v>
      </c>
      <c r="G852" t="s">
        <v>22</v>
      </c>
      <c r="H852">
        <v>11</v>
      </c>
    </row>
    <row r="853" spans="1:8" x14ac:dyDescent="0.35">
      <c r="A853">
        <v>3068320055008</v>
      </c>
      <c r="B853" t="s">
        <v>1151</v>
      </c>
      <c r="C853" t="s">
        <v>9</v>
      </c>
      <c r="D853" t="s">
        <v>219</v>
      </c>
      <c r="E853" t="s">
        <v>130</v>
      </c>
      <c r="F853" t="s">
        <v>220</v>
      </c>
      <c r="G853" t="s">
        <v>22</v>
      </c>
      <c r="H853">
        <v>6</v>
      </c>
    </row>
    <row r="854" spans="1:8" x14ac:dyDescent="0.35">
      <c r="A854">
        <v>3068320084602</v>
      </c>
      <c r="B854" t="s">
        <v>1151</v>
      </c>
      <c r="C854" t="s">
        <v>192</v>
      </c>
      <c r="D854" t="s">
        <v>219</v>
      </c>
      <c r="E854" t="s">
        <v>130</v>
      </c>
      <c r="F854" t="s">
        <v>220</v>
      </c>
      <c r="G854" t="s">
        <v>16</v>
      </c>
      <c r="H854">
        <v>1</v>
      </c>
    </row>
    <row r="855" spans="1:8" x14ac:dyDescent="0.35">
      <c r="A855">
        <v>3068320084602</v>
      </c>
      <c r="B855" t="s">
        <v>1151</v>
      </c>
      <c r="C855" t="s">
        <v>192</v>
      </c>
      <c r="D855" t="s">
        <v>219</v>
      </c>
      <c r="E855" t="s">
        <v>130</v>
      </c>
      <c r="F855" t="s">
        <v>220</v>
      </c>
      <c r="G855" t="s">
        <v>22</v>
      </c>
      <c r="H855">
        <v>1</v>
      </c>
    </row>
    <row r="856" spans="1:8" x14ac:dyDescent="0.35">
      <c r="A856">
        <v>3068320124377</v>
      </c>
      <c r="B856" t="s">
        <v>1187</v>
      </c>
      <c r="C856" t="s">
        <v>9</v>
      </c>
      <c r="D856" t="s">
        <v>219</v>
      </c>
      <c r="E856" t="s">
        <v>130</v>
      </c>
      <c r="F856" t="s">
        <v>220</v>
      </c>
      <c r="G856" t="s">
        <v>780</v>
      </c>
      <c r="H856">
        <v>1</v>
      </c>
    </row>
    <row r="857" spans="1:8" x14ac:dyDescent="0.35">
      <c r="A857">
        <v>3068320124438</v>
      </c>
      <c r="B857" t="s">
        <v>1151</v>
      </c>
      <c r="C857" t="s">
        <v>326</v>
      </c>
      <c r="D857" t="s">
        <v>219</v>
      </c>
      <c r="E857" t="s">
        <v>130</v>
      </c>
      <c r="F857" t="s">
        <v>220</v>
      </c>
      <c r="G857" t="s">
        <v>464</v>
      </c>
      <c r="H857">
        <v>1</v>
      </c>
    </row>
    <row r="858" spans="1:8" x14ac:dyDescent="0.35">
      <c r="A858">
        <v>3068320130040</v>
      </c>
      <c r="B858" t="s">
        <v>1188</v>
      </c>
      <c r="C858" t="s">
        <v>192</v>
      </c>
      <c r="D858" t="s">
        <v>219</v>
      </c>
      <c r="E858" t="s">
        <v>130</v>
      </c>
      <c r="F858" t="s">
        <v>220</v>
      </c>
      <c r="G858" t="s">
        <v>22</v>
      </c>
      <c r="H858">
        <v>1</v>
      </c>
    </row>
    <row r="859" spans="1:8" x14ac:dyDescent="0.35">
      <c r="A859">
        <v>3077200003169</v>
      </c>
      <c r="B859" t="s">
        <v>1189</v>
      </c>
      <c r="C859" t="s">
        <v>912</v>
      </c>
      <c r="D859" t="s">
        <v>1190</v>
      </c>
      <c r="E859" t="s">
        <v>15</v>
      </c>
      <c r="F859" t="s">
        <v>1191</v>
      </c>
      <c r="G859" t="s">
        <v>22</v>
      </c>
      <c r="H859">
        <v>1</v>
      </c>
    </row>
    <row r="860" spans="1:8" x14ac:dyDescent="0.35">
      <c r="A860">
        <v>3086125705027</v>
      </c>
      <c r="B860" t="s">
        <v>1192</v>
      </c>
      <c r="C860" t="s">
        <v>1193</v>
      </c>
      <c r="D860" t="s">
        <v>1194</v>
      </c>
      <c r="E860" t="s">
        <v>130</v>
      </c>
      <c r="F860" t="s">
        <v>1195</v>
      </c>
      <c r="G860" t="s">
        <v>34</v>
      </c>
      <c r="H860">
        <v>1</v>
      </c>
    </row>
    <row r="861" spans="1:8" x14ac:dyDescent="0.35">
      <c r="A861">
        <v>3123063240514</v>
      </c>
      <c r="B861" t="s">
        <v>1196</v>
      </c>
      <c r="C861" t="s">
        <v>83</v>
      </c>
      <c r="D861" t="s">
        <v>363</v>
      </c>
      <c r="E861" t="s">
        <v>61</v>
      </c>
      <c r="F861" t="s">
        <v>364</v>
      </c>
      <c r="G861" t="s">
        <v>61</v>
      </c>
      <c r="H861">
        <v>5</v>
      </c>
    </row>
    <row r="862" spans="1:8" x14ac:dyDescent="0.35">
      <c r="A862">
        <v>3155301887038</v>
      </c>
      <c r="B862" t="s">
        <v>1197</v>
      </c>
      <c r="C862" t="s">
        <v>200</v>
      </c>
      <c r="D862" t="s">
        <v>474</v>
      </c>
      <c r="E862" t="s">
        <v>130</v>
      </c>
      <c r="F862" t="s">
        <v>475</v>
      </c>
      <c r="G862" t="s">
        <v>16</v>
      </c>
      <c r="H862">
        <v>1</v>
      </c>
    </row>
    <row r="863" spans="1:8" x14ac:dyDescent="0.35">
      <c r="A863">
        <v>3155930006015</v>
      </c>
      <c r="B863" t="s">
        <v>1198</v>
      </c>
      <c r="C863" t="s">
        <v>1199</v>
      </c>
      <c r="D863" t="s">
        <v>1200</v>
      </c>
      <c r="E863" t="s">
        <v>1201</v>
      </c>
      <c r="F863" t="s">
        <v>1202</v>
      </c>
      <c r="G863" t="s">
        <v>61</v>
      </c>
      <c r="H863">
        <v>38</v>
      </c>
    </row>
    <row r="864" spans="1:8" x14ac:dyDescent="0.35">
      <c r="A864">
        <v>3223119220221</v>
      </c>
      <c r="B864" t="s">
        <v>82</v>
      </c>
      <c r="C864" t="s">
        <v>38</v>
      </c>
      <c r="D864" t="s">
        <v>84</v>
      </c>
      <c r="E864" t="s">
        <v>61</v>
      </c>
      <c r="F864" t="s">
        <v>85</v>
      </c>
      <c r="G864" t="s">
        <v>61</v>
      </c>
      <c r="H864">
        <v>1</v>
      </c>
    </row>
    <row r="865" spans="1:8" x14ac:dyDescent="0.35">
      <c r="A865">
        <v>3223188210420</v>
      </c>
      <c r="B865" t="s">
        <v>1203</v>
      </c>
      <c r="C865" t="s">
        <v>38</v>
      </c>
      <c r="D865" t="s">
        <v>84</v>
      </c>
      <c r="E865" t="s">
        <v>61</v>
      </c>
      <c r="F865" t="s">
        <v>85</v>
      </c>
      <c r="G865" t="s">
        <v>61</v>
      </c>
      <c r="H865">
        <v>76</v>
      </c>
    </row>
    <row r="866" spans="1:8" x14ac:dyDescent="0.35">
      <c r="A866">
        <v>3243071300519</v>
      </c>
      <c r="B866" t="s">
        <v>1204</v>
      </c>
      <c r="C866" t="s">
        <v>1154</v>
      </c>
      <c r="D866" t="s">
        <v>84</v>
      </c>
      <c r="E866" t="s">
        <v>61</v>
      </c>
      <c r="F866" t="s">
        <v>85</v>
      </c>
      <c r="G866" t="s">
        <v>61</v>
      </c>
      <c r="H866">
        <v>1</v>
      </c>
    </row>
    <row r="867" spans="1:8" x14ac:dyDescent="0.35">
      <c r="A867">
        <v>3270160822065</v>
      </c>
      <c r="B867" t="s">
        <v>1205</v>
      </c>
      <c r="C867" t="s">
        <v>1206</v>
      </c>
      <c r="D867" t="s">
        <v>1207</v>
      </c>
      <c r="E867" t="s">
        <v>130</v>
      </c>
      <c r="F867" t="s">
        <v>1208</v>
      </c>
      <c r="G867" t="s">
        <v>22</v>
      </c>
      <c r="H867">
        <v>1</v>
      </c>
    </row>
    <row r="868" spans="1:8" x14ac:dyDescent="0.35">
      <c r="A868">
        <v>3284257680438</v>
      </c>
      <c r="B868" t="s">
        <v>1209</v>
      </c>
      <c r="C868" t="s">
        <v>967</v>
      </c>
      <c r="D868" t="s">
        <v>455</v>
      </c>
      <c r="E868" t="s">
        <v>41</v>
      </c>
      <c r="F868" t="s">
        <v>456</v>
      </c>
      <c r="G868" t="s">
        <v>41</v>
      </c>
      <c r="H868">
        <v>50</v>
      </c>
    </row>
    <row r="869" spans="1:8" x14ac:dyDescent="0.35">
      <c r="A869">
        <v>3329770014497</v>
      </c>
      <c r="B869" t="s">
        <v>1210</v>
      </c>
      <c r="C869" t="s">
        <v>43</v>
      </c>
      <c r="D869" t="s">
        <v>171</v>
      </c>
      <c r="E869" t="s">
        <v>15</v>
      </c>
      <c r="F869" t="s">
        <v>172</v>
      </c>
      <c r="G869" t="s">
        <v>22</v>
      </c>
      <c r="H869">
        <v>1</v>
      </c>
    </row>
    <row r="870" spans="1:8" x14ac:dyDescent="0.35">
      <c r="A870">
        <v>3374650244068</v>
      </c>
      <c r="B870" t="s">
        <v>1211</v>
      </c>
      <c r="C870" t="s">
        <v>110</v>
      </c>
      <c r="D870" t="s">
        <v>1212</v>
      </c>
      <c r="E870" t="s">
        <v>130</v>
      </c>
      <c r="F870" t="s">
        <v>1213</v>
      </c>
      <c r="G870" t="s">
        <v>150</v>
      </c>
      <c r="H870">
        <v>8</v>
      </c>
    </row>
    <row r="871" spans="1:8" x14ac:dyDescent="0.35">
      <c r="A871">
        <v>3414620120289</v>
      </c>
      <c r="B871" t="s">
        <v>1214</v>
      </c>
      <c r="C871" t="s">
        <v>9</v>
      </c>
      <c r="D871" t="s">
        <v>1215</v>
      </c>
      <c r="E871" t="s">
        <v>61</v>
      </c>
      <c r="F871" t="s">
        <v>1216</v>
      </c>
      <c r="G871" t="s">
        <v>61</v>
      </c>
      <c r="H871">
        <v>5</v>
      </c>
    </row>
    <row r="872" spans="1:8" x14ac:dyDescent="0.35">
      <c r="A872">
        <v>3425900000283</v>
      </c>
      <c r="B872" t="s">
        <v>1217</v>
      </c>
      <c r="C872" t="s">
        <v>81</v>
      </c>
      <c r="D872" t="s">
        <v>1218</v>
      </c>
      <c r="E872" t="s">
        <v>130</v>
      </c>
      <c r="F872" t="s">
        <v>878</v>
      </c>
      <c r="G872" t="s">
        <v>150</v>
      </c>
      <c r="H872">
        <v>11</v>
      </c>
    </row>
    <row r="873" spans="1:8" x14ac:dyDescent="0.35">
      <c r="A873">
        <v>3425900000504</v>
      </c>
      <c r="B873" t="s">
        <v>1219</v>
      </c>
      <c r="C873" t="s">
        <v>81</v>
      </c>
      <c r="D873" t="s">
        <v>1220</v>
      </c>
      <c r="E873" t="s">
        <v>130</v>
      </c>
      <c r="F873" t="s">
        <v>878</v>
      </c>
      <c r="G873" t="s">
        <v>150</v>
      </c>
      <c r="H873">
        <v>71</v>
      </c>
    </row>
    <row r="874" spans="1:8" x14ac:dyDescent="0.35">
      <c r="A874">
        <v>3425901025940</v>
      </c>
      <c r="B874" t="s">
        <v>1217</v>
      </c>
      <c r="C874" t="s">
        <v>81</v>
      </c>
      <c r="D874" t="s">
        <v>1218</v>
      </c>
      <c r="E874" t="s">
        <v>130</v>
      </c>
      <c r="F874" t="s">
        <v>878</v>
      </c>
      <c r="G874" t="s">
        <v>150</v>
      </c>
      <c r="H874">
        <v>36</v>
      </c>
    </row>
    <row r="875" spans="1:8" x14ac:dyDescent="0.35">
      <c r="A875">
        <v>3454302004247</v>
      </c>
      <c r="B875" t="s">
        <v>1221</v>
      </c>
      <c r="C875" t="s">
        <v>43</v>
      </c>
      <c r="D875" t="s">
        <v>1222</v>
      </c>
      <c r="E875" t="s">
        <v>41</v>
      </c>
      <c r="F875" t="s">
        <v>1223</v>
      </c>
      <c r="G875" t="s">
        <v>41</v>
      </c>
      <c r="H875">
        <v>50</v>
      </c>
    </row>
    <row r="876" spans="1:8" x14ac:dyDescent="0.35">
      <c r="A876">
        <v>3502110008329</v>
      </c>
      <c r="B876" t="s">
        <v>273</v>
      </c>
      <c r="C876" t="s">
        <v>192</v>
      </c>
      <c r="D876" t="s">
        <v>273</v>
      </c>
      <c r="E876" t="s">
        <v>15</v>
      </c>
      <c r="F876" t="s">
        <v>56</v>
      </c>
      <c r="G876" t="s">
        <v>22</v>
      </c>
      <c r="H876">
        <v>1</v>
      </c>
    </row>
    <row r="877" spans="1:8" x14ac:dyDescent="0.35">
      <c r="A877">
        <v>3555792501909</v>
      </c>
      <c r="B877" t="s">
        <v>1224</v>
      </c>
      <c r="C877" t="s">
        <v>1225</v>
      </c>
      <c r="D877" t="s">
        <v>1226</v>
      </c>
      <c r="E877" t="s">
        <v>15</v>
      </c>
      <c r="F877" t="s">
        <v>1227</v>
      </c>
      <c r="G877" t="s">
        <v>1228</v>
      </c>
      <c r="H877">
        <v>1</v>
      </c>
    </row>
    <row r="878" spans="1:8" x14ac:dyDescent="0.35">
      <c r="A878">
        <v>3560071015510</v>
      </c>
      <c r="B878" t="s">
        <v>1229</v>
      </c>
      <c r="C878" t="s">
        <v>9</v>
      </c>
      <c r="D878" t="s">
        <v>1230</v>
      </c>
      <c r="E878" t="s">
        <v>130</v>
      </c>
      <c r="F878" t="s">
        <v>1230</v>
      </c>
      <c r="G878" t="s">
        <v>464</v>
      </c>
      <c r="H878">
        <v>1</v>
      </c>
    </row>
    <row r="879" spans="1:8" x14ac:dyDescent="0.35">
      <c r="A879">
        <v>3560071198190</v>
      </c>
      <c r="B879" t="s">
        <v>1231</v>
      </c>
      <c r="C879" t="s">
        <v>9</v>
      </c>
      <c r="D879" t="s">
        <v>1230</v>
      </c>
      <c r="E879" t="s">
        <v>130</v>
      </c>
      <c r="F879" t="s">
        <v>1230</v>
      </c>
      <c r="G879" t="s">
        <v>464</v>
      </c>
      <c r="H879">
        <v>1</v>
      </c>
    </row>
    <row r="880" spans="1:8" x14ac:dyDescent="0.35">
      <c r="A880">
        <v>3600550965049</v>
      </c>
      <c r="B880" t="s">
        <v>1232</v>
      </c>
      <c r="C880" t="s">
        <v>806</v>
      </c>
      <c r="D880" t="s">
        <v>1233</v>
      </c>
      <c r="E880" t="s">
        <v>117</v>
      </c>
      <c r="F880" t="s">
        <v>1234</v>
      </c>
      <c r="G880" t="s">
        <v>117</v>
      </c>
      <c r="H880">
        <v>1</v>
      </c>
    </row>
    <row r="881" spans="1:8" x14ac:dyDescent="0.35">
      <c r="A881">
        <v>3618264722797</v>
      </c>
      <c r="B881" t="s">
        <v>1235</v>
      </c>
      <c r="C881" t="s">
        <v>94</v>
      </c>
      <c r="D881" t="s">
        <v>613</v>
      </c>
      <c r="E881" t="s">
        <v>15</v>
      </c>
      <c r="F881" t="s">
        <v>460</v>
      </c>
      <c r="G881" t="s">
        <v>22</v>
      </c>
      <c r="H881">
        <v>1</v>
      </c>
    </row>
    <row r="882" spans="1:8" x14ac:dyDescent="0.35">
      <c r="A882">
        <v>3700123300014</v>
      </c>
      <c r="B882" t="s">
        <v>1236</v>
      </c>
      <c r="C882" t="s">
        <v>192</v>
      </c>
      <c r="D882" t="s">
        <v>1236</v>
      </c>
      <c r="E882" t="s">
        <v>71</v>
      </c>
      <c r="F882" t="s">
        <v>72</v>
      </c>
      <c r="G882" t="s">
        <v>464</v>
      </c>
      <c r="H882">
        <v>3</v>
      </c>
    </row>
    <row r="883" spans="1:8" x14ac:dyDescent="0.35">
      <c r="A883">
        <v>3700123300014</v>
      </c>
      <c r="B883" t="s">
        <v>1236</v>
      </c>
      <c r="C883" t="s">
        <v>192</v>
      </c>
      <c r="D883" t="s">
        <v>1236</v>
      </c>
      <c r="E883" t="s">
        <v>71</v>
      </c>
      <c r="F883" t="s">
        <v>72</v>
      </c>
      <c r="G883" t="s">
        <v>22</v>
      </c>
      <c r="H883">
        <v>1</v>
      </c>
    </row>
    <row r="884" spans="1:8" x14ac:dyDescent="0.35">
      <c r="A884">
        <v>3700123300380</v>
      </c>
      <c r="B884" t="s">
        <v>1236</v>
      </c>
      <c r="C884" t="s">
        <v>9</v>
      </c>
      <c r="D884" t="s">
        <v>70</v>
      </c>
      <c r="E884" t="s">
        <v>71</v>
      </c>
      <c r="F884" t="s">
        <v>72</v>
      </c>
      <c r="G884" t="s">
        <v>464</v>
      </c>
      <c r="H884">
        <v>1</v>
      </c>
    </row>
    <row r="885" spans="1:8" x14ac:dyDescent="0.35">
      <c r="A885">
        <v>3770012092412</v>
      </c>
      <c r="B885" t="s">
        <v>1237</v>
      </c>
      <c r="C885" t="s">
        <v>801</v>
      </c>
      <c r="D885" t="s">
        <v>1238</v>
      </c>
      <c r="E885" t="s">
        <v>61</v>
      </c>
      <c r="F885" t="s">
        <v>1239</v>
      </c>
      <c r="G885" t="s">
        <v>387</v>
      </c>
      <c r="H885">
        <v>1</v>
      </c>
    </row>
    <row r="886" spans="1:8" x14ac:dyDescent="0.35">
      <c r="A886">
        <v>3863043770012</v>
      </c>
      <c r="B886" t="s">
        <v>1240</v>
      </c>
      <c r="C886" t="s">
        <v>110</v>
      </c>
      <c r="D886" t="s">
        <v>420</v>
      </c>
      <c r="E886" t="s">
        <v>61</v>
      </c>
      <c r="F886" t="s">
        <v>421</v>
      </c>
      <c r="G886" t="s">
        <v>61</v>
      </c>
      <c r="H886">
        <v>2</v>
      </c>
    </row>
    <row r="887" spans="1:8" x14ac:dyDescent="0.35">
      <c r="A887">
        <v>39456878</v>
      </c>
      <c r="B887" t="s">
        <v>283</v>
      </c>
      <c r="C887" t="s">
        <v>151</v>
      </c>
      <c r="D887" t="s">
        <v>283</v>
      </c>
      <c r="E887" t="s">
        <v>15</v>
      </c>
      <c r="F887" t="s">
        <v>56</v>
      </c>
      <c r="G887" t="s">
        <v>16</v>
      </c>
      <c r="H887">
        <v>2</v>
      </c>
    </row>
    <row r="888" spans="1:8" x14ac:dyDescent="0.35">
      <c r="A888">
        <v>3948719921162</v>
      </c>
      <c r="B888" t="s">
        <v>1241</v>
      </c>
      <c r="C888" t="s">
        <v>1242</v>
      </c>
      <c r="D888" t="s">
        <v>1241</v>
      </c>
      <c r="E888" t="s">
        <v>41</v>
      </c>
      <c r="F888" t="s">
        <v>1243</v>
      </c>
      <c r="G888" t="s">
        <v>41</v>
      </c>
      <c r="H888">
        <v>50</v>
      </c>
    </row>
    <row r="889" spans="1:8" x14ac:dyDescent="0.35">
      <c r="A889">
        <v>4004166011678</v>
      </c>
      <c r="B889" t="s">
        <v>1244</v>
      </c>
      <c r="C889" t="s">
        <v>81</v>
      </c>
      <c r="D889" t="s">
        <v>1245</v>
      </c>
      <c r="E889" t="s">
        <v>73</v>
      </c>
      <c r="F889" t="s">
        <v>1246</v>
      </c>
      <c r="G889" t="s">
        <v>34</v>
      </c>
      <c r="H889">
        <v>1</v>
      </c>
    </row>
    <row r="890" spans="1:8" x14ac:dyDescent="0.35">
      <c r="A890">
        <v>4004166025873</v>
      </c>
      <c r="B890" t="s">
        <v>1247</v>
      </c>
      <c r="C890" t="s">
        <v>9</v>
      </c>
      <c r="D890" t="s">
        <v>1245</v>
      </c>
      <c r="E890" t="s">
        <v>73</v>
      </c>
      <c r="F890" t="s">
        <v>1246</v>
      </c>
      <c r="G890" t="s">
        <v>34</v>
      </c>
      <c r="H890">
        <v>1</v>
      </c>
    </row>
    <row r="891" spans="1:8" x14ac:dyDescent="0.35">
      <c r="A891">
        <v>4005808212521</v>
      </c>
      <c r="B891" t="s">
        <v>1248</v>
      </c>
      <c r="C891" t="s">
        <v>173</v>
      </c>
      <c r="D891" t="s">
        <v>1249</v>
      </c>
      <c r="E891" t="s">
        <v>20</v>
      </c>
      <c r="F891" t="s">
        <v>1250</v>
      </c>
      <c r="G891" t="s">
        <v>117</v>
      </c>
      <c r="H891">
        <v>1</v>
      </c>
    </row>
    <row r="892" spans="1:8" x14ac:dyDescent="0.35">
      <c r="A892">
        <v>4005808212521</v>
      </c>
      <c r="B892" t="s">
        <v>1248</v>
      </c>
      <c r="C892" t="s">
        <v>173</v>
      </c>
      <c r="D892" t="s">
        <v>1249</v>
      </c>
      <c r="E892" t="s">
        <v>20</v>
      </c>
      <c r="F892" t="s">
        <v>1250</v>
      </c>
      <c r="G892" t="s">
        <v>22</v>
      </c>
      <c r="H892">
        <v>2</v>
      </c>
    </row>
    <row r="893" spans="1:8" x14ac:dyDescent="0.35">
      <c r="A893">
        <v>4005808212521</v>
      </c>
      <c r="B893" t="s">
        <v>1248</v>
      </c>
      <c r="C893" t="s">
        <v>173</v>
      </c>
      <c r="D893" t="s">
        <v>1249</v>
      </c>
      <c r="E893" t="s">
        <v>20</v>
      </c>
      <c r="F893" t="s">
        <v>1250</v>
      </c>
      <c r="G893" t="s">
        <v>31</v>
      </c>
      <c r="H893">
        <v>3</v>
      </c>
    </row>
    <row r="894" spans="1:8" x14ac:dyDescent="0.35">
      <c r="A894">
        <v>4005808236879</v>
      </c>
      <c r="B894" t="s">
        <v>1251</v>
      </c>
      <c r="C894" t="s">
        <v>83</v>
      </c>
      <c r="D894" t="s">
        <v>1249</v>
      </c>
      <c r="E894" t="s">
        <v>20</v>
      </c>
      <c r="F894" t="s">
        <v>1250</v>
      </c>
      <c r="G894" t="s">
        <v>34</v>
      </c>
      <c r="H894">
        <v>2</v>
      </c>
    </row>
    <row r="895" spans="1:8" x14ac:dyDescent="0.35">
      <c r="A895">
        <v>4005808246878</v>
      </c>
      <c r="B895" t="s">
        <v>1252</v>
      </c>
      <c r="C895" t="s">
        <v>272</v>
      </c>
      <c r="D895" t="s">
        <v>1249</v>
      </c>
      <c r="E895" t="s">
        <v>20</v>
      </c>
      <c r="F895" t="s">
        <v>1250</v>
      </c>
      <c r="G895" t="s">
        <v>387</v>
      </c>
      <c r="H895">
        <v>1</v>
      </c>
    </row>
    <row r="896" spans="1:8" x14ac:dyDescent="0.35">
      <c r="A896">
        <v>4005808247431</v>
      </c>
      <c r="B896" t="s">
        <v>1251</v>
      </c>
      <c r="C896" t="s">
        <v>83</v>
      </c>
      <c r="D896" t="s">
        <v>1249</v>
      </c>
      <c r="E896" t="s">
        <v>20</v>
      </c>
      <c r="F896" t="s">
        <v>1250</v>
      </c>
      <c r="G896" t="s">
        <v>34</v>
      </c>
      <c r="H896">
        <v>4</v>
      </c>
    </row>
    <row r="897" spans="1:8" x14ac:dyDescent="0.35">
      <c r="A897">
        <v>4005808780570</v>
      </c>
      <c r="B897" t="s">
        <v>1253</v>
      </c>
      <c r="C897" t="s">
        <v>83</v>
      </c>
      <c r="D897" t="s">
        <v>1249</v>
      </c>
      <c r="E897" t="s">
        <v>20</v>
      </c>
      <c r="F897" t="s">
        <v>1250</v>
      </c>
      <c r="G897" t="s">
        <v>34</v>
      </c>
      <c r="H897">
        <v>1</v>
      </c>
    </row>
    <row r="898" spans="1:8" x14ac:dyDescent="0.35">
      <c r="A898">
        <v>4005900006622</v>
      </c>
      <c r="B898" t="s">
        <v>1254</v>
      </c>
      <c r="C898" t="s">
        <v>83</v>
      </c>
      <c r="D898" t="s">
        <v>1249</v>
      </c>
      <c r="E898" t="s">
        <v>20</v>
      </c>
      <c r="F898" t="s">
        <v>1250</v>
      </c>
      <c r="G898" t="s">
        <v>150</v>
      </c>
      <c r="H898">
        <v>1</v>
      </c>
    </row>
    <row r="899" spans="1:8" x14ac:dyDescent="0.35">
      <c r="A899">
        <v>4005900105097</v>
      </c>
      <c r="B899" t="s">
        <v>1255</v>
      </c>
      <c r="C899" t="s">
        <v>83</v>
      </c>
      <c r="D899" t="s">
        <v>1249</v>
      </c>
      <c r="E899" t="s">
        <v>20</v>
      </c>
      <c r="F899" t="s">
        <v>1250</v>
      </c>
      <c r="G899" t="s">
        <v>11</v>
      </c>
      <c r="H899">
        <v>1</v>
      </c>
    </row>
    <row r="900" spans="1:8" x14ac:dyDescent="0.35">
      <c r="A900">
        <v>4005900637444</v>
      </c>
      <c r="B900" t="s">
        <v>1256</v>
      </c>
      <c r="C900" t="s">
        <v>83</v>
      </c>
      <c r="D900" t="s">
        <v>1249</v>
      </c>
      <c r="E900" t="s">
        <v>20</v>
      </c>
      <c r="F900" t="s">
        <v>1250</v>
      </c>
      <c r="G900" t="s">
        <v>11</v>
      </c>
      <c r="H900">
        <v>1</v>
      </c>
    </row>
    <row r="901" spans="1:8" x14ac:dyDescent="0.35">
      <c r="A901">
        <v>4009900522120</v>
      </c>
      <c r="B901" t="s">
        <v>1257</v>
      </c>
      <c r="C901" t="s">
        <v>1258</v>
      </c>
      <c r="D901" t="s">
        <v>1257</v>
      </c>
      <c r="E901" t="s">
        <v>15</v>
      </c>
      <c r="F901" t="s">
        <v>1227</v>
      </c>
      <c r="G901" t="s">
        <v>22</v>
      </c>
      <c r="H901">
        <v>1</v>
      </c>
    </row>
    <row r="902" spans="1:8" x14ac:dyDescent="0.35">
      <c r="A902">
        <v>4011100051300</v>
      </c>
      <c r="B902" t="s">
        <v>1259</v>
      </c>
      <c r="C902" t="s">
        <v>1260</v>
      </c>
      <c r="D902" t="s">
        <v>1261</v>
      </c>
      <c r="E902" t="s">
        <v>15</v>
      </c>
      <c r="F902" t="s">
        <v>1227</v>
      </c>
      <c r="G902" t="s">
        <v>22</v>
      </c>
      <c r="H902">
        <v>1</v>
      </c>
    </row>
    <row r="903" spans="1:8" x14ac:dyDescent="0.35">
      <c r="A903">
        <v>40111216</v>
      </c>
      <c r="B903" t="s">
        <v>1262</v>
      </c>
      <c r="C903" t="s">
        <v>1263</v>
      </c>
      <c r="D903" t="s">
        <v>1262</v>
      </c>
      <c r="E903" t="s">
        <v>15</v>
      </c>
      <c r="F903" t="s">
        <v>1227</v>
      </c>
      <c r="G903" t="s">
        <v>22</v>
      </c>
      <c r="H903">
        <v>1</v>
      </c>
    </row>
    <row r="904" spans="1:8" x14ac:dyDescent="0.35">
      <c r="A904">
        <v>40112756</v>
      </c>
      <c r="B904" t="s">
        <v>1264</v>
      </c>
      <c r="C904" t="s">
        <v>9</v>
      </c>
      <c r="D904" t="s">
        <v>246</v>
      </c>
      <c r="E904" t="s">
        <v>15</v>
      </c>
      <c r="F904" t="s">
        <v>14</v>
      </c>
      <c r="G904" t="s">
        <v>11</v>
      </c>
      <c r="H904">
        <v>7</v>
      </c>
    </row>
    <row r="905" spans="1:8" x14ac:dyDescent="0.35">
      <c r="A905">
        <v>4015000962568</v>
      </c>
      <c r="B905" t="s">
        <v>1265</v>
      </c>
      <c r="C905" t="s">
        <v>9</v>
      </c>
      <c r="D905" t="s">
        <v>1266</v>
      </c>
      <c r="E905" t="s">
        <v>20</v>
      </c>
      <c r="F905" t="s">
        <v>1267</v>
      </c>
      <c r="G905" t="s">
        <v>22</v>
      </c>
      <c r="H905">
        <v>1</v>
      </c>
    </row>
    <row r="906" spans="1:8" x14ac:dyDescent="0.35">
      <c r="A906">
        <v>4015000962568</v>
      </c>
      <c r="B906" t="s">
        <v>1265</v>
      </c>
      <c r="C906" t="s">
        <v>9</v>
      </c>
      <c r="D906" t="s">
        <v>1266</v>
      </c>
      <c r="E906" t="s">
        <v>20</v>
      </c>
      <c r="F906" t="s">
        <v>1267</v>
      </c>
      <c r="G906" t="s">
        <v>150</v>
      </c>
      <c r="H906">
        <v>3</v>
      </c>
    </row>
    <row r="907" spans="1:8" x14ac:dyDescent="0.35">
      <c r="A907">
        <v>4025500216214</v>
      </c>
      <c r="B907" t="s">
        <v>1268</v>
      </c>
      <c r="C907" t="s">
        <v>603</v>
      </c>
      <c r="D907" t="s">
        <v>1269</v>
      </c>
      <c r="E907" t="s">
        <v>1270</v>
      </c>
      <c r="F907" t="s">
        <v>1271</v>
      </c>
      <c r="G907" t="s">
        <v>22</v>
      </c>
      <c r="H907">
        <v>1</v>
      </c>
    </row>
    <row r="908" spans="1:8" x14ac:dyDescent="0.35">
      <c r="A908">
        <v>4025500236328</v>
      </c>
      <c r="B908" t="s">
        <v>269</v>
      </c>
      <c r="C908" t="s">
        <v>83</v>
      </c>
      <c r="D908" t="s">
        <v>1269</v>
      </c>
      <c r="E908" t="s">
        <v>1270</v>
      </c>
      <c r="F908" t="s">
        <v>1271</v>
      </c>
      <c r="G908" t="s">
        <v>22</v>
      </c>
      <c r="H908">
        <v>1</v>
      </c>
    </row>
    <row r="909" spans="1:8" x14ac:dyDescent="0.35">
      <c r="A909">
        <v>4025500287382</v>
      </c>
      <c r="B909" t="s">
        <v>1268</v>
      </c>
      <c r="C909" t="s">
        <v>603</v>
      </c>
      <c r="D909" t="s">
        <v>1269</v>
      </c>
      <c r="E909" t="s">
        <v>1270</v>
      </c>
      <c r="F909" t="s">
        <v>1271</v>
      </c>
      <c r="G909" t="s">
        <v>22</v>
      </c>
      <c r="H909">
        <v>2</v>
      </c>
    </row>
    <row r="910" spans="1:8" x14ac:dyDescent="0.35">
      <c r="A910">
        <v>4025500287443</v>
      </c>
      <c r="B910" t="s">
        <v>1272</v>
      </c>
      <c r="C910" t="s">
        <v>603</v>
      </c>
      <c r="D910" t="s">
        <v>1269</v>
      </c>
      <c r="E910" t="s">
        <v>1270</v>
      </c>
      <c r="F910" t="s">
        <v>1271</v>
      </c>
      <c r="G910" t="s">
        <v>22</v>
      </c>
      <c r="H910">
        <v>1</v>
      </c>
    </row>
    <row r="911" spans="1:8" x14ac:dyDescent="0.35">
      <c r="A911">
        <v>4025500287481</v>
      </c>
      <c r="B911" t="s">
        <v>1273</v>
      </c>
      <c r="C911" t="s">
        <v>603</v>
      </c>
      <c r="D911" t="s">
        <v>1269</v>
      </c>
      <c r="E911" t="s">
        <v>1270</v>
      </c>
      <c r="F911" t="s">
        <v>1271</v>
      </c>
      <c r="G911" t="s">
        <v>22</v>
      </c>
      <c r="H911">
        <v>1</v>
      </c>
    </row>
    <row r="912" spans="1:8" x14ac:dyDescent="0.35">
      <c r="A912">
        <v>4030288214024</v>
      </c>
      <c r="B912" t="s">
        <v>1274</v>
      </c>
      <c r="C912" t="s">
        <v>1275</v>
      </c>
      <c r="D912" t="s">
        <v>1276</v>
      </c>
      <c r="E912" t="s">
        <v>41</v>
      </c>
      <c r="F912" t="s">
        <v>1277</v>
      </c>
      <c r="G912" t="s">
        <v>41</v>
      </c>
      <c r="H912">
        <v>50</v>
      </c>
    </row>
    <row r="913" spans="1:8" x14ac:dyDescent="0.35">
      <c r="A913">
        <v>4031263253182</v>
      </c>
      <c r="B913" t="s">
        <v>1278</v>
      </c>
      <c r="C913" t="s">
        <v>472</v>
      </c>
      <c r="D913" t="s">
        <v>473</v>
      </c>
      <c r="E913" t="s">
        <v>41</v>
      </c>
      <c r="F913" t="s">
        <v>456</v>
      </c>
      <c r="G913" t="s">
        <v>41</v>
      </c>
      <c r="H913">
        <v>1</v>
      </c>
    </row>
    <row r="914" spans="1:8" x14ac:dyDescent="0.35">
      <c r="A914">
        <v>4040000010544</v>
      </c>
      <c r="B914" t="s">
        <v>834</v>
      </c>
      <c r="C914" t="s">
        <v>81</v>
      </c>
      <c r="D914" t="s">
        <v>1279</v>
      </c>
      <c r="E914" t="s">
        <v>308</v>
      </c>
      <c r="F914" t="s">
        <v>309</v>
      </c>
      <c r="G914" t="s">
        <v>11</v>
      </c>
      <c r="H914">
        <v>4</v>
      </c>
    </row>
    <row r="915" spans="1:8" x14ac:dyDescent="0.35">
      <c r="A915">
        <v>4040000010650</v>
      </c>
      <c r="B915" t="s">
        <v>1280</v>
      </c>
      <c r="C915" t="s">
        <v>9</v>
      </c>
      <c r="D915" t="s">
        <v>852</v>
      </c>
      <c r="E915" t="s">
        <v>308</v>
      </c>
      <c r="F915" t="s">
        <v>309</v>
      </c>
      <c r="G915" t="s">
        <v>11</v>
      </c>
      <c r="H915">
        <v>6</v>
      </c>
    </row>
    <row r="916" spans="1:8" x14ac:dyDescent="0.35">
      <c r="A916">
        <v>4040000010667</v>
      </c>
      <c r="B916" t="s">
        <v>834</v>
      </c>
      <c r="C916" t="s">
        <v>9</v>
      </c>
      <c r="D916" t="s">
        <v>1279</v>
      </c>
      <c r="E916" t="s">
        <v>308</v>
      </c>
      <c r="F916" t="s">
        <v>309</v>
      </c>
      <c r="G916" t="s">
        <v>11</v>
      </c>
      <c r="H916">
        <v>5</v>
      </c>
    </row>
    <row r="917" spans="1:8" x14ac:dyDescent="0.35">
      <c r="A917">
        <v>4040000010971</v>
      </c>
      <c r="B917" t="s">
        <v>834</v>
      </c>
      <c r="C917" t="s">
        <v>192</v>
      </c>
      <c r="D917" t="s">
        <v>1279</v>
      </c>
      <c r="E917" t="s">
        <v>308</v>
      </c>
      <c r="F917" t="s">
        <v>309</v>
      </c>
      <c r="G917" t="s">
        <v>11</v>
      </c>
      <c r="H917">
        <v>1</v>
      </c>
    </row>
    <row r="918" spans="1:8" x14ac:dyDescent="0.35">
      <c r="A918">
        <v>4056489221944</v>
      </c>
      <c r="B918" t="s">
        <v>1281</v>
      </c>
      <c r="C918" t="s">
        <v>81</v>
      </c>
      <c r="D918" t="s">
        <v>314</v>
      </c>
      <c r="E918" t="s">
        <v>20</v>
      </c>
      <c r="F918" t="s">
        <v>315</v>
      </c>
      <c r="G918" t="s">
        <v>22</v>
      </c>
      <c r="H918">
        <v>1</v>
      </c>
    </row>
    <row r="919" spans="1:8" x14ac:dyDescent="0.35">
      <c r="A919">
        <v>4056489320210</v>
      </c>
      <c r="B919" t="s">
        <v>1282</v>
      </c>
      <c r="C919" t="s">
        <v>81</v>
      </c>
      <c r="D919" t="s">
        <v>314</v>
      </c>
      <c r="E919" t="s">
        <v>20</v>
      </c>
      <c r="F919" t="s">
        <v>315</v>
      </c>
      <c r="G919" t="s">
        <v>464</v>
      </c>
      <c r="H919">
        <v>1</v>
      </c>
    </row>
    <row r="920" spans="1:8" x14ac:dyDescent="0.35">
      <c r="A920">
        <v>4056489466581</v>
      </c>
      <c r="B920" t="s">
        <v>1283</v>
      </c>
      <c r="C920" t="s">
        <v>9</v>
      </c>
      <c r="D920" t="s">
        <v>1284</v>
      </c>
      <c r="E920" t="s">
        <v>308</v>
      </c>
      <c r="F920" t="s">
        <v>309</v>
      </c>
      <c r="G920" t="s">
        <v>22</v>
      </c>
      <c r="H920">
        <v>1</v>
      </c>
    </row>
    <row r="921" spans="1:8" x14ac:dyDescent="0.35">
      <c r="A921">
        <v>4056489479499</v>
      </c>
      <c r="B921" t="s">
        <v>1285</v>
      </c>
      <c r="C921" t="s">
        <v>81</v>
      </c>
      <c r="D921" t="s">
        <v>1286</v>
      </c>
      <c r="E921" t="s">
        <v>308</v>
      </c>
      <c r="F921" t="s">
        <v>309</v>
      </c>
      <c r="G921" t="s">
        <v>22</v>
      </c>
      <c r="H921">
        <v>1</v>
      </c>
    </row>
    <row r="922" spans="1:8" x14ac:dyDescent="0.35">
      <c r="A922">
        <v>4056489495833</v>
      </c>
      <c r="B922" t="s">
        <v>1287</v>
      </c>
      <c r="C922" t="s">
        <v>81</v>
      </c>
      <c r="D922" t="s">
        <v>314</v>
      </c>
      <c r="E922" t="s">
        <v>20</v>
      </c>
      <c r="F922" t="s">
        <v>315</v>
      </c>
      <c r="G922" t="s">
        <v>22</v>
      </c>
      <c r="H922">
        <v>1</v>
      </c>
    </row>
    <row r="923" spans="1:8" x14ac:dyDescent="0.35">
      <c r="A923">
        <v>4056489648062</v>
      </c>
      <c r="B923" t="s">
        <v>1288</v>
      </c>
      <c r="C923" t="s">
        <v>192</v>
      </c>
      <c r="D923" t="s">
        <v>1289</v>
      </c>
      <c r="E923" t="s">
        <v>20</v>
      </c>
      <c r="F923" t="s">
        <v>314</v>
      </c>
      <c r="G923" t="s">
        <v>22</v>
      </c>
      <c r="H923">
        <v>2</v>
      </c>
    </row>
    <row r="924" spans="1:8" x14ac:dyDescent="0.35">
      <c r="A924">
        <v>4056489648093</v>
      </c>
      <c r="B924" t="s">
        <v>1290</v>
      </c>
      <c r="C924" t="s">
        <v>81</v>
      </c>
      <c r="D924" t="s">
        <v>1289</v>
      </c>
      <c r="E924" t="s">
        <v>20</v>
      </c>
      <c r="F924" t="s">
        <v>314</v>
      </c>
      <c r="G924" t="s">
        <v>22</v>
      </c>
      <c r="H924">
        <v>1</v>
      </c>
    </row>
    <row r="925" spans="1:8" x14ac:dyDescent="0.35">
      <c r="A925">
        <v>4060800001740</v>
      </c>
      <c r="B925" t="s">
        <v>273</v>
      </c>
      <c r="C925" t="s">
        <v>192</v>
      </c>
      <c r="D925" t="s">
        <v>273</v>
      </c>
      <c r="E925" t="s">
        <v>15</v>
      </c>
      <c r="F925" t="s">
        <v>56</v>
      </c>
      <c r="G925" t="s">
        <v>22</v>
      </c>
      <c r="H925">
        <v>1</v>
      </c>
    </row>
    <row r="926" spans="1:8" x14ac:dyDescent="0.35">
      <c r="A926">
        <v>4060800102683</v>
      </c>
      <c r="B926" t="s">
        <v>273</v>
      </c>
      <c r="C926" t="s">
        <v>9</v>
      </c>
      <c r="D926" t="s">
        <v>273</v>
      </c>
      <c r="E926" t="s">
        <v>15</v>
      </c>
      <c r="F926" t="s">
        <v>56</v>
      </c>
      <c r="G926" t="s">
        <v>464</v>
      </c>
      <c r="H926">
        <v>1</v>
      </c>
    </row>
    <row r="927" spans="1:8" x14ac:dyDescent="0.35">
      <c r="A927">
        <v>4060800103314</v>
      </c>
      <c r="B927" t="s">
        <v>1291</v>
      </c>
      <c r="C927" t="s">
        <v>192</v>
      </c>
      <c r="D927" t="s">
        <v>273</v>
      </c>
      <c r="E927" t="s">
        <v>15</v>
      </c>
      <c r="F927" t="s">
        <v>56</v>
      </c>
      <c r="G927" t="s">
        <v>22</v>
      </c>
      <c r="H927">
        <v>1</v>
      </c>
    </row>
    <row r="928" spans="1:8" x14ac:dyDescent="0.35">
      <c r="A928">
        <v>4060800107008</v>
      </c>
      <c r="B928" t="s">
        <v>1292</v>
      </c>
      <c r="C928" t="s">
        <v>81</v>
      </c>
      <c r="D928" t="s">
        <v>24</v>
      </c>
      <c r="E928" t="s">
        <v>15</v>
      </c>
      <c r="F928" t="s">
        <v>25</v>
      </c>
      <c r="G928" t="s">
        <v>464</v>
      </c>
      <c r="H928">
        <v>1</v>
      </c>
    </row>
    <row r="929" spans="1:8" x14ac:dyDescent="0.35">
      <c r="A929">
        <v>4060800134943</v>
      </c>
      <c r="B929" t="s">
        <v>1291</v>
      </c>
      <c r="C929" t="s">
        <v>114</v>
      </c>
      <c r="D929" t="s">
        <v>273</v>
      </c>
      <c r="E929" t="s">
        <v>15</v>
      </c>
      <c r="F929" t="s">
        <v>56</v>
      </c>
      <c r="G929" t="s">
        <v>22</v>
      </c>
      <c r="H929">
        <v>1</v>
      </c>
    </row>
    <row r="930" spans="1:8" x14ac:dyDescent="0.35">
      <c r="A930">
        <v>4060800135346</v>
      </c>
      <c r="B930" t="s">
        <v>1293</v>
      </c>
      <c r="C930" t="s">
        <v>9</v>
      </c>
      <c r="D930" t="s">
        <v>283</v>
      </c>
      <c r="E930" t="s">
        <v>15</v>
      </c>
      <c r="F930" t="s">
        <v>56</v>
      </c>
      <c r="G930" t="s">
        <v>22</v>
      </c>
      <c r="H930">
        <v>3</v>
      </c>
    </row>
    <row r="931" spans="1:8" x14ac:dyDescent="0.35">
      <c r="A931">
        <v>4060800166531</v>
      </c>
      <c r="B931" t="s">
        <v>1294</v>
      </c>
      <c r="C931" t="s">
        <v>78</v>
      </c>
      <c r="D931" t="s">
        <v>273</v>
      </c>
      <c r="E931" t="s">
        <v>15</v>
      </c>
      <c r="F931" t="s">
        <v>56</v>
      </c>
      <c r="G931" t="s">
        <v>22</v>
      </c>
      <c r="H931">
        <v>1</v>
      </c>
    </row>
    <row r="932" spans="1:8" x14ac:dyDescent="0.35">
      <c r="A932">
        <v>4060800170248</v>
      </c>
      <c r="B932" t="s">
        <v>1294</v>
      </c>
      <c r="C932" t="s">
        <v>114</v>
      </c>
      <c r="D932" t="s">
        <v>273</v>
      </c>
      <c r="E932" t="s">
        <v>15</v>
      </c>
      <c r="F932" t="s">
        <v>56</v>
      </c>
      <c r="G932" t="s">
        <v>22</v>
      </c>
      <c r="H932">
        <v>1</v>
      </c>
    </row>
    <row r="933" spans="1:8" x14ac:dyDescent="0.35">
      <c r="A933">
        <v>4060800171122</v>
      </c>
      <c r="B933" t="s">
        <v>1295</v>
      </c>
      <c r="C933" t="s">
        <v>1296</v>
      </c>
      <c r="D933" t="s">
        <v>273</v>
      </c>
      <c r="E933" t="s">
        <v>15</v>
      </c>
      <c r="F933" t="s">
        <v>56</v>
      </c>
      <c r="G933" t="s">
        <v>22</v>
      </c>
      <c r="H933">
        <v>1</v>
      </c>
    </row>
    <row r="934" spans="1:8" x14ac:dyDescent="0.35">
      <c r="A934">
        <v>4060800172396</v>
      </c>
      <c r="B934" t="s">
        <v>1297</v>
      </c>
      <c r="C934" t="s">
        <v>9</v>
      </c>
      <c r="D934" t="s">
        <v>273</v>
      </c>
      <c r="E934" t="s">
        <v>15</v>
      </c>
      <c r="F934" t="s">
        <v>56</v>
      </c>
      <c r="G934" t="s">
        <v>22</v>
      </c>
      <c r="H934">
        <v>2</v>
      </c>
    </row>
    <row r="935" spans="1:8" x14ac:dyDescent="0.35">
      <c r="A935">
        <v>4060800302625</v>
      </c>
      <c r="B935" t="s">
        <v>1298</v>
      </c>
      <c r="C935" t="s">
        <v>1299</v>
      </c>
      <c r="D935" t="s">
        <v>273</v>
      </c>
      <c r="E935" t="s">
        <v>15</v>
      </c>
      <c r="F935" t="s">
        <v>56</v>
      </c>
      <c r="G935" t="s">
        <v>22</v>
      </c>
      <c r="H935">
        <v>1</v>
      </c>
    </row>
    <row r="936" spans="1:8" x14ac:dyDescent="0.35">
      <c r="A936">
        <v>4060800303202</v>
      </c>
      <c r="B936" t="s">
        <v>283</v>
      </c>
      <c r="C936" t="s">
        <v>9</v>
      </c>
      <c r="D936" t="s">
        <v>283</v>
      </c>
      <c r="E936" t="s">
        <v>15</v>
      </c>
      <c r="F936" t="s">
        <v>56</v>
      </c>
      <c r="G936" t="s">
        <v>22</v>
      </c>
      <c r="H936">
        <v>2</v>
      </c>
    </row>
    <row r="937" spans="1:8" x14ac:dyDescent="0.35">
      <c r="A937">
        <v>4060800303646</v>
      </c>
      <c r="B937" t="s">
        <v>1300</v>
      </c>
      <c r="C937" t="s">
        <v>114</v>
      </c>
      <c r="D937" t="s">
        <v>24</v>
      </c>
      <c r="E937" t="s">
        <v>15</v>
      </c>
      <c r="F937" t="s">
        <v>25</v>
      </c>
      <c r="G937" t="s">
        <v>22</v>
      </c>
      <c r="H937">
        <v>3</v>
      </c>
    </row>
    <row r="938" spans="1:8" x14ac:dyDescent="0.35">
      <c r="A938">
        <v>4060800303646</v>
      </c>
      <c r="B938" t="s">
        <v>1300</v>
      </c>
      <c r="C938" t="s">
        <v>114</v>
      </c>
      <c r="D938" t="s">
        <v>24</v>
      </c>
      <c r="E938" t="s">
        <v>15</v>
      </c>
      <c r="F938" t="s">
        <v>25</v>
      </c>
      <c r="G938" t="s">
        <v>61</v>
      </c>
      <c r="H938">
        <v>1</v>
      </c>
    </row>
    <row r="939" spans="1:8" x14ac:dyDescent="0.35">
      <c r="A939">
        <v>4060800304957</v>
      </c>
      <c r="B939" t="s">
        <v>1301</v>
      </c>
      <c r="C939" t="s">
        <v>9</v>
      </c>
      <c r="D939" t="s">
        <v>1302</v>
      </c>
      <c r="E939" t="s">
        <v>22</v>
      </c>
      <c r="F939" t="s">
        <v>361</v>
      </c>
      <c r="G939" t="s">
        <v>22</v>
      </c>
      <c r="H939">
        <v>1</v>
      </c>
    </row>
    <row r="940" spans="1:8" x14ac:dyDescent="0.35">
      <c r="A940">
        <v>4060800304957</v>
      </c>
      <c r="B940" t="s">
        <v>1301</v>
      </c>
      <c r="C940" t="s">
        <v>9</v>
      </c>
      <c r="D940" t="s">
        <v>1302</v>
      </c>
      <c r="E940" t="s">
        <v>22</v>
      </c>
      <c r="F940" t="s">
        <v>361</v>
      </c>
      <c r="G940" t="s">
        <v>34</v>
      </c>
      <c r="H940">
        <v>3</v>
      </c>
    </row>
    <row r="941" spans="1:8" x14ac:dyDescent="0.35">
      <c r="A941">
        <v>4060800305053</v>
      </c>
      <c r="B941" t="s">
        <v>1303</v>
      </c>
      <c r="C941" t="s">
        <v>9</v>
      </c>
      <c r="D941" t="s">
        <v>24</v>
      </c>
      <c r="E941" t="s">
        <v>15</v>
      </c>
      <c r="F941" t="s">
        <v>25</v>
      </c>
      <c r="G941" t="s">
        <v>22</v>
      </c>
      <c r="H941">
        <v>1</v>
      </c>
    </row>
    <row r="942" spans="1:8" x14ac:dyDescent="0.35">
      <c r="A942">
        <v>4060800305091</v>
      </c>
      <c r="B942" t="s">
        <v>1291</v>
      </c>
      <c r="C942" t="s">
        <v>9</v>
      </c>
      <c r="D942" t="s">
        <v>273</v>
      </c>
      <c r="E942" t="s">
        <v>15</v>
      </c>
      <c r="F942" t="s">
        <v>56</v>
      </c>
      <c r="G942" t="s">
        <v>22</v>
      </c>
      <c r="H942">
        <v>4</v>
      </c>
    </row>
    <row r="943" spans="1:8" x14ac:dyDescent="0.35">
      <c r="A943">
        <v>4060800309327</v>
      </c>
      <c r="B943" t="s">
        <v>1304</v>
      </c>
      <c r="C943" t="s">
        <v>9</v>
      </c>
      <c r="D943" t="s">
        <v>273</v>
      </c>
      <c r="E943" t="s">
        <v>15</v>
      </c>
      <c r="F943" t="s">
        <v>56</v>
      </c>
      <c r="G943" t="s">
        <v>22</v>
      </c>
      <c r="H943">
        <v>1</v>
      </c>
    </row>
    <row r="944" spans="1:8" x14ac:dyDescent="0.35">
      <c r="A944">
        <v>4060800309761</v>
      </c>
      <c r="B944" t="s">
        <v>1305</v>
      </c>
      <c r="C944" t="s">
        <v>78</v>
      </c>
      <c r="D944" t="s">
        <v>273</v>
      </c>
      <c r="E944" t="s">
        <v>15</v>
      </c>
      <c r="F944" t="s">
        <v>56</v>
      </c>
      <c r="G944" t="s">
        <v>22</v>
      </c>
      <c r="H944">
        <v>1</v>
      </c>
    </row>
    <row r="945" spans="1:8" x14ac:dyDescent="0.35">
      <c r="A945">
        <v>4060800309952</v>
      </c>
      <c r="B945" t="s">
        <v>1306</v>
      </c>
      <c r="C945" t="s">
        <v>9</v>
      </c>
      <c r="D945" t="s">
        <v>24</v>
      </c>
      <c r="E945" t="s">
        <v>15</v>
      </c>
      <c r="F945" t="s">
        <v>25</v>
      </c>
      <c r="G945" t="s">
        <v>22</v>
      </c>
      <c r="H945">
        <v>1</v>
      </c>
    </row>
    <row r="946" spans="1:8" x14ac:dyDescent="0.35">
      <c r="A946">
        <v>40608020</v>
      </c>
      <c r="B946" t="s">
        <v>273</v>
      </c>
      <c r="C946" t="s">
        <v>603</v>
      </c>
      <c r="D946" t="s">
        <v>273</v>
      </c>
      <c r="E946" t="s">
        <v>15</v>
      </c>
      <c r="F946" t="s">
        <v>56</v>
      </c>
      <c r="G946" t="s">
        <v>22</v>
      </c>
      <c r="H946">
        <v>1</v>
      </c>
    </row>
    <row r="947" spans="1:8" x14ac:dyDescent="0.35">
      <c r="A947">
        <v>4061464879638</v>
      </c>
      <c r="B947" t="s">
        <v>1307</v>
      </c>
      <c r="C947" t="s">
        <v>1308</v>
      </c>
      <c r="D947" t="s">
        <v>19</v>
      </c>
      <c r="E947" t="s">
        <v>20</v>
      </c>
      <c r="F947" t="s">
        <v>21</v>
      </c>
      <c r="G947" t="s">
        <v>22</v>
      </c>
      <c r="H947">
        <v>1</v>
      </c>
    </row>
    <row r="948" spans="1:8" x14ac:dyDescent="0.35">
      <c r="A948">
        <v>4062139015498</v>
      </c>
      <c r="B948" t="s">
        <v>1309</v>
      </c>
      <c r="C948" t="s">
        <v>9</v>
      </c>
      <c r="D948" t="s">
        <v>273</v>
      </c>
      <c r="E948" t="s">
        <v>15</v>
      </c>
      <c r="F948" t="s">
        <v>56</v>
      </c>
      <c r="G948" t="s">
        <v>22</v>
      </c>
      <c r="H948">
        <v>1</v>
      </c>
    </row>
    <row r="949" spans="1:8" x14ac:dyDescent="0.35">
      <c r="A949">
        <v>4062139018086</v>
      </c>
      <c r="B949" t="s">
        <v>273</v>
      </c>
      <c r="C949" t="s">
        <v>9</v>
      </c>
      <c r="D949" t="s">
        <v>273</v>
      </c>
      <c r="E949" t="s">
        <v>15</v>
      </c>
      <c r="F949" t="s">
        <v>56</v>
      </c>
      <c r="G949" t="s">
        <v>22</v>
      </c>
      <c r="H949">
        <v>1</v>
      </c>
    </row>
    <row r="950" spans="1:8" x14ac:dyDescent="0.35">
      <c r="A950">
        <v>40822099</v>
      </c>
      <c r="B950" t="s">
        <v>1310</v>
      </c>
      <c r="C950" t="s">
        <v>472</v>
      </c>
      <c r="D950" t="s">
        <v>705</v>
      </c>
      <c r="E950" t="s">
        <v>15</v>
      </c>
      <c r="F950" t="s">
        <v>14</v>
      </c>
      <c r="G950" t="s">
        <v>11</v>
      </c>
      <c r="H950">
        <v>38</v>
      </c>
    </row>
    <row r="951" spans="1:8" x14ac:dyDescent="0.35">
      <c r="A951">
        <v>40822099</v>
      </c>
      <c r="B951" t="s">
        <v>1310</v>
      </c>
      <c r="C951" t="s">
        <v>472</v>
      </c>
      <c r="D951" t="s">
        <v>705</v>
      </c>
      <c r="E951" t="s">
        <v>15</v>
      </c>
      <c r="F951" t="s">
        <v>14</v>
      </c>
      <c r="G951" t="s">
        <v>31</v>
      </c>
      <c r="H951">
        <v>45</v>
      </c>
    </row>
    <row r="952" spans="1:8" x14ac:dyDescent="0.35">
      <c r="A952">
        <v>40822426</v>
      </c>
      <c r="B952" t="s">
        <v>1311</v>
      </c>
      <c r="C952" t="s">
        <v>9</v>
      </c>
      <c r="D952" t="s">
        <v>1312</v>
      </c>
      <c r="E952" t="s">
        <v>15</v>
      </c>
      <c r="F952" t="s">
        <v>14</v>
      </c>
      <c r="G952" t="s">
        <v>34</v>
      </c>
      <c r="H952">
        <v>3743</v>
      </c>
    </row>
    <row r="953" spans="1:8" x14ac:dyDescent="0.35">
      <c r="A953">
        <v>40822426</v>
      </c>
      <c r="B953" t="s">
        <v>1311</v>
      </c>
      <c r="C953" t="s">
        <v>9</v>
      </c>
      <c r="D953" t="s">
        <v>1312</v>
      </c>
      <c r="E953" t="s">
        <v>15</v>
      </c>
      <c r="F953" t="s">
        <v>14</v>
      </c>
      <c r="G953" t="s">
        <v>61</v>
      </c>
      <c r="H953">
        <v>2</v>
      </c>
    </row>
    <row r="954" spans="1:8" x14ac:dyDescent="0.35">
      <c r="A954">
        <v>40822938</v>
      </c>
      <c r="B954" t="s">
        <v>1313</v>
      </c>
      <c r="C954" t="s">
        <v>9</v>
      </c>
      <c r="D954" t="s">
        <v>246</v>
      </c>
      <c r="E954" t="s">
        <v>15</v>
      </c>
      <c r="F954" t="s">
        <v>14</v>
      </c>
      <c r="G954" t="s">
        <v>387</v>
      </c>
      <c r="H954">
        <v>1</v>
      </c>
    </row>
    <row r="955" spans="1:8" x14ac:dyDescent="0.35">
      <c r="A955">
        <v>40822938</v>
      </c>
      <c r="B955" t="s">
        <v>1313</v>
      </c>
      <c r="C955" t="s">
        <v>9</v>
      </c>
      <c r="D955" t="s">
        <v>246</v>
      </c>
      <c r="E955" t="s">
        <v>15</v>
      </c>
      <c r="F955" t="s">
        <v>14</v>
      </c>
      <c r="G955" t="s">
        <v>22</v>
      </c>
      <c r="H955">
        <v>11</v>
      </c>
    </row>
    <row r="956" spans="1:8" x14ac:dyDescent="0.35">
      <c r="A956">
        <v>40822938</v>
      </c>
      <c r="B956" t="s">
        <v>1313</v>
      </c>
      <c r="C956" t="s">
        <v>9</v>
      </c>
      <c r="D956" t="s">
        <v>246</v>
      </c>
      <c r="E956" t="s">
        <v>15</v>
      </c>
      <c r="F956" t="s">
        <v>14</v>
      </c>
      <c r="G956" t="s">
        <v>11</v>
      </c>
      <c r="H956">
        <v>52</v>
      </c>
    </row>
    <row r="957" spans="1:8" x14ac:dyDescent="0.35">
      <c r="A957">
        <v>40822938</v>
      </c>
      <c r="B957" t="s">
        <v>1313</v>
      </c>
      <c r="C957" t="s">
        <v>9</v>
      </c>
      <c r="D957" t="s">
        <v>246</v>
      </c>
      <c r="E957" t="s">
        <v>15</v>
      </c>
      <c r="F957" t="s">
        <v>14</v>
      </c>
      <c r="G957" t="s">
        <v>33</v>
      </c>
      <c r="H957">
        <v>151</v>
      </c>
    </row>
    <row r="958" spans="1:8" x14ac:dyDescent="0.35">
      <c r="A958">
        <v>40822938</v>
      </c>
      <c r="B958" t="s">
        <v>1313</v>
      </c>
      <c r="C958" t="s">
        <v>9</v>
      </c>
      <c r="D958" t="s">
        <v>246</v>
      </c>
      <c r="E958" t="s">
        <v>15</v>
      </c>
      <c r="F958" t="s">
        <v>14</v>
      </c>
      <c r="G958" t="s">
        <v>598</v>
      </c>
      <c r="H958">
        <v>17</v>
      </c>
    </row>
    <row r="959" spans="1:8" x14ac:dyDescent="0.35">
      <c r="A959">
        <v>40822938</v>
      </c>
      <c r="B959" t="s">
        <v>1313</v>
      </c>
      <c r="C959" t="s">
        <v>9</v>
      </c>
      <c r="D959" t="s">
        <v>246</v>
      </c>
      <c r="E959" t="s">
        <v>15</v>
      </c>
      <c r="F959" t="s">
        <v>14</v>
      </c>
      <c r="G959" t="s">
        <v>150</v>
      </c>
      <c r="H959">
        <v>43</v>
      </c>
    </row>
    <row r="960" spans="1:8" x14ac:dyDescent="0.35">
      <c r="A960">
        <v>40822938</v>
      </c>
      <c r="B960" t="s">
        <v>1313</v>
      </c>
      <c r="C960" t="s">
        <v>9</v>
      </c>
      <c r="D960" t="s">
        <v>246</v>
      </c>
      <c r="E960" t="s">
        <v>15</v>
      </c>
      <c r="F960" t="s">
        <v>14</v>
      </c>
      <c r="G960" t="s">
        <v>61</v>
      </c>
      <c r="H960">
        <v>357</v>
      </c>
    </row>
    <row r="961" spans="1:8" x14ac:dyDescent="0.35">
      <c r="A961">
        <v>40822938</v>
      </c>
      <c r="B961" t="s">
        <v>1313</v>
      </c>
      <c r="C961" t="s">
        <v>9</v>
      </c>
      <c r="D961" t="s">
        <v>246</v>
      </c>
      <c r="E961" t="s">
        <v>15</v>
      </c>
      <c r="F961" t="s">
        <v>14</v>
      </c>
      <c r="G961" t="s">
        <v>31</v>
      </c>
      <c r="H961">
        <v>83</v>
      </c>
    </row>
    <row r="962" spans="1:8" x14ac:dyDescent="0.35">
      <c r="A962">
        <v>40822938</v>
      </c>
      <c r="B962" t="s">
        <v>1313</v>
      </c>
      <c r="C962" t="s">
        <v>9</v>
      </c>
      <c r="D962" t="s">
        <v>246</v>
      </c>
      <c r="E962" t="s">
        <v>15</v>
      </c>
      <c r="F962" t="s">
        <v>14</v>
      </c>
      <c r="G962" t="s">
        <v>578</v>
      </c>
      <c r="H962">
        <v>42</v>
      </c>
    </row>
    <row r="963" spans="1:8" x14ac:dyDescent="0.35">
      <c r="A963">
        <v>4084500293519</v>
      </c>
      <c r="B963" t="s">
        <v>1314</v>
      </c>
      <c r="C963" t="s">
        <v>1315</v>
      </c>
      <c r="D963" t="s">
        <v>1316</v>
      </c>
      <c r="E963" t="s">
        <v>15</v>
      </c>
      <c r="F963" t="s">
        <v>1079</v>
      </c>
      <c r="G963" t="s">
        <v>464</v>
      </c>
      <c r="H963">
        <v>1</v>
      </c>
    </row>
    <row r="964" spans="1:8" x14ac:dyDescent="0.35">
      <c r="A964">
        <v>4084500870628</v>
      </c>
      <c r="B964" t="s">
        <v>1317</v>
      </c>
      <c r="C964" t="s">
        <v>1318</v>
      </c>
      <c r="D964" t="s">
        <v>1319</v>
      </c>
      <c r="E964" t="s">
        <v>15</v>
      </c>
      <c r="F964" t="s">
        <v>1079</v>
      </c>
      <c r="G964" t="s">
        <v>22</v>
      </c>
      <c r="H964">
        <v>1</v>
      </c>
    </row>
    <row r="965" spans="1:8" x14ac:dyDescent="0.35">
      <c r="A965">
        <v>40882932</v>
      </c>
      <c r="B965" t="s">
        <v>1320</v>
      </c>
      <c r="C965" t="s">
        <v>9</v>
      </c>
      <c r="D965" t="s">
        <v>246</v>
      </c>
      <c r="E965" t="s">
        <v>15</v>
      </c>
      <c r="F965" t="s">
        <v>14</v>
      </c>
      <c r="G965" t="s">
        <v>31</v>
      </c>
      <c r="H965">
        <v>1</v>
      </c>
    </row>
    <row r="966" spans="1:8" x14ac:dyDescent="0.35">
      <c r="A966">
        <v>4088600185132</v>
      </c>
      <c r="B966" t="s">
        <v>1321</v>
      </c>
      <c r="C966" t="s">
        <v>1123</v>
      </c>
      <c r="D966" t="s">
        <v>19</v>
      </c>
      <c r="E966" t="s">
        <v>20</v>
      </c>
      <c r="F966" t="s">
        <v>21</v>
      </c>
      <c r="G966" t="s">
        <v>22</v>
      </c>
      <c r="H966">
        <v>1</v>
      </c>
    </row>
    <row r="967" spans="1:8" x14ac:dyDescent="0.35">
      <c r="A967">
        <v>4088600186979</v>
      </c>
      <c r="B967" t="s">
        <v>1322</v>
      </c>
      <c r="C967" t="s">
        <v>43</v>
      </c>
      <c r="D967" t="s">
        <v>19</v>
      </c>
      <c r="E967" t="s">
        <v>20</v>
      </c>
      <c r="F967" t="s">
        <v>21</v>
      </c>
      <c r="G967" t="s">
        <v>22</v>
      </c>
      <c r="H967">
        <v>1</v>
      </c>
    </row>
    <row r="968" spans="1:8" x14ac:dyDescent="0.35">
      <c r="A968">
        <v>4088600188751</v>
      </c>
      <c r="B968" t="s">
        <v>1323</v>
      </c>
      <c r="C968" t="s">
        <v>336</v>
      </c>
      <c r="D968" t="s">
        <v>19</v>
      </c>
      <c r="E968" t="s">
        <v>20</v>
      </c>
      <c r="F968" t="s">
        <v>21</v>
      </c>
      <c r="G968" t="s">
        <v>22</v>
      </c>
      <c r="H968">
        <v>1</v>
      </c>
    </row>
    <row r="969" spans="1:8" x14ac:dyDescent="0.35">
      <c r="A969">
        <v>4088600264349</v>
      </c>
      <c r="B969" t="s">
        <v>1324</v>
      </c>
      <c r="C969" t="s">
        <v>110</v>
      </c>
      <c r="D969" t="s">
        <v>19</v>
      </c>
      <c r="E969" t="s">
        <v>20</v>
      </c>
      <c r="F969" t="s">
        <v>21</v>
      </c>
      <c r="G969" t="s">
        <v>22</v>
      </c>
      <c r="H969">
        <v>1</v>
      </c>
    </row>
    <row r="970" spans="1:8" x14ac:dyDescent="0.35">
      <c r="A970">
        <v>4088600266008</v>
      </c>
      <c r="B970" t="s">
        <v>1325</v>
      </c>
      <c r="C970" t="s">
        <v>43</v>
      </c>
      <c r="D970" t="s">
        <v>1326</v>
      </c>
      <c r="E970" t="s">
        <v>20</v>
      </c>
      <c r="F970" t="s">
        <v>21</v>
      </c>
      <c r="G970" t="s">
        <v>22</v>
      </c>
      <c r="H970">
        <v>1</v>
      </c>
    </row>
    <row r="971" spans="1:8" x14ac:dyDescent="0.35">
      <c r="A971">
        <v>4088600268781</v>
      </c>
      <c r="B971" t="s">
        <v>1327</v>
      </c>
      <c r="C971" t="s">
        <v>69</v>
      </c>
      <c r="D971" t="s">
        <v>19</v>
      </c>
      <c r="E971" t="s">
        <v>20</v>
      </c>
      <c r="F971" t="s">
        <v>21</v>
      </c>
      <c r="G971" t="s">
        <v>22</v>
      </c>
      <c r="H971">
        <v>1</v>
      </c>
    </row>
    <row r="972" spans="1:8" x14ac:dyDescent="0.35">
      <c r="A972">
        <v>4088600274065</v>
      </c>
      <c r="B972" t="s">
        <v>1328</v>
      </c>
      <c r="C972" t="s">
        <v>1296</v>
      </c>
      <c r="D972" t="s">
        <v>19</v>
      </c>
      <c r="E972" t="s">
        <v>20</v>
      </c>
      <c r="F972" t="s">
        <v>21</v>
      </c>
      <c r="G972" t="s">
        <v>22</v>
      </c>
      <c r="H972">
        <v>1</v>
      </c>
    </row>
    <row r="973" spans="1:8" x14ac:dyDescent="0.35">
      <c r="A973">
        <v>4088600355696</v>
      </c>
      <c r="B973" t="s">
        <v>1329</v>
      </c>
      <c r="C973" t="s">
        <v>1330</v>
      </c>
      <c r="D973" t="s">
        <v>19</v>
      </c>
      <c r="E973" t="s">
        <v>20</v>
      </c>
      <c r="F973" t="s">
        <v>21</v>
      </c>
      <c r="G973" t="s">
        <v>22</v>
      </c>
      <c r="H973">
        <v>1</v>
      </c>
    </row>
    <row r="974" spans="1:8" x14ac:dyDescent="0.35">
      <c r="A974">
        <v>4088600563077</v>
      </c>
      <c r="B974" t="s">
        <v>1331</v>
      </c>
      <c r="C974" t="s">
        <v>9</v>
      </c>
      <c r="D974" t="s">
        <v>1332</v>
      </c>
      <c r="E974" t="s">
        <v>20</v>
      </c>
      <c r="F974" t="s">
        <v>21</v>
      </c>
      <c r="G974" t="s">
        <v>22</v>
      </c>
      <c r="H974">
        <v>2</v>
      </c>
    </row>
    <row r="975" spans="1:8" x14ac:dyDescent="0.35">
      <c r="A975">
        <v>42105220</v>
      </c>
      <c r="B975" t="s">
        <v>1333</v>
      </c>
      <c r="C975" t="s">
        <v>239</v>
      </c>
      <c r="D975" t="s">
        <v>14</v>
      </c>
      <c r="E975" t="s">
        <v>15</v>
      </c>
      <c r="F975" t="s">
        <v>14</v>
      </c>
      <c r="G975" t="s">
        <v>41</v>
      </c>
      <c r="H975">
        <v>2</v>
      </c>
    </row>
    <row r="976" spans="1:8" x14ac:dyDescent="0.35">
      <c r="A976">
        <v>42116011</v>
      </c>
      <c r="B976" t="s">
        <v>1334</v>
      </c>
      <c r="C976" t="s">
        <v>38</v>
      </c>
      <c r="D976" t="s">
        <v>246</v>
      </c>
      <c r="E976" t="s">
        <v>15</v>
      </c>
      <c r="F976" t="s">
        <v>14</v>
      </c>
      <c r="G976" t="s">
        <v>41</v>
      </c>
      <c r="H976">
        <v>393</v>
      </c>
    </row>
    <row r="977" spans="1:8" x14ac:dyDescent="0.35">
      <c r="A977">
        <v>42116479</v>
      </c>
      <c r="B977" t="s">
        <v>1264</v>
      </c>
      <c r="C977" t="s">
        <v>472</v>
      </c>
      <c r="D977" t="s">
        <v>246</v>
      </c>
      <c r="E977" t="s">
        <v>15</v>
      </c>
      <c r="F977" t="s">
        <v>14</v>
      </c>
      <c r="G977" t="s">
        <v>11</v>
      </c>
      <c r="H977">
        <v>43</v>
      </c>
    </row>
    <row r="978" spans="1:8" x14ac:dyDescent="0.35">
      <c r="A978">
        <v>42117131</v>
      </c>
      <c r="B978" t="s">
        <v>14</v>
      </c>
      <c r="C978" t="s">
        <v>472</v>
      </c>
      <c r="D978" t="s">
        <v>14</v>
      </c>
      <c r="E978" t="s">
        <v>15</v>
      </c>
      <c r="F978" t="s">
        <v>14</v>
      </c>
      <c r="G978" t="s">
        <v>117</v>
      </c>
      <c r="H978">
        <v>12</v>
      </c>
    </row>
    <row r="979" spans="1:8" x14ac:dyDescent="0.35">
      <c r="A979">
        <v>42117131</v>
      </c>
      <c r="B979" t="s">
        <v>14</v>
      </c>
      <c r="C979" t="s">
        <v>472</v>
      </c>
      <c r="D979" t="s">
        <v>14</v>
      </c>
      <c r="E979" t="s">
        <v>15</v>
      </c>
      <c r="F979" t="s">
        <v>14</v>
      </c>
      <c r="G979" t="s">
        <v>11</v>
      </c>
      <c r="H979">
        <v>74</v>
      </c>
    </row>
    <row r="980" spans="1:8" x14ac:dyDescent="0.35">
      <c r="A980">
        <v>42117131</v>
      </c>
      <c r="B980" t="s">
        <v>14</v>
      </c>
      <c r="C980" t="s">
        <v>472</v>
      </c>
      <c r="D980" t="s">
        <v>14</v>
      </c>
      <c r="E980" t="s">
        <v>15</v>
      </c>
      <c r="F980" t="s">
        <v>14</v>
      </c>
      <c r="G980" t="s">
        <v>34</v>
      </c>
      <c r="H980">
        <v>189</v>
      </c>
    </row>
    <row r="981" spans="1:8" x14ac:dyDescent="0.35">
      <c r="A981">
        <v>42117131</v>
      </c>
      <c r="B981" t="s">
        <v>14</v>
      </c>
      <c r="C981" t="s">
        <v>472</v>
      </c>
      <c r="D981" t="s">
        <v>14</v>
      </c>
      <c r="E981" t="s">
        <v>15</v>
      </c>
      <c r="F981" t="s">
        <v>14</v>
      </c>
      <c r="G981" t="s">
        <v>31</v>
      </c>
      <c r="H981">
        <v>182</v>
      </c>
    </row>
    <row r="982" spans="1:8" x14ac:dyDescent="0.35">
      <c r="A982">
        <v>42117131</v>
      </c>
      <c r="B982" t="s">
        <v>14</v>
      </c>
      <c r="C982" t="s">
        <v>472</v>
      </c>
      <c r="D982" t="s">
        <v>14</v>
      </c>
      <c r="E982" t="s">
        <v>15</v>
      </c>
      <c r="F982" t="s">
        <v>14</v>
      </c>
      <c r="G982" t="s">
        <v>578</v>
      </c>
      <c r="H982">
        <v>17</v>
      </c>
    </row>
    <row r="983" spans="1:8" x14ac:dyDescent="0.35">
      <c r="A983">
        <v>4212197412856</v>
      </c>
      <c r="B983" t="s">
        <v>1335</v>
      </c>
      <c r="C983" t="s">
        <v>91</v>
      </c>
      <c r="D983" t="s">
        <v>1335</v>
      </c>
      <c r="E983" t="s">
        <v>15</v>
      </c>
      <c r="F983" t="s">
        <v>1336</v>
      </c>
      <c r="G983" t="s">
        <v>22</v>
      </c>
      <c r="H983">
        <v>1</v>
      </c>
    </row>
    <row r="984" spans="1:8" x14ac:dyDescent="0.35">
      <c r="A984">
        <v>42150237</v>
      </c>
      <c r="B984" t="s">
        <v>384</v>
      </c>
      <c r="C984" t="s">
        <v>9</v>
      </c>
      <c r="D984" t="s">
        <v>1064</v>
      </c>
      <c r="E984" t="s">
        <v>130</v>
      </c>
      <c r="F984" t="s">
        <v>220</v>
      </c>
      <c r="G984" t="s">
        <v>20</v>
      </c>
      <c r="H984">
        <v>5</v>
      </c>
    </row>
    <row r="985" spans="1:8" x14ac:dyDescent="0.35">
      <c r="A985">
        <v>42357513</v>
      </c>
      <c r="B985" t="s">
        <v>1337</v>
      </c>
      <c r="C985" t="s">
        <v>38</v>
      </c>
      <c r="D985" t="s">
        <v>539</v>
      </c>
      <c r="E985" t="s">
        <v>15</v>
      </c>
      <c r="F985" t="s">
        <v>14</v>
      </c>
      <c r="G985" t="s">
        <v>117</v>
      </c>
      <c r="H985">
        <v>1</v>
      </c>
    </row>
    <row r="986" spans="1:8" x14ac:dyDescent="0.35">
      <c r="A986">
        <v>42357766</v>
      </c>
      <c r="B986" t="s">
        <v>1338</v>
      </c>
      <c r="C986" t="s">
        <v>38</v>
      </c>
      <c r="D986" t="s">
        <v>246</v>
      </c>
      <c r="E986" t="s">
        <v>15</v>
      </c>
      <c r="F986" t="s">
        <v>14</v>
      </c>
      <c r="G986" t="s">
        <v>387</v>
      </c>
      <c r="H986">
        <v>2</v>
      </c>
    </row>
    <row r="987" spans="1:8" x14ac:dyDescent="0.35">
      <c r="A987">
        <v>42357766</v>
      </c>
      <c r="B987" t="s">
        <v>1338</v>
      </c>
      <c r="C987" t="s">
        <v>38</v>
      </c>
      <c r="D987" t="s">
        <v>246</v>
      </c>
      <c r="E987" t="s">
        <v>15</v>
      </c>
      <c r="F987" t="s">
        <v>14</v>
      </c>
      <c r="G987" t="s">
        <v>33</v>
      </c>
      <c r="H987">
        <v>23</v>
      </c>
    </row>
    <row r="988" spans="1:8" x14ac:dyDescent="0.35">
      <c r="A988">
        <v>42358244</v>
      </c>
      <c r="B988" t="s">
        <v>1339</v>
      </c>
      <c r="C988" t="s">
        <v>38</v>
      </c>
      <c r="D988" t="s">
        <v>246</v>
      </c>
      <c r="E988" t="s">
        <v>15</v>
      </c>
      <c r="F988" t="s">
        <v>14</v>
      </c>
      <c r="G988" t="s">
        <v>61</v>
      </c>
      <c r="H988">
        <v>21</v>
      </c>
    </row>
    <row r="989" spans="1:8" x14ac:dyDescent="0.35">
      <c r="A989">
        <v>42380573</v>
      </c>
      <c r="B989" t="s">
        <v>1340</v>
      </c>
      <c r="C989" t="s">
        <v>1341</v>
      </c>
      <c r="D989" t="s">
        <v>539</v>
      </c>
      <c r="E989" t="s">
        <v>15</v>
      </c>
      <c r="F989" t="s">
        <v>14</v>
      </c>
      <c r="G989" t="s">
        <v>34</v>
      </c>
      <c r="H989">
        <v>23</v>
      </c>
    </row>
    <row r="990" spans="1:8" x14ac:dyDescent="0.35">
      <c r="A990">
        <v>42380573</v>
      </c>
      <c r="B990" t="s">
        <v>1340</v>
      </c>
      <c r="C990" t="s">
        <v>1341</v>
      </c>
      <c r="D990" t="s">
        <v>539</v>
      </c>
      <c r="E990" t="s">
        <v>15</v>
      </c>
      <c r="F990" t="s">
        <v>14</v>
      </c>
      <c r="G990" t="s">
        <v>31</v>
      </c>
      <c r="H990">
        <v>19</v>
      </c>
    </row>
    <row r="991" spans="1:8" x14ac:dyDescent="0.35">
      <c r="A991">
        <v>42380580</v>
      </c>
      <c r="B991" t="s">
        <v>1342</v>
      </c>
      <c r="C991" t="s">
        <v>472</v>
      </c>
      <c r="D991" t="s">
        <v>539</v>
      </c>
      <c r="E991" t="s">
        <v>15</v>
      </c>
      <c r="F991" t="s">
        <v>14</v>
      </c>
      <c r="G991" t="s">
        <v>11</v>
      </c>
      <c r="H991">
        <v>1</v>
      </c>
    </row>
    <row r="992" spans="1:8" x14ac:dyDescent="0.35">
      <c r="A992">
        <v>42380665</v>
      </c>
      <c r="B992" t="s">
        <v>1343</v>
      </c>
      <c r="C992" t="s">
        <v>1341</v>
      </c>
      <c r="D992" t="s">
        <v>246</v>
      </c>
      <c r="E992" t="s">
        <v>15</v>
      </c>
      <c r="F992" t="s">
        <v>14</v>
      </c>
      <c r="G992" t="s">
        <v>34</v>
      </c>
      <c r="H992">
        <v>173</v>
      </c>
    </row>
    <row r="993" spans="1:8" x14ac:dyDescent="0.35">
      <c r="A993">
        <v>42380672</v>
      </c>
      <c r="B993" t="s">
        <v>1344</v>
      </c>
      <c r="C993" t="s">
        <v>1341</v>
      </c>
      <c r="D993" t="s">
        <v>246</v>
      </c>
      <c r="E993" t="s">
        <v>15</v>
      </c>
      <c r="F993" t="s">
        <v>14</v>
      </c>
      <c r="G993" t="s">
        <v>34</v>
      </c>
      <c r="H993">
        <v>77</v>
      </c>
    </row>
    <row r="994" spans="1:8" x14ac:dyDescent="0.35">
      <c r="A994">
        <v>42380696</v>
      </c>
      <c r="B994" t="s">
        <v>1313</v>
      </c>
      <c r="C994" t="s">
        <v>1341</v>
      </c>
      <c r="D994" t="s">
        <v>246</v>
      </c>
      <c r="E994" t="s">
        <v>15</v>
      </c>
      <c r="F994" t="s">
        <v>14</v>
      </c>
      <c r="G994" t="s">
        <v>22</v>
      </c>
      <c r="H994">
        <v>1</v>
      </c>
    </row>
    <row r="995" spans="1:8" x14ac:dyDescent="0.35">
      <c r="A995">
        <v>42380696</v>
      </c>
      <c r="B995" t="s">
        <v>1313</v>
      </c>
      <c r="C995" t="s">
        <v>1341</v>
      </c>
      <c r="D995" t="s">
        <v>246</v>
      </c>
      <c r="E995" t="s">
        <v>15</v>
      </c>
      <c r="F995" t="s">
        <v>14</v>
      </c>
      <c r="G995" t="s">
        <v>11</v>
      </c>
      <c r="H995">
        <v>1</v>
      </c>
    </row>
    <row r="996" spans="1:8" x14ac:dyDescent="0.35">
      <c r="A996">
        <v>42380696</v>
      </c>
      <c r="B996" t="s">
        <v>1313</v>
      </c>
      <c r="C996" t="s">
        <v>1341</v>
      </c>
      <c r="D996" t="s">
        <v>246</v>
      </c>
      <c r="E996" t="s">
        <v>15</v>
      </c>
      <c r="F996" t="s">
        <v>14</v>
      </c>
      <c r="G996" t="s">
        <v>34</v>
      </c>
      <c r="H996">
        <v>1052</v>
      </c>
    </row>
    <row r="997" spans="1:8" x14ac:dyDescent="0.35">
      <c r="A997">
        <v>42380696</v>
      </c>
      <c r="B997" t="s">
        <v>1313</v>
      </c>
      <c r="C997" t="s">
        <v>1341</v>
      </c>
      <c r="D997" t="s">
        <v>246</v>
      </c>
      <c r="E997" t="s">
        <v>15</v>
      </c>
      <c r="F997" t="s">
        <v>14</v>
      </c>
      <c r="G997" t="s">
        <v>61</v>
      </c>
      <c r="H997">
        <v>7</v>
      </c>
    </row>
    <row r="998" spans="1:8" x14ac:dyDescent="0.35">
      <c r="A998">
        <v>42380771</v>
      </c>
      <c r="B998" t="s">
        <v>1345</v>
      </c>
      <c r="C998" t="s">
        <v>1346</v>
      </c>
      <c r="D998" t="s">
        <v>705</v>
      </c>
      <c r="E998" t="s">
        <v>15</v>
      </c>
      <c r="F998" t="s">
        <v>14</v>
      </c>
      <c r="G998" t="s">
        <v>34</v>
      </c>
      <c r="H998">
        <v>738</v>
      </c>
    </row>
    <row r="999" spans="1:8" x14ac:dyDescent="0.35">
      <c r="A999">
        <v>42381105</v>
      </c>
      <c r="B999" t="s">
        <v>709</v>
      </c>
      <c r="C999" t="s">
        <v>1341</v>
      </c>
      <c r="D999" t="s">
        <v>14</v>
      </c>
      <c r="E999" t="s">
        <v>15</v>
      </c>
      <c r="F999" t="s">
        <v>14</v>
      </c>
      <c r="G999" t="s">
        <v>34</v>
      </c>
      <c r="H999">
        <v>7649</v>
      </c>
    </row>
    <row r="1000" spans="1:8" x14ac:dyDescent="0.35">
      <c r="A1000">
        <v>42381198</v>
      </c>
      <c r="B1000" t="s">
        <v>1347</v>
      </c>
      <c r="C1000" t="s">
        <v>472</v>
      </c>
      <c r="D1000" t="s">
        <v>1348</v>
      </c>
      <c r="E1000" t="s">
        <v>15</v>
      </c>
      <c r="F1000" t="s">
        <v>14</v>
      </c>
      <c r="G1000" t="s">
        <v>31</v>
      </c>
      <c r="H1000">
        <v>7</v>
      </c>
    </row>
    <row r="1001" spans="1:8" x14ac:dyDescent="0.35">
      <c r="A1001">
        <v>4251097412825</v>
      </c>
      <c r="B1001" t="s">
        <v>1335</v>
      </c>
      <c r="C1001" t="s">
        <v>91</v>
      </c>
      <c r="D1001" t="s">
        <v>1335</v>
      </c>
      <c r="E1001" t="s">
        <v>15</v>
      </c>
      <c r="F1001" t="s">
        <v>1336</v>
      </c>
      <c r="G1001" t="s">
        <v>22</v>
      </c>
      <c r="H1001">
        <v>2</v>
      </c>
    </row>
    <row r="1002" spans="1:8" x14ac:dyDescent="0.35">
      <c r="A1002">
        <v>4260159441352</v>
      </c>
      <c r="B1002" t="s">
        <v>1349</v>
      </c>
      <c r="C1002" t="s">
        <v>1350</v>
      </c>
      <c r="D1002" t="s">
        <v>124</v>
      </c>
      <c r="E1002" t="s">
        <v>921</v>
      </c>
      <c r="F1002" t="s">
        <v>922</v>
      </c>
      <c r="G1002" t="s">
        <v>921</v>
      </c>
      <c r="H1002">
        <v>1</v>
      </c>
    </row>
    <row r="1003" spans="1:8" x14ac:dyDescent="0.35">
      <c r="A1003">
        <v>4260183331117</v>
      </c>
      <c r="B1003" t="s">
        <v>1351</v>
      </c>
      <c r="C1003" t="s">
        <v>472</v>
      </c>
      <c r="D1003" t="s">
        <v>1352</v>
      </c>
      <c r="E1003" t="s">
        <v>41</v>
      </c>
      <c r="F1003" t="s">
        <v>126</v>
      </c>
      <c r="G1003" t="s">
        <v>41</v>
      </c>
      <c r="H1003">
        <v>42</v>
      </c>
    </row>
    <row r="1004" spans="1:8" x14ac:dyDescent="0.35">
      <c r="A1004">
        <v>4260183331124</v>
      </c>
      <c r="B1004" t="s">
        <v>1353</v>
      </c>
      <c r="C1004" t="s">
        <v>472</v>
      </c>
      <c r="D1004" t="s">
        <v>1352</v>
      </c>
      <c r="E1004" t="s">
        <v>41</v>
      </c>
      <c r="F1004" t="s">
        <v>126</v>
      </c>
      <c r="G1004" t="s">
        <v>41</v>
      </c>
      <c r="H1004">
        <v>53</v>
      </c>
    </row>
    <row r="1005" spans="1:8" x14ac:dyDescent="0.35">
      <c r="A1005">
        <v>4260183331285</v>
      </c>
      <c r="B1005" t="s">
        <v>1354</v>
      </c>
      <c r="C1005" t="s">
        <v>472</v>
      </c>
      <c r="D1005" t="s">
        <v>1352</v>
      </c>
      <c r="E1005" t="s">
        <v>41</v>
      </c>
      <c r="F1005" t="s">
        <v>126</v>
      </c>
      <c r="G1005" t="s">
        <v>41</v>
      </c>
      <c r="H1005">
        <v>559</v>
      </c>
    </row>
    <row r="1006" spans="1:8" x14ac:dyDescent="0.35">
      <c r="A1006">
        <v>4309720211113</v>
      </c>
      <c r="B1006" t="s">
        <v>1355</v>
      </c>
      <c r="C1006" t="s">
        <v>9</v>
      </c>
      <c r="D1006" t="s">
        <v>1356</v>
      </c>
      <c r="E1006" t="s">
        <v>308</v>
      </c>
      <c r="F1006" t="s">
        <v>309</v>
      </c>
      <c r="G1006" t="s">
        <v>34</v>
      </c>
      <c r="H1006">
        <v>6</v>
      </c>
    </row>
    <row r="1007" spans="1:8" x14ac:dyDescent="0.35">
      <c r="A1007">
        <v>4321365465423</v>
      </c>
      <c r="B1007" t="s">
        <v>1357</v>
      </c>
      <c r="C1007" t="s">
        <v>38</v>
      </c>
      <c r="D1007" t="s">
        <v>1358</v>
      </c>
      <c r="E1007" t="s">
        <v>117</v>
      </c>
      <c r="F1007" t="s">
        <v>1359</v>
      </c>
      <c r="G1007" t="s">
        <v>117</v>
      </c>
      <c r="H1007">
        <v>36</v>
      </c>
    </row>
    <row r="1008" spans="1:8" x14ac:dyDescent="0.35">
      <c r="A1008">
        <v>43891290</v>
      </c>
      <c r="B1008" t="s">
        <v>1360</v>
      </c>
      <c r="C1008" t="s">
        <v>1361</v>
      </c>
      <c r="D1008" t="s">
        <v>1362</v>
      </c>
      <c r="E1008" t="s">
        <v>130</v>
      </c>
      <c r="F1008" t="s">
        <v>220</v>
      </c>
      <c r="G1008" t="s">
        <v>41</v>
      </c>
      <c r="H1008">
        <v>1</v>
      </c>
    </row>
    <row r="1009" spans="1:8" x14ac:dyDescent="0.35">
      <c r="A1009">
        <v>4416241863063</v>
      </c>
      <c r="B1009" t="s">
        <v>1363</v>
      </c>
      <c r="C1009" t="s">
        <v>472</v>
      </c>
      <c r="D1009" t="s">
        <v>1364</v>
      </c>
      <c r="E1009" t="s">
        <v>598</v>
      </c>
      <c r="F1009" t="s">
        <v>1365</v>
      </c>
      <c r="G1009" t="s">
        <v>598</v>
      </c>
      <c r="H1009">
        <v>1</v>
      </c>
    </row>
    <row r="1010" spans="1:8" x14ac:dyDescent="0.35">
      <c r="A1010">
        <v>4442020112145</v>
      </c>
      <c r="B1010" t="s">
        <v>1366</v>
      </c>
      <c r="C1010" t="s">
        <v>9</v>
      </c>
      <c r="D1010" t="s">
        <v>452</v>
      </c>
      <c r="E1010" t="s">
        <v>15</v>
      </c>
      <c r="F1010" t="s">
        <v>14</v>
      </c>
      <c r="G1010" t="s">
        <v>61</v>
      </c>
      <c r="H1010">
        <v>16</v>
      </c>
    </row>
    <row r="1011" spans="1:8" x14ac:dyDescent="0.35">
      <c r="A1011">
        <v>4471571908006</v>
      </c>
      <c r="B1011" t="s">
        <v>1367</v>
      </c>
      <c r="C1011" t="s">
        <v>94</v>
      </c>
      <c r="D1011" t="s">
        <v>337</v>
      </c>
      <c r="E1011" t="s">
        <v>22</v>
      </c>
      <c r="F1011" t="s">
        <v>338</v>
      </c>
      <c r="G1011" t="s">
        <v>22</v>
      </c>
      <c r="H1011">
        <v>1</v>
      </c>
    </row>
    <row r="1012" spans="1:8" x14ac:dyDescent="0.35">
      <c r="A1012">
        <v>4777724000017</v>
      </c>
      <c r="B1012" t="s">
        <v>1368</v>
      </c>
      <c r="C1012" t="s">
        <v>110</v>
      </c>
      <c r="D1012" t="s">
        <v>1156</v>
      </c>
      <c r="E1012" t="s">
        <v>387</v>
      </c>
      <c r="F1012" t="s">
        <v>1157</v>
      </c>
      <c r="G1012" t="s">
        <v>387</v>
      </c>
      <c r="H1012">
        <v>6</v>
      </c>
    </row>
    <row r="1013" spans="1:8" x14ac:dyDescent="0.35">
      <c r="A1013">
        <v>4779040220520</v>
      </c>
      <c r="B1013" t="s">
        <v>1369</v>
      </c>
      <c r="C1013" t="s">
        <v>192</v>
      </c>
      <c r="D1013" t="s">
        <v>1370</v>
      </c>
      <c r="E1013" t="s">
        <v>1371</v>
      </c>
      <c r="F1013" t="s">
        <v>1372</v>
      </c>
      <c r="G1013" t="s">
        <v>34</v>
      </c>
      <c r="H1013">
        <v>15</v>
      </c>
    </row>
    <row r="1014" spans="1:8" x14ac:dyDescent="0.35">
      <c r="A1014">
        <v>4779040221060</v>
      </c>
      <c r="B1014" t="s">
        <v>1373</v>
      </c>
      <c r="C1014" t="s">
        <v>1374</v>
      </c>
      <c r="D1014" t="s">
        <v>1370</v>
      </c>
      <c r="E1014" t="s">
        <v>1371</v>
      </c>
      <c r="F1014" t="s">
        <v>1372</v>
      </c>
      <c r="G1014" t="s">
        <v>34</v>
      </c>
      <c r="H1014">
        <v>10</v>
      </c>
    </row>
    <row r="1015" spans="1:8" x14ac:dyDescent="0.35">
      <c r="A1015">
        <v>4779040221060</v>
      </c>
      <c r="B1015" t="s">
        <v>1373</v>
      </c>
      <c r="C1015" t="s">
        <v>1374</v>
      </c>
      <c r="D1015" t="s">
        <v>1370</v>
      </c>
      <c r="E1015" t="s">
        <v>1371</v>
      </c>
      <c r="F1015" t="s">
        <v>1372</v>
      </c>
      <c r="G1015" t="s">
        <v>578</v>
      </c>
      <c r="H1015">
        <v>1</v>
      </c>
    </row>
    <row r="1016" spans="1:8" x14ac:dyDescent="0.35">
      <c r="A1016">
        <v>4779040221091</v>
      </c>
      <c r="B1016" t="s">
        <v>1373</v>
      </c>
      <c r="C1016" t="s">
        <v>9</v>
      </c>
      <c r="D1016" t="s">
        <v>1370</v>
      </c>
      <c r="E1016" t="s">
        <v>1371</v>
      </c>
      <c r="F1016" t="s">
        <v>1372</v>
      </c>
      <c r="G1016" t="s">
        <v>578</v>
      </c>
      <c r="H1016">
        <v>2</v>
      </c>
    </row>
    <row r="1017" spans="1:8" x14ac:dyDescent="0.35">
      <c r="A1017">
        <v>4779040221978</v>
      </c>
      <c r="B1017" t="s">
        <v>1375</v>
      </c>
      <c r="C1017" t="s">
        <v>9</v>
      </c>
      <c r="D1017" t="s">
        <v>1370</v>
      </c>
      <c r="E1017" t="s">
        <v>1371</v>
      </c>
      <c r="F1017" t="s">
        <v>1372</v>
      </c>
      <c r="G1017" t="s">
        <v>34</v>
      </c>
      <c r="H1017">
        <v>2</v>
      </c>
    </row>
    <row r="1018" spans="1:8" x14ac:dyDescent="0.35">
      <c r="A1018">
        <v>4820196910015</v>
      </c>
      <c r="B1018" t="s">
        <v>1376</v>
      </c>
      <c r="C1018" t="s">
        <v>81</v>
      </c>
      <c r="D1018" t="s">
        <v>1377</v>
      </c>
      <c r="E1018" t="s">
        <v>1378</v>
      </c>
      <c r="F1018" t="s">
        <v>1379</v>
      </c>
      <c r="G1018" t="s">
        <v>34</v>
      </c>
      <c r="H1018">
        <v>3</v>
      </c>
    </row>
    <row r="1019" spans="1:8" x14ac:dyDescent="0.35">
      <c r="A1019">
        <v>4820196910015</v>
      </c>
      <c r="B1019" t="s">
        <v>1376</v>
      </c>
      <c r="C1019" t="s">
        <v>81</v>
      </c>
      <c r="D1019" t="s">
        <v>1377</v>
      </c>
      <c r="E1019" t="s">
        <v>1378</v>
      </c>
      <c r="F1019" t="s">
        <v>1379</v>
      </c>
      <c r="G1019" t="s">
        <v>150</v>
      </c>
      <c r="H1019">
        <v>37</v>
      </c>
    </row>
    <row r="1020" spans="1:8" x14ac:dyDescent="0.35">
      <c r="A1020">
        <v>4897057900065</v>
      </c>
      <c r="B1020" t="s">
        <v>920</v>
      </c>
      <c r="C1020" t="s">
        <v>114</v>
      </c>
      <c r="D1020" t="s">
        <v>1380</v>
      </c>
      <c r="E1020" t="s">
        <v>22</v>
      </c>
      <c r="F1020" t="s">
        <v>1381</v>
      </c>
      <c r="G1020" t="s">
        <v>921</v>
      </c>
      <c r="H1020">
        <v>6</v>
      </c>
    </row>
    <row r="1021" spans="1:8" x14ac:dyDescent="0.35">
      <c r="A1021">
        <v>4897057900102</v>
      </c>
      <c r="B1021" t="s">
        <v>853</v>
      </c>
      <c r="C1021" t="s">
        <v>472</v>
      </c>
      <c r="D1021" t="s">
        <v>1382</v>
      </c>
      <c r="E1021" t="s">
        <v>308</v>
      </c>
      <c r="F1021" t="s">
        <v>309</v>
      </c>
      <c r="G1021" t="s">
        <v>921</v>
      </c>
      <c r="H1021">
        <v>3</v>
      </c>
    </row>
    <row r="1022" spans="1:8" x14ac:dyDescent="0.35">
      <c r="A1022">
        <v>5000101168079</v>
      </c>
      <c r="B1022" t="s">
        <v>1383</v>
      </c>
      <c r="C1022" t="s">
        <v>81</v>
      </c>
      <c r="D1022" t="s">
        <v>1384</v>
      </c>
      <c r="E1022" t="s">
        <v>22</v>
      </c>
      <c r="F1022" t="s">
        <v>1385</v>
      </c>
      <c r="G1022" t="s">
        <v>22</v>
      </c>
      <c r="H1022">
        <v>1</v>
      </c>
    </row>
    <row r="1023" spans="1:8" x14ac:dyDescent="0.35">
      <c r="A1023">
        <v>5000101213991</v>
      </c>
      <c r="B1023" t="s">
        <v>1386</v>
      </c>
      <c r="C1023" t="s">
        <v>9</v>
      </c>
      <c r="D1023" t="s">
        <v>1387</v>
      </c>
      <c r="E1023" t="s">
        <v>22</v>
      </c>
      <c r="F1023" t="s">
        <v>1388</v>
      </c>
      <c r="G1023" t="s">
        <v>34</v>
      </c>
      <c r="H1023">
        <v>1</v>
      </c>
    </row>
    <row r="1024" spans="1:8" x14ac:dyDescent="0.35">
      <c r="A1024">
        <v>5000101514562</v>
      </c>
      <c r="B1024" t="s">
        <v>1389</v>
      </c>
      <c r="C1024" t="s">
        <v>9</v>
      </c>
      <c r="D1024" t="s">
        <v>1390</v>
      </c>
      <c r="E1024" t="s">
        <v>22</v>
      </c>
      <c r="F1024" t="s">
        <v>1388</v>
      </c>
      <c r="G1024" t="s">
        <v>22</v>
      </c>
      <c r="H1024">
        <v>1</v>
      </c>
    </row>
    <row r="1025" spans="1:8" x14ac:dyDescent="0.35">
      <c r="A1025">
        <v>5000101799556</v>
      </c>
      <c r="B1025" t="s">
        <v>1391</v>
      </c>
      <c r="C1025" t="s">
        <v>272</v>
      </c>
      <c r="D1025" t="s">
        <v>1384</v>
      </c>
      <c r="E1025" t="s">
        <v>22</v>
      </c>
      <c r="F1025" t="s">
        <v>1385</v>
      </c>
      <c r="G1025" t="s">
        <v>22</v>
      </c>
      <c r="H1025">
        <v>1</v>
      </c>
    </row>
    <row r="1026" spans="1:8" x14ac:dyDescent="0.35">
      <c r="A1026">
        <v>5000101991134</v>
      </c>
      <c r="B1026" t="s">
        <v>1392</v>
      </c>
      <c r="C1026" t="s">
        <v>38</v>
      </c>
      <c r="D1026" t="s">
        <v>1390</v>
      </c>
      <c r="E1026" t="s">
        <v>22</v>
      </c>
      <c r="F1026" t="s">
        <v>1388</v>
      </c>
      <c r="G1026" t="s">
        <v>11</v>
      </c>
      <c r="H1026">
        <v>17</v>
      </c>
    </row>
    <row r="1027" spans="1:8" x14ac:dyDescent="0.35">
      <c r="A1027">
        <v>5000111046244</v>
      </c>
      <c r="B1027" t="s">
        <v>1393</v>
      </c>
      <c r="C1027" t="s">
        <v>1394</v>
      </c>
      <c r="D1027" t="s">
        <v>1393</v>
      </c>
      <c r="E1027" t="s">
        <v>15</v>
      </c>
      <c r="F1027" t="s">
        <v>1395</v>
      </c>
      <c r="G1027" t="s">
        <v>22</v>
      </c>
      <c r="H1027">
        <v>3</v>
      </c>
    </row>
    <row r="1028" spans="1:8" x14ac:dyDescent="0.35">
      <c r="A1028">
        <v>5000111047517</v>
      </c>
      <c r="B1028" t="s">
        <v>1396</v>
      </c>
      <c r="C1028" t="s">
        <v>434</v>
      </c>
      <c r="D1028" t="s">
        <v>1393</v>
      </c>
      <c r="E1028" t="s">
        <v>15</v>
      </c>
      <c r="F1028" t="s">
        <v>1395</v>
      </c>
      <c r="G1028" t="s">
        <v>33</v>
      </c>
      <c r="H1028">
        <v>50</v>
      </c>
    </row>
    <row r="1029" spans="1:8" x14ac:dyDescent="0.35">
      <c r="A1029">
        <v>5000111047517</v>
      </c>
      <c r="B1029" t="s">
        <v>1396</v>
      </c>
      <c r="C1029" t="s">
        <v>434</v>
      </c>
      <c r="D1029" t="s">
        <v>1393</v>
      </c>
      <c r="E1029" t="s">
        <v>15</v>
      </c>
      <c r="F1029" t="s">
        <v>1395</v>
      </c>
      <c r="G1029" t="s">
        <v>150</v>
      </c>
      <c r="H1029">
        <v>2</v>
      </c>
    </row>
    <row r="1030" spans="1:8" x14ac:dyDescent="0.35">
      <c r="A1030">
        <v>5000112552218</v>
      </c>
      <c r="B1030" t="s">
        <v>709</v>
      </c>
      <c r="C1030" t="s">
        <v>1397</v>
      </c>
      <c r="D1030" t="s">
        <v>14</v>
      </c>
      <c r="E1030" t="s">
        <v>15</v>
      </c>
      <c r="F1030" t="s">
        <v>14</v>
      </c>
      <c r="G1030" t="s">
        <v>20</v>
      </c>
      <c r="H1030">
        <v>1</v>
      </c>
    </row>
    <row r="1031" spans="1:8" x14ac:dyDescent="0.35">
      <c r="A1031">
        <v>5000112599725</v>
      </c>
      <c r="B1031" t="s">
        <v>1398</v>
      </c>
      <c r="C1031" t="s">
        <v>9</v>
      </c>
      <c r="D1031" t="s">
        <v>1399</v>
      </c>
      <c r="E1031" t="s">
        <v>15</v>
      </c>
      <c r="F1031" t="s">
        <v>14</v>
      </c>
      <c r="G1031" t="s">
        <v>22</v>
      </c>
      <c r="H1031">
        <v>3</v>
      </c>
    </row>
    <row r="1032" spans="1:8" x14ac:dyDescent="0.35">
      <c r="A1032">
        <v>5000112599732</v>
      </c>
      <c r="B1032" t="s">
        <v>1400</v>
      </c>
      <c r="C1032" t="s">
        <v>9</v>
      </c>
      <c r="D1032" t="s">
        <v>1399</v>
      </c>
      <c r="E1032" t="s">
        <v>15</v>
      </c>
      <c r="F1032" t="s">
        <v>14</v>
      </c>
      <c r="G1032" t="s">
        <v>22</v>
      </c>
      <c r="H1032">
        <v>2</v>
      </c>
    </row>
    <row r="1033" spans="1:8" x14ac:dyDescent="0.35">
      <c r="A1033">
        <v>5000112629101</v>
      </c>
      <c r="B1033" t="s">
        <v>1401</v>
      </c>
      <c r="C1033" t="s">
        <v>9</v>
      </c>
      <c r="D1033" t="s">
        <v>707</v>
      </c>
      <c r="E1033" t="s">
        <v>15</v>
      </c>
      <c r="F1033" t="s">
        <v>14</v>
      </c>
      <c r="G1033" t="s">
        <v>22</v>
      </c>
      <c r="H1033">
        <v>1</v>
      </c>
    </row>
    <row r="1034" spans="1:8" x14ac:dyDescent="0.35">
      <c r="A1034">
        <v>5000112644890</v>
      </c>
      <c r="B1034" t="s">
        <v>1016</v>
      </c>
      <c r="C1034" t="s">
        <v>9</v>
      </c>
      <c r="D1034" t="s">
        <v>14</v>
      </c>
      <c r="E1034" t="s">
        <v>15</v>
      </c>
      <c r="F1034" t="s">
        <v>14</v>
      </c>
      <c r="G1034" t="s">
        <v>22</v>
      </c>
      <c r="H1034">
        <v>2</v>
      </c>
    </row>
    <row r="1035" spans="1:8" x14ac:dyDescent="0.35">
      <c r="A1035">
        <v>5000112649864</v>
      </c>
      <c r="B1035" t="s">
        <v>709</v>
      </c>
      <c r="C1035" t="s">
        <v>9</v>
      </c>
      <c r="D1035" t="s">
        <v>14</v>
      </c>
      <c r="E1035" t="s">
        <v>15</v>
      </c>
      <c r="F1035" t="s">
        <v>14</v>
      </c>
      <c r="G1035" t="s">
        <v>22</v>
      </c>
      <c r="H1035">
        <v>1</v>
      </c>
    </row>
    <row r="1036" spans="1:8" x14ac:dyDescent="0.35">
      <c r="A1036">
        <v>5000112649864</v>
      </c>
      <c r="B1036" t="s">
        <v>709</v>
      </c>
      <c r="C1036" t="s">
        <v>9</v>
      </c>
      <c r="D1036" t="s">
        <v>14</v>
      </c>
      <c r="E1036" t="s">
        <v>15</v>
      </c>
      <c r="F1036" t="s">
        <v>14</v>
      </c>
      <c r="G1036" t="s">
        <v>150</v>
      </c>
      <c r="H1036">
        <v>1</v>
      </c>
    </row>
    <row r="1037" spans="1:8" x14ac:dyDescent="0.35">
      <c r="A1037">
        <v>5000112649871</v>
      </c>
      <c r="B1037" t="s">
        <v>250</v>
      </c>
      <c r="C1037" t="s">
        <v>9</v>
      </c>
      <c r="D1037" t="s">
        <v>14</v>
      </c>
      <c r="E1037" t="s">
        <v>15</v>
      </c>
      <c r="F1037" t="s">
        <v>14</v>
      </c>
      <c r="G1037" t="s">
        <v>22</v>
      </c>
      <c r="H1037">
        <v>1</v>
      </c>
    </row>
    <row r="1038" spans="1:8" x14ac:dyDescent="0.35">
      <c r="A1038">
        <v>5000112649895</v>
      </c>
      <c r="B1038" t="s">
        <v>1402</v>
      </c>
      <c r="C1038" t="s">
        <v>9</v>
      </c>
      <c r="D1038" t="s">
        <v>246</v>
      </c>
      <c r="E1038" t="s">
        <v>15</v>
      </c>
      <c r="F1038" t="s">
        <v>14</v>
      </c>
      <c r="G1038" t="s">
        <v>22</v>
      </c>
      <c r="H1038">
        <v>1</v>
      </c>
    </row>
    <row r="1039" spans="1:8" x14ac:dyDescent="0.35">
      <c r="A1039">
        <v>5000112649918</v>
      </c>
      <c r="B1039" t="s">
        <v>1403</v>
      </c>
      <c r="C1039" t="s">
        <v>9</v>
      </c>
      <c r="D1039" t="s">
        <v>246</v>
      </c>
      <c r="E1039" t="s">
        <v>15</v>
      </c>
      <c r="F1039" t="s">
        <v>14</v>
      </c>
      <c r="G1039" t="s">
        <v>22</v>
      </c>
      <c r="H1039">
        <v>1</v>
      </c>
    </row>
    <row r="1040" spans="1:8" x14ac:dyDescent="0.35">
      <c r="A1040">
        <v>5000112649932</v>
      </c>
      <c r="B1040" t="s">
        <v>167</v>
      </c>
      <c r="C1040" t="s">
        <v>9</v>
      </c>
      <c r="D1040" t="s">
        <v>246</v>
      </c>
      <c r="E1040" t="s">
        <v>15</v>
      </c>
      <c r="F1040" t="s">
        <v>14</v>
      </c>
      <c r="G1040" t="s">
        <v>22</v>
      </c>
      <c r="H1040">
        <v>10</v>
      </c>
    </row>
    <row r="1041" spans="1:8" x14ac:dyDescent="0.35">
      <c r="A1041">
        <v>5000112649932</v>
      </c>
      <c r="B1041" t="s">
        <v>167</v>
      </c>
      <c r="C1041" t="s">
        <v>9</v>
      </c>
      <c r="D1041" t="s">
        <v>246</v>
      </c>
      <c r="E1041" t="s">
        <v>15</v>
      </c>
      <c r="F1041" t="s">
        <v>14</v>
      </c>
      <c r="G1041" t="s">
        <v>31</v>
      </c>
      <c r="H1041">
        <v>1</v>
      </c>
    </row>
    <row r="1042" spans="1:8" x14ac:dyDescent="0.35">
      <c r="A1042">
        <v>5000112649956</v>
      </c>
      <c r="B1042" t="s">
        <v>1404</v>
      </c>
      <c r="C1042" t="s">
        <v>9</v>
      </c>
      <c r="D1042" t="s">
        <v>140</v>
      </c>
      <c r="E1042" t="s">
        <v>15</v>
      </c>
      <c r="F1042" t="s">
        <v>25</v>
      </c>
      <c r="G1042" t="s">
        <v>22</v>
      </c>
      <c r="H1042">
        <v>1</v>
      </c>
    </row>
    <row r="1043" spans="1:8" x14ac:dyDescent="0.35">
      <c r="A1043">
        <v>5000112662092</v>
      </c>
      <c r="B1043" t="s">
        <v>14</v>
      </c>
      <c r="C1043" t="s">
        <v>1405</v>
      </c>
      <c r="D1043" t="s">
        <v>14</v>
      </c>
      <c r="E1043" t="s">
        <v>15</v>
      </c>
      <c r="F1043" t="s">
        <v>14</v>
      </c>
      <c r="G1043" t="s">
        <v>22</v>
      </c>
      <c r="H1043">
        <v>1</v>
      </c>
    </row>
    <row r="1044" spans="1:8" x14ac:dyDescent="0.35">
      <c r="A1044">
        <v>5000112663938</v>
      </c>
      <c r="B1044" t="s">
        <v>1406</v>
      </c>
      <c r="C1044" t="s">
        <v>603</v>
      </c>
      <c r="D1044" t="s">
        <v>14</v>
      </c>
      <c r="E1044" t="s">
        <v>15</v>
      </c>
      <c r="F1044" t="s">
        <v>14</v>
      </c>
      <c r="G1044" t="s">
        <v>22</v>
      </c>
      <c r="H1044">
        <v>1</v>
      </c>
    </row>
    <row r="1045" spans="1:8" x14ac:dyDescent="0.35">
      <c r="A1045">
        <v>5000112663952</v>
      </c>
      <c r="B1045" t="s">
        <v>1407</v>
      </c>
      <c r="C1045" t="s">
        <v>9</v>
      </c>
      <c r="D1045" t="s">
        <v>14</v>
      </c>
      <c r="E1045" t="s">
        <v>15</v>
      </c>
      <c r="F1045" t="s">
        <v>14</v>
      </c>
      <c r="G1045" t="s">
        <v>22</v>
      </c>
      <c r="H1045">
        <v>1</v>
      </c>
    </row>
    <row r="1046" spans="1:8" x14ac:dyDescent="0.35">
      <c r="A1046">
        <v>5000112664270</v>
      </c>
      <c r="B1046" t="s">
        <v>1408</v>
      </c>
      <c r="C1046" t="s">
        <v>9</v>
      </c>
      <c r="D1046" t="s">
        <v>140</v>
      </c>
      <c r="E1046" t="s">
        <v>15</v>
      </c>
      <c r="F1046" t="s">
        <v>25</v>
      </c>
      <c r="G1046" t="s">
        <v>22</v>
      </c>
      <c r="H1046">
        <v>1</v>
      </c>
    </row>
    <row r="1047" spans="1:8" x14ac:dyDescent="0.35">
      <c r="A1047">
        <v>5000118047794</v>
      </c>
      <c r="B1047" t="s">
        <v>1409</v>
      </c>
      <c r="C1047" t="s">
        <v>9</v>
      </c>
      <c r="D1047" t="s">
        <v>1302</v>
      </c>
      <c r="E1047" t="s">
        <v>22</v>
      </c>
      <c r="F1047" t="s">
        <v>361</v>
      </c>
      <c r="G1047" t="s">
        <v>22</v>
      </c>
      <c r="H1047">
        <v>1</v>
      </c>
    </row>
    <row r="1048" spans="1:8" x14ac:dyDescent="0.35">
      <c r="A1048">
        <v>5000118047817</v>
      </c>
      <c r="B1048" t="s">
        <v>1410</v>
      </c>
      <c r="C1048" t="s">
        <v>9</v>
      </c>
      <c r="D1048" t="s">
        <v>1302</v>
      </c>
      <c r="E1048" t="s">
        <v>22</v>
      </c>
      <c r="F1048" t="s">
        <v>361</v>
      </c>
      <c r="G1048" t="s">
        <v>22</v>
      </c>
      <c r="H1048">
        <v>5</v>
      </c>
    </row>
    <row r="1049" spans="1:8" x14ac:dyDescent="0.35">
      <c r="A1049">
        <v>5000118047817</v>
      </c>
      <c r="B1049" t="s">
        <v>1410</v>
      </c>
      <c r="C1049" t="s">
        <v>9</v>
      </c>
      <c r="D1049" t="s">
        <v>1302</v>
      </c>
      <c r="E1049" t="s">
        <v>22</v>
      </c>
      <c r="F1049" t="s">
        <v>361</v>
      </c>
      <c r="G1049" t="s">
        <v>34</v>
      </c>
      <c r="H1049">
        <v>1</v>
      </c>
    </row>
    <row r="1050" spans="1:8" x14ac:dyDescent="0.35">
      <c r="A1050">
        <v>5000118061905</v>
      </c>
      <c r="B1050" t="s">
        <v>1411</v>
      </c>
      <c r="C1050" t="s">
        <v>9</v>
      </c>
      <c r="D1050" t="s">
        <v>1302</v>
      </c>
      <c r="E1050" t="s">
        <v>22</v>
      </c>
      <c r="F1050" t="s">
        <v>361</v>
      </c>
      <c r="G1050" t="s">
        <v>22</v>
      </c>
      <c r="H1050">
        <v>1</v>
      </c>
    </row>
    <row r="1051" spans="1:8" x14ac:dyDescent="0.35">
      <c r="A1051">
        <v>5000119131829</v>
      </c>
      <c r="B1051" t="s">
        <v>1412</v>
      </c>
      <c r="C1051" t="s">
        <v>1296</v>
      </c>
      <c r="D1051" t="s">
        <v>432</v>
      </c>
      <c r="E1051" t="s">
        <v>22</v>
      </c>
      <c r="F1051" t="s">
        <v>64</v>
      </c>
      <c r="G1051" t="s">
        <v>22</v>
      </c>
      <c r="H1051">
        <v>1</v>
      </c>
    </row>
    <row r="1052" spans="1:8" x14ac:dyDescent="0.35">
      <c r="A1052">
        <v>5000128008792</v>
      </c>
      <c r="B1052" t="s">
        <v>1413</v>
      </c>
      <c r="C1052" t="s">
        <v>78</v>
      </c>
      <c r="D1052" t="s">
        <v>426</v>
      </c>
      <c r="E1052" t="s">
        <v>22</v>
      </c>
      <c r="F1052" t="s">
        <v>427</v>
      </c>
      <c r="G1052" t="s">
        <v>22</v>
      </c>
      <c r="H1052">
        <v>1</v>
      </c>
    </row>
    <row r="1053" spans="1:8" x14ac:dyDescent="0.35">
      <c r="A1053">
        <v>5000128280679</v>
      </c>
      <c r="B1053" t="s">
        <v>784</v>
      </c>
      <c r="C1053" t="s">
        <v>1414</v>
      </c>
      <c r="D1053" t="s">
        <v>426</v>
      </c>
      <c r="E1053" t="s">
        <v>22</v>
      </c>
      <c r="F1053" t="s">
        <v>427</v>
      </c>
      <c r="G1053" t="s">
        <v>22</v>
      </c>
      <c r="H1053">
        <v>1</v>
      </c>
    </row>
    <row r="1054" spans="1:8" x14ac:dyDescent="0.35">
      <c r="A1054">
        <v>5000128372350</v>
      </c>
      <c r="B1054" t="s">
        <v>1415</v>
      </c>
      <c r="C1054" t="s">
        <v>268</v>
      </c>
      <c r="D1054" t="s">
        <v>426</v>
      </c>
      <c r="E1054" t="s">
        <v>22</v>
      </c>
      <c r="F1054" t="s">
        <v>427</v>
      </c>
      <c r="G1054" t="s">
        <v>22</v>
      </c>
      <c r="H1054">
        <v>1</v>
      </c>
    </row>
    <row r="1055" spans="1:8" x14ac:dyDescent="0.35">
      <c r="A1055">
        <v>5000128447607</v>
      </c>
      <c r="B1055" t="s">
        <v>1416</v>
      </c>
      <c r="C1055" t="s">
        <v>919</v>
      </c>
      <c r="D1055" t="s">
        <v>426</v>
      </c>
      <c r="E1055" t="s">
        <v>22</v>
      </c>
      <c r="F1055" t="s">
        <v>427</v>
      </c>
      <c r="G1055" t="s">
        <v>22</v>
      </c>
      <c r="H1055">
        <v>1</v>
      </c>
    </row>
    <row r="1056" spans="1:8" x14ac:dyDescent="0.35">
      <c r="A1056">
        <v>5000128503679</v>
      </c>
      <c r="B1056" t="s">
        <v>1417</v>
      </c>
      <c r="C1056" t="s">
        <v>78</v>
      </c>
      <c r="D1056" t="s">
        <v>426</v>
      </c>
      <c r="E1056" t="s">
        <v>22</v>
      </c>
      <c r="F1056" t="s">
        <v>427</v>
      </c>
      <c r="G1056" t="s">
        <v>22</v>
      </c>
      <c r="H1056">
        <v>2</v>
      </c>
    </row>
    <row r="1057" spans="1:8" x14ac:dyDescent="0.35">
      <c r="A1057">
        <v>5000128519212</v>
      </c>
      <c r="B1057" t="s">
        <v>668</v>
      </c>
      <c r="C1057" t="s">
        <v>78</v>
      </c>
      <c r="D1057" t="s">
        <v>426</v>
      </c>
      <c r="E1057" t="s">
        <v>22</v>
      </c>
      <c r="F1057" t="s">
        <v>427</v>
      </c>
      <c r="G1057" t="s">
        <v>22</v>
      </c>
      <c r="H1057">
        <v>1</v>
      </c>
    </row>
    <row r="1058" spans="1:8" x14ac:dyDescent="0.35">
      <c r="A1058">
        <v>5000128580915</v>
      </c>
      <c r="B1058" t="s">
        <v>1418</v>
      </c>
      <c r="C1058" t="s">
        <v>78</v>
      </c>
      <c r="D1058" t="s">
        <v>426</v>
      </c>
      <c r="E1058" t="s">
        <v>22</v>
      </c>
      <c r="F1058" t="s">
        <v>427</v>
      </c>
      <c r="G1058" t="s">
        <v>22</v>
      </c>
      <c r="H1058">
        <v>2</v>
      </c>
    </row>
    <row r="1059" spans="1:8" x14ac:dyDescent="0.35">
      <c r="A1059">
        <v>5000128580984</v>
      </c>
      <c r="B1059" t="s">
        <v>119</v>
      </c>
      <c r="C1059" t="s">
        <v>75</v>
      </c>
      <c r="D1059" t="s">
        <v>426</v>
      </c>
      <c r="E1059" t="s">
        <v>22</v>
      </c>
      <c r="F1059" t="s">
        <v>427</v>
      </c>
      <c r="G1059" t="s">
        <v>22</v>
      </c>
      <c r="H1059">
        <v>1</v>
      </c>
    </row>
    <row r="1060" spans="1:8" x14ac:dyDescent="0.35">
      <c r="A1060">
        <v>5000128581042</v>
      </c>
      <c r="B1060" t="s">
        <v>1419</v>
      </c>
      <c r="C1060" t="s">
        <v>9</v>
      </c>
      <c r="D1060" t="s">
        <v>426</v>
      </c>
      <c r="E1060" t="s">
        <v>22</v>
      </c>
      <c r="F1060" t="s">
        <v>427</v>
      </c>
      <c r="G1060" t="s">
        <v>22</v>
      </c>
      <c r="H1060">
        <v>5</v>
      </c>
    </row>
    <row r="1061" spans="1:8" x14ac:dyDescent="0.35">
      <c r="A1061">
        <v>5000128606981</v>
      </c>
      <c r="B1061" t="s">
        <v>1420</v>
      </c>
      <c r="C1061" t="s">
        <v>78</v>
      </c>
      <c r="D1061" t="s">
        <v>426</v>
      </c>
      <c r="E1061" t="s">
        <v>22</v>
      </c>
      <c r="F1061" t="s">
        <v>427</v>
      </c>
      <c r="G1061" t="s">
        <v>22</v>
      </c>
      <c r="H1061">
        <v>1</v>
      </c>
    </row>
    <row r="1062" spans="1:8" x14ac:dyDescent="0.35">
      <c r="A1062">
        <v>5000128626170</v>
      </c>
      <c r="B1062" t="s">
        <v>1421</v>
      </c>
      <c r="C1062" t="s">
        <v>1422</v>
      </c>
      <c r="D1062" t="s">
        <v>426</v>
      </c>
      <c r="E1062" t="s">
        <v>22</v>
      </c>
      <c r="F1062" t="s">
        <v>427</v>
      </c>
      <c r="G1062" t="s">
        <v>22</v>
      </c>
      <c r="H1062">
        <v>1</v>
      </c>
    </row>
    <row r="1063" spans="1:8" x14ac:dyDescent="0.35">
      <c r="A1063">
        <v>5000128652797</v>
      </c>
      <c r="B1063" t="s">
        <v>1423</v>
      </c>
      <c r="C1063" t="s">
        <v>9</v>
      </c>
      <c r="D1063" t="s">
        <v>426</v>
      </c>
      <c r="E1063" t="s">
        <v>22</v>
      </c>
      <c r="F1063" t="s">
        <v>427</v>
      </c>
      <c r="G1063" t="s">
        <v>22</v>
      </c>
      <c r="H1063">
        <v>2</v>
      </c>
    </row>
    <row r="1064" spans="1:8" x14ac:dyDescent="0.35">
      <c r="A1064">
        <v>5000128670210</v>
      </c>
      <c r="B1064" t="s">
        <v>1424</v>
      </c>
      <c r="C1064" t="s">
        <v>78</v>
      </c>
      <c r="D1064" t="s">
        <v>426</v>
      </c>
      <c r="E1064" t="s">
        <v>22</v>
      </c>
      <c r="F1064" t="s">
        <v>427</v>
      </c>
      <c r="G1064" t="s">
        <v>22</v>
      </c>
      <c r="H1064">
        <v>1</v>
      </c>
    </row>
    <row r="1065" spans="1:8" x14ac:dyDescent="0.35">
      <c r="A1065">
        <v>5000128740241</v>
      </c>
      <c r="B1065" t="s">
        <v>1425</v>
      </c>
      <c r="C1065" t="s">
        <v>326</v>
      </c>
      <c r="D1065" t="s">
        <v>426</v>
      </c>
      <c r="E1065" t="s">
        <v>22</v>
      </c>
      <c r="F1065" t="s">
        <v>427</v>
      </c>
      <c r="G1065" t="s">
        <v>22</v>
      </c>
      <c r="H1065">
        <v>1</v>
      </c>
    </row>
    <row r="1066" spans="1:8" x14ac:dyDescent="0.35">
      <c r="A1066">
        <v>5000128766562</v>
      </c>
      <c r="B1066" t="s">
        <v>1415</v>
      </c>
      <c r="C1066" t="s">
        <v>1426</v>
      </c>
      <c r="D1066" t="s">
        <v>426</v>
      </c>
      <c r="E1066" t="s">
        <v>22</v>
      </c>
      <c r="F1066" t="s">
        <v>427</v>
      </c>
      <c r="G1066" t="s">
        <v>22</v>
      </c>
      <c r="H1066">
        <v>4</v>
      </c>
    </row>
    <row r="1067" spans="1:8" x14ac:dyDescent="0.35">
      <c r="A1067">
        <v>5000128767927</v>
      </c>
      <c r="B1067" t="s">
        <v>1427</v>
      </c>
      <c r="C1067" t="s">
        <v>1426</v>
      </c>
      <c r="D1067" t="s">
        <v>426</v>
      </c>
      <c r="E1067" t="s">
        <v>22</v>
      </c>
      <c r="F1067" t="s">
        <v>427</v>
      </c>
      <c r="G1067" t="s">
        <v>22</v>
      </c>
      <c r="H1067">
        <v>1</v>
      </c>
    </row>
    <row r="1068" spans="1:8" x14ac:dyDescent="0.35">
      <c r="A1068">
        <v>5000128767941</v>
      </c>
      <c r="B1068" t="s">
        <v>1428</v>
      </c>
      <c r="C1068" t="s">
        <v>1426</v>
      </c>
      <c r="D1068" t="s">
        <v>426</v>
      </c>
      <c r="E1068" t="s">
        <v>22</v>
      </c>
      <c r="F1068" t="s">
        <v>427</v>
      </c>
      <c r="G1068" t="s">
        <v>22</v>
      </c>
      <c r="H1068">
        <v>2</v>
      </c>
    </row>
    <row r="1069" spans="1:8" x14ac:dyDescent="0.35">
      <c r="A1069">
        <v>5000147030125</v>
      </c>
      <c r="B1069" t="s">
        <v>1429</v>
      </c>
      <c r="C1069" t="s">
        <v>81</v>
      </c>
      <c r="D1069" t="s">
        <v>1430</v>
      </c>
      <c r="E1069" t="s">
        <v>22</v>
      </c>
      <c r="F1069" t="s">
        <v>121</v>
      </c>
      <c r="G1069" t="s">
        <v>22</v>
      </c>
      <c r="H1069">
        <v>4</v>
      </c>
    </row>
    <row r="1070" spans="1:8" x14ac:dyDescent="0.35">
      <c r="A1070">
        <v>5000147030149</v>
      </c>
      <c r="B1070" t="s">
        <v>1431</v>
      </c>
      <c r="C1070" t="s">
        <v>110</v>
      </c>
      <c r="D1070" t="s">
        <v>1430</v>
      </c>
      <c r="E1070" t="s">
        <v>22</v>
      </c>
      <c r="F1070" t="s">
        <v>121</v>
      </c>
      <c r="G1070" t="s">
        <v>22</v>
      </c>
      <c r="H1070">
        <v>1</v>
      </c>
    </row>
    <row r="1071" spans="1:8" x14ac:dyDescent="0.35">
      <c r="A1071">
        <v>5000159376655</v>
      </c>
      <c r="B1071" t="s">
        <v>1432</v>
      </c>
      <c r="C1071" t="s">
        <v>1433</v>
      </c>
      <c r="D1071" t="s">
        <v>1257</v>
      </c>
      <c r="E1071" t="s">
        <v>15</v>
      </c>
      <c r="F1071" t="s">
        <v>1227</v>
      </c>
      <c r="G1071" t="s">
        <v>34</v>
      </c>
      <c r="H1071">
        <v>1</v>
      </c>
    </row>
    <row r="1072" spans="1:8" x14ac:dyDescent="0.35">
      <c r="A1072">
        <v>5000159393928</v>
      </c>
      <c r="B1072" t="s">
        <v>1434</v>
      </c>
      <c r="C1072" t="s">
        <v>1435</v>
      </c>
      <c r="D1072" t="s">
        <v>1436</v>
      </c>
      <c r="E1072" t="s">
        <v>15</v>
      </c>
      <c r="F1072" t="s">
        <v>1227</v>
      </c>
      <c r="G1072" t="s">
        <v>22</v>
      </c>
      <c r="H1072">
        <v>1</v>
      </c>
    </row>
    <row r="1073" spans="1:8" x14ac:dyDescent="0.35">
      <c r="A1073">
        <v>5000159462143</v>
      </c>
      <c r="B1073" t="s">
        <v>1437</v>
      </c>
      <c r="C1073" t="s">
        <v>1175</v>
      </c>
      <c r="D1073" t="s">
        <v>1438</v>
      </c>
      <c r="E1073" t="s">
        <v>15</v>
      </c>
      <c r="F1073" t="s">
        <v>1227</v>
      </c>
      <c r="G1073" t="s">
        <v>22</v>
      </c>
      <c r="H1073">
        <v>1</v>
      </c>
    </row>
    <row r="1074" spans="1:8" x14ac:dyDescent="0.35">
      <c r="A1074">
        <v>5000159538749</v>
      </c>
      <c r="B1074" t="s">
        <v>1439</v>
      </c>
      <c r="C1074" t="s">
        <v>94</v>
      </c>
      <c r="D1074" t="s">
        <v>1440</v>
      </c>
      <c r="E1074" t="s">
        <v>15</v>
      </c>
      <c r="F1074" t="s">
        <v>1227</v>
      </c>
      <c r="G1074" t="s">
        <v>22</v>
      </c>
      <c r="H1074">
        <v>1</v>
      </c>
    </row>
    <row r="1075" spans="1:8" x14ac:dyDescent="0.35">
      <c r="A1075">
        <v>5000160226284</v>
      </c>
      <c r="B1075" t="s">
        <v>1441</v>
      </c>
      <c r="C1075" t="s">
        <v>81</v>
      </c>
      <c r="D1075" t="s">
        <v>337</v>
      </c>
      <c r="E1075" t="s">
        <v>22</v>
      </c>
      <c r="F1075" t="s">
        <v>338</v>
      </c>
      <c r="G1075" t="s">
        <v>22</v>
      </c>
      <c r="H1075">
        <v>1</v>
      </c>
    </row>
    <row r="1076" spans="1:8" x14ac:dyDescent="0.35">
      <c r="A1076">
        <v>5000167022667</v>
      </c>
      <c r="B1076" t="s">
        <v>1442</v>
      </c>
      <c r="C1076" t="s">
        <v>9</v>
      </c>
      <c r="D1076" t="s">
        <v>1443</v>
      </c>
      <c r="E1076" t="s">
        <v>308</v>
      </c>
      <c r="F1076" t="s">
        <v>309</v>
      </c>
      <c r="G1076" t="s">
        <v>22</v>
      </c>
      <c r="H1076">
        <v>1</v>
      </c>
    </row>
    <row r="1077" spans="1:8" x14ac:dyDescent="0.35">
      <c r="A1077">
        <v>5000168036755</v>
      </c>
      <c r="B1077" t="s">
        <v>1444</v>
      </c>
      <c r="C1077" t="s">
        <v>559</v>
      </c>
      <c r="D1077" t="s">
        <v>1445</v>
      </c>
      <c r="E1077" t="s">
        <v>22</v>
      </c>
      <c r="F1077" t="s">
        <v>1446</v>
      </c>
      <c r="G1077" t="s">
        <v>22</v>
      </c>
      <c r="H1077">
        <v>1</v>
      </c>
    </row>
    <row r="1078" spans="1:8" x14ac:dyDescent="0.35">
      <c r="A1078">
        <v>5000169009352</v>
      </c>
      <c r="B1078" t="s">
        <v>119</v>
      </c>
      <c r="C1078" t="s">
        <v>78</v>
      </c>
      <c r="D1078" t="s">
        <v>337</v>
      </c>
      <c r="E1078" t="s">
        <v>22</v>
      </c>
      <c r="F1078" t="s">
        <v>338</v>
      </c>
      <c r="G1078" t="s">
        <v>22</v>
      </c>
      <c r="H1078">
        <v>1</v>
      </c>
    </row>
    <row r="1079" spans="1:8" x14ac:dyDescent="0.35">
      <c r="A1079">
        <v>5000169009383</v>
      </c>
      <c r="B1079" t="s">
        <v>119</v>
      </c>
      <c r="C1079" t="s">
        <v>9</v>
      </c>
      <c r="D1079" t="s">
        <v>337</v>
      </c>
      <c r="E1079" t="s">
        <v>22</v>
      </c>
      <c r="F1079" t="s">
        <v>338</v>
      </c>
      <c r="G1079" t="s">
        <v>22</v>
      </c>
      <c r="H1079">
        <v>1</v>
      </c>
    </row>
    <row r="1080" spans="1:8" x14ac:dyDescent="0.35">
      <c r="A1080">
        <v>5000169009383</v>
      </c>
      <c r="B1080" t="s">
        <v>119</v>
      </c>
      <c r="C1080" t="s">
        <v>9</v>
      </c>
      <c r="D1080" t="s">
        <v>337</v>
      </c>
      <c r="E1080" t="s">
        <v>22</v>
      </c>
      <c r="F1080" t="s">
        <v>338</v>
      </c>
      <c r="G1080" t="s">
        <v>150</v>
      </c>
      <c r="H1080">
        <v>1</v>
      </c>
    </row>
    <row r="1081" spans="1:8" x14ac:dyDescent="0.35">
      <c r="A1081">
        <v>5000169356067</v>
      </c>
      <c r="B1081" t="s">
        <v>1447</v>
      </c>
      <c r="C1081" t="s">
        <v>110</v>
      </c>
      <c r="D1081" t="s">
        <v>337</v>
      </c>
      <c r="E1081" t="s">
        <v>22</v>
      </c>
      <c r="F1081" t="s">
        <v>338</v>
      </c>
      <c r="G1081" t="s">
        <v>22</v>
      </c>
      <c r="H1081">
        <v>1</v>
      </c>
    </row>
    <row r="1082" spans="1:8" x14ac:dyDescent="0.35">
      <c r="A1082">
        <v>5000177458685</v>
      </c>
      <c r="B1082" t="s">
        <v>1448</v>
      </c>
      <c r="C1082" t="s">
        <v>9</v>
      </c>
      <c r="D1082" t="s">
        <v>1449</v>
      </c>
      <c r="E1082" t="s">
        <v>1201</v>
      </c>
      <c r="F1082" t="s">
        <v>1450</v>
      </c>
      <c r="G1082" t="s">
        <v>22</v>
      </c>
      <c r="H1082">
        <v>1</v>
      </c>
    </row>
    <row r="1083" spans="1:8" x14ac:dyDescent="0.35">
      <c r="A1083">
        <v>5000177466116</v>
      </c>
      <c r="B1083" t="s">
        <v>1451</v>
      </c>
      <c r="C1083" t="s">
        <v>9</v>
      </c>
      <c r="D1083" t="s">
        <v>1452</v>
      </c>
      <c r="E1083" t="s">
        <v>22</v>
      </c>
      <c r="F1083" t="s">
        <v>1453</v>
      </c>
      <c r="G1083" t="s">
        <v>22</v>
      </c>
      <c r="H1083">
        <v>3</v>
      </c>
    </row>
    <row r="1084" spans="1:8" x14ac:dyDescent="0.35">
      <c r="A1084">
        <v>5000177466550</v>
      </c>
      <c r="B1084" t="s">
        <v>1454</v>
      </c>
      <c r="C1084" t="s">
        <v>9</v>
      </c>
      <c r="D1084" t="s">
        <v>1452</v>
      </c>
      <c r="E1084" t="s">
        <v>22</v>
      </c>
      <c r="F1084" t="s">
        <v>1453</v>
      </c>
      <c r="G1084" t="s">
        <v>22</v>
      </c>
      <c r="H1084">
        <v>2</v>
      </c>
    </row>
    <row r="1085" spans="1:8" x14ac:dyDescent="0.35">
      <c r="A1085">
        <v>5000186481001</v>
      </c>
      <c r="B1085" t="s">
        <v>1455</v>
      </c>
      <c r="C1085" t="s">
        <v>610</v>
      </c>
      <c r="D1085" t="s">
        <v>1456</v>
      </c>
      <c r="E1085" t="s">
        <v>22</v>
      </c>
      <c r="F1085" t="s">
        <v>361</v>
      </c>
      <c r="G1085" t="s">
        <v>22</v>
      </c>
      <c r="H1085">
        <v>1</v>
      </c>
    </row>
    <row r="1086" spans="1:8" x14ac:dyDescent="0.35">
      <c r="A1086">
        <v>5000193034559</v>
      </c>
      <c r="B1086" t="s">
        <v>1011</v>
      </c>
      <c r="C1086" t="s">
        <v>9</v>
      </c>
      <c r="D1086" t="s">
        <v>140</v>
      </c>
      <c r="E1086" t="s">
        <v>15</v>
      </c>
      <c r="F1086" t="s">
        <v>25</v>
      </c>
      <c r="G1086" t="s">
        <v>16</v>
      </c>
      <c r="H1086">
        <v>1</v>
      </c>
    </row>
    <row r="1087" spans="1:8" x14ac:dyDescent="0.35">
      <c r="A1087">
        <v>5000193034559</v>
      </c>
      <c r="B1087" t="s">
        <v>1011</v>
      </c>
      <c r="C1087" t="s">
        <v>9</v>
      </c>
      <c r="D1087" t="s">
        <v>140</v>
      </c>
      <c r="E1087" t="s">
        <v>15</v>
      </c>
      <c r="F1087" t="s">
        <v>25</v>
      </c>
      <c r="G1087" t="s">
        <v>22</v>
      </c>
      <c r="H1087">
        <v>11</v>
      </c>
    </row>
    <row r="1088" spans="1:8" x14ac:dyDescent="0.35">
      <c r="A1088">
        <v>5000193730574</v>
      </c>
      <c r="B1088" t="s">
        <v>1457</v>
      </c>
      <c r="C1088" t="s">
        <v>78</v>
      </c>
      <c r="D1088" t="s">
        <v>52</v>
      </c>
      <c r="E1088" t="s">
        <v>15</v>
      </c>
      <c r="F1088" t="s">
        <v>14</v>
      </c>
      <c r="G1088" t="s">
        <v>22</v>
      </c>
      <c r="H1088">
        <v>1</v>
      </c>
    </row>
    <row r="1089" spans="1:8" x14ac:dyDescent="0.35">
      <c r="A1089">
        <v>5000201001115</v>
      </c>
      <c r="B1089" t="s">
        <v>1458</v>
      </c>
      <c r="C1089" t="s">
        <v>659</v>
      </c>
      <c r="D1089" t="s">
        <v>613</v>
      </c>
      <c r="E1089" t="s">
        <v>15</v>
      </c>
      <c r="F1089" t="s">
        <v>460</v>
      </c>
      <c r="G1089" t="s">
        <v>41</v>
      </c>
      <c r="H1089">
        <v>10</v>
      </c>
    </row>
    <row r="1090" spans="1:8" x14ac:dyDescent="0.35">
      <c r="A1090">
        <v>5000213019160</v>
      </c>
      <c r="B1090" t="s">
        <v>1459</v>
      </c>
      <c r="C1090" t="s">
        <v>603</v>
      </c>
      <c r="D1090" t="s">
        <v>1460</v>
      </c>
      <c r="E1090" t="s">
        <v>22</v>
      </c>
      <c r="F1090" t="s">
        <v>328</v>
      </c>
      <c r="G1090" t="s">
        <v>41</v>
      </c>
      <c r="H1090">
        <v>1679</v>
      </c>
    </row>
    <row r="1091" spans="1:8" x14ac:dyDescent="0.35">
      <c r="A1091">
        <v>5000213019191</v>
      </c>
      <c r="B1091" t="s">
        <v>1461</v>
      </c>
      <c r="C1091" t="s">
        <v>603</v>
      </c>
      <c r="D1091" t="s">
        <v>1462</v>
      </c>
      <c r="E1091" t="s">
        <v>22</v>
      </c>
      <c r="F1091" t="s">
        <v>328</v>
      </c>
      <c r="G1091" t="s">
        <v>41</v>
      </c>
      <c r="H1091">
        <v>16</v>
      </c>
    </row>
    <row r="1092" spans="1:8" x14ac:dyDescent="0.35">
      <c r="A1092">
        <v>5000232828736</v>
      </c>
      <c r="B1092" t="s">
        <v>1463</v>
      </c>
      <c r="C1092" t="s">
        <v>81</v>
      </c>
      <c r="D1092" t="s">
        <v>1464</v>
      </c>
      <c r="E1092" t="s">
        <v>1201</v>
      </c>
      <c r="F1092" t="s">
        <v>1465</v>
      </c>
      <c r="G1092" t="s">
        <v>22</v>
      </c>
      <c r="H1092">
        <v>1</v>
      </c>
    </row>
    <row r="1093" spans="1:8" x14ac:dyDescent="0.35">
      <c r="A1093">
        <v>5000232828743</v>
      </c>
      <c r="B1093" t="s">
        <v>1463</v>
      </c>
      <c r="C1093" t="s">
        <v>78</v>
      </c>
      <c r="D1093" t="s">
        <v>1464</v>
      </c>
      <c r="E1093" t="s">
        <v>1201</v>
      </c>
      <c r="F1093" t="s">
        <v>1465</v>
      </c>
      <c r="G1093" t="s">
        <v>22</v>
      </c>
      <c r="H1093">
        <v>1</v>
      </c>
    </row>
    <row r="1094" spans="1:8" x14ac:dyDescent="0.35">
      <c r="A1094">
        <v>5000233139237</v>
      </c>
      <c r="B1094" t="s">
        <v>1466</v>
      </c>
      <c r="C1094" t="s">
        <v>1141</v>
      </c>
      <c r="D1094" t="s">
        <v>1467</v>
      </c>
      <c r="E1094" t="s">
        <v>22</v>
      </c>
      <c r="F1094" t="s">
        <v>1143</v>
      </c>
      <c r="G1094" t="s">
        <v>22</v>
      </c>
      <c r="H1094">
        <v>1</v>
      </c>
    </row>
    <row r="1095" spans="1:8" x14ac:dyDescent="0.35">
      <c r="A1095">
        <v>5000237138601</v>
      </c>
      <c r="B1095" t="s">
        <v>1468</v>
      </c>
      <c r="C1095" t="s">
        <v>1258</v>
      </c>
      <c r="D1095" t="s">
        <v>1469</v>
      </c>
      <c r="E1095" t="s">
        <v>20</v>
      </c>
      <c r="F1095" t="s">
        <v>1470</v>
      </c>
      <c r="G1095" t="s">
        <v>22</v>
      </c>
      <c r="H1095">
        <v>1</v>
      </c>
    </row>
    <row r="1096" spans="1:8" x14ac:dyDescent="0.35">
      <c r="A1096">
        <v>5000237138700</v>
      </c>
      <c r="B1096" t="s">
        <v>1466</v>
      </c>
      <c r="C1096" t="s">
        <v>1258</v>
      </c>
      <c r="D1096" t="s">
        <v>1469</v>
      </c>
      <c r="E1096" t="s">
        <v>20</v>
      </c>
      <c r="F1096" t="s">
        <v>1470</v>
      </c>
      <c r="G1096" t="s">
        <v>22</v>
      </c>
      <c r="H1096">
        <v>1</v>
      </c>
    </row>
    <row r="1097" spans="1:8" x14ac:dyDescent="0.35">
      <c r="A1097">
        <v>5000237202531</v>
      </c>
      <c r="B1097" t="s">
        <v>1471</v>
      </c>
      <c r="C1097" t="s">
        <v>617</v>
      </c>
      <c r="D1097" t="s">
        <v>1472</v>
      </c>
      <c r="E1097" t="s">
        <v>20</v>
      </c>
      <c r="F1097" t="s">
        <v>1470</v>
      </c>
      <c r="G1097" t="s">
        <v>22</v>
      </c>
      <c r="H1097">
        <v>2</v>
      </c>
    </row>
    <row r="1098" spans="1:8" x14ac:dyDescent="0.35">
      <c r="A1098">
        <v>5000246728589</v>
      </c>
      <c r="B1098" t="s">
        <v>1473</v>
      </c>
      <c r="C1098" t="s">
        <v>81</v>
      </c>
      <c r="D1098" t="s">
        <v>1474</v>
      </c>
      <c r="E1098" t="s">
        <v>308</v>
      </c>
      <c r="F1098" t="s">
        <v>309</v>
      </c>
      <c r="G1098" t="s">
        <v>22</v>
      </c>
      <c r="H1098">
        <v>1</v>
      </c>
    </row>
    <row r="1099" spans="1:8" x14ac:dyDescent="0.35">
      <c r="A1099">
        <v>5000295141599</v>
      </c>
      <c r="B1099" t="s">
        <v>1475</v>
      </c>
      <c r="C1099" t="s">
        <v>1476</v>
      </c>
      <c r="D1099" t="s">
        <v>1477</v>
      </c>
      <c r="E1099" t="s">
        <v>16</v>
      </c>
      <c r="F1099" t="s">
        <v>225</v>
      </c>
      <c r="G1099" t="s">
        <v>22</v>
      </c>
      <c r="H1099">
        <v>1</v>
      </c>
    </row>
    <row r="1100" spans="1:8" x14ac:dyDescent="0.35">
      <c r="A1100">
        <v>5000295148154</v>
      </c>
      <c r="B1100" t="s">
        <v>1475</v>
      </c>
      <c r="C1100" t="s">
        <v>1478</v>
      </c>
      <c r="D1100" t="s">
        <v>1477</v>
      </c>
      <c r="E1100" t="s">
        <v>16</v>
      </c>
      <c r="F1100" t="s">
        <v>225</v>
      </c>
      <c r="G1100" t="s">
        <v>22</v>
      </c>
      <c r="H1100">
        <v>1</v>
      </c>
    </row>
    <row r="1101" spans="1:8" x14ac:dyDescent="0.35">
      <c r="A1101">
        <v>5000314120543</v>
      </c>
      <c r="B1101" t="s">
        <v>1479</v>
      </c>
      <c r="C1101" t="s">
        <v>419</v>
      </c>
      <c r="D1101" t="s">
        <v>1480</v>
      </c>
      <c r="E1101" t="s">
        <v>122</v>
      </c>
      <c r="F1101" t="s">
        <v>1481</v>
      </c>
      <c r="G1101" t="s">
        <v>22</v>
      </c>
      <c r="H1101">
        <v>1</v>
      </c>
    </row>
    <row r="1102" spans="1:8" x14ac:dyDescent="0.35">
      <c r="A1102">
        <v>5000328013602</v>
      </c>
      <c r="B1102" t="s">
        <v>1482</v>
      </c>
      <c r="C1102" t="s">
        <v>1175</v>
      </c>
      <c r="D1102" t="s">
        <v>1059</v>
      </c>
      <c r="E1102" t="s">
        <v>15</v>
      </c>
      <c r="F1102" t="s">
        <v>56</v>
      </c>
      <c r="G1102" t="s">
        <v>22</v>
      </c>
      <c r="H1102">
        <v>1</v>
      </c>
    </row>
    <row r="1103" spans="1:8" x14ac:dyDescent="0.35">
      <c r="A1103">
        <v>5000328015897</v>
      </c>
      <c r="B1103" t="s">
        <v>1483</v>
      </c>
      <c r="C1103" t="s">
        <v>1484</v>
      </c>
      <c r="D1103" t="s">
        <v>1059</v>
      </c>
      <c r="E1103" t="s">
        <v>15</v>
      </c>
      <c r="F1103" t="s">
        <v>56</v>
      </c>
      <c r="G1103" t="s">
        <v>22</v>
      </c>
      <c r="H1103">
        <v>1</v>
      </c>
    </row>
    <row r="1104" spans="1:8" x14ac:dyDescent="0.35">
      <c r="A1104">
        <v>5000328016832</v>
      </c>
      <c r="B1104" t="s">
        <v>1485</v>
      </c>
      <c r="C1104" t="s">
        <v>1141</v>
      </c>
      <c r="D1104" t="s">
        <v>1059</v>
      </c>
      <c r="E1104" t="s">
        <v>15</v>
      </c>
      <c r="F1104" t="s">
        <v>56</v>
      </c>
      <c r="G1104" t="s">
        <v>22</v>
      </c>
      <c r="H1104">
        <v>1</v>
      </c>
    </row>
    <row r="1105" spans="1:8" x14ac:dyDescent="0.35">
      <c r="A1105">
        <v>5000328019253</v>
      </c>
      <c r="B1105" t="s">
        <v>1486</v>
      </c>
      <c r="C1105" t="s">
        <v>967</v>
      </c>
      <c r="D1105" t="s">
        <v>92</v>
      </c>
      <c r="E1105" t="s">
        <v>15</v>
      </c>
      <c r="F1105" t="s">
        <v>56</v>
      </c>
      <c r="G1105" t="s">
        <v>22</v>
      </c>
      <c r="H1105">
        <v>1</v>
      </c>
    </row>
    <row r="1106" spans="1:8" x14ac:dyDescent="0.35">
      <c r="A1106">
        <v>5000328270715</v>
      </c>
      <c r="B1106" t="s">
        <v>1487</v>
      </c>
      <c r="C1106" t="s">
        <v>1258</v>
      </c>
      <c r="D1106" t="s">
        <v>1059</v>
      </c>
      <c r="E1106" t="s">
        <v>15</v>
      </c>
      <c r="F1106" t="s">
        <v>56</v>
      </c>
      <c r="G1106" t="s">
        <v>22</v>
      </c>
      <c r="H1106">
        <v>1</v>
      </c>
    </row>
    <row r="1107" spans="1:8" x14ac:dyDescent="0.35">
      <c r="A1107">
        <v>5000328271507</v>
      </c>
      <c r="B1107" t="s">
        <v>1488</v>
      </c>
      <c r="C1107" t="s">
        <v>1058</v>
      </c>
      <c r="D1107" t="s">
        <v>566</v>
      </c>
      <c r="E1107" t="s">
        <v>15</v>
      </c>
      <c r="F1107" t="s">
        <v>56</v>
      </c>
      <c r="G1107" t="s">
        <v>22</v>
      </c>
      <c r="H1107">
        <v>1</v>
      </c>
    </row>
    <row r="1108" spans="1:8" x14ac:dyDescent="0.35">
      <c r="A1108">
        <v>5000328271767</v>
      </c>
      <c r="B1108" t="s">
        <v>566</v>
      </c>
      <c r="C1108" t="s">
        <v>1058</v>
      </c>
      <c r="D1108" t="s">
        <v>566</v>
      </c>
      <c r="E1108" t="s">
        <v>15</v>
      </c>
      <c r="F1108" t="s">
        <v>56</v>
      </c>
      <c r="G1108" t="s">
        <v>22</v>
      </c>
      <c r="H1108">
        <v>1</v>
      </c>
    </row>
    <row r="1109" spans="1:8" x14ac:dyDescent="0.35">
      <c r="A1109">
        <v>5000328376240</v>
      </c>
      <c r="B1109" t="s">
        <v>1489</v>
      </c>
      <c r="C1109" t="s">
        <v>1175</v>
      </c>
      <c r="D1109" t="s">
        <v>1059</v>
      </c>
      <c r="E1109" t="s">
        <v>15</v>
      </c>
      <c r="F1109" t="s">
        <v>56</v>
      </c>
      <c r="G1109" t="s">
        <v>22</v>
      </c>
      <c r="H1109">
        <v>1</v>
      </c>
    </row>
    <row r="1110" spans="1:8" x14ac:dyDescent="0.35">
      <c r="A1110">
        <v>5000328529660</v>
      </c>
      <c r="B1110" t="s">
        <v>1490</v>
      </c>
      <c r="C1110" t="s">
        <v>1491</v>
      </c>
      <c r="D1110" t="s">
        <v>1492</v>
      </c>
      <c r="E1110" t="s">
        <v>15</v>
      </c>
      <c r="F1110" t="s">
        <v>56</v>
      </c>
      <c r="G1110" t="s">
        <v>22</v>
      </c>
      <c r="H1110">
        <v>1</v>
      </c>
    </row>
    <row r="1111" spans="1:8" x14ac:dyDescent="0.35">
      <c r="A1111">
        <v>5000328530215</v>
      </c>
      <c r="B1111" t="s">
        <v>1493</v>
      </c>
      <c r="C1111" t="s">
        <v>454</v>
      </c>
      <c r="D1111" t="s">
        <v>1059</v>
      </c>
      <c r="E1111" t="s">
        <v>15</v>
      </c>
      <c r="F1111" t="s">
        <v>56</v>
      </c>
      <c r="G1111" t="s">
        <v>22</v>
      </c>
      <c r="H1111">
        <v>1</v>
      </c>
    </row>
    <row r="1112" spans="1:8" x14ac:dyDescent="0.35">
      <c r="A1112">
        <v>5000328531007</v>
      </c>
      <c r="B1112" t="s">
        <v>1494</v>
      </c>
      <c r="C1112" t="s">
        <v>454</v>
      </c>
      <c r="D1112" t="s">
        <v>1495</v>
      </c>
      <c r="E1112" t="s">
        <v>15</v>
      </c>
      <c r="F1112" t="s">
        <v>56</v>
      </c>
      <c r="G1112" t="s">
        <v>22</v>
      </c>
      <c r="H1112">
        <v>1</v>
      </c>
    </row>
    <row r="1113" spans="1:8" x14ac:dyDescent="0.35">
      <c r="A1113">
        <v>5000328681443</v>
      </c>
      <c r="B1113" t="s">
        <v>1496</v>
      </c>
      <c r="C1113" t="s">
        <v>1175</v>
      </c>
      <c r="D1113" t="s">
        <v>566</v>
      </c>
      <c r="E1113" t="s">
        <v>15</v>
      </c>
      <c r="F1113" t="s">
        <v>56</v>
      </c>
      <c r="G1113" t="s">
        <v>22</v>
      </c>
      <c r="H1113">
        <v>1</v>
      </c>
    </row>
    <row r="1114" spans="1:8" x14ac:dyDescent="0.35">
      <c r="A1114">
        <v>5000328741581</v>
      </c>
      <c r="B1114" t="s">
        <v>1497</v>
      </c>
      <c r="C1114" t="s">
        <v>443</v>
      </c>
      <c r="D1114" t="s">
        <v>566</v>
      </c>
      <c r="E1114" t="s">
        <v>15</v>
      </c>
      <c r="F1114" t="s">
        <v>56</v>
      </c>
      <c r="G1114" t="s">
        <v>22</v>
      </c>
      <c r="H1114">
        <v>1</v>
      </c>
    </row>
    <row r="1115" spans="1:8" x14ac:dyDescent="0.35">
      <c r="A1115">
        <v>5000382018476</v>
      </c>
      <c r="B1115" t="s">
        <v>1498</v>
      </c>
      <c r="C1115" t="s">
        <v>603</v>
      </c>
      <c r="D1115" t="s">
        <v>1499</v>
      </c>
      <c r="E1115" t="s">
        <v>22</v>
      </c>
      <c r="F1115" t="s">
        <v>1500</v>
      </c>
      <c r="G1115" t="s">
        <v>22</v>
      </c>
      <c r="H1115">
        <v>4</v>
      </c>
    </row>
    <row r="1116" spans="1:8" x14ac:dyDescent="0.35">
      <c r="A1116">
        <v>5000382039846</v>
      </c>
      <c r="B1116" t="s">
        <v>1501</v>
      </c>
      <c r="C1116" t="s">
        <v>9</v>
      </c>
      <c r="D1116" t="s">
        <v>1502</v>
      </c>
      <c r="E1116" t="s">
        <v>22</v>
      </c>
      <c r="F1116" t="s">
        <v>1500</v>
      </c>
      <c r="G1116" t="s">
        <v>22</v>
      </c>
      <c r="H1116">
        <v>2</v>
      </c>
    </row>
    <row r="1117" spans="1:8" x14ac:dyDescent="0.35">
      <c r="A1117">
        <v>5000382039846</v>
      </c>
      <c r="B1117" t="s">
        <v>1501</v>
      </c>
      <c r="C1117" t="s">
        <v>9</v>
      </c>
      <c r="D1117" t="s">
        <v>1502</v>
      </c>
      <c r="E1117" t="s">
        <v>22</v>
      </c>
      <c r="F1117" t="s">
        <v>1500</v>
      </c>
      <c r="G1117" t="s">
        <v>34</v>
      </c>
      <c r="H1117">
        <v>1</v>
      </c>
    </row>
    <row r="1118" spans="1:8" x14ac:dyDescent="0.35">
      <c r="A1118">
        <v>5000382044925</v>
      </c>
      <c r="B1118" t="s">
        <v>1011</v>
      </c>
      <c r="C1118" t="s">
        <v>9</v>
      </c>
      <c r="D1118" t="s">
        <v>1503</v>
      </c>
      <c r="E1118" t="s">
        <v>22</v>
      </c>
      <c r="F1118" t="s">
        <v>1500</v>
      </c>
      <c r="G1118" t="s">
        <v>22</v>
      </c>
      <c r="H1118">
        <v>8</v>
      </c>
    </row>
    <row r="1119" spans="1:8" x14ac:dyDescent="0.35">
      <c r="A1119">
        <v>5000382044949</v>
      </c>
      <c r="B1119" t="s">
        <v>1504</v>
      </c>
      <c r="C1119" t="s">
        <v>9</v>
      </c>
      <c r="D1119" t="s">
        <v>1503</v>
      </c>
      <c r="E1119" t="s">
        <v>22</v>
      </c>
      <c r="F1119" t="s">
        <v>1500</v>
      </c>
      <c r="G1119" t="s">
        <v>22</v>
      </c>
      <c r="H1119">
        <v>1</v>
      </c>
    </row>
    <row r="1120" spans="1:8" x14ac:dyDescent="0.35">
      <c r="A1120">
        <v>5000382101185</v>
      </c>
      <c r="B1120" t="s">
        <v>201</v>
      </c>
      <c r="C1120" t="s">
        <v>78</v>
      </c>
      <c r="D1120" t="s">
        <v>1502</v>
      </c>
      <c r="E1120" t="s">
        <v>22</v>
      </c>
      <c r="F1120" t="s">
        <v>1500</v>
      </c>
      <c r="G1120" t="s">
        <v>22</v>
      </c>
      <c r="H1120">
        <v>1</v>
      </c>
    </row>
    <row r="1121" spans="1:8" x14ac:dyDescent="0.35">
      <c r="A1121">
        <v>5000382101307</v>
      </c>
      <c r="B1121" t="s">
        <v>1505</v>
      </c>
      <c r="C1121" t="s">
        <v>78</v>
      </c>
      <c r="D1121" t="s">
        <v>1502</v>
      </c>
      <c r="E1121" t="s">
        <v>22</v>
      </c>
      <c r="F1121" t="s">
        <v>1500</v>
      </c>
      <c r="G1121" t="s">
        <v>22</v>
      </c>
      <c r="H1121">
        <v>7</v>
      </c>
    </row>
    <row r="1122" spans="1:8" x14ac:dyDescent="0.35">
      <c r="A1122">
        <v>5000382101321</v>
      </c>
      <c r="B1122" t="s">
        <v>1506</v>
      </c>
      <c r="C1122" t="s">
        <v>78</v>
      </c>
      <c r="D1122" t="s">
        <v>1502</v>
      </c>
      <c r="E1122" t="s">
        <v>22</v>
      </c>
      <c r="F1122" t="s">
        <v>1500</v>
      </c>
      <c r="G1122" t="s">
        <v>22</v>
      </c>
      <c r="H1122">
        <v>2</v>
      </c>
    </row>
    <row r="1123" spans="1:8" x14ac:dyDescent="0.35">
      <c r="A1123">
        <v>5000382102458</v>
      </c>
      <c r="B1123" t="s">
        <v>1507</v>
      </c>
      <c r="C1123" t="s">
        <v>9</v>
      </c>
      <c r="D1123" t="s">
        <v>1502</v>
      </c>
      <c r="E1123" t="s">
        <v>22</v>
      </c>
      <c r="F1123" t="s">
        <v>1500</v>
      </c>
      <c r="G1123" t="s">
        <v>22</v>
      </c>
      <c r="H1123">
        <v>1</v>
      </c>
    </row>
    <row r="1124" spans="1:8" x14ac:dyDescent="0.35">
      <c r="A1124">
        <v>5000382103943</v>
      </c>
      <c r="B1124" t="s">
        <v>1508</v>
      </c>
      <c r="C1124" t="s">
        <v>81</v>
      </c>
      <c r="D1124" t="s">
        <v>1503</v>
      </c>
      <c r="E1124" t="s">
        <v>22</v>
      </c>
      <c r="F1124" t="s">
        <v>1500</v>
      </c>
      <c r="G1124" t="s">
        <v>22</v>
      </c>
      <c r="H1124">
        <v>1</v>
      </c>
    </row>
    <row r="1125" spans="1:8" x14ac:dyDescent="0.35">
      <c r="A1125">
        <v>5000382104407</v>
      </c>
      <c r="B1125" t="s">
        <v>1509</v>
      </c>
      <c r="C1125" t="s">
        <v>192</v>
      </c>
      <c r="D1125" t="s">
        <v>1510</v>
      </c>
      <c r="E1125" t="s">
        <v>22</v>
      </c>
      <c r="F1125" t="s">
        <v>1500</v>
      </c>
      <c r="G1125" t="s">
        <v>22</v>
      </c>
      <c r="H1125">
        <v>2</v>
      </c>
    </row>
    <row r="1126" spans="1:8" x14ac:dyDescent="0.35">
      <c r="A1126">
        <v>5000382107293</v>
      </c>
      <c r="B1126" t="s">
        <v>1505</v>
      </c>
      <c r="C1126" t="s">
        <v>9</v>
      </c>
      <c r="D1126" t="s">
        <v>1502</v>
      </c>
      <c r="E1126" t="s">
        <v>22</v>
      </c>
      <c r="F1126" t="s">
        <v>1500</v>
      </c>
      <c r="G1126" t="s">
        <v>22</v>
      </c>
      <c r="H1126">
        <v>1</v>
      </c>
    </row>
    <row r="1127" spans="1:8" x14ac:dyDescent="0.35">
      <c r="A1127">
        <v>5000382109914</v>
      </c>
      <c r="B1127" t="s">
        <v>1511</v>
      </c>
      <c r="C1127" t="s">
        <v>78</v>
      </c>
      <c r="D1127" t="s">
        <v>1503</v>
      </c>
      <c r="E1127" t="s">
        <v>22</v>
      </c>
      <c r="F1127" t="s">
        <v>1500</v>
      </c>
      <c r="G1127" t="s">
        <v>22</v>
      </c>
      <c r="H1127">
        <v>1</v>
      </c>
    </row>
    <row r="1128" spans="1:8" x14ac:dyDescent="0.35">
      <c r="A1128">
        <v>5000382110781</v>
      </c>
      <c r="B1128" t="s">
        <v>1512</v>
      </c>
      <c r="C1128" t="s">
        <v>9</v>
      </c>
      <c r="D1128" t="s">
        <v>1502</v>
      </c>
      <c r="E1128" t="s">
        <v>22</v>
      </c>
      <c r="F1128" t="s">
        <v>1500</v>
      </c>
      <c r="G1128" t="s">
        <v>22</v>
      </c>
      <c r="H1128">
        <v>1</v>
      </c>
    </row>
    <row r="1129" spans="1:8" x14ac:dyDescent="0.35">
      <c r="A1129">
        <v>5000382111832</v>
      </c>
      <c r="B1129" t="s">
        <v>1508</v>
      </c>
      <c r="C1129" t="s">
        <v>272</v>
      </c>
      <c r="D1129" t="s">
        <v>1503</v>
      </c>
      <c r="E1129" t="s">
        <v>22</v>
      </c>
      <c r="F1129" t="s">
        <v>1500</v>
      </c>
      <c r="G1129" t="s">
        <v>22</v>
      </c>
      <c r="H1129">
        <v>2</v>
      </c>
    </row>
    <row r="1130" spans="1:8" x14ac:dyDescent="0.35">
      <c r="A1130">
        <v>5000382112686</v>
      </c>
      <c r="B1130" t="s">
        <v>1508</v>
      </c>
      <c r="C1130" t="s">
        <v>9</v>
      </c>
      <c r="D1130" t="s">
        <v>1503</v>
      </c>
      <c r="E1130" t="s">
        <v>22</v>
      </c>
      <c r="F1130" t="s">
        <v>1500</v>
      </c>
      <c r="G1130" t="s">
        <v>22</v>
      </c>
      <c r="H1130">
        <v>2</v>
      </c>
    </row>
    <row r="1131" spans="1:8" x14ac:dyDescent="0.35">
      <c r="A1131">
        <v>5000382112686</v>
      </c>
      <c r="B1131" t="s">
        <v>1508</v>
      </c>
      <c r="C1131" t="s">
        <v>9</v>
      </c>
      <c r="D1131" t="s">
        <v>1503</v>
      </c>
      <c r="E1131" t="s">
        <v>22</v>
      </c>
      <c r="F1131" t="s">
        <v>1500</v>
      </c>
      <c r="G1131" t="s">
        <v>31</v>
      </c>
      <c r="H1131">
        <v>3</v>
      </c>
    </row>
    <row r="1132" spans="1:8" x14ac:dyDescent="0.35">
      <c r="A1132">
        <v>5000382113171</v>
      </c>
      <c r="B1132" t="s">
        <v>1513</v>
      </c>
      <c r="C1132" t="s">
        <v>78</v>
      </c>
      <c r="D1132" t="s">
        <v>1502</v>
      </c>
      <c r="E1132" t="s">
        <v>22</v>
      </c>
      <c r="F1132" t="s">
        <v>1500</v>
      </c>
      <c r="G1132" t="s">
        <v>22</v>
      </c>
      <c r="H1132">
        <v>1</v>
      </c>
    </row>
    <row r="1133" spans="1:8" x14ac:dyDescent="0.35">
      <c r="A1133">
        <v>5000382113171</v>
      </c>
      <c r="B1133" t="s">
        <v>1513</v>
      </c>
      <c r="C1133" t="s">
        <v>78</v>
      </c>
      <c r="D1133" t="s">
        <v>1502</v>
      </c>
      <c r="E1133" t="s">
        <v>22</v>
      </c>
      <c r="F1133" t="s">
        <v>1500</v>
      </c>
      <c r="G1133" t="s">
        <v>31</v>
      </c>
      <c r="H1133">
        <v>1</v>
      </c>
    </row>
    <row r="1134" spans="1:8" x14ac:dyDescent="0.35">
      <c r="A1134">
        <v>5000382113935</v>
      </c>
      <c r="B1134" t="s">
        <v>1514</v>
      </c>
      <c r="C1134" t="s">
        <v>9</v>
      </c>
      <c r="D1134" t="s">
        <v>1502</v>
      </c>
      <c r="E1134" t="s">
        <v>22</v>
      </c>
      <c r="F1134" t="s">
        <v>1500</v>
      </c>
      <c r="G1134" t="s">
        <v>22</v>
      </c>
      <c r="H1134">
        <v>1</v>
      </c>
    </row>
    <row r="1135" spans="1:8" x14ac:dyDescent="0.35">
      <c r="A1135">
        <v>5000382114369</v>
      </c>
      <c r="B1135" t="s">
        <v>1505</v>
      </c>
      <c r="C1135" t="s">
        <v>9</v>
      </c>
      <c r="D1135" t="s">
        <v>1502</v>
      </c>
      <c r="E1135" t="s">
        <v>22</v>
      </c>
      <c r="F1135" t="s">
        <v>1500</v>
      </c>
      <c r="G1135" t="s">
        <v>22</v>
      </c>
      <c r="H1135">
        <v>1</v>
      </c>
    </row>
    <row r="1136" spans="1:8" x14ac:dyDescent="0.35">
      <c r="A1136">
        <v>5000382115298</v>
      </c>
      <c r="B1136" t="s">
        <v>1510</v>
      </c>
      <c r="C1136" t="s">
        <v>603</v>
      </c>
      <c r="D1136" t="s">
        <v>1510</v>
      </c>
      <c r="E1136" t="s">
        <v>22</v>
      </c>
      <c r="F1136" t="s">
        <v>1500</v>
      </c>
      <c r="G1136" t="s">
        <v>22</v>
      </c>
      <c r="H1136">
        <v>1</v>
      </c>
    </row>
    <row r="1137" spans="1:8" x14ac:dyDescent="0.35">
      <c r="A1137">
        <v>5000391200008</v>
      </c>
      <c r="B1137" t="s">
        <v>1515</v>
      </c>
      <c r="C1137" t="s">
        <v>603</v>
      </c>
      <c r="D1137" t="s">
        <v>70</v>
      </c>
      <c r="E1137" t="s">
        <v>71</v>
      </c>
      <c r="F1137" t="s">
        <v>72</v>
      </c>
      <c r="G1137" t="s">
        <v>34</v>
      </c>
      <c r="H1137">
        <v>16</v>
      </c>
    </row>
    <row r="1138" spans="1:8" x14ac:dyDescent="0.35">
      <c r="A1138">
        <v>5000431028357</v>
      </c>
      <c r="B1138" t="s">
        <v>1516</v>
      </c>
      <c r="C1138" t="s">
        <v>419</v>
      </c>
      <c r="D1138" t="s">
        <v>1517</v>
      </c>
      <c r="E1138" t="s">
        <v>22</v>
      </c>
      <c r="F1138" t="s">
        <v>1518</v>
      </c>
      <c r="G1138" t="s">
        <v>22</v>
      </c>
      <c r="H1138">
        <v>1</v>
      </c>
    </row>
    <row r="1139" spans="1:8" x14ac:dyDescent="0.35">
      <c r="A1139">
        <v>5000436589341</v>
      </c>
      <c r="B1139" t="s">
        <v>1519</v>
      </c>
      <c r="C1139" t="s">
        <v>370</v>
      </c>
      <c r="D1139" t="s">
        <v>432</v>
      </c>
      <c r="E1139" t="s">
        <v>22</v>
      </c>
      <c r="F1139" t="s">
        <v>64</v>
      </c>
      <c r="G1139" t="s">
        <v>22</v>
      </c>
      <c r="H1139">
        <v>1</v>
      </c>
    </row>
    <row r="1140" spans="1:8" x14ac:dyDescent="0.35">
      <c r="A1140">
        <v>5000436589457</v>
      </c>
      <c r="B1140" t="s">
        <v>1520</v>
      </c>
      <c r="C1140" t="s">
        <v>370</v>
      </c>
      <c r="D1140" t="s">
        <v>432</v>
      </c>
      <c r="E1140" t="s">
        <v>22</v>
      </c>
      <c r="F1140" t="s">
        <v>64</v>
      </c>
      <c r="G1140" t="s">
        <v>22</v>
      </c>
      <c r="H1140">
        <v>1</v>
      </c>
    </row>
    <row r="1141" spans="1:8" x14ac:dyDescent="0.35">
      <c r="A1141">
        <v>5000462001015</v>
      </c>
      <c r="B1141" t="s">
        <v>1521</v>
      </c>
      <c r="C1141" t="s">
        <v>78</v>
      </c>
      <c r="D1141" t="s">
        <v>432</v>
      </c>
      <c r="E1141" t="s">
        <v>22</v>
      </c>
      <c r="F1141" t="s">
        <v>64</v>
      </c>
      <c r="G1141" t="s">
        <v>22</v>
      </c>
      <c r="H1141">
        <v>2</v>
      </c>
    </row>
    <row r="1142" spans="1:8" x14ac:dyDescent="0.35">
      <c r="A1142">
        <v>50096190</v>
      </c>
      <c r="B1142" t="s">
        <v>1522</v>
      </c>
      <c r="C1142" t="s">
        <v>66</v>
      </c>
      <c r="D1142" t="s">
        <v>1523</v>
      </c>
      <c r="E1142" t="s">
        <v>22</v>
      </c>
      <c r="F1142" t="s">
        <v>361</v>
      </c>
      <c r="G1142" t="s">
        <v>22</v>
      </c>
      <c r="H1142">
        <v>1</v>
      </c>
    </row>
    <row r="1143" spans="1:8" x14ac:dyDescent="0.35">
      <c r="A1143">
        <v>5010044008615</v>
      </c>
      <c r="B1143" t="s">
        <v>1524</v>
      </c>
      <c r="C1143" t="s">
        <v>445</v>
      </c>
      <c r="D1143" t="s">
        <v>1525</v>
      </c>
      <c r="E1143" t="s">
        <v>22</v>
      </c>
      <c r="F1143" t="s">
        <v>1526</v>
      </c>
      <c r="G1143" t="s">
        <v>22</v>
      </c>
      <c r="H1143">
        <v>2</v>
      </c>
    </row>
    <row r="1144" spans="1:8" x14ac:dyDescent="0.35">
      <c r="A1144">
        <v>5010102118829</v>
      </c>
      <c r="B1144" t="s">
        <v>1337</v>
      </c>
      <c r="C1144" t="s">
        <v>9</v>
      </c>
      <c r="D1144" t="s">
        <v>1527</v>
      </c>
      <c r="E1144" t="s">
        <v>22</v>
      </c>
      <c r="F1144" t="s">
        <v>121</v>
      </c>
      <c r="G1144" t="s">
        <v>22</v>
      </c>
      <c r="H1144">
        <v>2</v>
      </c>
    </row>
    <row r="1145" spans="1:8" x14ac:dyDescent="0.35">
      <c r="A1145">
        <v>5010102243415</v>
      </c>
      <c r="B1145" t="s">
        <v>1528</v>
      </c>
      <c r="C1145" t="s">
        <v>9</v>
      </c>
      <c r="D1145" t="s">
        <v>1529</v>
      </c>
      <c r="E1145" t="s">
        <v>22</v>
      </c>
      <c r="F1145" t="s">
        <v>121</v>
      </c>
      <c r="G1145" t="s">
        <v>22</v>
      </c>
      <c r="H1145">
        <v>1</v>
      </c>
    </row>
    <row r="1146" spans="1:8" x14ac:dyDescent="0.35">
      <c r="A1146">
        <v>5010102243705</v>
      </c>
      <c r="B1146" t="s">
        <v>1530</v>
      </c>
      <c r="C1146" t="s">
        <v>9</v>
      </c>
      <c r="D1146" t="s">
        <v>1430</v>
      </c>
      <c r="E1146" t="s">
        <v>22</v>
      </c>
      <c r="F1146" t="s">
        <v>121</v>
      </c>
      <c r="G1146" t="s">
        <v>22</v>
      </c>
      <c r="H1146">
        <v>3</v>
      </c>
    </row>
    <row r="1147" spans="1:8" x14ac:dyDescent="0.35">
      <c r="A1147">
        <v>5010102243910</v>
      </c>
      <c r="B1147" t="s">
        <v>1531</v>
      </c>
      <c r="C1147" t="s">
        <v>1532</v>
      </c>
      <c r="D1147" t="s">
        <v>1533</v>
      </c>
      <c r="E1147" t="s">
        <v>22</v>
      </c>
      <c r="F1147" t="s">
        <v>121</v>
      </c>
      <c r="G1147" t="s">
        <v>22</v>
      </c>
      <c r="H1147">
        <v>1</v>
      </c>
    </row>
    <row r="1148" spans="1:8" x14ac:dyDescent="0.35">
      <c r="A1148">
        <v>5010162000164</v>
      </c>
      <c r="B1148" t="s">
        <v>1534</v>
      </c>
      <c r="C1148" t="s">
        <v>603</v>
      </c>
      <c r="D1148" t="s">
        <v>1460</v>
      </c>
      <c r="E1148" t="s">
        <v>22</v>
      </c>
      <c r="F1148" t="s">
        <v>328</v>
      </c>
      <c r="G1148" t="s">
        <v>387</v>
      </c>
      <c r="H1148">
        <v>12</v>
      </c>
    </row>
    <row r="1149" spans="1:8" x14ac:dyDescent="0.35">
      <c r="A1149">
        <v>5010162000164</v>
      </c>
      <c r="B1149" t="s">
        <v>1534</v>
      </c>
      <c r="C1149" t="s">
        <v>603</v>
      </c>
      <c r="D1149" t="s">
        <v>1460</v>
      </c>
      <c r="E1149" t="s">
        <v>22</v>
      </c>
      <c r="F1149" t="s">
        <v>328</v>
      </c>
      <c r="G1149" t="s">
        <v>598</v>
      </c>
      <c r="H1149">
        <v>1</v>
      </c>
    </row>
    <row r="1150" spans="1:8" x14ac:dyDescent="0.35">
      <c r="A1150">
        <v>5010251431039</v>
      </c>
      <c r="B1150" t="s">
        <v>1535</v>
      </c>
      <c r="C1150" t="s">
        <v>43</v>
      </c>
      <c r="D1150" t="s">
        <v>1536</v>
      </c>
      <c r="E1150" t="s">
        <v>22</v>
      </c>
      <c r="F1150" t="s">
        <v>1536</v>
      </c>
      <c r="G1150" t="s">
        <v>22</v>
      </c>
      <c r="H1150">
        <v>1</v>
      </c>
    </row>
    <row r="1151" spans="1:8" x14ac:dyDescent="0.35">
      <c r="A1151">
        <v>5010251484776</v>
      </c>
      <c r="B1151" t="s">
        <v>1537</v>
      </c>
      <c r="C1151" t="s">
        <v>81</v>
      </c>
      <c r="D1151" t="s">
        <v>1536</v>
      </c>
      <c r="E1151" t="s">
        <v>22</v>
      </c>
      <c r="F1151" t="s">
        <v>1536</v>
      </c>
      <c r="G1151" t="s">
        <v>22</v>
      </c>
      <c r="H1151">
        <v>1</v>
      </c>
    </row>
    <row r="1152" spans="1:8" x14ac:dyDescent="0.35">
      <c r="A1152">
        <v>5010251830054</v>
      </c>
      <c r="B1152" t="s">
        <v>1538</v>
      </c>
      <c r="C1152" t="s">
        <v>419</v>
      </c>
      <c r="D1152" t="s">
        <v>1536</v>
      </c>
      <c r="E1152" t="s">
        <v>22</v>
      </c>
      <c r="F1152" t="s">
        <v>1536</v>
      </c>
      <c r="G1152" t="s">
        <v>22</v>
      </c>
      <c r="H1152">
        <v>1</v>
      </c>
    </row>
    <row r="1153" spans="1:8" x14ac:dyDescent="0.35">
      <c r="A1153">
        <v>5010327325132</v>
      </c>
      <c r="B1153" t="s">
        <v>1539</v>
      </c>
      <c r="C1153" t="s">
        <v>326</v>
      </c>
      <c r="D1153" t="s">
        <v>1540</v>
      </c>
      <c r="E1153" t="s">
        <v>22</v>
      </c>
      <c r="F1153" t="s">
        <v>1541</v>
      </c>
      <c r="G1153" t="s">
        <v>34</v>
      </c>
      <c r="H1153">
        <v>52</v>
      </c>
    </row>
    <row r="1154" spans="1:8" x14ac:dyDescent="0.35">
      <c r="A1154">
        <v>5010327325132</v>
      </c>
      <c r="B1154" t="s">
        <v>1539</v>
      </c>
      <c r="C1154" t="s">
        <v>326</v>
      </c>
      <c r="D1154" t="s">
        <v>1540</v>
      </c>
      <c r="E1154" t="s">
        <v>22</v>
      </c>
      <c r="F1154" t="s">
        <v>1541</v>
      </c>
      <c r="G1154" t="s">
        <v>150</v>
      </c>
      <c r="H1154">
        <v>41</v>
      </c>
    </row>
    <row r="1155" spans="1:8" x14ac:dyDescent="0.35">
      <c r="A1155">
        <v>5010358253961</v>
      </c>
      <c r="B1155" t="s">
        <v>1542</v>
      </c>
      <c r="C1155" t="s">
        <v>9</v>
      </c>
      <c r="D1155" t="s">
        <v>1136</v>
      </c>
      <c r="E1155" t="s">
        <v>73</v>
      </c>
      <c r="F1155" t="s">
        <v>1137</v>
      </c>
      <c r="G1155" t="s">
        <v>22</v>
      </c>
      <c r="H1155">
        <v>1</v>
      </c>
    </row>
    <row r="1156" spans="1:8" x14ac:dyDescent="0.35">
      <c r="A1156">
        <v>5010394998185</v>
      </c>
      <c r="B1156" t="s">
        <v>1543</v>
      </c>
      <c r="C1156" t="s">
        <v>1141</v>
      </c>
      <c r="D1156" t="s">
        <v>1544</v>
      </c>
      <c r="E1156" t="s">
        <v>15</v>
      </c>
      <c r="F1156" t="s">
        <v>1227</v>
      </c>
      <c r="G1156" t="s">
        <v>22</v>
      </c>
      <c r="H1156">
        <v>1</v>
      </c>
    </row>
    <row r="1157" spans="1:8" x14ac:dyDescent="0.35">
      <c r="A1157">
        <v>5010438001130</v>
      </c>
      <c r="B1157" t="s">
        <v>1011</v>
      </c>
      <c r="C1157" t="s">
        <v>9</v>
      </c>
      <c r="D1157" t="s">
        <v>607</v>
      </c>
      <c r="E1157" t="s">
        <v>22</v>
      </c>
      <c r="F1157" t="s">
        <v>608</v>
      </c>
      <c r="G1157" t="s">
        <v>22</v>
      </c>
      <c r="H1157">
        <v>2</v>
      </c>
    </row>
    <row r="1158" spans="1:8" x14ac:dyDescent="0.35">
      <c r="A1158">
        <v>5010438005008</v>
      </c>
      <c r="B1158" t="s">
        <v>607</v>
      </c>
      <c r="C1158" t="s">
        <v>9</v>
      </c>
      <c r="D1158" t="s">
        <v>607</v>
      </c>
      <c r="E1158" t="s">
        <v>22</v>
      </c>
      <c r="F1158" t="s">
        <v>608</v>
      </c>
      <c r="G1158" t="s">
        <v>22</v>
      </c>
      <c r="H1158">
        <v>1</v>
      </c>
    </row>
    <row r="1159" spans="1:8" x14ac:dyDescent="0.35">
      <c r="A1159">
        <v>5010438013683</v>
      </c>
      <c r="B1159" t="s">
        <v>1545</v>
      </c>
      <c r="C1159" t="s">
        <v>81</v>
      </c>
      <c r="D1159" t="s">
        <v>607</v>
      </c>
      <c r="E1159" t="s">
        <v>22</v>
      </c>
      <c r="F1159" t="s">
        <v>608</v>
      </c>
      <c r="G1159" t="s">
        <v>22</v>
      </c>
      <c r="H1159">
        <v>1</v>
      </c>
    </row>
    <row r="1160" spans="1:8" x14ac:dyDescent="0.35">
      <c r="A1160">
        <v>5010438015809</v>
      </c>
      <c r="B1160" t="s">
        <v>1546</v>
      </c>
      <c r="C1160" t="s">
        <v>110</v>
      </c>
      <c r="D1160" t="s">
        <v>607</v>
      </c>
      <c r="E1160" t="s">
        <v>22</v>
      </c>
      <c r="F1160" t="s">
        <v>608</v>
      </c>
      <c r="G1160" t="s">
        <v>387</v>
      </c>
      <c r="H1160">
        <v>26</v>
      </c>
    </row>
    <row r="1161" spans="1:8" x14ac:dyDescent="0.35">
      <c r="A1161">
        <v>5010438017490</v>
      </c>
      <c r="B1161" t="s">
        <v>1547</v>
      </c>
      <c r="C1161" t="s">
        <v>9</v>
      </c>
      <c r="D1161" t="s">
        <v>607</v>
      </c>
      <c r="E1161" t="s">
        <v>22</v>
      </c>
      <c r="F1161" t="s">
        <v>608</v>
      </c>
      <c r="G1161" t="s">
        <v>22</v>
      </c>
      <c r="H1161">
        <v>1</v>
      </c>
    </row>
    <row r="1162" spans="1:8" x14ac:dyDescent="0.35">
      <c r="A1162">
        <v>5010438020582</v>
      </c>
      <c r="B1162" t="s">
        <v>607</v>
      </c>
      <c r="C1162" t="s">
        <v>9</v>
      </c>
      <c r="D1162" t="s">
        <v>607</v>
      </c>
      <c r="E1162" t="s">
        <v>22</v>
      </c>
      <c r="F1162" t="s">
        <v>608</v>
      </c>
      <c r="G1162" t="s">
        <v>22</v>
      </c>
      <c r="H1162">
        <v>1</v>
      </c>
    </row>
    <row r="1163" spans="1:8" x14ac:dyDescent="0.35">
      <c r="A1163">
        <v>5010438020599</v>
      </c>
      <c r="B1163" t="s">
        <v>607</v>
      </c>
      <c r="C1163" t="s">
        <v>9</v>
      </c>
      <c r="D1163" t="s">
        <v>607</v>
      </c>
      <c r="E1163" t="s">
        <v>22</v>
      </c>
      <c r="F1163" t="s">
        <v>608</v>
      </c>
      <c r="G1163" t="s">
        <v>22</v>
      </c>
      <c r="H1163">
        <v>2</v>
      </c>
    </row>
    <row r="1164" spans="1:8" x14ac:dyDescent="0.35">
      <c r="A1164">
        <v>5010459000365</v>
      </c>
      <c r="B1164" t="s">
        <v>1548</v>
      </c>
      <c r="C1164" t="s">
        <v>1549</v>
      </c>
      <c r="D1164" t="s">
        <v>1550</v>
      </c>
      <c r="E1164" t="s">
        <v>22</v>
      </c>
      <c r="F1164" t="s">
        <v>1551</v>
      </c>
      <c r="G1164" t="s">
        <v>22</v>
      </c>
      <c r="H1164">
        <v>1</v>
      </c>
    </row>
    <row r="1165" spans="1:8" x14ac:dyDescent="0.35">
      <c r="A1165">
        <v>5010459000457</v>
      </c>
      <c r="B1165" t="s">
        <v>752</v>
      </c>
      <c r="C1165" t="s">
        <v>326</v>
      </c>
      <c r="D1165" t="s">
        <v>1550</v>
      </c>
      <c r="E1165" t="s">
        <v>22</v>
      </c>
      <c r="F1165" t="s">
        <v>1551</v>
      </c>
      <c r="G1165" t="s">
        <v>22</v>
      </c>
      <c r="H1165">
        <v>2</v>
      </c>
    </row>
    <row r="1166" spans="1:8" x14ac:dyDescent="0.35">
      <c r="A1166">
        <v>5010459000457</v>
      </c>
      <c r="B1166" t="s">
        <v>752</v>
      </c>
      <c r="C1166" t="s">
        <v>326</v>
      </c>
      <c r="D1166" t="s">
        <v>1550</v>
      </c>
      <c r="E1166" t="s">
        <v>22</v>
      </c>
      <c r="F1166" t="s">
        <v>1551</v>
      </c>
      <c r="G1166" t="s">
        <v>150</v>
      </c>
      <c r="H1166">
        <v>1</v>
      </c>
    </row>
    <row r="1167" spans="1:8" x14ac:dyDescent="0.35">
      <c r="A1167">
        <v>5010459003496</v>
      </c>
      <c r="B1167" t="s">
        <v>752</v>
      </c>
      <c r="C1167" t="s">
        <v>603</v>
      </c>
      <c r="D1167" t="s">
        <v>1550</v>
      </c>
      <c r="E1167" t="s">
        <v>22</v>
      </c>
      <c r="F1167" t="s">
        <v>1551</v>
      </c>
      <c r="G1167" t="s">
        <v>22</v>
      </c>
      <c r="H1167">
        <v>4</v>
      </c>
    </row>
    <row r="1168" spans="1:8" x14ac:dyDescent="0.35">
      <c r="A1168">
        <v>5010459005025</v>
      </c>
      <c r="B1168" t="s">
        <v>752</v>
      </c>
      <c r="C1168" t="s">
        <v>192</v>
      </c>
      <c r="D1168" t="s">
        <v>1550</v>
      </c>
      <c r="E1168" t="s">
        <v>22</v>
      </c>
      <c r="F1168" t="s">
        <v>1551</v>
      </c>
      <c r="G1168" t="s">
        <v>22</v>
      </c>
      <c r="H1168">
        <v>6</v>
      </c>
    </row>
    <row r="1169" spans="1:8" x14ac:dyDescent="0.35">
      <c r="A1169">
        <v>5010459005179</v>
      </c>
      <c r="B1169" t="s">
        <v>1050</v>
      </c>
      <c r="C1169" t="s">
        <v>9</v>
      </c>
      <c r="D1169" t="s">
        <v>1550</v>
      </c>
      <c r="E1169" t="s">
        <v>22</v>
      </c>
      <c r="F1169" t="s">
        <v>1551</v>
      </c>
      <c r="G1169" t="s">
        <v>22</v>
      </c>
      <c r="H1169">
        <v>3</v>
      </c>
    </row>
    <row r="1170" spans="1:8" x14ac:dyDescent="0.35">
      <c r="A1170">
        <v>5010459005216</v>
      </c>
      <c r="B1170" t="s">
        <v>752</v>
      </c>
      <c r="C1170" t="s">
        <v>9</v>
      </c>
      <c r="D1170" t="s">
        <v>1550</v>
      </c>
      <c r="E1170" t="s">
        <v>22</v>
      </c>
      <c r="F1170" t="s">
        <v>1551</v>
      </c>
      <c r="G1170" t="s">
        <v>22</v>
      </c>
      <c r="H1170">
        <v>19</v>
      </c>
    </row>
    <row r="1171" spans="1:8" x14ac:dyDescent="0.35">
      <c r="A1171">
        <v>5010459007289</v>
      </c>
      <c r="B1171" t="s">
        <v>1552</v>
      </c>
      <c r="C1171" t="s">
        <v>610</v>
      </c>
      <c r="D1171" t="s">
        <v>1550</v>
      </c>
      <c r="E1171" t="s">
        <v>22</v>
      </c>
      <c r="F1171" t="s">
        <v>1551</v>
      </c>
      <c r="G1171" t="s">
        <v>22</v>
      </c>
      <c r="H1171">
        <v>4</v>
      </c>
    </row>
    <row r="1172" spans="1:8" x14ac:dyDescent="0.35">
      <c r="A1172">
        <v>5010459015178</v>
      </c>
      <c r="B1172" t="s">
        <v>1050</v>
      </c>
      <c r="C1172" t="s">
        <v>192</v>
      </c>
      <c r="D1172" t="s">
        <v>1550</v>
      </c>
      <c r="E1172" t="s">
        <v>22</v>
      </c>
      <c r="F1172" t="s">
        <v>1551</v>
      </c>
      <c r="G1172" t="s">
        <v>22</v>
      </c>
      <c r="H1172">
        <v>3</v>
      </c>
    </row>
    <row r="1173" spans="1:8" x14ac:dyDescent="0.35">
      <c r="A1173">
        <v>5010508015203</v>
      </c>
      <c r="B1173" t="s">
        <v>250</v>
      </c>
      <c r="C1173" t="s">
        <v>603</v>
      </c>
      <c r="D1173" t="s">
        <v>14</v>
      </c>
      <c r="E1173" t="s">
        <v>15</v>
      </c>
      <c r="F1173" t="s">
        <v>14</v>
      </c>
      <c r="G1173" t="s">
        <v>61</v>
      </c>
      <c r="H1173">
        <v>1</v>
      </c>
    </row>
    <row r="1174" spans="1:8" x14ac:dyDescent="0.35">
      <c r="A1174">
        <v>50107452</v>
      </c>
      <c r="B1174" t="s">
        <v>1553</v>
      </c>
      <c r="C1174" t="s">
        <v>9</v>
      </c>
      <c r="D1174" t="s">
        <v>1503</v>
      </c>
      <c r="E1174" t="s">
        <v>22</v>
      </c>
      <c r="F1174" t="s">
        <v>1500</v>
      </c>
      <c r="G1174" t="s">
        <v>22</v>
      </c>
      <c r="H1174">
        <v>3</v>
      </c>
    </row>
    <row r="1175" spans="1:8" x14ac:dyDescent="0.35">
      <c r="A1175">
        <v>5011020104529</v>
      </c>
      <c r="B1175" t="s">
        <v>1554</v>
      </c>
      <c r="C1175" t="s">
        <v>239</v>
      </c>
      <c r="D1175" t="s">
        <v>14</v>
      </c>
      <c r="E1175" t="s">
        <v>15</v>
      </c>
      <c r="F1175" t="s">
        <v>14</v>
      </c>
      <c r="G1175" t="s">
        <v>22</v>
      </c>
      <c r="H1175">
        <v>1</v>
      </c>
    </row>
    <row r="1176" spans="1:8" x14ac:dyDescent="0.35">
      <c r="A1176">
        <v>5011020104727</v>
      </c>
      <c r="B1176" t="s">
        <v>485</v>
      </c>
      <c r="C1176" t="s">
        <v>9</v>
      </c>
      <c r="D1176" t="s">
        <v>1555</v>
      </c>
      <c r="E1176" t="s">
        <v>15</v>
      </c>
      <c r="F1176" t="s">
        <v>14</v>
      </c>
      <c r="G1176" t="s">
        <v>122</v>
      </c>
      <c r="H1176">
        <v>1</v>
      </c>
    </row>
    <row r="1177" spans="1:8" x14ac:dyDescent="0.35">
      <c r="A1177">
        <v>50112173</v>
      </c>
      <c r="B1177" t="s">
        <v>1556</v>
      </c>
      <c r="C1177" t="s">
        <v>9</v>
      </c>
      <c r="D1177" t="s">
        <v>14</v>
      </c>
      <c r="E1177" t="s">
        <v>15</v>
      </c>
      <c r="F1177" t="s">
        <v>14</v>
      </c>
      <c r="G1177" t="s">
        <v>117</v>
      </c>
      <c r="H1177">
        <v>11</v>
      </c>
    </row>
    <row r="1178" spans="1:8" x14ac:dyDescent="0.35">
      <c r="A1178">
        <v>50112173</v>
      </c>
      <c r="B1178" t="s">
        <v>1556</v>
      </c>
      <c r="C1178" t="s">
        <v>9</v>
      </c>
      <c r="D1178" t="s">
        <v>14</v>
      </c>
      <c r="E1178" t="s">
        <v>15</v>
      </c>
      <c r="F1178" t="s">
        <v>14</v>
      </c>
      <c r="G1178" t="s">
        <v>73</v>
      </c>
      <c r="H1178">
        <v>3</v>
      </c>
    </row>
    <row r="1179" spans="1:8" x14ac:dyDescent="0.35">
      <c r="A1179">
        <v>50112203</v>
      </c>
      <c r="B1179" t="s">
        <v>1557</v>
      </c>
      <c r="C1179" t="s">
        <v>9</v>
      </c>
      <c r="D1179" t="s">
        <v>246</v>
      </c>
      <c r="E1179" t="s">
        <v>15</v>
      </c>
      <c r="F1179" t="s">
        <v>14</v>
      </c>
      <c r="G1179" t="s">
        <v>150</v>
      </c>
      <c r="H1179">
        <v>108</v>
      </c>
    </row>
    <row r="1180" spans="1:8" x14ac:dyDescent="0.35">
      <c r="A1180">
        <v>50112203</v>
      </c>
      <c r="B1180" t="s">
        <v>1557</v>
      </c>
      <c r="C1180" t="s">
        <v>9</v>
      </c>
      <c r="D1180" t="s">
        <v>246</v>
      </c>
      <c r="E1180" t="s">
        <v>15</v>
      </c>
      <c r="F1180" t="s">
        <v>14</v>
      </c>
      <c r="G1180" t="s">
        <v>61</v>
      </c>
      <c r="H1180">
        <v>91</v>
      </c>
    </row>
    <row r="1181" spans="1:8" x14ac:dyDescent="0.35">
      <c r="A1181">
        <v>50112265</v>
      </c>
      <c r="B1181" t="s">
        <v>1558</v>
      </c>
      <c r="C1181" t="s">
        <v>9</v>
      </c>
      <c r="D1181" t="s">
        <v>52</v>
      </c>
      <c r="E1181" t="s">
        <v>15</v>
      </c>
      <c r="F1181" t="s">
        <v>14</v>
      </c>
      <c r="G1181" t="s">
        <v>11</v>
      </c>
      <c r="H1181">
        <v>10</v>
      </c>
    </row>
    <row r="1182" spans="1:8" x14ac:dyDescent="0.35">
      <c r="A1182">
        <v>5011273030651</v>
      </c>
      <c r="B1182" t="s">
        <v>1559</v>
      </c>
      <c r="C1182" t="s">
        <v>1560</v>
      </c>
      <c r="D1182" t="s">
        <v>1561</v>
      </c>
      <c r="E1182" t="s">
        <v>22</v>
      </c>
      <c r="F1182" t="s">
        <v>1562</v>
      </c>
      <c r="G1182" t="s">
        <v>22</v>
      </c>
      <c r="H1182">
        <v>1</v>
      </c>
    </row>
    <row r="1183" spans="1:8" x14ac:dyDescent="0.35">
      <c r="A1183">
        <v>5011273040339</v>
      </c>
      <c r="B1183" t="s">
        <v>1563</v>
      </c>
      <c r="C1183" t="s">
        <v>102</v>
      </c>
      <c r="D1183" t="s">
        <v>1561</v>
      </c>
      <c r="E1183" t="s">
        <v>22</v>
      </c>
      <c r="F1183" t="s">
        <v>1562</v>
      </c>
      <c r="G1183" t="s">
        <v>22</v>
      </c>
      <c r="H1183">
        <v>1</v>
      </c>
    </row>
    <row r="1184" spans="1:8" x14ac:dyDescent="0.35">
      <c r="A1184">
        <v>5011273119035</v>
      </c>
      <c r="B1184" t="s">
        <v>1564</v>
      </c>
      <c r="C1184" t="s">
        <v>1565</v>
      </c>
      <c r="D1184" t="s">
        <v>1561</v>
      </c>
      <c r="E1184" t="s">
        <v>22</v>
      </c>
      <c r="F1184" t="s">
        <v>1562</v>
      </c>
      <c r="G1184" t="s">
        <v>22</v>
      </c>
      <c r="H1184">
        <v>1</v>
      </c>
    </row>
    <row r="1185" spans="1:8" x14ac:dyDescent="0.35">
      <c r="A1185">
        <v>50112753</v>
      </c>
      <c r="B1185" t="s">
        <v>1011</v>
      </c>
      <c r="C1185" t="s">
        <v>9</v>
      </c>
      <c r="D1185" t="s">
        <v>246</v>
      </c>
      <c r="E1185" t="s">
        <v>15</v>
      </c>
      <c r="F1185" t="s">
        <v>14</v>
      </c>
      <c r="G1185" t="s">
        <v>150</v>
      </c>
      <c r="H1185">
        <v>9</v>
      </c>
    </row>
    <row r="1186" spans="1:8" x14ac:dyDescent="0.35">
      <c r="A1186">
        <v>5011417552957</v>
      </c>
      <c r="B1186" t="s">
        <v>1566</v>
      </c>
      <c r="C1186" t="s">
        <v>806</v>
      </c>
      <c r="D1186" t="s">
        <v>1567</v>
      </c>
      <c r="E1186" t="s">
        <v>22</v>
      </c>
      <c r="F1186" t="s">
        <v>1568</v>
      </c>
      <c r="G1186" t="s">
        <v>73</v>
      </c>
      <c r="H1186">
        <v>2</v>
      </c>
    </row>
    <row r="1187" spans="1:8" x14ac:dyDescent="0.35">
      <c r="A1187">
        <v>5011417559161</v>
      </c>
      <c r="B1187" t="s">
        <v>1569</v>
      </c>
      <c r="C1187" t="s">
        <v>272</v>
      </c>
      <c r="D1187" t="s">
        <v>1570</v>
      </c>
      <c r="E1187" t="s">
        <v>22</v>
      </c>
      <c r="F1187" t="s">
        <v>1568</v>
      </c>
      <c r="G1187" t="s">
        <v>34</v>
      </c>
      <c r="H1187">
        <v>1</v>
      </c>
    </row>
    <row r="1188" spans="1:8" x14ac:dyDescent="0.35">
      <c r="A1188">
        <v>5011898005119</v>
      </c>
      <c r="B1188" t="s">
        <v>1571</v>
      </c>
      <c r="C1188" t="s">
        <v>9</v>
      </c>
      <c r="D1188" t="s">
        <v>1510</v>
      </c>
      <c r="E1188" t="s">
        <v>22</v>
      </c>
      <c r="F1188" t="s">
        <v>1500</v>
      </c>
      <c r="G1188" t="s">
        <v>22</v>
      </c>
      <c r="H1188">
        <v>3</v>
      </c>
    </row>
    <row r="1189" spans="1:8" x14ac:dyDescent="0.35">
      <c r="A1189">
        <v>5011927064483</v>
      </c>
      <c r="B1189" t="s">
        <v>1572</v>
      </c>
      <c r="C1189" t="s">
        <v>1573</v>
      </c>
      <c r="D1189" t="s">
        <v>1574</v>
      </c>
      <c r="E1189" t="s">
        <v>11</v>
      </c>
      <c r="F1189" t="s">
        <v>1575</v>
      </c>
      <c r="G1189" t="s">
        <v>11</v>
      </c>
      <c r="H1189">
        <v>1</v>
      </c>
    </row>
    <row r="1190" spans="1:8" x14ac:dyDescent="0.35">
      <c r="A1190">
        <v>5011962090348</v>
      </c>
      <c r="B1190" t="s">
        <v>1576</v>
      </c>
      <c r="C1190" t="s">
        <v>241</v>
      </c>
      <c r="D1190" t="s">
        <v>1577</v>
      </c>
      <c r="E1190" t="s">
        <v>308</v>
      </c>
      <c r="F1190" t="s">
        <v>309</v>
      </c>
      <c r="G1190" t="s">
        <v>22</v>
      </c>
      <c r="H1190">
        <v>2</v>
      </c>
    </row>
    <row r="1191" spans="1:8" x14ac:dyDescent="0.35">
      <c r="A1191">
        <v>5011987034310</v>
      </c>
      <c r="B1191" t="s">
        <v>1578</v>
      </c>
      <c r="C1191" t="s">
        <v>1579</v>
      </c>
      <c r="D1191" t="s">
        <v>1574</v>
      </c>
      <c r="E1191" t="s">
        <v>11</v>
      </c>
      <c r="F1191" t="s">
        <v>1575</v>
      </c>
      <c r="G1191" t="s">
        <v>11</v>
      </c>
      <c r="H1191">
        <v>2</v>
      </c>
    </row>
    <row r="1192" spans="1:8" x14ac:dyDescent="0.35">
      <c r="A1192">
        <v>5011987064423</v>
      </c>
      <c r="B1192" t="s">
        <v>1572</v>
      </c>
      <c r="C1192" t="s">
        <v>1580</v>
      </c>
      <c r="D1192" t="s">
        <v>1574</v>
      </c>
      <c r="E1192" t="s">
        <v>11</v>
      </c>
      <c r="F1192" t="s">
        <v>1575</v>
      </c>
      <c r="G1192" t="s">
        <v>11</v>
      </c>
      <c r="H1192">
        <v>1</v>
      </c>
    </row>
    <row r="1193" spans="1:8" x14ac:dyDescent="0.35">
      <c r="A1193">
        <v>5011987064423</v>
      </c>
      <c r="B1193" t="s">
        <v>1572</v>
      </c>
      <c r="C1193" t="s">
        <v>1580</v>
      </c>
      <c r="D1193" t="s">
        <v>1574</v>
      </c>
      <c r="E1193" t="s">
        <v>11</v>
      </c>
      <c r="F1193" t="s">
        <v>1575</v>
      </c>
      <c r="G1193" t="s">
        <v>150</v>
      </c>
      <c r="H1193">
        <v>2</v>
      </c>
    </row>
    <row r="1194" spans="1:8" x14ac:dyDescent="0.35">
      <c r="A1194">
        <v>5012035952273</v>
      </c>
      <c r="B1194" t="s">
        <v>1581</v>
      </c>
      <c r="C1194" t="s">
        <v>1582</v>
      </c>
      <c r="D1194" t="s">
        <v>1583</v>
      </c>
      <c r="E1194" t="s">
        <v>20</v>
      </c>
      <c r="F1194" t="s">
        <v>1021</v>
      </c>
      <c r="G1194" t="s">
        <v>22</v>
      </c>
      <c r="H1194">
        <v>1</v>
      </c>
    </row>
    <row r="1195" spans="1:8" x14ac:dyDescent="0.35">
      <c r="A1195">
        <v>5012035963460</v>
      </c>
      <c r="B1195" t="s">
        <v>1584</v>
      </c>
      <c r="C1195" t="s">
        <v>1585</v>
      </c>
      <c r="D1195" t="s">
        <v>1021</v>
      </c>
      <c r="E1195" t="s">
        <v>20</v>
      </c>
      <c r="F1195" t="s">
        <v>1021</v>
      </c>
      <c r="G1195" t="s">
        <v>22</v>
      </c>
      <c r="H1195">
        <v>1</v>
      </c>
    </row>
    <row r="1196" spans="1:8" x14ac:dyDescent="0.35">
      <c r="A1196">
        <v>5012035972066</v>
      </c>
      <c r="B1196" t="s">
        <v>1586</v>
      </c>
      <c r="C1196" t="s">
        <v>1582</v>
      </c>
      <c r="D1196" t="s">
        <v>1021</v>
      </c>
      <c r="E1196" t="s">
        <v>20</v>
      </c>
      <c r="F1196" t="s">
        <v>1021</v>
      </c>
      <c r="G1196" t="s">
        <v>22</v>
      </c>
      <c r="H1196">
        <v>1</v>
      </c>
    </row>
    <row r="1197" spans="1:8" x14ac:dyDescent="0.35">
      <c r="A1197">
        <v>5012035986667</v>
      </c>
      <c r="B1197" t="s">
        <v>1587</v>
      </c>
      <c r="C1197" t="s">
        <v>1588</v>
      </c>
      <c r="D1197" t="s">
        <v>1021</v>
      </c>
      <c r="E1197" t="s">
        <v>20</v>
      </c>
      <c r="F1197" t="s">
        <v>1021</v>
      </c>
      <c r="G1197" t="s">
        <v>22</v>
      </c>
      <c r="H1197">
        <v>1</v>
      </c>
    </row>
    <row r="1198" spans="1:8" x14ac:dyDescent="0.35">
      <c r="A1198">
        <v>5012058003006</v>
      </c>
      <c r="B1198" t="s">
        <v>752</v>
      </c>
      <c r="C1198" t="s">
        <v>9</v>
      </c>
      <c r="D1198" t="s">
        <v>1589</v>
      </c>
      <c r="E1198" t="s">
        <v>22</v>
      </c>
      <c r="F1198" t="s">
        <v>1500</v>
      </c>
      <c r="G1198" t="s">
        <v>22</v>
      </c>
      <c r="H1198">
        <v>1</v>
      </c>
    </row>
    <row r="1199" spans="1:8" x14ac:dyDescent="0.35">
      <c r="A1199">
        <v>5012058009329</v>
      </c>
      <c r="B1199" t="s">
        <v>1050</v>
      </c>
      <c r="C1199" t="s">
        <v>9</v>
      </c>
      <c r="D1199" t="s">
        <v>1589</v>
      </c>
      <c r="E1199" t="s">
        <v>22</v>
      </c>
      <c r="F1199" t="s">
        <v>1500</v>
      </c>
      <c r="G1199" t="s">
        <v>22</v>
      </c>
      <c r="H1199">
        <v>1</v>
      </c>
    </row>
    <row r="1200" spans="1:8" x14ac:dyDescent="0.35">
      <c r="A1200">
        <v>5012583203728</v>
      </c>
      <c r="B1200" t="s">
        <v>1590</v>
      </c>
      <c r="C1200" t="s">
        <v>272</v>
      </c>
      <c r="D1200" t="s">
        <v>1591</v>
      </c>
      <c r="E1200" t="s">
        <v>308</v>
      </c>
      <c r="F1200" t="s">
        <v>309</v>
      </c>
      <c r="G1200" t="s">
        <v>22</v>
      </c>
      <c r="H1200">
        <v>1</v>
      </c>
    </row>
    <row r="1201" spans="1:8" x14ac:dyDescent="0.35">
      <c r="A1201">
        <v>5013635101818</v>
      </c>
      <c r="B1201" t="s">
        <v>1592</v>
      </c>
      <c r="C1201" t="s">
        <v>9</v>
      </c>
      <c r="D1201" t="s">
        <v>1593</v>
      </c>
      <c r="E1201" t="s">
        <v>22</v>
      </c>
      <c r="F1201" t="s">
        <v>1594</v>
      </c>
      <c r="G1201" t="s">
        <v>22</v>
      </c>
      <c r="H1201">
        <v>1</v>
      </c>
    </row>
    <row r="1202" spans="1:8" x14ac:dyDescent="0.35">
      <c r="A1202">
        <v>5013635390137</v>
      </c>
      <c r="B1202" t="s">
        <v>1595</v>
      </c>
      <c r="C1202" t="s">
        <v>43</v>
      </c>
      <c r="D1202" t="s">
        <v>1593</v>
      </c>
      <c r="E1202" t="s">
        <v>22</v>
      </c>
      <c r="F1202" t="s">
        <v>1594</v>
      </c>
      <c r="G1202" t="s">
        <v>22</v>
      </c>
      <c r="H1202">
        <v>1</v>
      </c>
    </row>
    <row r="1203" spans="1:8" x14ac:dyDescent="0.35">
      <c r="A1203">
        <v>5015552000151</v>
      </c>
      <c r="B1203" t="s">
        <v>1596</v>
      </c>
      <c r="C1203" t="s">
        <v>9</v>
      </c>
      <c r="D1203" t="s">
        <v>650</v>
      </c>
      <c r="E1203" t="s">
        <v>71</v>
      </c>
      <c r="F1203" t="s">
        <v>72</v>
      </c>
      <c r="G1203" t="s">
        <v>22</v>
      </c>
      <c r="H1203">
        <v>1</v>
      </c>
    </row>
    <row r="1204" spans="1:8" x14ac:dyDescent="0.35">
      <c r="A1204">
        <v>5015552000168</v>
      </c>
      <c r="B1204" t="s">
        <v>1151</v>
      </c>
      <c r="C1204" t="s">
        <v>9</v>
      </c>
      <c r="D1204" t="s">
        <v>650</v>
      </c>
      <c r="E1204" t="s">
        <v>71</v>
      </c>
      <c r="F1204" t="s">
        <v>72</v>
      </c>
      <c r="G1204" t="s">
        <v>22</v>
      </c>
      <c r="H1204">
        <v>3</v>
      </c>
    </row>
    <row r="1205" spans="1:8" x14ac:dyDescent="0.35">
      <c r="A1205">
        <v>5015552555132</v>
      </c>
      <c r="B1205" t="s">
        <v>1597</v>
      </c>
      <c r="C1205" t="s">
        <v>1598</v>
      </c>
      <c r="D1205" t="s">
        <v>650</v>
      </c>
      <c r="E1205" t="s">
        <v>71</v>
      </c>
      <c r="F1205" t="s">
        <v>72</v>
      </c>
      <c r="G1205" t="s">
        <v>22</v>
      </c>
      <c r="H1205">
        <v>1</v>
      </c>
    </row>
    <row r="1206" spans="1:8" x14ac:dyDescent="0.35">
      <c r="A1206">
        <v>5015552601112</v>
      </c>
      <c r="B1206" t="s">
        <v>1599</v>
      </c>
      <c r="C1206" t="s">
        <v>326</v>
      </c>
      <c r="D1206" t="s">
        <v>70</v>
      </c>
      <c r="E1206" t="s">
        <v>71</v>
      </c>
      <c r="F1206" t="s">
        <v>72</v>
      </c>
      <c r="G1206" t="s">
        <v>22</v>
      </c>
      <c r="H1206">
        <v>1</v>
      </c>
    </row>
    <row r="1207" spans="1:8" x14ac:dyDescent="0.35">
      <c r="A1207">
        <v>50157709</v>
      </c>
      <c r="B1207" t="s">
        <v>1421</v>
      </c>
      <c r="C1207" t="s">
        <v>9</v>
      </c>
      <c r="D1207" t="s">
        <v>1600</v>
      </c>
      <c r="E1207" t="s">
        <v>15</v>
      </c>
      <c r="F1207" t="s">
        <v>1395</v>
      </c>
      <c r="G1207" t="s">
        <v>22</v>
      </c>
      <c r="H1207">
        <v>2</v>
      </c>
    </row>
    <row r="1208" spans="1:8" x14ac:dyDescent="0.35">
      <c r="A1208">
        <v>5017371155913</v>
      </c>
      <c r="B1208" t="s">
        <v>1601</v>
      </c>
      <c r="C1208" t="s">
        <v>9</v>
      </c>
      <c r="D1208" t="s">
        <v>1602</v>
      </c>
      <c r="E1208" t="s">
        <v>22</v>
      </c>
      <c r="F1208" t="s">
        <v>1603</v>
      </c>
      <c r="G1208" t="s">
        <v>22</v>
      </c>
      <c r="H1208">
        <v>1</v>
      </c>
    </row>
    <row r="1209" spans="1:8" x14ac:dyDescent="0.35">
      <c r="A1209">
        <v>5017600020418</v>
      </c>
      <c r="B1209" t="s">
        <v>1604</v>
      </c>
      <c r="C1209" t="s">
        <v>268</v>
      </c>
      <c r="D1209" t="s">
        <v>1605</v>
      </c>
      <c r="E1209" t="s">
        <v>1270</v>
      </c>
      <c r="F1209" t="s">
        <v>1271</v>
      </c>
      <c r="G1209" t="s">
        <v>22</v>
      </c>
      <c r="H1209">
        <v>1</v>
      </c>
    </row>
    <row r="1210" spans="1:8" x14ac:dyDescent="0.35">
      <c r="A1210">
        <v>5018907194802</v>
      </c>
      <c r="B1210" t="s">
        <v>485</v>
      </c>
      <c r="C1210" t="s">
        <v>81</v>
      </c>
      <c r="D1210" t="s">
        <v>1606</v>
      </c>
      <c r="E1210" t="s">
        <v>15</v>
      </c>
      <c r="F1210" t="s">
        <v>14</v>
      </c>
      <c r="G1210" t="s">
        <v>11</v>
      </c>
      <c r="H1210">
        <v>2</v>
      </c>
    </row>
    <row r="1211" spans="1:8" x14ac:dyDescent="0.35">
      <c r="A1211">
        <v>5018907197803</v>
      </c>
      <c r="B1211" t="s">
        <v>485</v>
      </c>
      <c r="C1211" t="s">
        <v>9</v>
      </c>
      <c r="D1211" t="s">
        <v>1606</v>
      </c>
      <c r="E1211" t="s">
        <v>15</v>
      </c>
      <c r="F1211" t="s">
        <v>14</v>
      </c>
      <c r="G1211" t="s">
        <v>11</v>
      </c>
      <c r="H1211">
        <v>9</v>
      </c>
    </row>
    <row r="1212" spans="1:8" x14ac:dyDescent="0.35">
      <c r="A1212">
        <v>5019402500723</v>
      </c>
      <c r="B1212" t="s">
        <v>1607</v>
      </c>
      <c r="C1212" t="s">
        <v>9</v>
      </c>
      <c r="D1212" t="s">
        <v>1608</v>
      </c>
      <c r="E1212" t="s">
        <v>22</v>
      </c>
      <c r="F1212" t="s">
        <v>1609</v>
      </c>
      <c r="G1212" t="s">
        <v>22</v>
      </c>
      <c r="H1212">
        <v>2</v>
      </c>
    </row>
    <row r="1213" spans="1:8" x14ac:dyDescent="0.35">
      <c r="A1213">
        <v>5019402500730</v>
      </c>
      <c r="B1213" t="s">
        <v>1610</v>
      </c>
      <c r="C1213" t="s">
        <v>9</v>
      </c>
      <c r="D1213" t="s">
        <v>1608</v>
      </c>
      <c r="E1213" t="s">
        <v>22</v>
      </c>
      <c r="F1213" t="s">
        <v>1609</v>
      </c>
      <c r="G1213" t="s">
        <v>22</v>
      </c>
      <c r="H1213">
        <v>3</v>
      </c>
    </row>
    <row r="1214" spans="1:8" x14ac:dyDescent="0.35">
      <c r="A1214">
        <v>5019402500730</v>
      </c>
      <c r="B1214" t="s">
        <v>1610</v>
      </c>
      <c r="C1214" t="s">
        <v>9</v>
      </c>
      <c r="D1214" t="s">
        <v>1608</v>
      </c>
      <c r="E1214" t="s">
        <v>22</v>
      </c>
      <c r="F1214" t="s">
        <v>1609</v>
      </c>
      <c r="G1214" t="s">
        <v>11</v>
      </c>
      <c r="H1214">
        <v>3</v>
      </c>
    </row>
    <row r="1215" spans="1:8" x14ac:dyDescent="0.35">
      <c r="A1215">
        <v>5019402500754</v>
      </c>
      <c r="B1215" t="s">
        <v>1611</v>
      </c>
      <c r="C1215" t="s">
        <v>9</v>
      </c>
      <c r="D1215" t="s">
        <v>1608</v>
      </c>
      <c r="E1215" t="s">
        <v>22</v>
      </c>
      <c r="F1215" t="s">
        <v>1609</v>
      </c>
      <c r="G1215" t="s">
        <v>22</v>
      </c>
      <c r="H1215">
        <v>1</v>
      </c>
    </row>
    <row r="1216" spans="1:8" x14ac:dyDescent="0.35">
      <c r="A1216">
        <v>5020379077989</v>
      </c>
      <c r="B1216" t="s">
        <v>1612</v>
      </c>
      <c r="C1216" t="s">
        <v>9</v>
      </c>
      <c r="D1216" t="s">
        <v>1449</v>
      </c>
      <c r="E1216" t="s">
        <v>1201</v>
      </c>
      <c r="F1216" t="s">
        <v>1450</v>
      </c>
      <c r="G1216" t="s">
        <v>22</v>
      </c>
      <c r="H1216">
        <v>1</v>
      </c>
    </row>
    <row r="1217" spans="1:8" x14ac:dyDescent="0.35">
      <c r="A1217">
        <v>5020379078009</v>
      </c>
      <c r="B1217" t="s">
        <v>1400</v>
      </c>
      <c r="C1217" t="s">
        <v>9</v>
      </c>
      <c r="D1217" t="s">
        <v>1449</v>
      </c>
      <c r="E1217" t="s">
        <v>1201</v>
      </c>
      <c r="F1217" t="s">
        <v>1450</v>
      </c>
      <c r="G1217" t="s">
        <v>22</v>
      </c>
      <c r="H1217">
        <v>1</v>
      </c>
    </row>
    <row r="1218" spans="1:8" x14ac:dyDescent="0.35">
      <c r="A1218">
        <v>5020379106658</v>
      </c>
      <c r="B1218" t="s">
        <v>1613</v>
      </c>
      <c r="C1218" t="s">
        <v>9</v>
      </c>
      <c r="D1218" t="s">
        <v>1449</v>
      </c>
      <c r="E1218" t="s">
        <v>1201</v>
      </c>
      <c r="F1218" t="s">
        <v>1450</v>
      </c>
      <c r="G1218" t="s">
        <v>22</v>
      </c>
      <c r="H1218">
        <v>4</v>
      </c>
    </row>
    <row r="1219" spans="1:8" x14ac:dyDescent="0.35">
      <c r="A1219">
        <v>5020379106672</v>
      </c>
      <c r="B1219" t="s">
        <v>1614</v>
      </c>
      <c r="C1219" t="s">
        <v>9</v>
      </c>
      <c r="D1219" t="s">
        <v>1449</v>
      </c>
      <c r="E1219" t="s">
        <v>1201</v>
      </c>
      <c r="F1219" t="s">
        <v>1450</v>
      </c>
      <c r="G1219" t="s">
        <v>22</v>
      </c>
      <c r="H1219">
        <v>1</v>
      </c>
    </row>
    <row r="1220" spans="1:8" x14ac:dyDescent="0.35">
      <c r="A1220">
        <v>5020379106696</v>
      </c>
      <c r="B1220" t="s">
        <v>1615</v>
      </c>
      <c r="C1220" t="s">
        <v>9</v>
      </c>
      <c r="D1220" t="s">
        <v>1449</v>
      </c>
      <c r="E1220" t="s">
        <v>1201</v>
      </c>
      <c r="F1220" t="s">
        <v>1450</v>
      </c>
      <c r="G1220" t="s">
        <v>22</v>
      </c>
      <c r="H1220">
        <v>1</v>
      </c>
    </row>
    <row r="1221" spans="1:8" x14ac:dyDescent="0.35">
      <c r="A1221">
        <v>5020379106719</v>
      </c>
      <c r="B1221" t="s">
        <v>1616</v>
      </c>
      <c r="C1221" t="s">
        <v>9</v>
      </c>
      <c r="D1221" t="s">
        <v>1449</v>
      </c>
      <c r="E1221" t="s">
        <v>1201</v>
      </c>
      <c r="F1221" t="s">
        <v>1450</v>
      </c>
      <c r="G1221" t="s">
        <v>22</v>
      </c>
      <c r="H1221">
        <v>3</v>
      </c>
    </row>
    <row r="1222" spans="1:8" x14ac:dyDescent="0.35">
      <c r="A1222">
        <v>5020379133401</v>
      </c>
      <c r="B1222" t="s">
        <v>1617</v>
      </c>
      <c r="C1222" t="s">
        <v>81</v>
      </c>
      <c r="D1222" t="s">
        <v>1449</v>
      </c>
      <c r="E1222" t="s">
        <v>1201</v>
      </c>
      <c r="F1222" t="s">
        <v>1450</v>
      </c>
      <c r="G1222" t="s">
        <v>22</v>
      </c>
      <c r="H1222">
        <v>1</v>
      </c>
    </row>
    <row r="1223" spans="1:8" x14ac:dyDescent="0.35">
      <c r="A1223">
        <v>5020379136983</v>
      </c>
      <c r="B1223" t="s">
        <v>1618</v>
      </c>
      <c r="C1223" t="s">
        <v>849</v>
      </c>
      <c r="D1223" t="s">
        <v>1449</v>
      </c>
      <c r="E1223" t="s">
        <v>1201</v>
      </c>
      <c r="F1223" t="s">
        <v>1450</v>
      </c>
      <c r="G1223" t="s">
        <v>22</v>
      </c>
      <c r="H1223">
        <v>1</v>
      </c>
    </row>
    <row r="1224" spans="1:8" x14ac:dyDescent="0.35">
      <c r="A1224">
        <v>5020379168267</v>
      </c>
      <c r="B1224" t="s">
        <v>1619</v>
      </c>
      <c r="C1224" t="s">
        <v>9</v>
      </c>
      <c r="D1224" t="s">
        <v>1449</v>
      </c>
      <c r="E1224" t="s">
        <v>1201</v>
      </c>
      <c r="F1224" t="s">
        <v>1450</v>
      </c>
      <c r="G1224" t="s">
        <v>22</v>
      </c>
      <c r="H1224">
        <v>1</v>
      </c>
    </row>
    <row r="1225" spans="1:8" x14ac:dyDescent="0.35">
      <c r="A1225">
        <v>5020379171137</v>
      </c>
      <c r="B1225" t="s">
        <v>1620</v>
      </c>
      <c r="C1225" t="s">
        <v>9</v>
      </c>
      <c r="D1225" t="s">
        <v>1449</v>
      </c>
      <c r="E1225" t="s">
        <v>1201</v>
      </c>
      <c r="F1225" t="s">
        <v>1450</v>
      </c>
      <c r="G1225" t="s">
        <v>22</v>
      </c>
      <c r="H1225">
        <v>1</v>
      </c>
    </row>
    <row r="1226" spans="1:8" x14ac:dyDescent="0.35">
      <c r="A1226">
        <v>5020379175388</v>
      </c>
      <c r="B1226" t="s">
        <v>1621</v>
      </c>
      <c r="C1226" t="s">
        <v>94</v>
      </c>
      <c r="D1226" t="s">
        <v>1449</v>
      </c>
      <c r="E1226" t="s">
        <v>1201</v>
      </c>
      <c r="F1226" t="s">
        <v>1450</v>
      </c>
      <c r="G1226" t="s">
        <v>22</v>
      </c>
      <c r="H1226">
        <v>1</v>
      </c>
    </row>
    <row r="1227" spans="1:8" x14ac:dyDescent="0.35">
      <c r="A1227">
        <v>5020379175449</v>
      </c>
      <c r="B1227" t="s">
        <v>1622</v>
      </c>
      <c r="C1227" t="s">
        <v>94</v>
      </c>
      <c r="D1227" t="s">
        <v>1449</v>
      </c>
      <c r="E1227" t="s">
        <v>1201</v>
      </c>
      <c r="F1227" t="s">
        <v>1450</v>
      </c>
      <c r="G1227" t="s">
        <v>22</v>
      </c>
      <c r="H1227">
        <v>1</v>
      </c>
    </row>
    <row r="1228" spans="1:8" x14ac:dyDescent="0.35">
      <c r="A1228">
        <v>5020379178662</v>
      </c>
      <c r="B1228" t="s">
        <v>1615</v>
      </c>
      <c r="C1228" t="s">
        <v>9</v>
      </c>
      <c r="D1228" t="s">
        <v>1449</v>
      </c>
      <c r="E1228" t="s">
        <v>1201</v>
      </c>
      <c r="F1228" t="s">
        <v>1450</v>
      </c>
      <c r="G1228" t="s">
        <v>22</v>
      </c>
      <c r="H1228">
        <v>1</v>
      </c>
    </row>
    <row r="1229" spans="1:8" x14ac:dyDescent="0.35">
      <c r="A1229">
        <v>5022313000039</v>
      </c>
      <c r="B1229" t="s">
        <v>1623</v>
      </c>
      <c r="C1229" t="s">
        <v>38</v>
      </c>
      <c r="D1229" t="s">
        <v>989</v>
      </c>
      <c r="E1229" t="s">
        <v>22</v>
      </c>
      <c r="F1229" t="s">
        <v>990</v>
      </c>
      <c r="G1229" t="s">
        <v>22</v>
      </c>
      <c r="H1229">
        <v>1</v>
      </c>
    </row>
    <row r="1230" spans="1:8" x14ac:dyDescent="0.35">
      <c r="A1230">
        <v>5022313331607</v>
      </c>
      <c r="B1230" t="s">
        <v>481</v>
      </c>
      <c r="C1230" t="s">
        <v>38</v>
      </c>
      <c r="D1230" t="s">
        <v>474</v>
      </c>
      <c r="E1230" t="s">
        <v>130</v>
      </c>
      <c r="F1230" t="s">
        <v>475</v>
      </c>
      <c r="G1230" t="s">
        <v>22</v>
      </c>
      <c r="H1230">
        <v>2</v>
      </c>
    </row>
    <row r="1231" spans="1:8" x14ac:dyDescent="0.35">
      <c r="A1231">
        <v>5022313751047</v>
      </c>
      <c r="B1231" t="s">
        <v>481</v>
      </c>
      <c r="C1231" t="s">
        <v>272</v>
      </c>
      <c r="D1231" t="s">
        <v>474</v>
      </c>
      <c r="E1231" t="s">
        <v>130</v>
      </c>
      <c r="F1231" t="s">
        <v>475</v>
      </c>
      <c r="G1231" t="s">
        <v>22</v>
      </c>
      <c r="H1231">
        <v>1</v>
      </c>
    </row>
    <row r="1232" spans="1:8" x14ac:dyDescent="0.35">
      <c r="A1232">
        <v>5023377005503</v>
      </c>
      <c r="B1232" t="s">
        <v>1624</v>
      </c>
      <c r="C1232" t="s">
        <v>36</v>
      </c>
      <c r="D1232" t="s">
        <v>1625</v>
      </c>
      <c r="E1232" t="s">
        <v>22</v>
      </c>
      <c r="F1232" t="s">
        <v>1626</v>
      </c>
      <c r="G1232" t="s">
        <v>22</v>
      </c>
      <c r="H1232">
        <v>1</v>
      </c>
    </row>
    <row r="1233" spans="1:8" x14ac:dyDescent="0.35">
      <c r="A1233">
        <v>5023603333349</v>
      </c>
      <c r="B1233" t="s">
        <v>1627</v>
      </c>
      <c r="C1233" t="s">
        <v>603</v>
      </c>
      <c r="D1233" t="s">
        <v>1628</v>
      </c>
      <c r="E1233" t="s">
        <v>22</v>
      </c>
      <c r="F1233" t="s">
        <v>1629</v>
      </c>
      <c r="G1233" t="s">
        <v>22</v>
      </c>
      <c r="H1233">
        <v>1</v>
      </c>
    </row>
    <row r="1234" spans="1:8" x14ac:dyDescent="0.35">
      <c r="A1234">
        <v>5024071230215</v>
      </c>
      <c r="B1234" t="s">
        <v>1630</v>
      </c>
      <c r="C1234" t="s">
        <v>1631</v>
      </c>
      <c r="D1234" t="s">
        <v>1632</v>
      </c>
      <c r="E1234" t="s">
        <v>22</v>
      </c>
      <c r="F1234" t="s">
        <v>1633</v>
      </c>
      <c r="G1234" t="s">
        <v>41</v>
      </c>
      <c r="H1234">
        <v>30</v>
      </c>
    </row>
    <row r="1235" spans="1:8" x14ac:dyDescent="0.35">
      <c r="A1235">
        <v>5024616003014</v>
      </c>
      <c r="B1235" t="s">
        <v>119</v>
      </c>
      <c r="C1235" t="s">
        <v>603</v>
      </c>
      <c r="D1235" t="s">
        <v>1634</v>
      </c>
      <c r="E1235" t="s">
        <v>22</v>
      </c>
      <c r="F1235" t="s">
        <v>1635</v>
      </c>
      <c r="G1235" t="s">
        <v>22</v>
      </c>
      <c r="H1235">
        <v>3</v>
      </c>
    </row>
    <row r="1236" spans="1:8" x14ac:dyDescent="0.35">
      <c r="A1236">
        <v>5024616003014</v>
      </c>
      <c r="B1236" t="s">
        <v>119</v>
      </c>
      <c r="C1236" t="s">
        <v>603</v>
      </c>
      <c r="D1236" t="s">
        <v>1634</v>
      </c>
      <c r="E1236" t="s">
        <v>22</v>
      </c>
      <c r="F1236" t="s">
        <v>1635</v>
      </c>
      <c r="G1236" t="s">
        <v>31</v>
      </c>
      <c r="H1236">
        <v>27</v>
      </c>
    </row>
    <row r="1237" spans="1:8" x14ac:dyDescent="0.35">
      <c r="A1237">
        <v>5024616003021</v>
      </c>
      <c r="B1237" t="s">
        <v>119</v>
      </c>
      <c r="C1237" t="s">
        <v>9</v>
      </c>
      <c r="D1237" t="s">
        <v>1634</v>
      </c>
      <c r="E1237" t="s">
        <v>22</v>
      </c>
      <c r="F1237" t="s">
        <v>1635</v>
      </c>
      <c r="G1237" t="s">
        <v>22</v>
      </c>
      <c r="H1237">
        <v>3</v>
      </c>
    </row>
    <row r="1238" spans="1:8" x14ac:dyDescent="0.35">
      <c r="A1238">
        <v>5024879005060</v>
      </c>
      <c r="B1238" t="s">
        <v>1636</v>
      </c>
      <c r="C1238" t="s">
        <v>1637</v>
      </c>
      <c r="D1238" t="s">
        <v>1638</v>
      </c>
      <c r="E1238" t="s">
        <v>22</v>
      </c>
      <c r="F1238" t="s">
        <v>1639</v>
      </c>
      <c r="G1238" t="s">
        <v>22</v>
      </c>
      <c r="H1238">
        <v>2</v>
      </c>
    </row>
    <row r="1239" spans="1:8" x14ac:dyDescent="0.35">
      <c r="A1239">
        <v>5025866000181</v>
      </c>
      <c r="B1239" t="s">
        <v>1640</v>
      </c>
      <c r="C1239" t="s">
        <v>1641</v>
      </c>
      <c r="D1239" t="s">
        <v>1640</v>
      </c>
      <c r="E1239" t="s">
        <v>598</v>
      </c>
      <c r="F1239" t="s">
        <v>1642</v>
      </c>
      <c r="G1239" t="s">
        <v>598</v>
      </c>
      <c r="H1239">
        <v>3</v>
      </c>
    </row>
    <row r="1240" spans="1:8" x14ac:dyDescent="0.35">
      <c r="A1240">
        <v>5025866001096</v>
      </c>
      <c r="B1240" t="s">
        <v>1643</v>
      </c>
      <c r="C1240" t="s">
        <v>603</v>
      </c>
      <c r="D1240" t="s">
        <v>1640</v>
      </c>
      <c r="E1240" t="s">
        <v>598</v>
      </c>
      <c r="F1240" t="s">
        <v>1642</v>
      </c>
      <c r="G1240" t="s">
        <v>598</v>
      </c>
      <c r="H1240">
        <v>3</v>
      </c>
    </row>
    <row r="1241" spans="1:8" x14ac:dyDescent="0.35">
      <c r="A1241">
        <v>5025970004761</v>
      </c>
      <c r="B1241" t="s">
        <v>1644</v>
      </c>
      <c r="C1241" t="s">
        <v>9</v>
      </c>
      <c r="D1241" t="s">
        <v>1249</v>
      </c>
      <c r="E1241" t="s">
        <v>20</v>
      </c>
      <c r="F1241" t="s">
        <v>1250</v>
      </c>
      <c r="G1241" t="s">
        <v>22</v>
      </c>
      <c r="H1241">
        <v>1</v>
      </c>
    </row>
    <row r="1242" spans="1:8" x14ac:dyDescent="0.35">
      <c r="A1242">
        <v>5026109000364</v>
      </c>
      <c r="B1242" t="s">
        <v>752</v>
      </c>
      <c r="C1242" t="s">
        <v>9</v>
      </c>
      <c r="D1242" t="s">
        <v>1645</v>
      </c>
      <c r="E1242" t="s">
        <v>22</v>
      </c>
      <c r="F1242" t="s">
        <v>1646</v>
      </c>
      <c r="G1242" t="s">
        <v>22</v>
      </c>
      <c r="H1242">
        <v>1</v>
      </c>
    </row>
    <row r="1243" spans="1:8" x14ac:dyDescent="0.35">
      <c r="A1243">
        <v>5026109000364</v>
      </c>
      <c r="B1243" t="s">
        <v>752</v>
      </c>
      <c r="C1243" t="s">
        <v>9</v>
      </c>
      <c r="D1243" t="s">
        <v>1645</v>
      </c>
      <c r="E1243" t="s">
        <v>22</v>
      </c>
      <c r="F1243" t="s">
        <v>1646</v>
      </c>
      <c r="G1243" t="s">
        <v>150</v>
      </c>
      <c r="H1243">
        <v>1</v>
      </c>
    </row>
    <row r="1244" spans="1:8" x14ac:dyDescent="0.35">
      <c r="A1244">
        <v>5026109000531</v>
      </c>
      <c r="B1244" t="s">
        <v>1647</v>
      </c>
      <c r="C1244" t="s">
        <v>9</v>
      </c>
      <c r="D1244" t="s">
        <v>1645</v>
      </c>
      <c r="E1244" t="s">
        <v>22</v>
      </c>
      <c r="F1244" t="s">
        <v>1646</v>
      </c>
      <c r="G1244" t="s">
        <v>22</v>
      </c>
      <c r="H1244">
        <v>1</v>
      </c>
    </row>
    <row r="1245" spans="1:8" x14ac:dyDescent="0.35">
      <c r="A1245">
        <v>5026109000531</v>
      </c>
      <c r="B1245" t="s">
        <v>1647</v>
      </c>
      <c r="C1245" t="s">
        <v>9</v>
      </c>
      <c r="D1245" t="s">
        <v>1645</v>
      </c>
      <c r="E1245" t="s">
        <v>22</v>
      </c>
      <c r="F1245" t="s">
        <v>1646</v>
      </c>
      <c r="G1245" t="s">
        <v>61</v>
      </c>
      <c r="H1245">
        <v>18</v>
      </c>
    </row>
    <row r="1246" spans="1:8" x14ac:dyDescent="0.35">
      <c r="A1246">
        <v>5026109002498</v>
      </c>
      <c r="B1246" t="s">
        <v>1648</v>
      </c>
      <c r="C1246" t="s">
        <v>9</v>
      </c>
      <c r="D1246" t="s">
        <v>1645</v>
      </c>
      <c r="E1246" t="s">
        <v>22</v>
      </c>
      <c r="F1246" t="s">
        <v>1646</v>
      </c>
      <c r="G1246" t="s">
        <v>22</v>
      </c>
      <c r="H1246">
        <v>1</v>
      </c>
    </row>
    <row r="1247" spans="1:8" x14ac:dyDescent="0.35">
      <c r="A1247">
        <v>5026109003303</v>
      </c>
      <c r="B1247" t="s">
        <v>1649</v>
      </c>
      <c r="C1247" t="s">
        <v>603</v>
      </c>
      <c r="D1247" t="s">
        <v>1645</v>
      </c>
      <c r="E1247" t="s">
        <v>22</v>
      </c>
      <c r="F1247" t="s">
        <v>1646</v>
      </c>
      <c r="G1247" t="s">
        <v>22</v>
      </c>
      <c r="H1247">
        <v>1</v>
      </c>
    </row>
    <row r="1248" spans="1:8" x14ac:dyDescent="0.35">
      <c r="A1248">
        <v>5026109003600</v>
      </c>
      <c r="B1248" t="s">
        <v>1650</v>
      </c>
      <c r="C1248" t="s">
        <v>603</v>
      </c>
      <c r="D1248" t="s">
        <v>1645</v>
      </c>
      <c r="E1248" t="s">
        <v>22</v>
      </c>
      <c r="F1248" t="s">
        <v>1646</v>
      </c>
      <c r="G1248" t="s">
        <v>22</v>
      </c>
      <c r="H1248">
        <v>2</v>
      </c>
    </row>
    <row r="1249" spans="1:8" x14ac:dyDescent="0.35">
      <c r="A1249">
        <v>5026109009336</v>
      </c>
      <c r="B1249" t="s">
        <v>1651</v>
      </c>
      <c r="C1249" t="s">
        <v>603</v>
      </c>
      <c r="D1249" t="s">
        <v>1645</v>
      </c>
      <c r="E1249" t="s">
        <v>22</v>
      </c>
      <c r="F1249" t="s">
        <v>1646</v>
      </c>
      <c r="G1249" t="s">
        <v>22</v>
      </c>
      <c r="H1249">
        <v>1</v>
      </c>
    </row>
    <row r="1250" spans="1:8" x14ac:dyDescent="0.35">
      <c r="A1250">
        <v>5026109009336</v>
      </c>
      <c r="B1250" t="s">
        <v>1651</v>
      </c>
      <c r="C1250" t="s">
        <v>603</v>
      </c>
      <c r="D1250" t="s">
        <v>1645</v>
      </c>
      <c r="E1250" t="s">
        <v>22</v>
      </c>
      <c r="F1250" t="s">
        <v>1646</v>
      </c>
      <c r="G1250" t="s">
        <v>31</v>
      </c>
      <c r="H1250">
        <v>2</v>
      </c>
    </row>
    <row r="1251" spans="1:8" x14ac:dyDescent="0.35">
      <c r="A1251">
        <v>50271351</v>
      </c>
      <c r="B1251" t="s">
        <v>1652</v>
      </c>
      <c r="C1251" t="s">
        <v>9</v>
      </c>
      <c r="D1251" t="s">
        <v>1502</v>
      </c>
      <c r="E1251" t="s">
        <v>22</v>
      </c>
      <c r="F1251" t="s">
        <v>1500</v>
      </c>
      <c r="G1251" t="s">
        <v>22</v>
      </c>
      <c r="H1251">
        <v>1</v>
      </c>
    </row>
    <row r="1252" spans="1:8" x14ac:dyDescent="0.35">
      <c r="A1252">
        <v>50271511</v>
      </c>
      <c r="B1252" t="s">
        <v>1508</v>
      </c>
      <c r="C1252" t="s">
        <v>9</v>
      </c>
      <c r="D1252" t="s">
        <v>1503</v>
      </c>
      <c r="E1252" t="s">
        <v>22</v>
      </c>
      <c r="F1252" t="s">
        <v>1500</v>
      </c>
      <c r="G1252" t="s">
        <v>22</v>
      </c>
      <c r="H1252">
        <v>2</v>
      </c>
    </row>
    <row r="1253" spans="1:8" x14ac:dyDescent="0.35">
      <c r="A1253">
        <v>5028197192723</v>
      </c>
      <c r="B1253" t="s">
        <v>1653</v>
      </c>
      <c r="C1253" t="s">
        <v>36</v>
      </c>
      <c r="D1253" t="s">
        <v>1654</v>
      </c>
      <c r="E1253" t="s">
        <v>22</v>
      </c>
      <c r="F1253" t="s">
        <v>1655</v>
      </c>
      <c r="G1253" t="s">
        <v>73</v>
      </c>
      <c r="H1253">
        <v>2</v>
      </c>
    </row>
    <row r="1254" spans="1:8" x14ac:dyDescent="0.35">
      <c r="A1254">
        <v>5028197973636</v>
      </c>
      <c r="B1254" t="s">
        <v>1656</v>
      </c>
      <c r="C1254" t="s">
        <v>1657</v>
      </c>
      <c r="D1254" t="s">
        <v>1654</v>
      </c>
      <c r="E1254" t="s">
        <v>22</v>
      </c>
      <c r="F1254" t="s">
        <v>1655</v>
      </c>
      <c r="G1254" t="s">
        <v>73</v>
      </c>
      <c r="H1254">
        <v>1</v>
      </c>
    </row>
    <row r="1255" spans="1:8" x14ac:dyDescent="0.35">
      <c r="A1255">
        <v>5031021399281</v>
      </c>
      <c r="B1255" t="s">
        <v>1658</v>
      </c>
      <c r="C1255" t="s">
        <v>9</v>
      </c>
      <c r="D1255" t="s">
        <v>432</v>
      </c>
      <c r="E1255" t="s">
        <v>22</v>
      </c>
      <c r="F1255" t="s">
        <v>64</v>
      </c>
      <c r="G1255" t="s">
        <v>22</v>
      </c>
      <c r="H1255">
        <v>1</v>
      </c>
    </row>
    <row r="1256" spans="1:8" x14ac:dyDescent="0.35">
      <c r="A1256">
        <v>5033022002269</v>
      </c>
      <c r="B1256" t="s">
        <v>752</v>
      </c>
      <c r="C1256" t="s">
        <v>9</v>
      </c>
      <c r="D1256" t="s">
        <v>841</v>
      </c>
      <c r="E1256" t="s">
        <v>22</v>
      </c>
      <c r="F1256" t="s">
        <v>842</v>
      </c>
      <c r="G1256" t="s">
        <v>22</v>
      </c>
      <c r="H1256">
        <v>8</v>
      </c>
    </row>
    <row r="1257" spans="1:8" x14ac:dyDescent="0.35">
      <c r="A1257">
        <v>5033022002269</v>
      </c>
      <c r="B1257" t="s">
        <v>752</v>
      </c>
      <c r="C1257" t="s">
        <v>9</v>
      </c>
      <c r="D1257" t="s">
        <v>841</v>
      </c>
      <c r="E1257" t="s">
        <v>22</v>
      </c>
      <c r="F1257" t="s">
        <v>842</v>
      </c>
      <c r="G1257" t="s">
        <v>34</v>
      </c>
      <c r="H1257">
        <v>2</v>
      </c>
    </row>
    <row r="1258" spans="1:8" x14ac:dyDescent="0.35">
      <c r="A1258">
        <v>5033022002269</v>
      </c>
      <c r="B1258" t="s">
        <v>752</v>
      </c>
      <c r="C1258" t="s">
        <v>9</v>
      </c>
      <c r="D1258" t="s">
        <v>841</v>
      </c>
      <c r="E1258" t="s">
        <v>22</v>
      </c>
      <c r="F1258" t="s">
        <v>842</v>
      </c>
      <c r="G1258" t="s">
        <v>31</v>
      </c>
      <c r="H1258">
        <v>10</v>
      </c>
    </row>
    <row r="1259" spans="1:8" x14ac:dyDescent="0.35">
      <c r="A1259">
        <v>5033022002337</v>
      </c>
      <c r="B1259" t="s">
        <v>1050</v>
      </c>
      <c r="C1259" t="s">
        <v>9</v>
      </c>
      <c r="D1259" t="s">
        <v>841</v>
      </c>
      <c r="E1259" t="s">
        <v>22</v>
      </c>
      <c r="F1259" t="s">
        <v>842</v>
      </c>
      <c r="G1259" t="s">
        <v>22</v>
      </c>
      <c r="H1259">
        <v>1</v>
      </c>
    </row>
    <row r="1260" spans="1:8" x14ac:dyDescent="0.35">
      <c r="A1260">
        <v>5034660522782</v>
      </c>
      <c r="B1260" t="s">
        <v>679</v>
      </c>
      <c r="C1260" t="s">
        <v>1659</v>
      </c>
      <c r="D1260" t="s">
        <v>613</v>
      </c>
      <c r="E1260" t="s">
        <v>15</v>
      </c>
      <c r="F1260" t="s">
        <v>460</v>
      </c>
      <c r="G1260" t="s">
        <v>22</v>
      </c>
      <c r="H1260">
        <v>1</v>
      </c>
    </row>
    <row r="1261" spans="1:8" x14ac:dyDescent="0.35">
      <c r="A1261">
        <v>5034938200015</v>
      </c>
      <c r="B1261" t="s">
        <v>1660</v>
      </c>
      <c r="C1261" t="s">
        <v>9</v>
      </c>
      <c r="D1261" t="s">
        <v>1661</v>
      </c>
      <c r="E1261" t="s">
        <v>308</v>
      </c>
      <c r="F1261" t="s">
        <v>309</v>
      </c>
      <c r="G1261" t="s">
        <v>22</v>
      </c>
      <c r="H1261">
        <v>1</v>
      </c>
    </row>
    <row r="1262" spans="1:8" x14ac:dyDescent="0.35">
      <c r="A1262">
        <v>5034938500016</v>
      </c>
      <c r="B1262" t="s">
        <v>1662</v>
      </c>
      <c r="C1262" t="s">
        <v>9</v>
      </c>
      <c r="D1262" t="s">
        <v>1661</v>
      </c>
      <c r="E1262" t="s">
        <v>308</v>
      </c>
      <c r="F1262" t="s">
        <v>309</v>
      </c>
      <c r="G1262" t="s">
        <v>22</v>
      </c>
      <c r="H1262">
        <v>1</v>
      </c>
    </row>
    <row r="1263" spans="1:8" x14ac:dyDescent="0.35">
      <c r="A1263">
        <v>5034938500016</v>
      </c>
      <c r="B1263" t="s">
        <v>1662</v>
      </c>
      <c r="C1263" t="s">
        <v>9</v>
      </c>
      <c r="D1263" t="s">
        <v>1661</v>
      </c>
      <c r="E1263" t="s">
        <v>308</v>
      </c>
      <c r="F1263" t="s">
        <v>309</v>
      </c>
      <c r="G1263" t="s">
        <v>34</v>
      </c>
      <c r="H1263">
        <v>1</v>
      </c>
    </row>
    <row r="1264" spans="1:8" x14ac:dyDescent="0.35">
      <c r="A1264">
        <v>5035230100010</v>
      </c>
      <c r="B1264" t="s">
        <v>1663</v>
      </c>
      <c r="C1264" t="s">
        <v>268</v>
      </c>
      <c r="D1264" t="s">
        <v>1664</v>
      </c>
      <c r="E1264" t="s">
        <v>22</v>
      </c>
      <c r="F1264" t="s">
        <v>1665</v>
      </c>
      <c r="G1264" t="s">
        <v>22</v>
      </c>
      <c r="H1264">
        <v>1</v>
      </c>
    </row>
    <row r="1265" spans="1:8" x14ac:dyDescent="0.35">
      <c r="A1265">
        <v>5036589200970</v>
      </c>
      <c r="B1265" t="s">
        <v>1666</v>
      </c>
      <c r="C1265" t="s">
        <v>1394</v>
      </c>
      <c r="D1265" t="s">
        <v>1474</v>
      </c>
      <c r="E1265" t="s">
        <v>308</v>
      </c>
      <c r="F1265" t="s">
        <v>309</v>
      </c>
      <c r="G1265" t="s">
        <v>22</v>
      </c>
      <c r="H1265">
        <v>1</v>
      </c>
    </row>
    <row r="1266" spans="1:8" x14ac:dyDescent="0.35">
      <c r="A1266">
        <v>5036589253471</v>
      </c>
      <c r="B1266" t="s">
        <v>1667</v>
      </c>
      <c r="C1266" t="s">
        <v>1394</v>
      </c>
      <c r="D1266" t="s">
        <v>1474</v>
      </c>
      <c r="E1266" t="s">
        <v>308</v>
      </c>
      <c r="F1266" t="s">
        <v>309</v>
      </c>
      <c r="G1266" t="s">
        <v>22</v>
      </c>
      <c r="H1266">
        <v>1</v>
      </c>
    </row>
    <row r="1267" spans="1:8" x14ac:dyDescent="0.35">
      <c r="A1267">
        <v>5038862133555</v>
      </c>
      <c r="B1267" t="s">
        <v>1668</v>
      </c>
      <c r="C1267" t="s">
        <v>326</v>
      </c>
      <c r="D1267" t="s">
        <v>1669</v>
      </c>
      <c r="E1267" t="s">
        <v>15</v>
      </c>
      <c r="F1267" t="s">
        <v>14</v>
      </c>
      <c r="G1267" t="s">
        <v>22</v>
      </c>
      <c r="H1267">
        <v>1</v>
      </c>
    </row>
    <row r="1268" spans="1:8" x14ac:dyDescent="0.35">
      <c r="A1268">
        <v>5038862238397</v>
      </c>
      <c r="B1268" t="s">
        <v>1670</v>
      </c>
      <c r="C1268" t="s">
        <v>326</v>
      </c>
      <c r="D1268" t="s">
        <v>1669</v>
      </c>
      <c r="E1268" t="s">
        <v>15</v>
      </c>
      <c r="F1268" t="s">
        <v>14</v>
      </c>
      <c r="G1268" t="s">
        <v>22</v>
      </c>
      <c r="H1268">
        <v>1</v>
      </c>
    </row>
    <row r="1269" spans="1:8" x14ac:dyDescent="0.35">
      <c r="A1269">
        <v>5038862304504</v>
      </c>
      <c r="B1269" t="s">
        <v>1671</v>
      </c>
      <c r="C1269" t="s">
        <v>326</v>
      </c>
      <c r="D1269" t="s">
        <v>1669</v>
      </c>
      <c r="E1269" t="s">
        <v>15</v>
      </c>
      <c r="F1269" t="s">
        <v>14</v>
      </c>
      <c r="G1269" t="s">
        <v>22</v>
      </c>
      <c r="H1269">
        <v>4</v>
      </c>
    </row>
    <row r="1270" spans="1:8" x14ac:dyDescent="0.35">
      <c r="A1270">
        <v>5038896001011</v>
      </c>
      <c r="B1270" t="s">
        <v>1672</v>
      </c>
      <c r="C1270" t="s">
        <v>9</v>
      </c>
      <c r="D1270" t="s">
        <v>1672</v>
      </c>
      <c r="E1270" t="s">
        <v>22</v>
      </c>
      <c r="F1270" t="s">
        <v>1672</v>
      </c>
      <c r="G1270" t="s">
        <v>41</v>
      </c>
      <c r="H1270">
        <v>17</v>
      </c>
    </row>
    <row r="1271" spans="1:8" x14ac:dyDescent="0.35">
      <c r="A1271">
        <v>50411887</v>
      </c>
      <c r="B1271" t="s">
        <v>1673</v>
      </c>
      <c r="C1271" t="s">
        <v>9</v>
      </c>
      <c r="D1271" t="s">
        <v>1529</v>
      </c>
      <c r="E1271" t="s">
        <v>22</v>
      </c>
      <c r="F1271" t="s">
        <v>121</v>
      </c>
      <c r="G1271" t="s">
        <v>22</v>
      </c>
      <c r="H1271">
        <v>2</v>
      </c>
    </row>
    <row r="1272" spans="1:8" x14ac:dyDescent="0.35">
      <c r="A1272">
        <v>50412709</v>
      </c>
      <c r="B1272" t="s">
        <v>1674</v>
      </c>
      <c r="C1272" t="s">
        <v>1532</v>
      </c>
      <c r="D1272" t="s">
        <v>1430</v>
      </c>
      <c r="E1272" t="s">
        <v>22</v>
      </c>
      <c r="F1272" t="s">
        <v>121</v>
      </c>
      <c r="G1272" t="s">
        <v>22</v>
      </c>
      <c r="H1272">
        <v>1</v>
      </c>
    </row>
    <row r="1273" spans="1:8" x14ac:dyDescent="0.35">
      <c r="A1273">
        <v>50412716</v>
      </c>
      <c r="B1273" t="s">
        <v>1675</v>
      </c>
      <c r="C1273" t="s">
        <v>1532</v>
      </c>
      <c r="D1273" t="s">
        <v>1430</v>
      </c>
      <c r="E1273" t="s">
        <v>22</v>
      </c>
      <c r="F1273" t="s">
        <v>121</v>
      </c>
      <c r="G1273" t="s">
        <v>22</v>
      </c>
      <c r="H1273">
        <v>3</v>
      </c>
    </row>
    <row r="1274" spans="1:8" x14ac:dyDescent="0.35">
      <c r="A1274">
        <v>50457250</v>
      </c>
      <c r="B1274" t="s">
        <v>1421</v>
      </c>
      <c r="C1274" t="s">
        <v>1676</v>
      </c>
      <c r="D1274" t="s">
        <v>1600</v>
      </c>
      <c r="E1274" t="s">
        <v>15</v>
      </c>
      <c r="F1274" t="s">
        <v>1395</v>
      </c>
      <c r="G1274" t="s">
        <v>22</v>
      </c>
      <c r="H1274">
        <v>1</v>
      </c>
    </row>
    <row r="1275" spans="1:8" x14ac:dyDescent="0.35">
      <c r="A1275">
        <v>5050179317305</v>
      </c>
      <c r="B1275" t="s">
        <v>62</v>
      </c>
      <c r="C1275" t="s">
        <v>43</v>
      </c>
      <c r="D1275" t="s">
        <v>63</v>
      </c>
      <c r="E1275" t="s">
        <v>22</v>
      </c>
      <c r="F1275" t="s">
        <v>64</v>
      </c>
      <c r="G1275" t="s">
        <v>22</v>
      </c>
      <c r="H1275">
        <v>1</v>
      </c>
    </row>
    <row r="1276" spans="1:8" x14ac:dyDescent="0.35">
      <c r="A1276">
        <v>5050179761979</v>
      </c>
      <c r="B1276" t="s">
        <v>1677</v>
      </c>
      <c r="C1276" t="s">
        <v>1426</v>
      </c>
      <c r="D1276" t="s">
        <v>432</v>
      </c>
      <c r="E1276" t="s">
        <v>22</v>
      </c>
      <c r="F1276" t="s">
        <v>64</v>
      </c>
      <c r="G1276" t="s">
        <v>22</v>
      </c>
      <c r="H1276">
        <v>1</v>
      </c>
    </row>
    <row r="1277" spans="1:8" x14ac:dyDescent="0.35">
      <c r="A1277">
        <v>5050179761979</v>
      </c>
      <c r="B1277" t="s">
        <v>1677</v>
      </c>
      <c r="C1277" t="s">
        <v>1426</v>
      </c>
      <c r="D1277" t="s">
        <v>432</v>
      </c>
      <c r="E1277" t="s">
        <v>22</v>
      </c>
      <c r="F1277" t="s">
        <v>64</v>
      </c>
      <c r="G1277" t="s">
        <v>150</v>
      </c>
      <c r="H1277">
        <v>2</v>
      </c>
    </row>
    <row r="1278" spans="1:8" x14ac:dyDescent="0.35">
      <c r="A1278">
        <v>5050179762051</v>
      </c>
      <c r="B1278" t="s">
        <v>1678</v>
      </c>
      <c r="C1278" t="s">
        <v>1426</v>
      </c>
      <c r="D1278" t="s">
        <v>432</v>
      </c>
      <c r="E1278" t="s">
        <v>22</v>
      </c>
      <c r="F1278" t="s">
        <v>64</v>
      </c>
      <c r="G1278" t="s">
        <v>22</v>
      </c>
      <c r="H1278">
        <v>1</v>
      </c>
    </row>
    <row r="1279" spans="1:8" x14ac:dyDescent="0.35">
      <c r="A1279">
        <v>5050665038882</v>
      </c>
      <c r="B1279" t="s">
        <v>1679</v>
      </c>
      <c r="C1279" t="s">
        <v>1680</v>
      </c>
      <c r="D1279" t="s">
        <v>989</v>
      </c>
      <c r="E1279" t="s">
        <v>22</v>
      </c>
      <c r="F1279" t="s">
        <v>990</v>
      </c>
      <c r="G1279" t="s">
        <v>22</v>
      </c>
      <c r="H1279">
        <v>1</v>
      </c>
    </row>
    <row r="1280" spans="1:8" x14ac:dyDescent="0.35">
      <c r="A1280">
        <v>5050665039704</v>
      </c>
      <c r="B1280" t="s">
        <v>1681</v>
      </c>
      <c r="C1280" t="s">
        <v>1682</v>
      </c>
      <c r="D1280" t="s">
        <v>989</v>
      </c>
      <c r="E1280" t="s">
        <v>22</v>
      </c>
      <c r="F1280" t="s">
        <v>990</v>
      </c>
      <c r="G1280" t="s">
        <v>22</v>
      </c>
      <c r="H1280">
        <v>1</v>
      </c>
    </row>
    <row r="1281" spans="1:8" x14ac:dyDescent="0.35">
      <c r="A1281">
        <v>5051140152895</v>
      </c>
      <c r="B1281" t="s">
        <v>1683</v>
      </c>
      <c r="C1281" t="s">
        <v>1115</v>
      </c>
      <c r="D1281" t="s">
        <v>432</v>
      </c>
      <c r="E1281" t="s">
        <v>22</v>
      </c>
      <c r="F1281" t="s">
        <v>64</v>
      </c>
      <c r="G1281" t="s">
        <v>22</v>
      </c>
      <c r="H1281">
        <v>1</v>
      </c>
    </row>
    <row r="1282" spans="1:8" x14ac:dyDescent="0.35">
      <c r="A1282">
        <v>5051277007211</v>
      </c>
      <c r="B1282" t="s">
        <v>1684</v>
      </c>
      <c r="C1282" t="s">
        <v>43</v>
      </c>
      <c r="D1282" t="s">
        <v>63</v>
      </c>
      <c r="E1282" t="s">
        <v>22</v>
      </c>
      <c r="F1282" t="s">
        <v>64</v>
      </c>
      <c r="G1282" t="s">
        <v>22</v>
      </c>
      <c r="H1282">
        <v>2</v>
      </c>
    </row>
    <row r="1283" spans="1:8" x14ac:dyDescent="0.35">
      <c r="A1283">
        <v>5054073041434</v>
      </c>
      <c r="B1283" t="s">
        <v>1685</v>
      </c>
      <c r="C1283" t="s">
        <v>18</v>
      </c>
      <c r="D1283" t="s">
        <v>1686</v>
      </c>
      <c r="E1283" t="s">
        <v>308</v>
      </c>
      <c r="F1283" t="s">
        <v>309</v>
      </c>
      <c r="G1283" t="s">
        <v>22</v>
      </c>
      <c r="H1283">
        <v>1</v>
      </c>
    </row>
    <row r="1284" spans="1:8" x14ac:dyDescent="0.35">
      <c r="A1284">
        <v>5054073047559</v>
      </c>
      <c r="B1284" t="s">
        <v>119</v>
      </c>
      <c r="C1284" t="s">
        <v>9</v>
      </c>
      <c r="D1284" t="s">
        <v>1686</v>
      </c>
      <c r="E1284" t="s">
        <v>308</v>
      </c>
      <c r="F1284" t="s">
        <v>309</v>
      </c>
      <c r="G1284" t="s">
        <v>22</v>
      </c>
      <c r="H1284">
        <v>1</v>
      </c>
    </row>
    <row r="1285" spans="1:8" x14ac:dyDescent="0.35">
      <c r="A1285">
        <v>5054073047559</v>
      </c>
      <c r="B1285" t="s">
        <v>119</v>
      </c>
      <c r="C1285" t="s">
        <v>9</v>
      </c>
      <c r="D1285" t="s">
        <v>1686</v>
      </c>
      <c r="E1285" t="s">
        <v>308</v>
      </c>
      <c r="F1285" t="s">
        <v>309</v>
      </c>
      <c r="G1285" t="s">
        <v>34</v>
      </c>
      <c r="H1285">
        <v>1</v>
      </c>
    </row>
    <row r="1286" spans="1:8" x14ac:dyDescent="0.35">
      <c r="A1286">
        <v>5054267000162</v>
      </c>
      <c r="B1286" t="s">
        <v>167</v>
      </c>
      <c r="C1286" t="s">
        <v>849</v>
      </c>
      <c r="D1286" t="s">
        <v>1057</v>
      </c>
      <c r="E1286" t="s">
        <v>318</v>
      </c>
      <c r="F1286" t="s">
        <v>319</v>
      </c>
      <c r="G1286" t="s">
        <v>22</v>
      </c>
      <c r="H1286">
        <v>3</v>
      </c>
    </row>
    <row r="1287" spans="1:8" x14ac:dyDescent="0.35">
      <c r="A1287">
        <v>5054267000216</v>
      </c>
      <c r="B1287" t="s">
        <v>1687</v>
      </c>
      <c r="C1287" t="s">
        <v>9</v>
      </c>
      <c r="D1287" t="s">
        <v>1057</v>
      </c>
      <c r="E1287" t="s">
        <v>318</v>
      </c>
      <c r="F1287" t="s">
        <v>319</v>
      </c>
      <c r="G1287" t="s">
        <v>22</v>
      </c>
      <c r="H1287">
        <v>6</v>
      </c>
    </row>
    <row r="1288" spans="1:8" x14ac:dyDescent="0.35">
      <c r="A1288">
        <v>5054267000438</v>
      </c>
      <c r="B1288" t="s">
        <v>1688</v>
      </c>
      <c r="C1288" t="s">
        <v>849</v>
      </c>
      <c r="D1288" t="s">
        <v>1688</v>
      </c>
      <c r="E1288" t="s">
        <v>318</v>
      </c>
      <c r="F1288" t="s">
        <v>319</v>
      </c>
      <c r="G1288" t="s">
        <v>22</v>
      </c>
      <c r="H1288">
        <v>1</v>
      </c>
    </row>
    <row r="1289" spans="1:8" x14ac:dyDescent="0.35">
      <c r="A1289">
        <v>5054267000612</v>
      </c>
      <c r="B1289" t="s">
        <v>1689</v>
      </c>
      <c r="C1289" t="s">
        <v>9</v>
      </c>
      <c r="D1289" t="s">
        <v>1057</v>
      </c>
      <c r="E1289" t="s">
        <v>318</v>
      </c>
      <c r="F1289" t="s">
        <v>319</v>
      </c>
      <c r="G1289" t="s">
        <v>22</v>
      </c>
      <c r="H1289">
        <v>5</v>
      </c>
    </row>
    <row r="1290" spans="1:8" x14ac:dyDescent="0.35">
      <c r="A1290">
        <v>5054267000681</v>
      </c>
      <c r="B1290" t="s">
        <v>1690</v>
      </c>
      <c r="C1290" t="s">
        <v>9</v>
      </c>
      <c r="D1290" t="s">
        <v>1057</v>
      </c>
      <c r="E1290" t="s">
        <v>318</v>
      </c>
      <c r="F1290" t="s">
        <v>319</v>
      </c>
      <c r="G1290" t="s">
        <v>22</v>
      </c>
      <c r="H1290">
        <v>43</v>
      </c>
    </row>
    <row r="1291" spans="1:8" x14ac:dyDescent="0.35">
      <c r="A1291">
        <v>5054267000704</v>
      </c>
      <c r="B1291" t="s">
        <v>1691</v>
      </c>
      <c r="C1291" t="s">
        <v>9</v>
      </c>
      <c r="D1291" t="s">
        <v>1057</v>
      </c>
      <c r="E1291" t="s">
        <v>318</v>
      </c>
      <c r="F1291" t="s">
        <v>319</v>
      </c>
      <c r="G1291" t="s">
        <v>22</v>
      </c>
      <c r="H1291">
        <v>13</v>
      </c>
    </row>
    <row r="1292" spans="1:8" x14ac:dyDescent="0.35">
      <c r="A1292">
        <v>5054267001138</v>
      </c>
      <c r="B1292" t="s">
        <v>1692</v>
      </c>
      <c r="C1292" t="s">
        <v>9</v>
      </c>
      <c r="D1292" t="s">
        <v>1057</v>
      </c>
      <c r="E1292" t="s">
        <v>318</v>
      </c>
      <c r="F1292" t="s">
        <v>319</v>
      </c>
      <c r="G1292" t="s">
        <v>22</v>
      </c>
      <c r="H1292">
        <v>1</v>
      </c>
    </row>
    <row r="1293" spans="1:8" x14ac:dyDescent="0.35">
      <c r="A1293">
        <v>5054267002715</v>
      </c>
      <c r="B1293" t="s">
        <v>1693</v>
      </c>
      <c r="C1293" t="s">
        <v>326</v>
      </c>
      <c r="D1293" t="s">
        <v>1057</v>
      </c>
      <c r="E1293" t="s">
        <v>318</v>
      </c>
      <c r="F1293" t="s">
        <v>319</v>
      </c>
      <c r="G1293" t="s">
        <v>22</v>
      </c>
      <c r="H1293">
        <v>2</v>
      </c>
    </row>
    <row r="1294" spans="1:8" x14ac:dyDescent="0.35">
      <c r="A1294">
        <v>5054267007871</v>
      </c>
      <c r="B1294" t="s">
        <v>148</v>
      </c>
      <c r="C1294" t="s">
        <v>9</v>
      </c>
      <c r="D1294" t="s">
        <v>1057</v>
      </c>
      <c r="E1294" t="s">
        <v>318</v>
      </c>
      <c r="F1294" t="s">
        <v>319</v>
      </c>
      <c r="G1294" t="s">
        <v>22</v>
      </c>
      <c r="H1294">
        <v>2</v>
      </c>
    </row>
    <row r="1295" spans="1:8" x14ac:dyDescent="0.35">
      <c r="A1295">
        <v>5054267007895</v>
      </c>
      <c r="B1295" t="s">
        <v>1694</v>
      </c>
      <c r="C1295" t="s">
        <v>9</v>
      </c>
      <c r="D1295" t="s">
        <v>1688</v>
      </c>
      <c r="E1295" t="s">
        <v>318</v>
      </c>
      <c r="F1295" t="s">
        <v>319</v>
      </c>
      <c r="G1295" t="s">
        <v>22</v>
      </c>
      <c r="H1295">
        <v>1</v>
      </c>
    </row>
    <row r="1296" spans="1:8" x14ac:dyDescent="0.35">
      <c r="A1296">
        <v>5054267008106</v>
      </c>
      <c r="B1296" t="s">
        <v>1695</v>
      </c>
      <c r="C1296" t="s">
        <v>849</v>
      </c>
      <c r="D1296" t="s">
        <v>1057</v>
      </c>
      <c r="E1296" t="s">
        <v>318</v>
      </c>
      <c r="F1296" t="s">
        <v>319</v>
      </c>
      <c r="G1296" t="s">
        <v>22</v>
      </c>
      <c r="H1296">
        <v>1</v>
      </c>
    </row>
    <row r="1297" spans="1:8" x14ac:dyDescent="0.35">
      <c r="A1297">
        <v>5054267009349</v>
      </c>
      <c r="B1297" t="s">
        <v>1691</v>
      </c>
      <c r="C1297" t="s">
        <v>9</v>
      </c>
      <c r="D1297" t="s">
        <v>1057</v>
      </c>
      <c r="E1297" t="s">
        <v>318</v>
      </c>
      <c r="F1297" t="s">
        <v>319</v>
      </c>
      <c r="G1297" t="s">
        <v>22</v>
      </c>
      <c r="H1297">
        <v>8</v>
      </c>
    </row>
    <row r="1298" spans="1:8" x14ac:dyDescent="0.35">
      <c r="A1298">
        <v>5054267009356</v>
      </c>
      <c r="B1298" t="s">
        <v>1696</v>
      </c>
      <c r="C1298" t="s">
        <v>9</v>
      </c>
      <c r="D1298" t="s">
        <v>1057</v>
      </c>
      <c r="E1298" t="s">
        <v>318</v>
      </c>
      <c r="F1298" t="s">
        <v>319</v>
      </c>
      <c r="G1298" t="s">
        <v>22</v>
      </c>
      <c r="H1298">
        <v>19</v>
      </c>
    </row>
    <row r="1299" spans="1:8" x14ac:dyDescent="0.35">
      <c r="A1299">
        <v>5054267009417</v>
      </c>
      <c r="B1299" t="s">
        <v>1697</v>
      </c>
      <c r="C1299" t="s">
        <v>849</v>
      </c>
      <c r="D1299" t="s">
        <v>1057</v>
      </c>
      <c r="E1299" t="s">
        <v>318</v>
      </c>
      <c r="F1299" t="s">
        <v>319</v>
      </c>
      <c r="G1299" t="s">
        <v>22</v>
      </c>
      <c r="H1299">
        <v>8</v>
      </c>
    </row>
    <row r="1300" spans="1:8" x14ac:dyDescent="0.35">
      <c r="A1300">
        <v>5054267009493</v>
      </c>
      <c r="B1300" t="s">
        <v>1698</v>
      </c>
      <c r="C1300" t="s">
        <v>849</v>
      </c>
      <c r="D1300" t="s">
        <v>1057</v>
      </c>
      <c r="E1300" t="s">
        <v>318</v>
      </c>
      <c r="F1300" t="s">
        <v>319</v>
      </c>
      <c r="G1300" t="s">
        <v>22</v>
      </c>
      <c r="H1300">
        <v>2</v>
      </c>
    </row>
    <row r="1301" spans="1:8" x14ac:dyDescent="0.35">
      <c r="A1301">
        <v>5054267009615</v>
      </c>
      <c r="B1301" t="s">
        <v>994</v>
      </c>
      <c r="C1301" t="s">
        <v>993</v>
      </c>
      <c r="D1301" t="s">
        <v>994</v>
      </c>
      <c r="E1301" t="s">
        <v>318</v>
      </c>
      <c r="F1301" t="s">
        <v>319</v>
      </c>
      <c r="G1301" t="s">
        <v>22</v>
      </c>
      <c r="H1301">
        <v>1</v>
      </c>
    </row>
    <row r="1302" spans="1:8" x14ac:dyDescent="0.35">
      <c r="A1302">
        <v>5054267010765</v>
      </c>
      <c r="B1302" t="s">
        <v>1699</v>
      </c>
      <c r="C1302" t="s">
        <v>1700</v>
      </c>
      <c r="D1302" t="s">
        <v>1057</v>
      </c>
      <c r="E1302" t="s">
        <v>318</v>
      </c>
      <c r="F1302" t="s">
        <v>319</v>
      </c>
      <c r="G1302" t="s">
        <v>22</v>
      </c>
      <c r="H1302">
        <v>2</v>
      </c>
    </row>
    <row r="1303" spans="1:8" x14ac:dyDescent="0.35">
      <c r="A1303">
        <v>5054267010819</v>
      </c>
      <c r="B1303" t="s">
        <v>1701</v>
      </c>
      <c r="C1303" t="s">
        <v>1700</v>
      </c>
      <c r="D1303" t="s">
        <v>1057</v>
      </c>
      <c r="E1303" t="s">
        <v>318</v>
      </c>
      <c r="F1303" t="s">
        <v>319</v>
      </c>
      <c r="G1303" t="s">
        <v>22</v>
      </c>
      <c r="H1303">
        <v>7</v>
      </c>
    </row>
    <row r="1304" spans="1:8" x14ac:dyDescent="0.35">
      <c r="A1304">
        <v>5054267010840</v>
      </c>
      <c r="B1304" t="s">
        <v>1702</v>
      </c>
      <c r="C1304" t="s">
        <v>1700</v>
      </c>
      <c r="D1304" t="s">
        <v>1057</v>
      </c>
      <c r="E1304" t="s">
        <v>318</v>
      </c>
      <c r="F1304" t="s">
        <v>319</v>
      </c>
      <c r="G1304" t="s">
        <v>22</v>
      </c>
      <c r="H1304">
        <v>1</v>
      </c>
    </row>
    <row r="1305" spans="1:8" x14ac:dyDescent="0.35">
      <c r="A1305">
        <v>5054267010895</v>
      </c>
      <c r="B1305" t="s">
        <v>295</v>
      </c>
      <c r="C1305" t="s">
        <v>1703</v>
      </c>
      <c r="D1305" t="s">
        <v>1057</v>
      </c>
      <c r="E1305" t="s">
        <v>318</v>
      </c>
      <c r="F1305" t="s">
        <v>319</v>
      </c>
      <c r="G1305" t="s">
        <v>22</v>
      </c>
      <c r="H1305">
        <v>1</v>
      </c>
    </row>
    <row r="1306" spans="1:8" x14ac:dyDescent="0.35">
      <c r="A1306">
        <v>5054267011960</v>
      </c>
      <c r="B1306" t="s">
        <v>1056</v>
      </c>
      <c r="C1306" t="s">
        <v>9</v>
      </c>
      <c r="D1306" t="s">
        <v>1057</v>
      </c>
      <c r="E1306" t="s">
        <v>318</v>
      </c>
      <c r="F1306" t="s">
        <v>319</v>
      </c>
      <c r="G1306" t="s">
        <v>22</v>
      </c>
      <c r="H1306">
        <v>2</v>
      </c>
    </row>
    <row r="1307" spans="1:8" x14ac:dyDescent="0.35">
      <c r="A1307">
        <v>5054267012172</v>
      </c>
      <c r="B1307" t="s">
        <v>1704</v>
      </c>
      <c r="C1307" t="s">
        <v>849</v>
      </c>
      <c r="D1307" t="s">
        <v>1057</v>
      </c>
      <c r="E1307" t="s">
        <v>318</v>
      </c>
      <c r="F1307" t="s">
        <v>319</v>
      </c>
      <c r="G1307" t="s">
        <v>22</v>
      </c>
      <c r="H1307">
        <v>2</v>
      </c>
    </row>
    <row r="1308" spans="1:8" x14ac:dyDescent="0.35">
      <c r="A1308">
        <v>5054267012172</v>
      </c>
      <c r="B1308" t="s">
        <v>1704</v>
      </c>
      <c r="C1308" t="s">
        <v>849</v>
      </c>
      <c r="D1308" t="s">
        <v>1057</v>
      </c>
      <c r="E1308" t="s">
        <v>318</v>
      </c>
      <c r="F1308" t="s">
        <v>319</v>
      </c>
      <c r="G1308" t="s">
        <v>41</v>
      </c>
      <c r="H1308">
        <v>4</v>
      </c>
    </row>
    <row r="1309" spans="1:8" x14ac:dyDescent="0.35">
      <c r="A1309">
        <v>5054267012752</v>
      </c>
      <c r="B1309" t="s">
        <v>1705</v>
      </c>
      <c r="C1309" t="s">
        <v>849</v>
      </c>
      <c r="D1309" t="s">
        <v>1057</v>
      </c>
      <c r="E1309" t="s">
        <v>318</v>
      </c>
      <c r="F1309" t="s">
        <v>319</v>
      </c>
      <c r="G1309" t="s">
        <v>117</v>
      </c>
      <c r="H1309">
        <v>1</v>
      </c>
    </row>
    <row r="1310" spans="1:8" x14ac:dyDescent="0.35">
      <c r="A1310">
        <v>5054267012752</v>
      </c>
      <c r="B1310" t="s">
        <v>1705</v>
      </c>
      <c r="C1310" t="s">
        <v>849</v>
      </c>
      <c r="D1310" t="s">
        <v>1057</v>
      </c>
      <c r="E1310" t="s">
        <v>318</v>
      </c>
      <c r="F1310" t="s">
        <v>319</v>
      </c>
      <c r="G1310" t="s">
        <v>41</v>
      </c>
      <c r="H1310">
        <v>29</v>
      </c>
    </row>
    <row r="1311" spans="1:8" x14ac:dyDescent="0.35">
      <c r="A1311">
        <v>5054267014268</v>
      </c>
      <c r="B1311" t="s">
        <v>1706</v>
      </c>
      <c r="C1311" t="s">
        <v>603</v>
      </c>
      <c r="D1311" t="s">
        <v>1057</v>
      </c>
      <c r="E1311" t="s">
        <v>318</v>
      </c>
      <c r="F1311" t="s">
        <v>319</v>
      </c>
      <c r="G1311" t="s">
        <v>22</v>
      </c>
      <c r="H1311">
        <v>1</v>
      </c>
    </row>
    <row r="1312" spans="1:8" x14ac:dyDescent="0.35">
      <c r="A1312">
        <v>5054267014374</v>
      </c>
      <c r="B1312" t="s">
        <v>1707</v>
      </c>
      <c r="C1312" t="s">
        <v>9</v>
      </c>
      <c r="D1312" t="s">
        <v>1057</v>
      </c>
      <c r="E1312" t="s">
        <v>318</v>
      </c>
      <c r="F1312" t="s">
        <v>319</v>
      </c>
      <c r="G1312" t="s">
        <v>22</v>
      </c>
      <c r="H1312">
        <v>1</v>
      </c>
    </row>
    <row r="1313" spans="1:8" x14ac:dyDescent="0.35">
      <c r="A1313">
        <v>5054402078193</v>
      </c>
      <c r="B1313" t="s">
        <v>1708</v>
      </c>
      <c r="C1313" t="s">
        <v>239</v>
      </c>
      <c r="D1313" t="s">
        <v>432</v>
      </c>
      <c r="E1313" t="s">
        <v>22</v>
      </c>
      <c r="F1313" t="s">
        <v>64</v>
      </c>
      <c r="G1313" t="s">
        <v>22</v>
      </c>
      <c r="H1313">
        <v>1</v>
      </c>
    </row>
    <row r="1314" spans="1:8" x14ac:dyDescent="0.35">
      <c r="A1314">
        <v>5054781491200</v>
      </c>
      <c r="B1314" t="s">
        <v>1709</v>
      </c>
      <c r="C1314" t="s">
        <v>1710</v>
      </c>
      <c r="D1314" t="s">
        <v>1153</v>
      </c>
      <c r="E1314" t="s">
        <v>15</v>
      </c>
      <c r="F1314" t="s">
        <v>574</v>
      </c>
      <c r="G1314" t="s">
        <v>22</v>
      </c>
      <c r="H1314">
        <v>1</v>
      </c>
    </row>
    <row r="1315" spans="1:8" x14ac:dyDescent="0.35">
      <c r="A1315">
        <v>5054781718635</v>
      </c>
      <c r="B1315" t="s">
        <v>1711</v>
      </c>
      <c r="C1315" t="s">
        <v>419</v>
      </c>
      <c r="D1315" t="s">
        <v>1153</v>
      </c>
      <c r="E1315" t="s">
        <v>15</v>
      </c>
      <c r="F1315" t="s">
        <v>574</v>
      </c>
      <c r="G1315" t="s">
        <v>22</v>
      </c>
      <c r="H1315">
        <v>1</v>
      </c>
    </row>
    <row r="1316" spans="1:8" x14ac:dyDescent="0.35">
      <c r="A1316">
        <v>5056079900678</v>
      </c>
      <c r="B1316" t="s">
        <v>1712</v>
      </c>
      <c r="C1316" t="s">
        <v>9</v>
      </c>
      <c r="D1316" t="s">
        <v>679</v>
      </c>
      <c r="E1316" t="s">
        <v>22</v>
      </c>
      <c r="F1316" t="s">
        <v>680</v>
      </c>
      <c r="G1316" t="s">
        <v>22</v>
      </c>
      <c r="H1316">
        <v>3</v>
      </c>
    </row>
    <row r="1317" spans="1:8" x14ac:dyDescent="0.35">
      <c r="A1317">
        <v>5056079900746</v>
      </c>
      <c r="B1317" t="s">
        <v>1713</v>
      </c>
      <c r="C1317" t="s">
        <v>9</v>
      </c>
      <c r="D1317" t="s">
        <v>679</v>
      </c>
      <c r="E1317" t="s">
        <v>22</v>
      </c>
      <c r="F1317" t="s">
        <v>680</v>
      </c>
      <c r="G1317" t="s">
        <v>22</v>
      </c>
      <c r="H1317">
        <v>2</v>
      </c>
    </row>
    <row r="1318" spans="1:8" x14ac:dyDescent="0.35">
      <c r="A1318">
        <v>5056079900753</v>
      </c>
      <c r="B1318" t="s">
        <v>1714</v>
      </c>
      <c r="C1318" t="s">
        <v>9</v>
      </c>
      <c r="D1318" t="s">
        <v>679</v>
      </c>
      <c r="E1318" t="s">
        <v>22</v>
      </c>
      <c r="F1318" t="s">
        <v>680</v>
      </c>
      <c r="G1318" t="s">
        <v>22</v>
      </c>
      <c r="H1318">
        <v>2</v>
      </c>
    </row>
    <row r="1319" spans="1:8" x14ac:dyDescent="0.35">
      <c r="A1319">
        <v>5056079900760</v>
      </c>
      <c r="B1319" t="s">
        <v>1715</v>
      </c>
      <c r="C1319" t="s">
        <v>9</v>
      </c>
      <c r="D1319" t="s">
        <v>679</v>
      </c>
      <c r="E1319" t="s">
        <v>22</v>
      </c>
      <c r="F1319" t="s">
        <v>680</v>
      </c>
      <c r="G1319" t="s">
        <v>22</v>
      </c>
      <c r="H1319">
        <v>1</v>
      </c>
    </row>
    <row r="1320" spans="1:8" x14ac:dyDescent="0.35">
      <c r="A1320">
        <v>5056079901293</v>
      </c>
      <c r="B1320" t="s">
        <v>1619</v>
      </c>
      <c r="C1320" t="s">
        <v>9</v>
      </c>
      <c r="D1320" t="s">
        <v>1716</v>
      </c>
      <c r="E1320" t="s">
        <v>22</v>
      </c>
      <c r="F1320" t="s">
        <v>680</v>
      </c>
      <c r="G1320" t="s">
        <v>22</v>
      </c>
      <c r="H1320">
        <v>1</v>
      </c>
    </row>
    <row r="1321" spans="1:8" x14ac:dyDescent="0.35">
      <c r="A1321">
        <v>5056079901309</v>
      </c>
      <c r="B1321" t="s">
        <v>1717</v>
      </c>
      <c r="C1321" t="s">
        <v>9</v>
      </c>
      <c r="D1321" t="s">
        <v>679</v>
      </c>
      <c r="E1321" t="s">
        <v>22</v>
      </c>
      <c r="F1321" t="s">
        <v>680</v>
      </c>
      <c r="G1321" t="s">
        <v>22</v>
      </c>
      <c r="H1321">
        <v>1</v>
      </c>
    </row>
    <row r="1322" spans="1:8" x14ac:dyDescent="0.35">
      <c r="A1322">
        <v>5056079901316</v>
      </c>
      <c r="B1322" t="s">
        <v>1718</v>
      </c>
      <c r="C1322" t="s">
        <v>9</v>
      </c>
      <c r="D1322" t="s">
        <v>679</v>
      </c>
      <c r="E1322" t="s">
        <v>22</v>
      </c>
      <c r="F1322" t="s">
        <v>680</v>
      </c>
      <c r="G1322" t="s">
        <v>22</v>
      </c>
      <c r="H1322">
        <v>1</v>
      </c>
    </row>
    <row r="1323" spans="1:8" x14ac:dyDescent="0.35">
      <c r="A1323">
        <v>5056079901644</v>
      </c>
      <c r="B1323" t="s">
        <v>1615</v>
      </c>
      <c r="C1323" t="s">
        <v>9</v>
      </c>
      <c r="D1323" t="s">
        <v>679</v>
      </c>
      <c r="E1323" t="s">
        <v>22</v>
      </c>
      <c r="F1323" t="s">
        <v>680</v>
      </c>
      <c r="G1323" t="s">
        <v>22</v>
      </c>
      <c r="H1323">
        <v>1</v>
      </c>
    </row>
    <row r="1324" spans="1:8" x14ac:dyDescent="0.35">
      <c r="A1324">
        <v>5056204200031</v>
      </c>
      <c r="B1324" t="s">
        <v>119</v>
      </c>
      <c r="C1324" t="s">
        <v>9</v>
      </c>
      <c r="D1324" t="s">
        <v>1719</v>
      </c>
      <c r="E1324" t="s">
        <v>130</v>
      </c>
      <c r="F1324" t="s">
        <v>1720</v>
      </c>
      <c r="G1324" t="s">
        <v>22</v>
      </c>
      <c r="H1324">
        <v>2</v>
      </c>
    </row>
    <row r="1325" spans="1:8" x14ac:dyDescent="0.35">
      <c r="A1325">
        <v>5056357910306</v>
      </c>
      <c r="B1325" t="s">
        <v>1721</v>
      </c>
      <c r="C1325" t="s">
        <v>472</v>
      </c>
      <c r="D1325" t="s">
        <v>1722</v>
      </c>
      <c r="E1325" t="s">
        <v>15</v>
      </c>
      <c r="F1325" t="s">
        <v>1227</v>
      </c>
      <c r="G1325" t="s">
        <v>22</v>
      </c>
      <c r="H1325">
        <v>1</v>
      </c>
    </row>
    <row r="1326" spans="1:8" x14ac:dyDescent="0.35">
      <c r="A1326">
        <v>5057172120215</v>
      </c>
      <c r="B1326" t="s">
        <v>1723</v>
      </c>
      <c r="C1326" t="s">
        <v>9</v>
      </c>
      <c r="D1326" t="s">
        <v>1153</v>
      </c>
      <c r="E1326" t="s">
        <v>15</v>
      </c>
      <c r="F1326" t="s">
        <v>574</v>
      </c>
      <c r="G1326" t="s">
        <v>22</v>
      </c>
      <c r="H1326">
        <v>1</v>
      </c>
    </row>
    <row r="1327" spans="1:8" x14ac:dyDescent="0.35">
      <c r="A1327">
        <v>5057753285500</v>
      </c>
      <c r="B1327" t="s">
        <v>1724</v>
      </c>
      <c r="C1327" t="s">
        <v>9</v>
      </c>
      <c r="D1327" t="s">
        <v>432</v>
      </c>
      <c r="E1327" t="s">
        <v>22</v>
      </c>
      <c r="F1327" t="s">
        <v>64</v>
      </c>
      <c r="G1327" t="s">
        <v>22</v>
      </c>
      <c r="H1327">
        <v>1</v>
      </c>
    </row>
    <row r="1328" spans="1:8" x14ac:dyDescent="0.35">
      <c r="A1328">
        <v>5057753285807</v>
      </c>
      <c r="B1328" t="s">
        <v>1725</v>
      </c>
      <c r="C1328" t="s">
        <v>9</v>
      </c>
      <c r="D1328" t="s">
        <v>432</v>
      </c>
      <c r="E1328" t="s">
        <v>22</v>
      </c>
      <c r="F1328" t="s">
        <v>64</v>
      </c>
      <c r="G1328" t="s">
        <v>22</v>
      </c>
      <c r="H1328">
        <v>1</v>
      </c>
    </row>
    <row r="1329" spans="1:8" x14ac:dyDescent="0.35">
      <c r="A1329">
        <v>5057753654504</v>
      </c>
      <c r="B1329" t="s">
        <v>1726</v>
      </c>
      <c r="C1329" t="s">
        <v>912</v>
      </c>
      <c r="D1329" t="s">
        <v>432</v>
      </c>
      <c r="E1329" t="s">
        <v>22</v>
      </c>
      <c r="F1329" t="s">
        <v>64</v>
      </c>
      <c r="G1329" t="s">
        <v>22</v>
      </c>
      <c r="H1329">
        <v>1</v>
      </c>
    </row>
    <row r="1330" spans="1:8" x14ac:dyDescent="0.35">
      <c r="A1330">
        <v>5057753891985</v>
      </c>
      <c r="B1330" t="s">
        <v>1727</v>
      </c>
      <c r="C1330" t="s">
        <v>272</v>
      </c>
      <c r="D1330" t="s">
        <v>432</v>
      </c>
      <c r="E1330" t="s">
        <v>22</v>
      </c>
      <c r="F1330" t="s">
        <v>64</v>
      </c>
      <c r="G1330" t="s">
        <v>22</v>
      </c>
      <c r="H1330">
        <v>1</v>
      </c>
    </row>
    <row r="1331" spans="1:8" x14ac:dyDescent="0.35">
      <c r="A1331">
        <v>5057753909536</v>
      </c>
      <c r="B1331" t="s">
        <v>1728</v>
      </c>
      <c r="C1331" t="s">
        <v>431</v>
      </c>
      <c r="D1331" t="s">
        <v>432</v>
      </c>
      <c r="E1331" t="s">
        <v>22</v>
      </c>
      <c r="F1331" t="s">
        <v>64</v>
      </c>
      <c r="G1331" t="s">
        <v>22</v>
      </c>
      <c r="H1331">
        <v>1</v>
      </c>
    </row>
    <row r="1332" spans="1:8" x14ac:dyDescent="0.35">
      <c r="A1332">
        <v>5057753938680</v>
      </c>
      <c r="B1332" t="s">
        <v>1205</v>
      </c>
      <c r="C1332" t="s">
        <v>1729</v>
      </c>
      <c r="D1332" t="s">
        <v>432</v>
      </c>
      <c r="E1332" t="s">
        <v>22</v>
      </c>
      <c r="F1332" t="s">
        <v>64</v>
      </c>
      <c r="G1332" t="s">
        <v>22</v>
      </c>
      <c r="H1332">
        <v>1</v>
      </c>
    </row>
    <row r="1333" spans="1:8" x14ac:dyDescent="0.35">
      <c r="A1333">
        <v>5059883177496</v>
      </c>
      <c r="B1333" t="s">
        <v>1730</v>
      </c>
      <c r="C1333" t="s">
        <v>562</v>
      </c>
      <c r="D1333" t="s">
        <v>1731</v>
      </c>
      <c r="E1333" t="s">
        <v>22</v>
      </c>
      <c r="F1333" t="s">
        <v>1732</v>
      </c>
      <c r="G1333" t="s">
        <v>22</v>
      </c>
      <c r="H1333">
        <v>1</v>
      </c>
    </row>
    <row r="1334" spans="1:8" x14ac:dyDescent="0.35">
      <c r="A1334">
        <v>5060042350032</v>
      </c>
      <c r="B1334" t="s">
        <v>235</v>
      </c>
      <c r="C1334" t="s">
        <v>9</v>
      </c>
      <c r="D1334" t="s">
        <v>1733</v>
      </c>
      <c r="E1334" t="s">
        <v>130</v>
      </c>
      <c r="F1334" t="s">
        <v>220</v>
      </c>
      <c r="G1334" t="s">
        <v>22</v>
      </c>
      <c r="H1334">
        <v>18</v>
      </c>
    </row>
    <row r="1335" spans="1:8" x14ac:dyDescent="0.35">
      <c r="A1335">
        <v>5060042350049</v>
      </c>
      <c r="B1335" t="s">
        <v>1734</v>
      </c>
      <c r="C1335" t="s">
        <v>9</v>
      </c>
      <c r="D1335" t="s">
        <v>1733</v>
      </c>
      <c r="E1335" t="s">
        <v>130</v>
      </c>
      <c r="F1335" t="s">
        <v>220</v>
      </c>
      <c r="G1335" t="s">
        <v>22</v>
      </c>
      <c r="H1335">
        <v>1</v>
      </c>
    </row>
    <row r="1336" spans="1:8" x14ac:dyDescent="0.35">
      <c r="A1336">
        <v>5060042350056</v>
      </c>
      <c r="B1336" t="s">
        <v>235</v>
      </c>
      <c r="C1336" t="s">
        <v>9</v>
      </c>
      <c r="D1336" t="s">
        <v>1733</v>
      </c>
      <c r="E1336" t="s">
        <v>130</v>
      </c>
      <c r="F1336" t="s">
        <v>220</v>
      </c>
      <c r="G1336" t="s">
        <v>22</v>
      </c>
      <c r="H1336">
        <v>2</v>
      </c>
    </row>
    <row r="1337" spans="1:8" x14ac:dyDescent="0.35">
      <c r="A1337">
        <v>5060042350124</v>
      </c>
      <c r="B1337" t="s">
        <v>1050</v>
      </c>
      <c r="C1337" t="s">
        <v>603</v>
      </c>
      <c r="D1337" t="s">
        <v>1733</v>
      </c>
      <c r="E1337" t="s">
        <v>130</v>
      </c>
      <c r="F1337" t="s">
        <v>220</v>
      </c>
      <c r="G1337" t="s">
        <v>22</v>
      </c>
      <c r="H1337">
        <v>1</v>
      </c>
    </row>
    <row r="1338" spans="1:8" x14ac:dyDescent="0.35">
      <c r="A1338">
        <v>5060042641000</v>
      </c>
      <c r="B1338" t="s">
        <v>1735</v>
      </c>
      <c r="C1338" t="s">
        <v>1175</v>
      </c>
      <c r="D1338" t="s">
        <v>1736</v>
      </c>
      <c r="E1338" t="s">
        <v>22</v>
      </c>
      <c r="F1338" t="s">
        <v>1143</v>
      </c>
      <c r="G1338" t="s">
        <v>22</v>
      </c>
      <c r="H1338">
        <v>1</v>
      </c>
    </row>
    <row r="1339" spans="1:8" x14ac:dyDescent="0.35">
      <c r="A1339">
        <v>5060060212077</v>
      </c>
      <c r="B1339" t="s">
        <v>1737</v>
      </c>
      <c r="C1339" t="s">
        <v>1738</v>
      </c>
      <c r="D1339" t="s">
        <v>1739</v>
      </c>
      <c r="E1339" t="s">
        <v>22</v>
      </c>
      <c r="F1339" t="s">
        <v>1740</v>
      </c>
      <c r="G1339" t="s">
        <v>41</v>
      </c>
      <c r="H1339">
        <v>40</v>
      </c>
    </row>
    <row r="1340" spans="1:8" x14ac:dyDescent="0.35">
      <c r="A1340">
        <v>5060119293309</v>
      </c>
      <c r="B1340" t="s">
        <v>1741</v>
      </c>
      <c r="C1340" t="s">
        <v>659</v>
      </c>
      <c r="D1340" t="s">
        <v>1742</v>
      </c>
      <c r="E1340" t="s">
        <v>22</v>
      </c>
      <c r="F1340" t="s">
        <v>1743</v>
      </c>
      <c r="G1340" t="s">
        <v>22</v>
      </c>
      <c r="H1340">
        <v>1</v>
      </c>
    </row>
    <row r="1341" spans="1:8" x14ac:dyDescent="0.35">
      <c r="A1341">
        <v>5060122038911</v>
      </c>
      <c r="B1341" t="s">
        <v>1744</v>
      </c>
      <c r="C1341" t="s">
        <v>1745</v>
      </c>
      <c r="D1341" t="s">
        <v>1722</v>
      </c>
      <c r="E1341" t="s">
        <v>15</v>
      </c>
      <c r="F1341" t="s">
        <v>1227</v>
      </c>
      <c r="G1341" t="s">
        <v>22</v>
      </c>
      <c r="H1341">
        <v>1</v>
      </c>
    </row>
    <row r="1342" spans="1:8" x14ac:dyDescent="0.35">
      <c r="A1342">
        <v>5060198645617</v>
      </c>
      <c r="B1342" t="s">
        <v>1746</v>
      </c>
      <c r="C1342" t="s">
        <v>1747</v>
      </c>
      <c r="D1342" t="s">
        <v>1748</v>
      </c>
      <c r="E1342" t="s">
        <v>22</v>
      </c>
      <c r="F1342" t="s">
        <v>1749</v>
      </c>
      <c r="G1342" t="s">
        <v>22</v>
      </c>
      <c r="H1342">
        <v>2</v>
      </c>
    </row>
    <row r="1343" spans="1:8" x14ac:dyDescent="0.35">
      <c r="A1343">
        <v>5060255920015</v>
      </c>
      <c r="B1343" t="s">
        <v>295</v>
      </c>
      <c r="C1343" t="s">
        <v>81</v>
      </c>
      <c r="D1343" t="s">
        <v>679</v>
      </c>
      <c r="E1343" t="s">
        <v>22</v>
      </c>
      <c r="F1343" t="s">
        <v>680</v>
      </c>
      <c r="G1343" t="s">
        <v>22</v>
      </c>
      <c r="H1343">
        <v>4</v>
      </c>
    </row>
    <row r="1344" spans="1:8" x14ac:dyDescent="0.35">
      <c r="A1344">
        <v>5060315055954</v>
      </c>
      <c r="B1344" t="s">
        <v>1750</v>
      </c>
      <c r="C1344" t="s">
        <v>272</v>
      </c>
      <c r="D1344" t="s">
        <v>1751</v>
      </c>
      <c r="E1344" t="s">
        <v>308</v>
      </c>
      <c r="F1344" t="s">
        <v>309</v>
      </c>
      <c r="G1344" t="s">
        <v>150</v>
      </c>
      <c r="H1344">
        <v>4</v>
      </c>
    </row>
    <row r="1345" spans="1:8" x14ac:dyDescent="0.35">
      <c r="A1345">
        <v>5060332524655</v>
      </c>
      <c r="B1345" t="s">
        <v>1752</v>
      </c>
      <c r="C1345" t="s">
        <v>173</v>
      </c>
      <c r="D1345" t="s">
        <v>1753</v>
      </c>
      <c r="E1345" t="s">
        <v>22</v>
      </c>
      <c r="F1345" t="s">
        <v>1754</v>
      </c>
      <c r="G1345" t="s">
        <v>22</v>
      </c>
      <c r="H1345">
        <v>1</v>
      </c>
    </row>
    <row r="1346" spans="1:8" x14ac:dyDescent="0.35">
      <c r="A1346">
        <v>5060358090028</v>
      </c>
      <c r="B1346" t="s">
        <v>1755</v>
      </c>
      <c r="C1346" t="s">
        <v>9</v>
      </c>
      <c r="D1346" t="s">
        <v>1756</v>
      </c>
      <c r="E1346" t="s">
        <v>308</v>
      </c>
      <c r="F1346" t="s">
        <v>309</v>
      </c>
      <c r="G1346" t="s">
        <v>22</v>
      </c>
      <c r="H1346">
        <v>1</v>
      </c>
    </row>
    <row r="1347" spans="1:8" x14ac:dyDescent="0.35">
      <c r="A1347">
        <v>5060358090967</v>
      </c>
      <c r="B1347" t="s">
        <v>1757</v>
      </c>
      <c r="C1347" t="s">
        <v>9</v>
      </c>
      <c r="D1347" t="s">
        <v>1756</v>
      </c>
      <c r="E1347" t="s">
        <v>308</v>
      </c>
      <c r="F1347" t="s">
        <v>309</v>
      </c>
      <c r="G1347" t="s">
        <v>22</v>
      </c>
      <c r="H1347">
        <v>1</v>
      </c>
    </row>
    <row r="1348" spans="1:8" x14ac:dyDescent="0.35">
      <c r="A1348">
        <v>5060402903793</v>
      </c>
      <c r="B1348" t="s">
        <v>1758</v>
      </c>
      <c r="C1348" t="s">
        <v>472</v>
      </c>
      <c r="D1348" t="s">
        <v>1436</v>
      </c>
      <c r="E1348" t="s">
        <v>15</v>
      </c>
      <c r="F1348" t="s">
        <v>1227</v>
      </c>
      <c r="G1348" t="s">
        <v>22</v>
      </c>
      <c r="H1348">
        <v>2</v>
      </c>
    </row>
    <row r="1349" spans="1:8" x14ac:dyDescent="0.35">
      <c r="A1349">
        <v>5060463190002</v>
      </c>
      <c r="B1349" t="s">
        <v>1759</v>
      </c>
      <c r="C1349" t="s">
        <v>110</v>
      </c>
      <c r="D1349" t="s">
        <v>1760</v>
      </c>
      <c r="E1349" t="s">
        <v>1761</v>
      </c>
      <c r="F1349" t="s">
        <v>1762</v>
      </c>
      <c r="G1349" t="s">
        <v>41</v>
      </c>
      <c r="H1349">
        <v>20</v>
      </c>
    </row>
    <row r="1350" spans="1:8" x14ac:dyDescent="0.35">
      <c r="A1350">
        <v>5060466516632</v>
      </c>
      <c r="B1350" t="s">
        <v>1763</v>
      </c>
      <c r="C1350" t="s">
        <v>83</v>
      </c>
      <c r="D1350" t="s">
        <v>1764</v>
      </c>
      <c r="E1350" t="s">
        <v>15</v>
      </c>
      <c r="F1350" t="s">
        <v>14</v>
      </c>
      <c r="G1350" t="s">
        <v>11</v>
      </c>
      <c r="H1350">
        <v>229</v>
      </c>
    </row>
    <row r="1351" spans="1:8" x14ac:dyDescent="0.35">
      <c r="A1351">
        <v>5060466516663</v>
      </c>
      <c r="B1351" t="s">
        <v>1765</v>
      </c>
      <c r="C1351" t="s">
        <v>806</v>
      </c>
      <c r="D1351" t="s">
        <v>1764</v>
      </c>
      <c r="E1351" t="s">
        <v>15</v>
      </c>
      <c r="F1351" t="s">
        <v>14</v>
      </c>
      <c r="G1351" t="s">
        <v>31</v>
      </c>
      <c r="H1351">
        <v>42</v>
      </c>
    </row>
    <row r="1352" spans="1:8" x14ac:dyDescent="0.35">
      <c r="A1352">
        <v>5060476794396</v>
      </c>
      <c r="B1352" t="s">
        <v>1766</v>
      </c>
      <c r="C1352" t="s">
        <v>1435</v>
      </c>
      <c r="D1352" t="s">
        <v>1767</v>
      </c>
      <c r="E1352" t="s">
        <v>22</v>
      </c>
      <c r="F1352" t="s">
        <v>1768</v>
      </c>
      <c r="G1352" t="s">
        <v>22</v>
      </c>
      <c r="H1352">
        <v>1</v>
      </c>
    </row>
    <row r="1353" spans="1:8" x14ac:dyDescent="0.35">
      <c r="A1353">
        <v>5060608740178</v>
      </c>
      <c r="B1353" t="s">
        <v>1769</v>
      </c>
      <c r="C1353" t="s">
        <v>83</v>
      </c>
      <c r="D1353" t="s">
        <v>1770</v>
      </c>
      <c r="E1353" t="s">
        <v>15</v>
      </c>
      <c r="F1353" t="s">
        <v>14</v>
      </c>
      <c r="G1353" t="s">
        <v>31</v>
      </c>
      <c r="H1353">
        <v>49</v>
      </c>
    </row>
    <row r="1354" spans="1:8" x14ac:dyDescent="0.35">
      <c r="A1354">
        <v>5060608740253</v>
      </c>
      <c r="B1354" t="s">
        <v>295</v>
      </c>
      <c r="C1354" t="s">
        <v>83</v>
      </c>
      <c r="D1354" t="s">
        <v>1770</v>
      </c>
      <c r="E1354" t="s">
        <v>15</v>
      </c>
      <c r="F1354" t="s">
        <v>14</v>
      </c>
      <c r="G1354" t="s">
        <v>11</v>
      </c>
      <c r="H1354">
        <v>269</v>
      </c>
    </row>
    <row r="1355" spans="1:8" x14ac:dyDescent="0.35">
      <c r="A1355">
        <v>5060608740253</v>
      </c>
      <c r="B1355" t="s">
        <v>295</v>
      </c>
      <c r="C1355" t="s">
        <v>83</v>
      </c>
      <c r="D1355" t="s">
        <v>1770</v>
      </c>
      <c r="E1355" t="s">
        <v>15</v>
      </c>
      <c r="F1355" t="s">
        <v>14</v>
      </c>
      <c r="G1355" t="s">
        <v>34</v>
      </c>
      <c r="H1355">
        <v>16</v>
      </c>
    </row>
    <row r="1356" spans="1:8" x14ac:dyDescent="0.35">
      <c r="A1356">
        <v>5060608749232</v>
      </c>
      <c r="B1356" t="s">
        <v>1771</v>
      </c>
      <c r="C1356" t="s">
        <v>472</v>
      </c>
      <c r="D1356" t="s">
        <v>1770</v>
      </c>
      <c r="E1356" t="s">
        <v>15</v>
      </c>
      <c r="F1356" t="s">
        <v>14</v>
      </c>
      <c r="G1356" t="s">
        <v>34</v>
      </c>
      <c r="H1356">
        <v>699</v>
      </c>
    </row>
    <row r="1357" spans="1:8" x14ac:dyDescent="0.35">
      <c r="A1357">
        <v>5060626030022</v>
      </c>
      <c r="B1357" t="s">
        <v>1772</v>
      </c>
      <c r="C1357" t="s">
        <v>1773</v>
      </c>
      <c r="D1357" t="s">
        <v>1364</v>
      </c>
      <c r="E1357" t="s">
        <v>598</v>
      </c>
      <c r="F1357" t="s">
        <v>1365</v>
      </c>
      <c r="G1357" t="s">
        <v>598</v>
      </c>
      <c r="H1357">
        <v>2</v>
      </c>
    </row>
    <row r="1358" spans="1:8" x14ac:dyDescent="0.35">
      <c r="A1358">
        <v>5060677250479</v>
      </c>
      <c r="B1358" t="s">
        <v>1774</v>
      </c>
      <c r="C1358" t="s">
        <v>1775</v>
      </c>
      <c r="D1358" t="s">
        <v>1776</v>
      </c>
      <c r="E1358" t="s">
        <v>22</v>
      </c>
      <c r="F1358" t="s">
        <v>1777</v>
      </c>
      <c r="G1358" t="s">
        <v>464</v>
      </c>
      <c r="H1358">
        <v>1</v>
      </c>
    </row>
    <row r="1359" spans="1:8" x14ac:dyDescent="0.35">
      <c r="A1359">
        <v>5060677250486</v>
      </c>
      <c r="B1359" t="s">
        <v>1778</v>
      </c>
      <c r="C1359" t="s">
        <v>892</v>
      </c>
      <c r="D1359" t="s">
        <v>1776</v>
      </c>
      <c r="E1359" t="s">
        <v>22</v>
      </c>
      <c r="F1359" t="s">
        <v>1777</v>
      </c>
      <c r="G1359" t="s">
        <v>464</v>
      </c>
      <c r="H1359">
        <v>2</v>
      </c>
    </row>
    <row r="1360" spans="1:8" x14ac:dyDescent="0.35">
      <c r="A1360">
        <v>5060677250486</v>
      </c>
      <c r="B1360" t="s">
        <v>1778</v>
      </c>
      <c r="C1360" t="s">
        <v>892</v>
      </c>
      <c r="D1360" t="s">
        <v>1776</v>
      </c>
      <c r="E1360" t="s">
        <v>22</v>
      </c>
      <c r="F1360" t="s">
        <v>1777</v>
      </c>
      <c r="G1360" t="s">
        <v>31</v>
      </c>
      <c r="H1360">
        <v>1</v>
      </c>
    </row>
    <row r="1361" spans="1:8" x14ac:dyDescent="0.35">
      <c r="A1361">
        <v>5060776100026</v>
      </c>
      <c r="B1361" t="s">
        <v>446</v>
      </c>
      <c r="C1361" t="s">
        <v>447</v>
      </c>
      <c r="D1361" t="s">
        <v>1779</v>
      </c>
      <c r="E1361" t="s">
        <v>117</v>
      </c>
      <c r="F1361" t="s">
        <v>1780</v>
      </c>
      <c r="G1361" t="s">
        <v>117</v>
      </c>
      <c r="H1361">
        <v>36</v>
      </c>
    </row>
    <row r="1362" spans="1:8" x14ac:dyDescent="0.35">
      <c r="A1362">
        <v>5060776100057</v>
      </c>
      <c r="B1362" t="s">
        <v>446</v>
      </c>
      <c r="C1362" t="s">
        <v>192</v>
      </c>
      <c r="D1362" t="s">
        <v>1779</v>
      </c>
      <c r="E1362" t="s">
        <v>117</v>
      </c>
      <c r="F1362" t="s">
        <v>1780</v>
      </c>
      <c r="G1362" t="s">
        <v>117</v>
      </c>
      <c r="H1362">
        <v>8</v>
      </c>
    </row>
    <row r="1363" spans="1:8" x14ac:dyDescent="0.35">
      <c r="A1363">
        <v>5060868950195</v>
      </c>
      <c r="B1363" t="s">
        <v>1781</v>
      </c>
      <c r="C1363" t="s">
        <v>9</v>
      </c>
      <c r="D1363" t="s">
        <v>1782</v>
      </c>
      <c r="E1363" t="s">
        <v>22</v>
      </c>
      <c r="F1363" t="s">
        <v>1783</v>
      </c>
      <c r="G1363" t="s">
        <v>22</v>
      </c>
      <c r="H1363">
        <v>1</v>
      </c>
    </row>
    <row r="1364" spans="1:8" x14ac:dyDescent="0.35">
      <c r="A1364">
        <v>5060909050105</v>
      </c>
      <c r="B1364" t="s">
        <v>1016</v>
      </c>
      <c r="C1364" t="s">
        <v>1784</v>
      </c>
      <c r="D1364" t="s">
        <v>14</v>
      </c>
      <c r="E1364" t="s">
        <v>15</v>
      </c>
      <c r="F1364" t="s">
        <v>14</v>
      </c>
      <c r="G1364" t="s">
        <v>598</v>
      </c>
      <c r="H1364">
        <v>1</v>
      </c>
    </row>
    <row r="1365" spans="1:8" x14ac:dyDescent="0.35">
      <c r="A1365">
        <v>5164604011536</v>
      </c>
      <c r="B1365" t="s">
        <v>1011</v>
      </c>
      <c r="C1365" t="s">
        <v>603</v>
      </c>
      <c r="D1365" t="s">
        <v>273</v>
      </c>
      <c r="E1365" t="s">
        <v>15</v>
      </c>
      <c r="F1365" t="s">
        <v>56</v>
      </c>
      <c r="G1365" t="s">
        <v>31</v>
      </c>
      <c r="H1365">
        <v>1</v>
      </c>
    </row>
    <row r="1366" spans="1:8" x14ac:dyDescent="0.35">
      <c r="A1366">
        <v>5201627019887</v>
      </c>
      <c r="B1366" t="s">
        <v>485</v>
      </c>
      <c r="C1366" t="s">
        <v>192</v>
      </c>
      <c r="D1366" t="s">
        <v>1785</v>
      </c>
      <c r="E1366" t="s">
        <v>1786</v>
      </c>
      <c r="F1366" t="s">
        <v>1787</v>
      </c>
      <c r="G1366" t="s">
        <v>22</v>
      </c>
      <c r="H1366">
        <v>1</v>
      </c>
    </row>
    <row r="1367" spans="1:8" x14ac:dyDescent="0.35">
      <c r="A1367">
        <v>5201627019900</v>
      </c>
      <c r="B1367" t="s">
        <v>1151</v>
      </c>
      <c r="C1367" t="s">
        <v>9</v>
      </c>
      <c r="D1367" t="s">
        <v>1785</v>
      </c>
      <c r="E1367" t="s">
        <v>1786</v>
      </c>
      <c r="F1367" t="s">
        <v>1787</v>
      </c>
      <c r="G1367" t="s">
        <v>22</v>
      </c>
      <c r="H1367">
        <v>1</v>
      </c>
    </row>
    <row r="1368" spans="1:8" x14ac:dyDescent="0.35">
      <c r="A1368">
        <v>5201946900125</v>
      </c>
      <c r="B1368" t="s">
        <v>201</v>
      </c>
      <c r="C1368" t="s">
        <v>603</v>
      </c>
      <c r="D1368" t="s">
        <v>1788</v>
      </c>
      <c r="E1368" t="s">
        <v>1786</v>
      </c>
      <c r="F1368" t="s">
        <v>1789</v>
      </c>
      <c r="G1368" t="s">
        <v>22</v>
      </c>
      <c r="H1368">
        <v>1</v>
      </c>
    </row>
    <row r="1369" spans="1:8" x14ac:dyDescent="0.35">
      <c r="A1369">
        <v>5203615820130</v>
      </c>
      <c r="B1369" t="s">
        <v>1790</v>
      </c>
      <c r="C1369" t="s">
        <v>806</v>
      </c>
      <c r="D1369" t="s">
        <v>414</v>
      </c>
      <c r="E1369" t="s">
        <v>61</v>
      </c>
      <c r="F1369" t="s">
        <v>85</v>
      </c>
      <c r="G1369" t="s">
        <v>61</v>
      </c>
      <c r="H1369">
        <v>65</v>
      </c>
    </row>
    <row r="1370" spans="1:8" x14ac:dyDescent="0.35">
      <c r="A1370">
        <v>5207411220460</v>
      </c>
      <c r="B1370" t="s">
        <v>1791</v>
      </c>
      <c r="C1370" t="s">
        <v>38</v>
      </c>
      <c r="D1370" t="s">
        <v>84</v>
      </c>
      <c r="E1370" t="s">
        <v>61</v>
      </c>
      <c r="F1370" t="s">
        <v>85</v>
      </c>
      <c r="G1370" t="s">
        <v>61</v>
      </c>
      <c r="H1370">
        <v>19</v>
      </c>
    </row>
    <row r="1371" spans="1:8" x14ac:dyDescent="0.35">
      <c r="A1371">
        <v>5210112460301</v>
      </c>
      <c r="B1371" t="s">
        <v>1792</v>
      </c>
      <c r="C1371" t="s">
        <v>1095</v>
      </c>
      <c r="D1371" t="s">
        <v>366</v>
      </c>
      <c r="E1371" t="s">
        <v>61</v>
      </c>
      <c r="F1371" t="s">
        <v>364</v>
      </c>
      <c r="G1371" t="s">
        <v>61</v>
      </c>
      <c r="H1371">
        <v>1</v>
      </c>
    </row>
    <row r="1372" spans="1:8" x14ac:dyDescent="0.35">
      <c r="A1372">
        <v>5239141407101</v>
      </c>
      <c r="B1372" t="s">
        <v>581</v>
      </c>
      <c r="C1372" t="s">
        <v>110</v>
      </c>
      <c r="D1372" t="s">
        <v>1793</v>
      </c>
      <c r="E1372" t="s">
        <v>130</v>
      </c>
      <c r="F1372" t="s">
        <v>424</v>
      </c>
      <c r="G1372" t="s">
        <v>387</v>
      </c>
      <c r="H1372">
        <v>1</v>
      </c>
    </row>
    <row r="1373" spans="1:8" x14ac:dyDescent="0.35">
      <c r="A1373">
        <v>5285002320546</v>
      </c>
      <c r="B1373" t="s">
        <v>1794</v>
      </c>
      <c r="C1373" t="s">
        <v>9</v>
      </c>
      <c r="D1373" t="s">
        <v>1795</v>
      </c>
      <c r="E1373" t="s">
        <v>598</v>
      </c>
      <c r="F1373" t="s">
        <v>1796</v>
      </c>
      <c r="G1373" t="s">
        <v>41</v>
      </c>
      <c r="H1373">
        <v>11</v>
      </c>
    </row>
    <row r="1374" spans="1:8" x14ac:dyDescent="0.35">
      <c r="A1374">
        <v>5290074000524</v>
      </c>
      <c r="B1374" t="s">
        <v>1797</v>
      </c>
      <c r="C1374" t="s">
        <v>110</v>
      </c>
      <c r="D1374" t="s">
        <v>1798</v>
      </c>
      <c r="E1374" t="s">
        <v>1799</v>
      </c>
      <c r="F1374" t="s">
        <v>1800</v>
      </c>
      <c r="G1374" t="s">
        <v>41</v>
      </c>
      <c r="H1374">
        <v>23</v>
      </c>
    </row>
    <row r="1375" spans="1:8" x14ac:dyDescent="0.35">
      <c r="A1375">
        <v>5299908030089</v>
      </c>
      <c r="B1375" t="s">
        <v>446</v>
      </c>
      <c r="C1375" t="s">
        <v>114</v>
      </c>
      <c r="D1375" t="s">
        <v>1801</v>
      </c>
      <c r="E1375" t="s">
        <v>117</v>
      </c>
      <c r="F1375" t="s">
        <v>1802</v>
      </c>
      <c r="G1375" t="s">
        <v>117</v>
      </c>
      <c r="H1375">
        <v>19</v>
      </c>
    </row>
    <row r="1376" spans="1:8" x14ac:dyDescent="0.35">
      <c r="A1376">
        <v>53140036</v>
      </c>
      <c r="B1376" t="s">
        <v>1803</v>
      </c>
      <c r="C1376" t="s">
        <v>192</v>
      </c>
      <c r="D1376" t="s">
        <v>386</v>
      </c>
      <c r="E1376" t="s">
        <v>387</v>
      </c>
      <c r="F1376" t="s">
        <v>388</v>
      </c>
      <c r="G1376" t="s">
        <v>387</v>
      </c>
      <c r="H1376">
        <v>1</v>
      </c>
    </row>
    <row r="1377" spans="1:8" x14ac:dyDescent="0.35">
      <c r="A1377">
        <v>5352205057408</v>
      </c>
      <c r="B1377" t="s">
        <v>708</v>
      </c>
      <c r="C1377" t="s">
        <v>9</v>
      </c>
      <c r="D1377" t="s">
        <v>14</v>
      </c>
      <c r="E1377" t="s">
        <v>15</v>
      </c>
      <c r="F1377" t="s">
        <v>14</v>
      </c>
      <c r="G1377" t="s">
        <v>22</v>
      </c>
      <c r="H1377">
        <v>1</v>
      </c>
    </row>
    <row r="1378" spans="1:8" x14ac:dyDescent="0.35">
      <c r="A1378">
        <v>5391518270241</v>
      </c>
      <c r="B1378" t="s">
        <v>1804</v>
      </c>
      <c r="C1378" t="s">
        <v>1805</v>
      </c>
      <c r="D1378" t="s">
        <v>1806</v>
      </c>
      <c r="E1378" t="s">
        <v>15</v>
      </c>
      <c r="F1378" t="s">
        <v>1807</v>
      </c>
      <c r="G1378" t="s">
        <v>22</v>
      </c>
      <c r="H1378">
        <v>20</v>
      </c>
    </row>
    <row r="1379" spans="1:8" x14ac:dyDescent="0.35">
      <c r="A1379">
        <v>54001213</v>
      </c>
      <c r="B1379" t="s">
        <v>167</v>
      </c>
      <c r="C1379" t="s">
        <v>83</v>
      </c>
      <c r="D1379" t="s">
        <v>539</v>
      </c>
      <c r="E1379" t="s">
        <v>15</v>
      </c>
      <c r="F1379" t="s">
        <v>14</v>
      </c>
      <c r="G1379" t="s">
        <v>31</v>
      </c>
      <c r="H1379">
        <v>11</v>
      </c>
    </row>
    <row r="1380" spans="1:8" x14ac:dyDescent="0.35">
      <c r="A1380">
        <v>5400141269536</v>
      </c>
      <c r="B1380" t="s">
        <v>1808</v>
      </c>
      <c r="C1380" t="s">
        <v>1573</v>
      </c>
      <c r="D1380" t="s">
        <v>1809</v>
      </c>
      <c r="E1380" t="s">
        <v>816</v>
      </c>
      <c r="F1380" t="s">
        <v>1810</v>
      </c>
      <c r="G1380" t="s">
        <v>22</v>
      </c>
      <c r="H1380">
        <v>1</v>
      </c>
    </row>
    <row r="1381" spans="1:8" x14ac:dyDescent="0.35">
      <c r="A1381">
        <v>54008199</v>
      </c>
      <c r="B1381" t="s">
        <v>246</v>
      </c>
      <c r="C1381" t="s">
        <v>472</v>
      </c>
      <c r="D1381" t="s">
        <v>246</v>
      </c>
      <c r="E1381" t="s">
        <v>15</v>
      </c>
      <c r="F1381" t="s">
        <v>14</v>
      </c>
      <c r="G1381" t="s">
        <v>34</v>
      </c>
      <c r="H1381">
        <v>56</v>
      </c>
    </row>
    <row r="1382" spans="1:8" x14ac:dyDescent="0.35">
      <c r="A1382">
        <v>54008199</v>
      </c>
      <c r="B1382" t="s">
        <v>246</v>
      </c>
      <c r="C1382" t="s">
        <v>472</v>
      </c>
      <c r="D1382" t="s">
        <v>246</v>
      </c>
      <c r="E1382" t="s">
        <v>15</v>
      </c>
      <c r="F1382" t="s">
        <v>14</v>
      </c>
      <c r="G1382" t="s">
        <v>31</v>
      </c>
      <c r="H1382">
        <v>14</v>
      </c>
    </row>
    <row r="1383" spans="1:8" x14ac:dyDescent="0.35">
      <c r="A1383">
        <v>54017665</v>
      </c>
      <c r="B1383" t="s">
        <v>1811</v>
      </c>
      <c r="C1383" t="s">
        <v>472</v>
      </c>
      <c r="D1383" t="s">
        <v>1812</v>
      </c>
      <c r="E1383" t="s">
        <v>15</v>
      </c>
      <c r="F1383" t="s">
        <v>14</v>
      </c>
      <c r="G1383" t="s">
        <v>34</v>
      </c>
      <c r="H1383">
        <v>1</v>
      </c>
    </row>
    <row r="1384" spans="1:8" x14ac:dyDescent="0.35">
      <c r="A1384">
        <v>54017726</v>
      </c>
      <c r="B1384" t="s">
        <v>1813</v>
      </c>
      <c r="C1384" t="s">
        <v>472</v>
      </c>
      <c r="D1384" t="s">
        <v>1812</v>
      </c>
      <c r="E1384" t="s">
        <v>15</v>
      </c>
      <c r="F1384" t="s">
        <v>14</v>
      </c>
      <c r="G1384" t="s">
        <v>34</v>
      </c>
      <c r="H1384">
        <v>963</v>
      </c>
    </row>
    <row r="1385" spans="1:8" x14ac:dyDescent="0.35">
      <c r="A1385">
        <v>54020450</v>
      </c>
      <c r="B1385" t="s">
        <v>1814</v>
      </c>
      <c r="C1385" t="s">
        <v>472</v>
      </c>
      <c r="D1385" t="s">
        <v>1812</v>
      </c>
      <c r="E1385" t="s">
        <v>15</v>
      </c>
      <c r="F1385" t="s">
        <v>14</v>
      </c>
      <c r="G1385" t="s">
        <v>34</v>
      </c>
      <c r="H1385">
        <v>375</v>
      </c>
    </row>
    <row r="1386" spans="1:8" x14ac:dyDescent="0.35">
      <c r="A1386">
        <v>54020849</v>
      </c>
      <c r="B1386" t="s">
        <v>1815</v>
      </c>
      <c r="C1386" t="s">
        <v>38</v>
      </c>
      <c r="D1386" t="s">
        <v>1816</v>
      </c>
      <c r="E1386" t="s">
        <v>15</v>
      </c>
      <c r="F1386" t="s">
        <v>14</v>
      </c>
      <c r="G1386" t="s">
        <v>61</v>
      </c>
      <c r="H1386">
        <v>5</v>
      </c>
    </row>
    <row r="1387" spans="1:8" x14ac:dyDescent="0.35">
      <c r="A1387">
        <v>54022096</v>
      </c>
      <c r="B1387" t="s">
        <v>1817</v>
      </c>
      <c r="C1387" t="s">
        <v>472</v>
      </c>
      <c r="D1387" t="s">
        <v>14</v>
      </c>
      <c r="E1387" t="s">
        <v>15</v>
      </c>
      <c r="F1387" t="s">
        <v>14</v>
      </c>
      <c r="G1387" t="s">
        <v>34</v>
      </c>
      <c r="H1387">
        <v>1</v>
      </c>
    </row>
    <row r="1388" spans="1:8" x14ac:dyDescent="0.35">
      <c r="A1388">
        <v>5407010260069</v>
      </c>
      <c r="B1388" t="s">
        <v>1818</v>
      </c>
      <c r="C1388" t="s">
        <v>110</v>
      </c>
      <c r="D1388" t="s">
        <v>1062</v>
      </c>
      <c r="E1388" t="s">
        <v>130</v>
      </c>
      <c r="F1388" t="s">
        <v>424</v>
      </c>
      <c r="G1388" t="s">
        <v>387</v>
      </c>
      <c r="H1388">
        <v>52</v>
      </c>
    </row>
    <row r="1389" spans="1:8" x14ac:dyDescent="0.35">
      <c r="A1389">
        <v>5407010260120</v>
      </c>
      <c r="B1389" t="s">
        <v>1062</v>
      </c>
      <c r="C1389" t="s">
        <v>472</v>
      </c>
      <c r="D1389" t="s">
        <v>1062</v>
      </c>
      <c r="E1389" t="s">
        <v>130</v>
      </c>
      <c r="F1389" t="s">
        <v>424</v>
      </c>
      <c r="G1389" t="s">
        <v>387</v>
      </c>
      <c r="H1389">
        <v>5</v>
      </c>
    </row>
    <row r="1390" spans="1:8" x14ac:dyDescent="0.35">
      <c r="A1390">
        <v>5407010260205</v>
      </c>
      <c r="B1390" t="s">
        <v>581</v>
      </c>
      <c r="C1390" t="s">
        <v>110</v>
      </c>
      <c r="D1390" t="s">
        <v>1819</v>
      </c>
      <c r="E1390" t="s">
        <v>130</v>
      </c>
      <c r="F1390" t="s">
        <v>424</v>
      </c>
      <c r="G1390" t="s">
        <v>387</v>
      </c>
      <c r="H1390">
        <v>8</v>
      </c>
    </row>
    <row r="1391" spans="1:8" x14ac:dyDescent="0.35">
      <c r="A1391">
        <v>5407010260649</v>
      </c>
      <c r="B1391" t="s">
        <v>423</v>
      </c>
      <c r="C1391" t="s">
        <v>110</v>
      </c>
      <c r="D1391" t="s">
        <v>423</v>
      </c>
      <c r="E1391" t="s">
        <v>130</v>
      </c>
      <c r="F1391" t="s">
        <v>424</v>
      </c>
      <c r="G1391" t="s">
        <v>387</v>
      </c>
      <c r="H1391">
        <v>1</v>
      </c>
    </row>
    <row r="1392" spans="1:8" x14ac:dyDescent="0.35">
      <c r="A1392">
        <v>5410013108009</v>
      </c>
      <c r="B1392" t="s">
        <v>1151</v>
      </c>
      <c r="C1392" t="s">
        <v>9</v>
      </c>
      <c r="D1392" t="s">
        <v>1820</v>
      </c>
      <c r="E1392" t="s">
        <v>816</v>
      </c>
      <c r="F1392" t="s">
        <v>1821</v>
      </c>
      <c r="G1392" t="s">
        <v>816</v>
      </c>
      <c r="H1392">
        <v>6</v>
      </c>
    </row>
    <row r="1393" spans="1:8" x14ac:dyDescent="0.35">
      <c r="A1393">
        <v>5410013108009</v>
      </c>
      <c r="B1393" t="s">
        <v>1151</v>
      </c>
      <c r="C1393" t="s">
        <v>9</v>
      </c>
      <c r="D1393" t="s">
        <v>1820</v>
      </c>
      <c r="E1393" t="s">
        <v>816</v>
      </c>
      <c r="F1393" t="s">
        <v>1821</v>
      </c>
      <c r="G1393" t="s">
        <v>117</v>
      </c>
      <c r="H1393">
        <v>1</v>
      </c>
    </row>
    <row r="1394" spans="1:8" x14ac:dyDescent="0.35">
      <c r="A1394">
        <v>5410013108009</v>
      </c>
      <c r="B1394" t="s">
        <v>1151</v>
      </c>
      <c r="C1394" t="s">
        <v>9</v>
      </c>
      <c r="D1394" t="s">
        <v>1820</v>
      </c>
      <c r="E1394" t="s">
        <v>816</v>
      </c>
      <c r="F1394" t="s">
        <v>1821</v>
      </c>
      <c r="G1394" t="s">
        <v>22</v>
      </c>
      <c r="H1394">
        <v>4</v>
      </c>
    </row>
    <row r="1395" spans="1:8" x14ac:dyDescent="0.35">
      <c r="A1395">
        <v>5410076928170</v>
      </c>
      <c r="B1395" t="s">
        <v>1822</v>
      </c>
      <c r="C1395" t="s">
        <v>1823</v>
      </c>
      <c r="D1395" t="s">
        <v>1319</v>
      </c>
      <c r="E1395" t="s">
        <v>15</v>
      </c>
      <c r="F1395" t="s">
        <v>1079</v>
      </c>
      <c r="G1395" t="s">
        <v>22</v>
      </c>
      <c r="H1395">
        <v>1</v>
      </c>
    </row>
    <row r="1396" spans="1:8" x14ac:dyDescent="0.35">
      <c r="A1396">
        <v>5410316962520</v>
      </c>
      <c r="B1396" t="s">
        <v>127</v>
      </c>
      <c r="C1396" t="s">
        <v>36</v>
      </c>
      <c r="D1396" t="s">
        <v>330</v>
      </c>
      <c r="E1396" t="s">
        <v>22</v>
      </c>
      <c r="F1396" t="s">
        <v>328</v>
      </c>
      <c r="G1396" t="s">
        <v>16</v>
      </c>
      <c r="H1396">
        <v>3</v>
      </c>
    </row>
    <row r="1397" spans="1:8" x14ac:dyDescent="0.35">
      <c r="A1397">
        <v>5410316962520</v>
      </c>
      <c r="B1397" t="s">
        <v>127</v>
      </c>
      <c r="C1397" t="s">
        <v>36</v>
      </c>
      <c r="D1397" t="s">
        <v>330</v>
      </c>
      <c r="E1397" t="s">
        <v>22</v>
      </c>
      <c r="F1397" t="s">
        <v>328</v>
      </c>
      <c r="G1397" t="s">
        <v>34</v>
      </c>
      <c r="H1397">
        <v>1</v>
      </c>
    </row>
    <row r="1398" spans="1:8" x14ac:dyDescent="0.35">
      <c r="A1398">
        <v>5410316962520</v>
      </c>
      <c r="B1398" t="s">
        <v>127</v>
      </c>
      <c r="C1398" t="s">
        <v>36</v>
      </c>
      <c r="D1398" t="s">
        <v>330</v>
      </c>
      <c r="E1398" t="s">
        <v>22</v>
      </c>
      <c r="F1398" t="s">
        <v>328</v>
      </c>
      <c r="G1398" t="s">
        <v>150</v>
      </c>
      <c r="H1398">
        <v>1</v>
      </c>
    </row>
    <row r="1399" spans="1:8" x14ac:dyDescent="0.35">
      <c r="A1399">
        <v>5410438036420</v>
      </c>
      <c r="B1399" t="s">
        <v>1824</v>
      </c>
      <c r="C1399" t="s">
        <v>83</v>
      </c>
      <c r="D1399" t="s">
        <v>1825</v>
      </c>
      <c r="E1399" t="s">
        <v>1201</v>
      </c>
      <c r="F1399" t="s">
        <v>1826</v>
      </c>
      <c r="G1399" t="s">
        <v>22</v>
      </c>
      <c r="H1399">
        <v>2</v>
      </c>
    </row>
    <row r="1400" spans="1:8" x14ac:dyDescent="0.35">
      <c r="A1400">
        <v>5410438036482</v>
      </c>
      <c r="B1400" t="s">
        <v>1827</v>
      </c>
      <c r="C1400" t="s">
        <v>83</v>
      </c>
      <c r="D1400" t="s">
        <v>1825</v>
      </c>
      <c r="E1400" t="s">
        <v>1201</v>
      </c>
      <c r="F1400" t="s">
        <v>1826</v>
      </c>
      <c r="G1400" t="s">
        <v>22</v>
      </c>
      <c r="H1400">
        <v>5</v>
      </c>
    </row>
    <row r="1401" spans="1:8" x14ac:dyDescent="0.35">
      <c r="A1401">
        <v>5410438036833</v>
      </c>
      <c r="B1401" t="s">
        <v>1828</v>
      </c>
      <c r="C1401" t="s">
        <v>81</v>
      </c>
      <c r="D1401" t="s">
        <v>1825</v>
      </c>
      <c r="E1401" t="s">
        <v>1201</v>
      </c>
      <c r="F1401" t="s">
        <v>1826</v>
      </c>
      <c r="G1401" t="s">
        <v>22</v>
      </c>
      <c r="H1401">
        <v>1</v>
      </c>
    </row>
    <row r="1402" spans="1:8" x14ac:dyDescent="0.35">
      <c r="A1402">
        <v>5412533001556</v>
      </c>
      <c r="B1402" t="s">
        <v>1829</v>
      </c>
      <c r="C1402" t="s">
        <v>9</v>
      </c>
      <c r="D1402" t="s">
        <v>1830</v>
      </c>
      <c r="E1402" t="s">
        <v>15</v>
      </c>
      <c r="F1402" t="s">
        <v>1831</v>
      </c>
      <c r="G1402" t="s">
        <v>22</v>
      </c>
      <c r="H1402">
        <v>1</v>
      </c>
    </row>
    <row r="1403" spans="1:8" x14ac:dyDescent="0.35">
      <c r="A1403">
        <v>5412533416886</v>
      </c>
      <c r="B1403" t="s">
        <v>1832</v>
      </c>
      <c r="C1403" t="s">
        <v>239</v>
      </c>
      <c r="D1403" t="s">
        <v>1830</v>
      </c>
      <c r="E1403" t="s">
        <v>15</v>
      </c>
      <c r="F1403" t="s">
        <v>1831</v>
      </c>
      <c r="G1403" t="s">
        <v>22</v>
      </c>
      <c r="H1403">
        <v>2</v>
      </c>
    </row>
    <row r="1404" spans="1:8" x14ac:dyDescent="0.35">
      <c r="A1404">
        <v>5412533418316</v>
      </c>
      <c r="B1404" t="s">
        <v>1833</v>
      </c>
      <c r="C1404" t="s">
        <v>81</v>
      </c>
      <c r="D1404" t="s">
        <v>1830</v>
      </c>
      <c r="E1404" t="s">
        <v>15</v>
      </c>
      <c r="F1404" t="s">
        <v>1831</v>
      </c>
      <c r="G1404" t="s">
        <v>22</v>
      </c>
      <c r="H1404">
        <v>1</v>
      </c>
    </row>
    <row r="1405" spans="1:8" x14ac:dyDescent="0.35">
      <c r="A1405">
        <v>5413149418431</v>
      </c>
      <c r="B1405" t="s">
        <v>1834</v>
      </c>
      <c r="C1405" t="s">
        <v>9</v>
      </c>
      <c r="D1405" t="s">
        <v>1078</v>
      </c>
      <c r="E1405" t="s">
        <v>15</v>
      </c>
      <c r="F1405" t="s">
        <v>1079</v>
      </c>
      <c r="G1405" t="s">
        <v>22</v>
      </c>
      <c r="H1405">
        <v>1</v>
      </c>
    </row>
    <row r="1406" spans="1:8" x14ac:dyDescent="0.35">
      <c r="A1406">
        <v>5413149418493</v>
      </c>
      <c r="B1406" t="s">
        <v>1835</v>
      </c>
      <c r="C1406" t="s">
        <v>9</v>
      </c>
      <c r="D1406" t="s">
        <v>1078</v>
      </c>
      <c r="E1406" t="s">
        <v>15</v>
      </c>
      <c r="F1406" t="s">
        <v>1079</v>
      </c>
      <c r="G1406" t="s">
        <v>22</v>
      </c>
      <c r="H1406">
        <v>1</v>
      </c>
    </row>
    <row r="1407" spans="1:8" x14ac:dyDescent="0.35">
      <c r="A1407">
        <v>5413149980761</v>
      </c>
      <c r="B1407" t="s">
        <v>1822</v>
      </c>
      <c r="C1407" t="s">
        <v>1823</v>
      </c>
      <c r="D1407" t="s">
        <v>1319</v>
      </c>
      <c r="E1407" t="s">
        <v>15</v>
      </c>
      <c r="F1407" t="s">
        <v>1079</v>
      </c>
      <c r="G1407" t="s">
        <v>22</v>
      </c>
      <c r="H1407">
        <v>1</v>
      </c>
    </row>
    <row r="1408" spans="1:8" x14ac:dyDescent="0.35">
      <c r="A1408">
        <v>54172401</v>
      </c>
      <c r="B1408" t="s">
        <v>1836</v>
      </c>
      <c r="C1408" t="s">
        <v>326</v>
      </c>
      <c r="D1408" t="s">
        <v>1837</v>
      </c>
      <c r="E1408" t="s">
        <v>34</v>
      </c>
      <c r="F1408" t="s">
        <v>1838</v>
      </c>
      <c r="G1408" t="s">
        <v>34</v>
      </c>
      <c r="H1408">
        <v>1</v>
      </c>
    </row>
    <row r="1409" spans="1:8" x14ac:dyDescent="0.35">
      <c r="A1409">
        <v>5423513860407</v>
      </c>
      <c r="B1409" t="s">
        <v>1839</v>
      </c>
      <c r="C1409" t="s">
        <v>9</v>
      </c>
      <c r="D1409" t="s">
        <v>1840</v>
      </c>
      <c r="E1409" t="s">
        <v>308</v>
      </c>
      <c r="F1409" t="s">
        <v>309</v>
      </c>
      <c r="G1409" t="s">
        <v>61</v>
      </c>
      <c r="H1409">
        <v>7</v>
      </c>
    </row>
    <row r="1410" spans="1:8" x14ac:dyDescent="0.35">
      <c r="A1410">
        <v>5424212150301</v>
      </c>
      <c r="B1410" t="s">
        <v>1841</v>
      </c>
      <c r="C1410" t="s">
        <v>38</v>
      </c>
      <c r="D1410" t="s">
        <v>84</v>
      </c>
      <c r="E1410" t="s">
        <v>61</v>
      </c>
      <c r="F1410" t="s">
        <v>85</v>
      </c>
      <c r="G1410" t="s">
        <v>61</v>
      </c>
      <c r="H1410">
        <v>1</v>
      </c>
    </row>
    <row r="1411" spans="1:8" x14ac:dyDescent="0.35">
      <c r="A1411">
        <v>54490000</v>
      </c>
      <c r="B1411" t="s">
        <v>684</v>
      </c>
      <c r="C1411" t="s">
        <v>81</v>
      </c>
      <c r="D1411" t="s">
        <v>711</v>
      </c>
      <c r="E1411" t="s">
        <v>15</v>
      </c>
      <c r="F1411" t="s">
        <v>14</v>
      </c>
      <c r="G1411" t="s">
        <v>11</v>
      </c>
      <c r="H1411">
        <v>56</v>
      </c>
    </row>
    <row r="1412" spans="1:8" x14ac:dyDescent="0.35">
      <c r="A1412">
        <v>54490000</v>
      </c>
      <c r="B1412" t="s">
        <v>684</v>
      </c>
      <c r="C1412" t="s">
        <v>81</v>
      </c>
      <c r="D1412" t="s">
        <v>711</v>
      </c>
      <c r="E1412" t="s">
        <v>15</v>
      </c>
      <c r="F1412" t="s">
        <v>14</v>
      </c>
      <c r="G1412" t="s">
        <v>34</v>
      </c>
      <c r="H1412">
        <v>6</v>
      </c>
    </row>
    <row r="1413" spans="1:8" x14ac:dyDescent="0.35">
      <c r="A1413">
        <v>54490000</v>
      </c>
      <c r="B1413" t="s">
        <v>684</v>
      </c>
      <c r="C1413" t="s">
        <v>81</v>
      </c>
      <c r="D1413" t="s">
        <v>711</v>
      </c>
      <c r="E1413" t="s">
        <v>15</v>
      </c>
      <c r="F1413" t="s">
        <v>14</v>
      </c>
      <c r="G1413" t="s">
        <v>61</v>
      </c>
      <c r="H1413">
        <v>1</v>
      </c>
    </row>
    <row r="1414" spans="1:8" x14ac:dyDescent="0.35">
      <c r="A1414">
        <v>5449000000286</v>
      </c>
      <c r="B1414" t="s">
        <v>14</v>
      </c>
      <c r="C1414" t="s">
        <v>78</v>
      </c>
      <c r="D1414" t="s">
        <v>14</v>
      </c>
      <c r="E1414" t="s">
        <v>15</v>
      </c>
      <c r="F1414" t="s">
        <v>14</v>
      </c>
      <c r="G1414" t="s">
        <v>117</v>
      </c>
      <c r="H1414">
        <v>3</v>
      </c>
    </row>
    <row r="1415" spans="1:8" x14ac:dyDescent="0.35">
      <c r="A1415">
        <v>5449000000286</v>
      </c>
      <c r="B1415" t="s">
        <v>14</v>
      </c>
      <c r="C1415" t="s">
        <v>78</v>
      </c>
      <c r="D1415" t="s">
        <v>14</v>
      </c>
      <c r="E1415" t="s">
        <v>15</v>
      </c>
      <c r="F1415" t="s">
        <v>14</v>
      </c>
      <c r="G1415" t="s">
        <v>22</v>
      </c>
      <c r="H1415">
        <v>1</v>
      </c>
    </row>
    <row r="1416" spans="1:8" x14ac:dyDescent="0.35">
      <c r="A1416">
        <v>5449000000286</v>
      </c>
      <c r="B1416" t="s">
        <v>14</v>
      </c>
      <c r="C1416" t="s">
        <v>78</v>
      </c>
      <c r="D1416" t="s">
        <v>14</v>
      </c>
      <c r="E1416" t="s">
        <v>15</v>
      </c>
      <c r="F1416" t="s">
        <v>14</v>
      </c>
      <c r="G1416" t="s">
        <v>41</v>
      </c>
      <c r="H1416">
        <v>18</v>
      </c>
    </row>
    <row r="1417" spans="1:8" x14ac:dyDescent="0.35">
      <c r="A1417">
        <v>5449000000286</v>
      </c>
      <c r="B1417" t="s">
        <v>14</v>
      </c>
      <c r="C1417" t="s">
        <v>78</v>
      </c>
      <c r="D1417" t="s">
        <v>14</v>
      </c>
      <c r="E1417" t="s">
        <v>15</v>
      </c>
      <c r="F1417" t="s">
        <v>14</v>
      </c>
      <c r="G1417" t="s">
        <v>11</v>
      </c>
      <c r="H1417">
        <v>14</v>
      </c>
    </row>
    <row r="1418" spans="1:8" x14ac:dyDescent="0.35">
      <c r="A1418">
        <v>5449000000286</v>
      </c>
      <c r="B1418" t="s">
        <v>14</v>
      </c>
      <c r="C1418" t="s">
        <v>78</v>
      </c>
      <c r="D1418" t="s">
        <v>14</v>
      </c>
      <c r="E1418" t="s">
        <v>15</v>
      </c>
      <c r="F1418" t="s">
        <v>14</v>
      </c>
      <c r="G1418" t="s">
        <v>33</v>
      </c>
      <c r="H1418">
        <v>11</v>
      </c>
    </row>
    <row r="1419" spans="1:8" x14ac:dyDescent="0.35">
      <c r="A1419">
        <v>5449000000286</v>
      </c>
      <c r="B1419" t="s">
        <v>14</v>
      </c>
      <c r="C1419" t="s">
        <v>78</v>
      </c>
      <c r="D1419" t="s">
        <v>14</v>
      </c>
      <c r="E1419" t="s">
        <v>15</v>
      </c>
      <c r="F1419" t="s">
        <v>14</v>
      </c>
      <c r="G1419" t="s">
        <v>34</v>
      </c>
      <c r="H1419">
        <v>7623</v>
      </c>
    </row>
    <row r="1420" spans="1:8" x14ac:dyDescent="0.35">
      <c r="A1420">
        <v>5449000000286</v>
      </c>
      <c r="B1420" t="s">
        <v>14</v>
      </c>
      <c r="C1420" t="s">
        <v>78</v>
      </c>
      <c r="D1420" t="s">
        <v>14</v>
      </c>
      <c r="E1420" t="s">
        <v>15</v>
      </c>
      <c r="F1420" t="s">
        <v>14</v>
      </c>
      <c r="G1420" t="s">
        <v>61</v>
      </c>
      <c r="H1420">
        <v>1</v>
      </c>
    </row>
    <row r="1421" spans="1:8" x14ac:dyDescent="0.35">
      <c r="A1421">
        <v>5449000000286</v>
      </c>
      <c r="B1421" t="s">
        <v>14</v>
      </c>
      <c r="C1421" t="s">
        <v>78</v>
      </c>
      <c r="D1421" t="s">
        <v>14</v>
      </c>
      <c r="E1421" t="s">
        <v>15</v>
      </c>
      <c r="F1421" t="s">
        <v>14</v>
      </c>
      <c r="G1421" t="s">
        <v>31</v>
      </c>
      <c r="H1421">
        <v>123</v>
      </c>
    </row>
    <row r="1422" spans="1:8" x14ac:dyDescent="0.35">
      <c r="A1422">
        <v>5449000000439</v>
      </c>
      <c r="B1422" t="s">
        <v>14</v>
      </c>
      <c r="C1422" t="s">
        <v>192</v>
      </c>
      <c r="D1422" t="s">
        <v>14</v>
      </c>
      <c r="E1422" t="s">
        <v>15</v>
      </c>
      <c r="F1422" t="s">
        <v>14</v>
      </c>
      <c r="G1422" t="s">
        <v>117</v>
      </c>
      <c r="H1422">
        <v>1</v>
      </c>
    </row>
    <row r="1423" spans="1:8" x14ac:dyDescent="0.35">
      <c r="A1423">
        <v>5449000000439</v>
      </c>
      <c r="B1423" t="s">
        <v>14</v>
      </c>
      <c r="C1423" t="s">
        <v>192</v>
      </c>
      <c r="D1423" t="s">
        <v>14</v>
      </c>
      <c r="E1423" t="s">
        <v>15</v>
      </c>
      <c r="F1423" t="s">
        <v>14</v>
      </c>
      <c r="G1423" t="s">
        <v>41</v>
      </c>
      <c r="H1423">
        <v>137</v>
      </c>
    </row>
    <row r="1424" spans="1:8" x14ac:dyDescent="0.35">
      <c r="A1424">
        <v>5449000000439</v>
      </c>
      <c r="B1424" t="s">
        <v>14</v>
      </c>
      <c r="C1424" t="s">
        <v>192</v>
      </c>
      <c r="D1424" t="s">
        <v>14</v>
      </c>
      <c r="E1424" t="s">
        <v>15</v>
      </c>
      <c r="F1424" t="s">
        <v>14</v>
      </c>
      <c r="G1424" t="s">
        <v>34</v>
      </c>
      <c r="H1424">
        <v>1</v>
      </c>
    </row>
    <row r="1425" spans="1:8" x14ac:dyDescent="0.35">
      <c r="A1425">
        <v>5449000000439</v>
      </c>
      <c r="B1425" t="s">
        <v>14</v>
      </c>
      <c r="C1425" t="s">
        <v>192</v>
      </c>
      <c r="D1425" t="s">
        <v>14</v>
      </c>
      <c r="E1425" t="s">
        <v>15</v>
      </c>
      <c r="F1425" t="s">
        <v>14</v>
      </c>
      <c r="G1425" t="s">
        <v>150</v>
      </c>
      <c r="H1425">
        <v>15</v>
      </c>
    </row>
    <row r="1426" spans="1:8" x14ac:dyDescent="0.35">
      <c r="A1426">
        <v>5449000000439</v>
      </c>
      <c r="B1426" t="s">
        <v>14</v>
      </c>
      <c r="C1426" t="s">
        <v>192</v>
      </c>
      <c r="D1426" t="s">
        <v>14</v>
      </c>
      <c r="E1426" t="s">
        <v>15</v>
      </c>
      <c r="F1426" t="s">
        <v>14</v>
      </c>
      <c r="G1426" t="s">
        <v>73</v>
      </c>
      <c r="H1426">
        <v>13</v>
      </c>
    </row>
    <row r="1427" spans="1:8" x14ac:dyDescent="0.35">
      <c r="A1427">
        <v>5449000000996</v>
      </c>
      <c r="B1427" t="s">
        <v>1842</v>
      </c>
      <c r="C1427" t="s">
        <v>1843</v>
      </c>
      <c r="D1427" t="s">
        <v>14</v>
      </c>
      <c r="E1427" t="s">
        <v>15</v>
      </c>
      <c r="F1427" t="s">
        <v>14</v>
      </c>
      <c r="G1427" t="s">
        <v>22</v>
      </c>
      <c r="H1427">
        <v>2</v>
      </c>
    </row>
    <row r="1428" spans="1:8" x14ac:dyDescent="0.35">
      <c r="A1428">
        <v>5449000000996</v>
      </c>
      <c r="B1428" t="s">
        <v>1842</v>
      </c>
      <c r="C1428" t="s">
        <v>1843</v>
      </c>
      <c r="D1428" t="s">
        <v>14</v>
      </c>
      <c r="E1428" t="s">
        <v>15</v>
      </c>
      <c r="F1428" t="s">
        <v>14</v>
      </c>
      <c r="G1428" t="s">
        <v>41</v>
      </c>
      <c r="H1428">
        <v>47</v>
      </c>
    </row>
    <row r="1429" spans="1:8" x14ac:dyDescent="0.35">
      <c r="A1429">
        <v>5449000000996</v>
      </c>
      <c r="B1429" t="s">
        <v>1842</v>
      </c>
      <c r="C1429" t="s">
        <v>1843</v>
      </c>
      <c r="D1429" t="s">
        <v>14</v>
      </c>
      <c r="E1429" t="s">
        <v>15</v>
      </c>
      <c r="F1429" t="s">
        <v>14</v>
      </c>
      <c r="G1429" t="s">
        <v>11</v>
      </c>
      <c r="H1429">
        <v>47</v>
      </c>
    </row>
    <row r="1430" spans="1:8" x14ac:dyDescent="0.35">
      <c r="A1430">
        <v>5449000000996</v>
      </c>
      <c r="B1430" t="s">
        <v>1842</v>
      </c>
      <c r="C1430" t="s">
        <v>1843</v>
      </c>
      <c r="D1430" t="s">
        <v>14</v>
      </c>
      <c r="E1430" t="s">
        <v>15</v>
      </c>
      <c r="F1430" t="s">
        <v>14</v>
      </c>
      <c r="G1430" t="s">
        <v>34</v>
      </c>
      <c r="H1430">
        <v>408</v>
      </c>
    </row>
    <row r="1431" spans="1:8" x14ac:dyDescent="0.35">
      <c r="A1431">
        <v>5449000000996</v>
      </c>
      <c r="B1431" t="s">
        <v>1842</v>
      </c>
      <c r="C1431" t="s">
        <v>1843</v>
      </c>
      <c r="D1431" t="s">
        <v>14</v>
      </c>
      <c r="E1431" t="s">
        <v>15</v>
      </c>
      <c r="F1431" t="s">
        <v>14</v>
      </c>
      <c r="G1431" t="s">
        <v>61</v>
      </c>
      <c r="H1431">
        <v>1</v>
      </c>
    </row>
    <row r="1432" spans="1:8" x14ac:dyDescent="0.35">
      <c r="A1432">
        <v>5449000000996</v>
      </c>
      <c r="B1432" t="s">
        <v>1842</v>
      </c>
      <c r="C1432" t="s">
        <v>1843</v>
      </c>
      <c r="D1432" t="s">
        <v>14</v>
      </c>
      <c r="E1432" t="s">
        <v>15</v>
      </c>
      <c r="F1432" t="s">
        <v>14</v>
      </c>
      <c r="G1432" t="s">
        <v>15</v>
      </c>
      <c r="H1432">
        <v>1</v>
      </c>
    </row>
    <row r="1433" spans="1:8" x14ac:dyDescent="0.35">
      <c r="A1433">
        <v>5449000000996</v>
      </c>
      <c r="B1433" t="s">
        <v>1842</v>
      </c>
      <c r="C1433" t="s">
        <v>1843</v>
      </c>
      <c r="D1433" t="s">
        <v>14</v>
      </c>
      <c r="E1433" t="s">
        <v>15</v>
      </c>
      <c r="F1433" t="s">
        <v>14</v>
      </c>
      <c r="G1433" t="s">
        <v>73</v>
      </c>
      <c r="H1433">
        <v>1</v>
      </c>
    </row>
    <row r="1434" spans="1:8" x14ac:dyDescent="0.35">
      <c r="A1434">
        <v>5449000002914</v>
      </c>
      <c r="B1434" t="s">
        <v>1016</v>
      </c>
      <c r="C1434" t="s">
        <v>114</v>
      </c>
      <c r="D1434" t="s">
        <v>14</v>
      </c>
      <c r="E1434" t="s">
        <v>15</v>
      </c>
      <c r="F1434" t="s">
        <v>14</v>
      </c>
      <c r="G1434" t="s">
        <v>61</v>
      </c>
      <c r="H1434">
        <v>20</v>
      </c>
    </row>
    <row r="1435" spans="1:8" x14ac:dyDescent="0.35">
      <c r="A1435">
        <v>5449000002938</v>
      </c>
      <c r="B1435" t="s">
        <v>1844</v>
      </c>
      <c r="C1435" t="s">
        <v>114</v>
      </c>
      <c r="D1435" t="s">
        <v>246</v>
      </c>
      <c r="E1435" t="s">
        <v>15</v>
      </c>
      <c r="F1435" t="s">
        <v>14</v>
      </c>
      <c r="G1435" t="s">
        <v>61</v>
      </c>
      <c r="H1435">
        <v>16</v>
      </c>
    </row>
    <row r="1436" spans="1:8" x14ac:dyDescent="0.35">
      <c r="A1436">
        <v>5449000002938</v>
      </c>
      <c r="B1436" t="s">
        <v>1844</v>
      </c>
      <c r="C1436" t="s">
        <v>114</v>
      </c>
      <c r="D1436" t="s">
        <v>246</v>
      </c>
      <c r="E1436" t="s">
        <v>15</v>
      </c>
      <c r="F1436" t="s">
        <v>14</v>
      </c>
      <c r="G1436" t="s">
        <v>31</v>
      </c>
      <c r="H1436">
        <v>1</v>
      </c>
    </row>
    <row r="1437" spans="1:8" x14ac:dyDescent="0.35">
      <c r="A1437">
        <v>5449000003751</v>
      </c>
      <c r="B1437" t="s">
        <v>1557</v>
      </c>
      <c r="C1437" t="s">
        <v>192</v>
      </c>
      <c r="D1437" t="s">
        <v>246</v>
      </c>
      <c r="E1437" t="s">
        <v>15</v>
      </c>
      <c r="F1437" t="s">
        <v>14</v>
      </c>
      <c r="G1437" t="s">
        <v>117</v>
      </c>
      <c r="H1437">
        <v>2</v>
      </c>
    </row>
    <row r="1438" spans="1:8" x14ac:dyDescent="0.35">
      <c r="A1438">
        <v>5449000003751</v>
      </c>
      <c r="B1438" t="s">
        <v>1557</v>
      </c>
      <c r="C1438" t="s">
        <v>192</v>
      </c>
      <c r="D1438" t="s">
        <v>246</v>
      </c>
      <c r="E1438" t="s">
        <v>15</v>
      </c>
      <c r="F1438" t="s">
        <v>14</v>
      </c>
      <c r="G1438" t="s">
        <v>150</v>
      </c>
      <c r="H1438">
        <v>16</v>
      </c>
    </row>
    <row r="1439" spans="1:8" x14ac:dyDescent="0.35">
      <c r="A1439">
        <v>5449000003768</v>
      </c>
      <c r="B1439" t="s">
        <v>1845</v>
      </c>
      <c r="C1439" t="s">
        <v>78</v>
      </c>
      <c r="D1439" t="s">
        <v>246</v>
      </c>
      <c r="E1439" t="s">
        <v>15</v>
      </c>
      <c r="F1439" t="s">
        <v>14</v>
      </c>
      <c r="G1439" t="s">
        <v>11</v>
      </c>
      <c r="H1439">
        <v>2</v>
      </c>
    </row>
    <row r="1440" spans="1:8" x14ac:dyDescent="0.35">
      <c r="A1440">
        <v>5449000003768</v>
      </c>
      <c r="B1440" t="s">
        <v>1845</v>
      </c>
      <c r="C1440" t="s">
        <v>78</v>
      </c>
      <c r="D1440" t="s">
        <v>246</v>
      </c>
      <c r="E1440" t="s">
        <v>15</v>
      </c>
      <c r="F1440" t="s">
        <v>14</v>
      </c>
      <c r="G1440" t="s">
        <v>34</v>
      </c>
      <c r="H1440">
        <v>152</v>
      </c>
    </row>
    <row r="1441" spans="1:8" x14ac:dyDescent="0.35">
      <c r="A1441">
        <v>5449000003768</v>
      </c>
      <c r="B1441" t="s">
        <v>1845</v>
      </c>
      <c r="C1441" t="s">
        <v>78</v>
      </c>
      <c r="D1441" t="s">
        <v>246</v>
      </c>
      <c r="E1441" t="s">
        <v>15</v>
      </c>
      <c r="F1441" t="s">
        <v>14</v>
      </c>
      <c r="G1441" t="s">
        <v>61</v>
      </c>
      <c r="H1441">
        <v>1</v>
      </c>
    </row>
    <row r="1442" spans="1:8" x14ac:dyDescent="0.35">
      <c r="A1442">
        <v>5449000003768</v>
      </c>
      <c r="B1442" t="s">
        <v>1845</v>
      </c>
      <c r="C1442" t="s">
        <v>78</v>
      </c>
      <c r="D1442" t="s">
        <v>246</v>
      </c>
      <c r="E1442" t="s">
        <v>15</v>
      </c>
      <c r="F1442" t="s">
        <v>14</v>
      </c>
      <c r="G1442" t="s">
        <v>73</v>
      </c>
      <c r="H1442">
        <v>1</v>
      </c>
    </row>
    <row r="1443" spans="1:8" x14ac:dyDescent="0.35">
      <c r="A1443">
        <v>5449000004840</v>
      </c>
      <c r="B1443" t="s">
        <v>1313</v>
      </c>
      <c r="C1443" t="s">
        <v>78</v>
      </c>
      <c r="D1443" t="s">
        <v>246</v>
      </c>
      <c r="E1443" t="s">
        <v>15</v>
      </c>
      <c r="F1443" t="s">
        <v>14</v>
      </c>
      <c r="G1443" t="s">
        <v>11</v>
      </c>
      <c r="H1443">
        <v>43</v>
      </c>
    </row>
    <row r="1444" spans="1:8" x14ac:dyDescent="0.35">
      <c r="A1444">
        <v>5449000004840</v>
      </c>
      <c r="B1444" t="s">
        <v>1313</v>
      </c>
      <c r="C1444" t="s">
        <v>78</v>
      </c>
      <c r="D1444" t="s">
        <v>246</v>
      </c>
      <c r="E1444" t="s">
        <v>15</v>
      </c>
      <c r="F1444" t="s">
        <v>14</v>
      </c>
      <c r="G1444" t="s">
        <v>34</v>
      </c>
      <c r="H1444">
        <v>1254</v>
      </c>
    </row>
    <row r="1445" spans="1:8" x14ac:dyDescent="0.35">
      <c r="A1445">
        <v>5449000004840</v>
      </c>
      <c r="B1445" t="s">
        <v>1313</v>
      </c>
      <c r="C1445" t="s">
        <v>78</v>
      </c>
      <c r="D1445" t="s">
        <v>246</v>
      </c>
      <c r="E1445" t="s">
        <v>15</v>
      </c>
      <c r="F1445" t="s">
        <v>14</v>
      </c>
      <c r="G1445" t="s">
        <v>31</v>
      </c>
      <c r="H1445">
        <v>86</v>
      </c>
    </row>
    <row r="1446" spans="1:8" x14ac:dyDescent="0.35">
      <c r="A1446">
        <v>5449000004864</v>
      </c>
      <c r="B1446" t="s">
        <v>1846</v>
      </c>
      <c r="C1446" t="s">
        <v>78</v>
      </c>
      <c r="D1446" t="s">
        <v>705</v>
      </c>
      <c r="E1446" t="s">
        <v>15</v>
      </c>
      <c r="F1446" t="s">
        <v>14</v>
      </c>
      <c r="G1446" t="s">
        <v>11</v>
      </c>
      <c r="H1446">
        <v>59</v>
      </c>
    </row>
    <row r="1447" spans="1:8" x14ac:dyDescent="0.35">
      <c r="A1447">
        <v>5449000004864</v>
      </c>
      <c r="B1447" t="s">
        <v>1846</v>
      </c>
      <c r="C1447" t="s">
        <v>78</v>
      </c>
      <c r="D1447" t="s">
        <v>705</v>
      </c>
      <c r="E1447" t="s">
        <v>15</v>
      </c>
      <c r="F1447" t="s">
        <v>14</v>
      </c>
      <c r="G1447" t="s">
        <v>34</v>
      </c>
      <c r="H1447">
        <v>2</v>
      </c>
    </row>
    <row r="1448" spans="1:8" x14ac:dyDescent="0.35">
      <c r="A1448">
        <v>5449000004864</v>
      </c>
      <c r="B1448" t="s">
        <v>1846</v>
      </c>
      <c r="C1448" t="s">
        <v>78</v>
      </c>
      <c r="D1448" t="s">
        <v>705</v>
      </c>
      <c r="E1448" t="s">
        <v>15</v>
      </c>
      <c r="F1448" t="s">
        <v>14</v>
      </c>
      <c r="G1448" t="s">
        <v>31</v>
      </c>
      <c r="H1448">
        <v>41</v>
      </c>
    </row>
    <row r="1449" spans="1:8" x14ac:dyDescent="0.35">
      <c r="A1449">
        <v>5449000005755</v>
      </c>
      <c r="B1449" t="s">
        <v>705</v>
      </c>
      <c r="C1449" t="s">
        <v>114</v>
      </c>
      <c r="D1449" t="s">
        <v>705</v>
      </c>
      <c r="E1449" t="s">
        <v>15</v>
      </c>
      <c r="F1449" t="s">
        <v>14</v>
      </c>
      <c r="G1449" t="s">
        <v>61</v>
      </c>
      <c r="H1449">
        <v>72</v>
      </c>
    </row>
    <row r="1450" spans="1:8" x14ac:dyDescent="0.35">
      <c r="A1450">
        <v>5449000006271</v>
      </c>
      <c r="B1450" t="s">
        <v>246</v>
      </c>
      <c r="C1450" t="s">
        <v>81</v>
      </c>
      <c r="D1450" t="s">
        <v>246</v>
      </c>
      <c r="E1450" t="s">
        <v>15</v>
      </c>
      <c r="F1450" t="s">
        <v>14</v>
      </c>
      <c r="G1450" t="s">
        <v>387</v>
      </c>
      <c r="H1450">
        <v>2</v>
      </c>
    </row>
    <row r="1451" spans="1:8" x14ac:dyDescent="0.35">
      <c r="A1451">
        <v>5449000006271</v>
      </c>
      <c r="B1451" t="s">
        <v>246</v>
      </c>
      <c r="C1451" t="s">
        <v>81</v>
      </c>
      <c r="D1451" t="s">
        <v>246</v>
      </c>
      <c r="E1451" t="s">
        <v>15</v>
      </c>
      <c r="F1451" t="s">
        <v>14</v>
      </c>
      <c r="G1451" t="s">
        <v>34</v>
      </c>
      <c r="H1451">
        <v>1193</v>
      </c>
    </row>
    <row r="1452" spans="1:8" x14ac:dyDescent="0.35">
      <c r="A1452">
        <v>5449000006271</v>
      </c>
      <c r="B1452" t="s">
        <v>246</v>
      </c>
      <c r="C1452" t="s">
        <v>81</v>
      </c>
      <c r="D1452" t="s">
        <v>246</v>
      </c>
      <c r="E1452" t="s">
        <v>15</v>
      </c>
      <c r="F1452" t="s">
        <v>14</v>
      </c>
      <c r="G1452" t="s">
        <v>150</v>
      </c>
      <c r="H1452">
        <v>11</v>
      </c>
    </row>
    <row r="1453" spans="1:8" x14ac:dyDescent="0.35">
      <c r="A1453">
        <v>5449000009067</v>
      </c>
      <c r="B1453" t="s">
        <v>1333</v>
      </c>
      <c r="C1453" t="s">
        <v>78</v>
      </c>
      <c r="D1453" t="s">
        <v>14</v>
      </c>
      <c r="E1453" t="s">
        <v>15</v>
      </c>
      <c r="F1453" t="s">
        <v>14</v>
      </c>
      <c r="G1453" t="s">
        <v>464</v>
      </c>
      <c r="H1453">
        <v>1</v>
      </c>
    </row>
    <row r="1454" spans="1:8" x14ac:dyDescent="0.35">
      <c r="A1454">
        <v>5449000009067</v>
      </c>
      <c r="B1454" t="s">
        <v>1333</v>
      </c>
      <c r="C1454" t="s">
        <v>78</v>
      </c>
      <c r="D1454" t="s">
        <v>14</v>
      </c>
      <c r="E1454" t="s">
        <v>15</v>
      </c>
      <c r="F1454" t="s">
        <v>14</v>
      </c>
      <c r="G1454" t="s">
        <v>73</v>
      </c>
      <c r="H1454">
        <v>35</v>
      </c>
    </row>
    <row r="1455" spans="1:8" x14ac:dyDescent="0.35">
      <c r="A1455">
        <v>5449000010049</v>
      </c>
      <c r="B1455" t="s">
        <v>1847</v>
      </c>
      <c r="C1455" t="s">
        <v>214</v>
      </c>
      <c r="D1455" t="s">
        <v>246</v>
      </c>
      <c r="E1455" t="s">
        <v>15</v>
      </c>
      <c r="F1455" t="s">
        <v>14</v>
      </c>
      <c r="G1455" t="s">
        <v>117</v>
      </c>
      <c r="H1455">
        <v>1</v>
      </c>
    </row>
    <row r="1456" spans="1:8" x14ac:dyDescent="0.35">
      <c r="A1456">
        <v>5449000010070</v>
      </c>
      <c r="B1456" t="s">
        <v>1845</v>
      </c>
      <c r="C1456" t="s">
        <v>78</v>
      </c>
      <c r="D1456" t="s">
        <v>246</v>
      </c>
      <c r="E1456" t="s">
        <v>15</v>
      </c>
      <c r="F1456" t="s">
        <v>14</v>
      </c>
      <c r="G1456" t="s">
        <v>33</v>
      </c>
      <c r="H1456">
        <v>20</v>
      </c>
    </row>
    <row r="1457" spans="1:8" x14ac:dyDescent="0.35">
      <c r="A1457">
        <v>5449000010070</v>
      </c>
      <c r="B1457" t="s">
        <v>1845</v>
      </c>
      <c r="C1457" t="s">
        <v>78</v>
      </c>
      <c r="D1457" t="s">
        <v>246</v>
      </c>
      <c r="E1457" t="s">
        <v>15</v>
      </c>
      <c r="F1457" t="s">
        <v>14</v>
      </c>
      <c r="G1457" t="s">
        <v>34</v>
      </c>
      <c r="H1457">
        <v>701</v>
      </c>
    </row>
    <row r="1458" spans="1:8" x14ac:dyDescent="0.35">
      <c r="A1458">
        <v>5449000010070</v>
      </c>
      <c r="B1458" t="s">
        <v>1845</v>
      </c>
      <c r="C1458" t="s">
        <v>78</v>
      </c>
      <c r="D1458" t="s">
        <v>246</v>
      </c>
      <c r="E1458" t="s">
        <v>15</v>
      </c>
      <c r="F1458" t="s">
        <v>14</v>
      </c>
      <c r="G1458" t="s">
        <v>73</v>
      </c>
      <c r="H1458">
        <v>1</v>
      </c>
    </row>
    <row r="1459" spans="1:8" x14ac:dyDescent="0.35">
      <c r="A1459">
        <v>5449000011527</v>
      </c>
      <c r="B1459" t="s">
        <v>1848</v>
      </c>
      <c r="C1459" t="s">
        <v>603</v>
      </c>
      <c r="D1459" t="s">
        <v>14</v>
      </c>
      <c r="E1459" t="s">
        <v>15</v>
      </c>
      <c r="F1459" t="s">
        <v>14</v>
      </c>
      <c r="G1459" t="s">
        <v>22</v>
      </c>
      <c r="H1459">
        <v>1</v>
      </c>
    </row>
    <row r="1460" spans="1:8" x14ac:dyDescent="0.35">
      <c r="A1460">
        <v>5449000012203</v>
      </c>
      <c r="B1460" t="s">
        <v>1849</v>
      </c>
      <c r="C1460" t="s">
        <v>192</v>
      </c>
      <c r="D1460" t="s">
        <v>705</v>
      </c>
      <c r="E1460" t="s">
        <v>15</v>
      </c>
      <c r="F1460" t="s">
        <v>14</v>
      </c>
      <c r="G1460" t="s">
        <v>117</v>
      </c>
      <c r="H1460">
        <v>2</v>
      </c>
    </row>
    <row r="1461" spans="1:8" x14ac:dyDescent="0.35">
      <c r="A1461">
        <v>5449000012203</v>
      </c>
      <c r="B1461" t="s">
        <v>1849</v>
      </c>
      <c r="C1461" t="s">
        <v>192</v>
      </c>
      <c r="D1461" t="s">
        <v>705</v>
      </c>
      <c r="E1461" t="s">
        <v>15</v>
      </c>
      <c r="F1461" t="s">
        <v>14</v>
      </c>
      <c r="G1461" t="s">
        <v>150</v>
      </c>
      <c r="H1461">
        <v>5</v>
      </c>
    </row>
    <row r="1462" spans="1:8" x14ac:dyDescent="0.35">
      <c r="A1462">
        <v>5449000014917</v>
      </c>
      <c r="B1462" t="s">
        <v>1815</v>
      </c>
      <c r="C1462" t="s">
        <v>81</v>
      </c>
      <c r="D1462" t="s">
        <v>52</v>
      </c>
      <c r="E1462" t="s">
        <v>15</v>
      </c>
      <c r="F1462" t="s">
        <v>14</v>
      </c>
      <c r="G1462" t="s">
        <v>34</v>
      </c>
      <c r="H1462">
        <v>17</v>
      </c>
    </row>
    <row r="1463" spans="1:8" x14ac:dyDescent="0.35">
      <c r="A1463">
        <v>5449000014917</v>
      </c>
      <c r="B1463" t="s">
        <v>1815</v>
      </c>
      <c r="C1463" t="s">
        <v>81</v>
      </c>
      <c r="D1463" t="s">
        <v>52</v>
      </c>
      <c r="E1463" t="s">
        <v>15</v>
      </c>
      <c r="F1463" t="s">
        <v>14</v>
      </c>
      <c r="G1463" t="s">
        <v>73</v>
      </c>
      <c r="H1463">
        <v>53</v>
      </c>
    </row>
    <row r="1464" spans="1:8" x14ac:dyDescent="0.35">
      <c r="A1464">
        <v>5449000016560</v>
      </c>
      <c r="B1464" t="s">
        <v>1850</v>
      </c>
      <c r="C1464" t="s">
        <v>81</v>
      </c>
      <c r="D1464" t="s">
        <v>14</v>
      </c>
      <c r="E1464" t="s">
        <v>15</v>
      </c>
      <c r="F1464" t="s">
        <v>14</v>
      </c>
      <c r="G1464" t="s">
        <v>73</v>
      </c>
      <c r="H1464">
        <v>5</v>
      </c>
    </row>
    <row r="1465" spans="1:8" x14ac:dyDescent="0.35">
      <c r="A1465">
        <v>5449000021830</v>
      </c>
      <c r="B1465" t="s">
        <v>1851</v>
      </c>
      <c r="C1465" t="s">
        <v>81</v>
      </c>
      <c r="D1465" t="s">
        <v>246</v>
      </c>
      <c r="E1465" t="s">
        <v>15</v>
      </c>
      <c r="F1465" t="s">
        <v>14</v>
      </c>
      <c r="G1465" t="s">
        <v>34</v>
      </c>
      <c r="H1465">
        <v>9</v>
      </c>
    </row>
    <row r="1466" spans="1:8" x14ac:dyDescent="0.35">
      <c r="A1466">
        <v>5449000022752</v>
      </c>
      <c r="B1466" t="s">
        <v>1694</v>
      </c>
      <c r="C1466" t="s">
        <v>78</v>
      </c>
      <c r="D1466" t="s">
        <v>246</v>
      </c>
      <c r="E1466" t="s">
        <v>15</v>
      </c>
      <c r="F1466" t="s">
        <v>14</v>
      </c>
      <c r="G1466" t="s">
        <v>11</v>
      </c>
      <c r="H1466">
        <v>37</v>
      </c>
    </row>
    <row r="1467" spans="1:8" x14ac:dyDescent="0.35">
      <c r="A1467">
        <v>5449000025173</v>
      </c>
      <c r="B1467" t="s">
        <v>14</v>
      </c>
      <c r="C1467" t="s">
        <v>1299</v>
      </c>
      <c r="D1467" t="s">
        <v>14</v>
      </c>
      <c r="E1467" t="s">
        <v>15</v>
      </c>
      <c r="F1467" t="s">
        <v>14</v>
      </c>
      <c r="G1467" t="s">
        <v>73</v>
      </c>
      <c r="H1467">
        <v>1</v>
      </c>
    </row>
    <row r="1468" spans="1:8" x14ac:dyDescent="0.35">
      <c r="A1468">
        <v>5449000028075</v>
      </c>
      <c r="B1468" t="s">
        <v>1852</v>
      </c>
      <c r="C1468" t="s">
        <v>9</v>
      </c>
      <c r="D1468" t="s">
        <v>451</v>
      </c>
      <c r="E1468" t="s">
        <v>15</v>
      </c>
      <c r="F1468" t="s">
        <v>14</v>
      </c>
      <c r="G1468" t="s">
        <v>61</v>
      </c>
      <c r="H1468">
        <v>174</v>
      </c>
    </row>
    <row r="1469" spans="1:8" x14ac:dyDescent="0.35">
      <c r="A1469">
        <v>5449000028921</v>
      </c>
      <c r="B1469" t="s">
        <v>1016</v>
      </c>
      <c r="C1469" t="s">
        <v>1853</v>
      </c>
      <c r="D1469" t="s">
        <v>14</v>
      </c>
      <c r="E1469" t="s">
        <v>15</v>
      </c>
      <c r="F1469" t="s">
        <v>14</v>
      </c>
      <c r="G1469" t="s">
        <v>11</v>
      </c>
      <c r="H1469">
        <v>29</v>
      </c>
    </row>
    <row r="1470" spans="1:8" x14ac:dyDescent="0.35">
      <c r="A1470">
        <v>5449000028921</v>
      </c>
      <c r="B1470" t="s">
        <v>1016</v>
      </c>
      <c r="C1470" t="s">
        <v>1853</v>
      </c>
      <c r="D1470" t="s">
        <v>14</v>
      </c>
      <c r="E1470" t="s">
        <v>15</v>
      </c>
      <c r="F1470" t="s">
        <v>14</v>
      </c>
      <c r="G1470" t="s">
        <v>61</v>
      </c>
      <c r="H1470">
        <v>99</v>
      </c>
    </row>
    <row r="1471" spans="1:8" x14ac:dyDescent="0.35">
      <c r="A1471">
        <v>5449000028938</v>
      </c>
      <c r="B1471" t="s">
        <v>1854</v>
      </c>
      <c r="C1471" t="s">
        <v>814</v>
      </c>
      <c r="D1471" t="s">
        <v>246</v>
      </c>
      <c r="E1471" t="s">
        <v>15</v>
      </c>
      <c r="F1471" t="s">
        <v>14</v>
      </c>
      <c r="G1471" t="s">
        <v>11</v>
      </c>
      <c r="H1471">
        <v>42</v>
      </c>
    </row>
    <row r="1472" spans="1:8" x14ac:dyDescent="0.35">
      <c r="A1472">
        <v>5449000028938</v>
      </c>
      <c r="B1472" t="s">
        <v>1854</v>
      </c>
      <c r="C1472" t="s">
        <v>814</v>
      </c>
      <c r="D1472" t="s">
        <v>246</v>
      </c>
      <c r="E1472" t="s">
        <v>15</v>
      </c>
      <c r="F1472" t="s">
        <v>14</v>
      </c>
      <c r="G1472" t="s">
        <v>34</v>
      </c>
      <c r="H1472">
        <v>50</v>
      </c>
    </row>
    <row r="1473" spans="1:8" x14ac:dyDescent="0.35">
      <c r="A1473">
        <v>5449000028938</v>
      </c>
      <c r="B1473" t="s">
        <v>1854</v>
      </c>
      <c r="C1473" t="s">
        <v>814</v>
      </c>
      <c r="D1473" t="s">
        <v>246</v>
      </c>
      <c r="E1473" t="s">
        <v>15</v>
      </c>
      <c r="F1473" t="s">
        <v>14</v>
      </c>
      <c r="G1473" t="s">
        <v>61</v>
      </c>
      <c r="H1473">
        <v>33</v>
      </c>
    </row>
    <row r="1474" spans="1:8" x14ac:dyDescent="0.35">
      <c r="A1474">
        <v>5449000028976</v>
      </c>
      <c r="B1474" t="s">
        <v>1855</v>
      </c>
      <c r="C1474" t="s">
        <v>814</v>
      </c>
      <c r="D1474" t="s">
        <v>705</v>
      </c>
      <c r="E1474" t="s">
        <v>15</v>
      </c>
      <c r="F1474" t="s">
        <v>14</v>
      </c>
      <c r="G1474" t="s">
        <v>11</v>
      </c>
      <c r="H1474">
        <v>3</v>
      </c>
    </row>
    <row r="1475" spans="1:8" x14ac:dyDescent="0.35">
      <c r="A1475">
        <v>5449000028976</v>
      </c>
      <c r="B1475" t="s">
        <v>1855</v>
      </c>
      <c r="C1475" t="s">
        <v>814</v>
      </c>
      <c r="D1475" t="s">
        <v>705</v>
      </c>
      <c r="E1475" t="s">
        <v>15</v>
      </c>
      <c r="F1475" t="s">
        <v>14</v>
      </c>
      <c r="G1475" t="s">
        <v>34</v>
      </c>
      <c r="H1475">
        <v>1</v>
      </c>
    </row>
    <row r="1476" spans="1:8" x14ac:dyDescent="0.35">
      <c r="A1476">
        <v>5449000028976</v>
      </c>
      <c r="B1476" t="s">
        <v>1855</v>
      </c>
      <c r="C1476" t="s">
        <v>814</v>
      </c>
      <c r="D1476" t="s">
        <v>705</v>
      </c>
      <c r="E1476" t="s">
        <v>15</v>
      </c>
      <c r="F1476" t="s">
        <v>14</v>
      </c>
      <c r="G1476" t="s">
        <v>61</v>
      </c>
      <c r="H1476">
        <v>8</v>
      </c>
    </row>
    <row r="1477" spans="1:8" x14ac:dyDescent="0.35">
      <c r="A1477">
        <v>5449000034335</v>
      </c>
      <c r="B1477" t="s">
        <v>1856</v>
      </c>
      <c r="C1477" t="s">
        <v>114</v>
      </c>
      <c r="D1477" t="s">
        <v>914</v>
      </c>
      <c r="E1477" t="s">
        <v>15</v>
      </c>
      <c r="F1477" t="s">
        <v>14</v>
      </c>
      <c r="G1477" t="s">
        <v>22</v>
      </c>
      <c r="H1477">
        <v>7</v>
      </c>
    </row>
    <row r="1478" spans="1:8" x14ac:dyDescent="0.35">
      <c r="A1478">
        <v>5449000036353</v>
      </c>
      <c r="B1478" t="s">
        <v>486</v>
      </c>
      <c r="C1478" t="s">
        <v>192</v>
      </c>
      <c r="D1478" t="s">
        <v>451</v>
      </c>
      <c r="E1478" t="s">
        <v>15</v>
      </c>
      <c r="F1478" t="s">
        <v>14</v>
      </c>
      <c r="G1478" t="s">
        <v>73</v>
      </c>
      <c r="H1478">
        <v>10</v>
      </c>
    </row>
    <row r="1479" spans="1:8" x14ac:dyDescent="0.35">
      <c r="A1479">
        <v>5449000044808</v>
      </c>
      <c r="B1479" t="s">
        <v>1324</v>
      </c>
      <c r="C1479" t="s">
        <v>110</v>
      </c>
      <c r="D1479" t="s">
        <v>52</v>
      </c>
      <c r="E1479" t="s">
        <v>15</v>
      </c>
      <c r="F1479" t="s">
        <v>14</v>
      </c>
      <c r="G1479" t="s">
        <v>387</v>
      </c>
      <c r="H1479">
        <v>1</v>
      </c>
    </row>
    <row r="1480" spans="1:8" x14ac:dyDescent="0.35">
      <c r="A1480">
        <v>5449000044808</v>
      </c>
      <c r="B1480" t="s">
        <v>1324</v>
      </c>
      <c r="C1480" t="s">
        <v>110</v>
      </c>
      <c r="D1480" t="s">
        <v>52</v>
      </c>
      <c r="E1480" t="s">
        <v>15</v>
      </c>
      <c r="F1480" t="s">
        <v>14</v>
      </c>
      <c r="G1480" t="s">
        <v>34</v>
      </c>
      <c r="H1480">
        <v>1</v>
      </c>
    </row>
    <row r="1481" spans="1:8" x14ac:dyDescent="0.35">
      <c r="A1481">
        <v>5449000045478</v>
      </c>
      <c r="B1481" t="s">
        <v>485</v>
      </c>
      <c r="C1481" t="s">
        <v>192</v>
      </c>
      <c r="D1481" t="s">
        <v>1312</v>
      </c>
      <c r="E1481" t="s">
        <v>15</v>
      </c>
      <c r="F1481" t="s">
        <v>14</v>
      </c>
      <c r="G1481" t="s">
        <v>34</v>
      </c>
      <c r="H1481">
        <v>2687</v>
      </c>
    </row>
    <row r="1482" spans="1:8" x14ac:dyDescent="0.35">
      <c r="A1482">
        <v>5449000050939</v>
      </c>
      <c r="B1482" t="s">
        <v>1857</v>
      </c>
      <c r="C1482" t="s">
        <v>110</v>
      </c>
      <c r="D1482" t="s">
        <v>14</v>
      </c>
      <c r="E1482" t="s">
        <v>15</v>
      </c>
      <c r="F1482" t="s">
        <v>14</v>
      </c>
      <c r="G1482" t="s">
        <v>387</v>
      </c>
      <c r="H1482">
        <v>6</v>
      </c>
    </row>
    <row r="1483" spans="1:8" x14ac:dyDescent="0.35">
      <c r="A1483">
        <v>5449000051981</v>
      </c>
      <c r="B1483" t="s">
        <v>1858</v>
      </c>
      <c r="C1483" t="s">
        <v>1859</v>
      </c>
      <c r="D1483" t="s">
        <v>14</v>
      </c>
      <c r="E1483" t="s">
        <v>15</v>
      </c>
      <c r="F1483" t="s">
        <v>14</v>
      </c>
      <c r="G1483" t="s">
        <v>117</v>
      </c>
      <c r="H1483">
        <v>1</v>
      </c>
    </row>
    <row r="1484" spans="1:8" x14ac:dyDescent="0.35">
      <c r="A1484">
        <v>5449000052926</v>
      </c>
      <c r="B1484" t="s">
        <v>1860</v>
      </c>
      <c r="C1484" t="s">
        <v>192</v>
      </c>
      <c r="D1484" t="s">
        <v>246</v>
      </c>
      <c r="E1484" t="s">
        <v>15</v>
      </c>
      <c r="F1484" t="s">
        <v>14</v>
      </c>
      <c r="G1484" t="s">
        <v>117</v>
      </c>
      <c r="H1484">
        <v>9</v>
      </c>
    </row>
    <row r="1485" spans="1:8" x14ac:dyDescent="0.35">
      <c r="A1485">
        <v>5449000052926</v>
      </c>
      <c r="B1485" t="s">
        <v>1860</v>
      </c>
      <c r="C1485" t="s">
        <v>192</v>
      </c>
      <c r="D1485" t="s">
        <v>246</v>
      </c>
      <c r="E1485" t="s">
        <v>15</v>
      </c>
      <c r="F1485" t="s">
        <v>14</v>
      </c>
      <c r="G1485" t="s">
        <v>34</v>
      </c>
      <c r="H1485">
        <v>1</v>
      </c>
    </row>
    <row r="1486" spans="1:8" x14ac:dyDescent="0.35">
      <c r="A1486">
        <v>5449000052926</v>
      </c>
      <c r="B1486" t="s">
        <v>1860</v>
      </c>
      <c r="C1486" t="s">
        <v>192</v>
      </c>
      <c r="D1486" t="s">
        <v>246</v>
      </c>
      <c r="E1486" t="s">
        <v>15</v>
      </c>
      <c r="F1486" t="s">
        <v>14</v>
      </c>
      <c r="G1486" t="s">
        <v>150</v>
      </c>
      <c r="H1486">
        <v>20</v>
      </c>
    </row>
    <row r="1487" spans="1:8" x14ac:dyDescent="0.35">
      <c r="A1487">
        <v>5449000054227</v>
      </c>
      <c r="B1487" t="s">
        <v>1333</v>
      </c>
      <c r="C1487" t="s">
        <v>81</v>
      </c>
      <c r="D1487" t="s">
        <v>14</v>
      </c>
      <c r="E1487" t="s">
        <v>15</v>
      </c>
      <c r="F1487" t="s">
        <v>14</v>
      </c>
      <c r="G1487" t="s">
        <v>387</v>
      </c>
      <c r="H1487">
        <v>7</v>
      </c>
    </row>
    <row r="1488" spans="1:8" x14ac:dyDescent="0.35">
      <c r="A1488">
        <v>5449000054227</v>
      </c>
      <c r="B1488" t="s">
        <v>1333</v>
      </c>
      <c r="C1488" t="s">
        <v>81</v>
      </c>
      <c r="D1488" t="s">
        <v>14</v>
      </c>
      <c r="E1488" t="s">
        <v>15</v>
      </c>
      <c r="F1488" t="s">
        <v>14</v>
      </c>
      <c r="G1488" t="s">
        <v>22</v>
      </c>
      <c r="H1488">
        <v>2</v>
      </c>
    </row>
    <row r="1489" spans="1:8" x14ac:dyDescent="0.35">
      <c r="A1489">
        <v>5449000054227</v>
      </c>
      <c r="B1489" t="s">
        <v>1333</v>
      </c>
      <c r="C1489" t="s">
        <v>81</v>
      </c>
      <c r="D1489" t="s">
        <v>14</v>
      </c>
      <c r="E1489" t="s">
        <v>15</v>
      </c>
      <c r="F1489" t="s">
        <v>14</v>
      </c>
      <c r="G1489" t="s">
        <v>33</v>
      </c>
      <c r="H1489">
        <v>50</v>
      </c>
    </row>
    <row r="1490" spans="1:8" x14ac:dyDescent="0.35">
      <c r="A1490">
        <v>5449000054227</v>
      </c>
      <c r="B1490" t="s">
        <v>1333</v>
      </c>
      <c r="C1490" t="s">
        <v>81</v>
      </c>
      <c r="D1490" t="s">
        <v>14</v>
      </c>
      <c r="E1490" t="s">
        <v>15</v>
      </c>
      <c r="F1490" t="s">
        <v>14</v>
      </c>
      <c r="G1490" t="s">
        <v>34</v>
      </c>
      <c r="H1490">
        <v>4869</v>
      </c>
    </row>
    <row r="1491" spans="1:8" x14ac:dyDescent="0.35">
      <c r="A1491">
        <v>5449000060082</v>
      </c>
      <c r="B1491" t="s">
        <v>1861</v>
      </c>
      <c r="C1491" t="s">
        <v>78</v>
      </c>
      <c r="D1491" t="s">
        <v>1862</v>
      </c>
      <c r="E1491" t="s">
        <v>15</v>
      </c>
      <c r="F1491" t="s">
        <v>14</v>
      </c>
      <c r="G1491" t="s">
        <v>34</v>
      </c>
      <c r="H1491">
        <v>3</v>
      </c>
    </row>
    <row r="1492" spans="1:8" x14ac:dyDescent="0.35">
      <c r="A1492">
        <v>5449000060082</v>
      </c>
      <c r="B1492" t="s">
        <v>1861</v>
      </c>
      <c r="C1492" t="s">
        <v>78</v>
      </c>
      <c r="D1492" t="s">
        <v>1862</v>
      </c>
      <c r="E1492" t="s">
        <v>15</v>
      </c>
      <c r="F1492" t="s">
        <v>14</v>
      </c>
      <c r="G1492" t="s">
        <v>73</v>
      </c>
      <c r="H1492">
        <v>2</v>
      </c>
    </row>
    <row r="1493" spans="1:8" x14ac:dyDescent="0.35">
      <c r="A1493">
        <v>5449000061768</v>
      </c>
      <c r="B1493" t="s">
        <v>14</v>
      </c>
      <c r="C1493" t="s">
        <v>1299</v>
      </c>
      <c r="D1493" t="s">
        <v>14</v>
      </c>
      <c r="E1493" t="s">
        <v>15</v>
      </c>
      <c r="F1493" t="s">
        <v>14</v>
      </c>
      <c r="G1493" t="s">
        <v>73</v>
      </c>
      <c r="H1493">
        <v>3</v>
      </c>
    </row>
    <row r="1494" spans="1:8" x14ac:dyDescent="0.35">
      <c r="A1494">
        <v>5449000062215</v>
      </c>
      <c r="B1494" t="s">
        <v>684</v>
      </c>
      <c r="C1494" t="s">
        <v>1863</v>
      </c>
      <c r="D1494" t="s">
        <v>1312</v>
      </c>
      <c r="E1494" t="s">
        <v>15</v>
      </c>
      <c r="F1494" t="s">
        <v>14</v>
      </c>
      <c r="G1494" t="s">
        <v>34</v>
      </c>
      <c r="H1494">
        <v>521</v>
      </c>
    </row>
    <row r="1495" spans="1:8" x14ac:dyDescent="0.35">
      <c r="A1495">
        <v>5449000064141</v>
      </c>
      <c r="B1495" t="s">
        <v>250</v>
      </c>
      <c r="C1495" t="s">
        <v>814</v>
      </c>
      <c r="D1495" t="s">
        <v>14</v>
      </c>
      <c r="E1495" t="s">
        <v>15</v>
      </c>
      <c r="F1495" t="s">
        <v>14</v>
      </c>
      <c r="G1495" t="s">
        <v>22</v>
      </c>
      <c r="H1495">
        <v>8</v>
      </c>
    </row>
    <row r="1496" spans="1:8" x14ac:dyDescent="0.35">
      <c r="A1496">
        <v>5449000069429</v>
      </c>
      <c r="B1496" t="s">
        <v>139</v>
      </c>
      <c r="C1496" t="s">
        <v>603</v>
      </c>
      <c r="D1496" t="s">
        <v>246</v>
      </c>
      <c r="E1496" t="s">
        <v>15</v>
      </c>
      <c r="F1496" t="s">
        <v>14</v>
      </c>
      <c r="G1496" t="s">
        <v>34</v>
      </c>
      <c r="H1496">
        <v>3</v>
      </c>
    </row>
    <row r="1497" spans="1:8" x14ac:dyDescent="0.35">
      <c r="A1497">
        <v>5449000090096</v>
      </c>
      <c r="B1497" t="s">
        <v>1864</v>
      </c>
      <c r="C1497" t="s">
        <v>78</v>
      </c>
      <c r="D1497" t="s">
        <v>246</v>
      </c>
      <c r="E1497" t="s">
        <v>15</v>
      </c>
      <c r="F1497" t="s">
        <v>14</v>
      </c>
      <c r="G1497" t="s">
        <v>11</v>
      </c>
      <c r="H1497">
        <v>40</v>
      </c>
    </row>
    <row r="1498" spans="1:8" x14ac:dyDescent="0.35">
      <c r="A1498">
        <v>5449000090096</v>
      </c>
      <c r="B1498" t="s">
        <v>1864</v>
      </c>
      <c r="C1498" t="s">
        <v>78</v>
      </c>
      <c r="D1498" t="s">
        <v>246</v>
      </c>
      <c r="E1498" t="s">
        <v>15</v>
      </c>
      <c r="F1498" t="s">
        <v>14</v>
      </c>
      <c r="G1498" t="s">
        <v>34</v>
      </c>
      <c r="H1498">
        <v>44</v>
      </c>
    </row>
    <row r="1499" spans="1:8" x14ac:dyDescent="0.35">
      <c r="A1499">
        <v>5449000093943</v>
      </c>
      <c r="B1499" t="s">
        <v>1865</v>
      </c>
      <c r="C1499" t="s">
        <v>1866</v>
      </c>
      <c r="D1499" t="s">
        <v>1312</v>
      </c>
      <c r="E1499" t="s">
        <v>15</v>
      </c>
      <c r="F1499" t="s">
        <v>14</v>
      </c>
      <c r="G1499" t="s">
        <v>34</v>
      </c>
      <c r="H1499">
        <v>4</v>
      </c>
    </row>
    <row r="1500" spans="1:8" x14ac:dyDescent="0.35">
      <c r="A1500">
        <v>5449000098504</v>
      </c>
      <c r="B1500" t="s">
        <v>1867</v>
      </c>
      <c r="C1500" t="s">
        <v>192</v>
      </c>
      <c r="D1500" t="s">
        <v>711</v>
      </c>
      <c r="E1500" t="s">
        <v>15</v>
      </c>
      <c r="F1500" t="s">
        <v>14</v>
      </c>
      <c r="G1500" t="s">
        <v>117</v>
      </c>
      <c r="H1500">
        <v>4</v>
      </c>
    </row>
    <row r="1501" spans="1:8" x14ac:dyDescent="0.35">
      <c r="A1501">
        <v>5449000098504</v>
      </c>
      <c r="B1501" t="s">
        <v>1867</v>
      </c>
      <c r="C1501" t="s">
        <v>192</v>
      </c>
      <c r="D1501" t="s">
        <v>711</v>
      </c>
      <c r="E1501" t="s">
        <v>15</v>
      </c>
      <c r="F1501" t="s">
        <v>14</v>
      </c>
      <c r="G1501" t="s">
        <v>61</v>
      </c>
      <c r="H1501">
        <v>31</v>
      </c>
    </row>
    <row r="1502" spans="1:8" x14ac:dyDescent="0.35">
      <c r="A1502">
        <v>5449000098580</v>
      </c>
      <c r="B1502" t="s">
        <v>1868</v>
      </c>
      <c r="C1502" t="s">
        <v>214</v>
      </c>
      <c r="D1502" t="s">
        <v>1862</v>
      </c>
      <c r="E1502" t="s">
        <v>15</v>
      </c>
      <c r="F1502" t="s">
        <v>14</v>
      </c>
      <c r="G1502" t="s">
        <v>34</v>
      </c>
      <c r="H1502">
        <v>7</v>
      </c>
    </row>
    <row r="1503" spans="1:8" x14ac:dyDescent="0.35">
      <c r="A1503">
        <v>5449000098580</v>
      </c>
      <c r="B1503" t="s">
        <v>1868</v>
      </c>
      <c r="C1503" t="s">
        <v>214</v>
      </c>
      <c r="D1503" t="s">
        <v>1862</v>
      </c>
      <c r="E1503" t="s">
        <v>15</v>
      </c>
      <c r="F1503" t="s">
        <v>14</v>
      </c>
      <c r="G1503" t="s">
        <v>73</v>
      </c>
      <c r="H1503">
        <v>1</v>
      </c>
    </row>
    <row r="1504" spans="1:8" x14ac:dyDescent="0.35">
      <c r="A1504">
        <v>5449000098764</v>
      </c>
      <c r="B1504" t="s">
        <v>684</v>
      </c>
      <c r="C1504" t="s">
        <v>81</v>
      </c>
      <c r="D1504" t="s">
        <v>711</v>
      </c>
      <c r="E1504" t="s">
        <v>15</v>
      </c>
      <c r="F1504" t="s">
        <v>14</v>
      </c>
      <c r="G1504" t="s">
        <v>16</v>
      </c>
      <c r="H1504">
        <v>1</v>
      </c>
    </row>
    <row r="1505" spans="1:8" x14ac:dyDescent="0.35">
      <c r="A1505">
        <v>5449000098764</v>
      </c>
      <c r="B1505" t="s">
        <v>684</v>
      </c>
      <c r="C1505" t="s">
        <v>81</v>
      </c>
      <c r="D1505" t="s">
        <v>711</v>
      </c>
      <c r="E1505" t="s">
        <v>15</v>
      </c>
      <c r="F1505" t="s">
        <v>14</v>
      </c>
      <c r="G1505" t="s">
        <v>11</v>
      </c>
      <c r="H1505">
        <v>43</v>
      </c>
    </row>
    <row r="1506" spans="1:8" x14ac:dyDescent="0.35">
      <c r="A1506">
        <v>5449000103079</v>
      </c>
      <c r="B1506" t="s">
        <v>1869</v>
      </c>
      <c r="C1506" t="s">
        <v>9</v>
      </c>
      <c r="D1506" t="s">
        <v>14</v>
      </c>
      <c r="E1506" t="s">
        <v>15</v>
      </c>
      <c r="F1506" t="s">
        <v>14</v>
      </c>
      <c r="G1506" t="s">
        <v>61</v>
      </c>
      <c r="H1506">
        <v>78</v>
      </c>
    </row>
    <row r="1507" spans="1:8" x14ac:dyDescent="0.35">
      <c r="A1507">
        <v>5449000103079</v>
      </c>
      <c r="B1507" t="s">
        <v>1869</v>
      </c>
      <c r="C1507" t="s">
        <v>9</v>
      </c>
      <c r="D1507" t="s">
        <v>14</v>
      </c>
      <c r="E1507" t="s">
        <v>15</v>
      </c>
      <c r="F1507" t="s">
        <v>14</v>
      </c>
      <c r="G1507" t="s">
        <v>31</v>
      </c>
      <c r="H1507">
        <v>9</v>
      </c>
    </row>
    <row r="1508" spans="1:8" x14ac:dyDescent="0.35">
      <c r="A1508">
        <v>5449000104885</v>
      </c>
      <c r="B1508" t="s">
        <v>1870</v>
      </c>
      <c r="C1508" t="s">
        <v>78</v>
      </c>
      <c r="D1508" t="s">
        <v>705</v>
      </c>
      <c r="E1508" t="s">
        <v>15</v>
      </c>
      <c r="F1508" t="s">
        <v>14</v>
      </c>
      <c r="G1508" t="s">
        <v>22</v>
      </c>
      <c r="H1508">
        <v>1</v>
      </c>
    </row>
    <row r="1509" spans="1:8" x14ac:dyDescent="0.35">
      <c r="A1509">
        <v>5449000105660</v>
      </c>
      <c r="B1509" t="s">
        <v>451</v>
      </c>
      <c r="C1509" t="s">
        <v>78</v>
      </c>
      <c r="D1509" t="s">
        <v>451</v>
      </c>
      <c r="E1509" t="s">
        <v>15</v>
      </c>
      <c r="F1509" t="s">
        <v>14</v>
      </c>
      <c r="G1509" t="s">
        <v>34</v>
      </c>
      <c r="H1509">
        <v>1298</v>
      </c>
    </row>
    <row r="1510" spans="1:8" x14ac:dyDescent="0.35">
      <c r="A1510">
        <v>5449000107664</v>
      </c>
      <c r="B1510" t="s">
        <v>235</v>
      </c>
      <c r="C1510" t="s">
        <v>9</v>
      </c>
      <c r="D1510" t="s">
        <v>1871</v>
      </c>
      <c r="E1510" t="s">
        <v>15</v>
      </c>
      <c r="F1510" t="s">
        <v>14</v>
      </c>
      <c r="G1510" t="s">
        <v>34</v>
      </c>
      <c r="H1510">
        <v>34</v>
      </c>
    </row>
    <row r="1511" spans="1:8" x14ac:dyDescent="0.35">
      <c r="A1511">
        <v>5449000107664</v>
      </c>
      <c r="B1511" t="s">
        <v>235</v>
      </c>
      <c r="C1511" t="s">
        <v>9</v>
      </c>
      <c r="D1511" t="s">
        <v>1871</v>
      </c>
      <c r="E1511" t="s">
        <v>15</v>
      </c>
      <c r="F1511" t="s">
        <v>14</v>
      </c>
      <c r="G1511" t="s">
        <v>73</v>
      </c>
      <c r="H1511">
        <v>7</v>
      </c>
    </row>
    <row r="1512" spans="1:8" x14ac:dyDescent="0.35">
      <c r="A1512">
        <v>5449000107749</v>
      </c>
      <c r="B1512" t="s">
        <v>560</v>
      </c>
      <c r="C1512" t="s">
        <v>81</v>
      </c>
      <c r="D1512" t="s">
        <v>1871</v>
      </c>
      <c r="E1512" t="s">
        <v>15</v>
      </c>
      <c r="F1512" t="s">
        <v>14</v>
      </c>
      <c r="G1512" t="s">
        <v>73</v>
      </c>
      <c r="H1512">
        <v>3</v>
      </c>
    </row>
    <row r="1513" spans="1:8" x14ac:dyDescent="0.35">
      <c r="A1513">
        <v>5449000107787</v>
      </c>
      <c r="B1513" t="s">
        <v>410</v>
      </c>
      <c r="C1513" t="s">
        <v>192</v>
      </c>
      <c r="D1513" t="s">
        <v>1871</v>
      </c>
      <c r="E1513" t="s">
        <v>15</v>
      </c>
      <c r="F1513" t="s">
        <v>14</v>
      </c>
      <c r="G1513" t="s">
        <v>34</v>
      </c>
      <c r="H1513">
        <v>3</v>
      </c>
    </row>
    <row r="1514" spans="1:8" x14ac:dyDescent="0.35">
      <c r="A1514">
        <v>5449000107787</v>
      </c>
      <c r="B1514" t="s">
        <v>410</v>
      </c>
      <c r="C1514" t="s">
        <v>192</v>
      </c>
      <c r="D1514" t="s">
        <v>1871</v>
      </c>
      <c r="E1514" t="s">
        <v>15</v>
      </c>
      <c r="F1514" t="s">
        <v>14</v>
      </c>
      <c r="G1514" t="s">
        <v>73</v>
      </c>
      <c r="H1514">
        <v>3</v>
      </c>
    </row>
    <row r="1515" spans="1:8" x14ac:dyDescent="0.35">
      <c r="A1515">
        <v>5449000109613</v>
      </c>
      <c r="B1515" t="s">
        <v>1872</v>
      </c>
      <c r="C1515" t="s">
        <v>9</v>
      </c>
      <c r="D1515" t="s">
        <v>705</v>
      </c>
      <c r="E1515" t="s">
        <v>15</v>
      </c>
      <c r="F1515" t="s">
        <v>14</v>
      </c>
      <c r="G1515" t="s">
        <v>22</v>
      </c>
      <c r="H1515">
        <v>3</v>
      </c>
    </row>
    <row r="1516" spans="1:8" x14ac:dyDescent="0.35">
      <c r="A1516">
        <v>5449000109613</v>
      </c>
      <c r="B1516" t="s">
        <v>1872</v>
      </c>
      <c r="C1516" t="s">
        <v>9</v>
      </c>
      <c r="D1516" t="s">
        <v>705</v>
      </c>
      <c r="E1516" t="s">
        <v>15</v>
      </c>
      <c r="F1516" t="s">
        <v>14</v>
      </c>
      <c r="G1516" t="s">
        <v>34</v>
      </c>
      <c r="H1516">
        <v>5</v>
      </c>
    </row>
    <row r="1517" spans="1:8" x14ac:dyDescent="0.35">
      <c r="A1517">
        <v>5449000109613</v>
      </c>
      <c r="B1517" t="s">
        <v>1872</v>
      </c>
      <c r="C1517" t="s">
        <v>9</v>
      </c>
      <c r="D1517" t="s">
        <v>705</v>
      </c>
      <c r="E1517" t="s">
        <v>15</v>
      </c>
      <c r="F1517" t="s">
        <v>14</v>
      </c>
      <c r="G1517" t="s">
        <v>73</v>
      </c>
      <c r="H1517">
        <v>1</v>
      </c>
    </row>
    <row r="1518" spans="1:8" x14ac:dyDescent="0.35">
      <c r="A1518">
        <v>5449000113467</v>
      </c>
      <c r="B1518" t="s">
        <v>1694</v>
      </c>
      <c r="C1518" t="s">
        <v>814</v>
      </c>
      <c r="D1518" t="s">
        <v>246</v>
      </c>
      <c r="E1518" t="s">
        <v>15</v>
      </c>
      <c r="F1518" t="s">
        <v>14</v>
      </c>
      <c r="G1518" t="s">
        <v>11</v>
      </c>
      <c r="H1518">
        <v>43</v>
      </c>
    </row>
    <row r="1519" spans="1:8" x14ac:dyDescent="0.35">
      <c r="A1519">
        <v>5449000117977</v>
      </c>
      <c r="B1519" t="s">
        <v>1873</v>
      </c>
      <c r="C1519" t="s">
        <v>78</v>
      </c>
      <c r="D1519" t="s">
        <v>451</v>
      </c>
      <c r="E1519" t="s">
        <v>15</v>
      </c>
      <c r="F1519" t="s">
        <v>14</v>
      </c>
      <c r="G1519" t="s">
        <v>34</v>
      </c>
      <c r="H1519">
        <v>241</v>
      </c>
    </row>
    <row r="1520" spans="1:8" x14ac:dyDescent="0.35">
      <c r="A1520">
        <v>5449000117977</v>
      </c>
      <c r="B1520" t="s">
        <v>1873</v>
      </c>
      <c r="C1520" t="s">
        <v>78</v>
      </c>
      <c r="D1520" t="s">
        <v>451</v>
      </c>
      <c r="E1520" t="s">
        <v>15</v>
      </c>
      <c r="F1520" t="s">
        <v>14</v>
      </c>
      <c r="G1520" t="s">
        <v>73</v>
      </c>
      <c r="H1520">
        <v>3</v>
      </c>
    </row>
    <row r="1521" spans="1:8" x14ac:dyDescent="0.35">
      <c r="A1521">
        <v>5449000118615</v>
      </c>
      <c r="B1521" t="s">
        <v>1874</v>
      </c>
      <c r="C1521" t="s">
        <v>1863</v>
      </c>
      <c r="D1521" t="s">
        <v>452</v>
      </c>
      <c r="E1521" t="s">
        <v>15</v>
      </c>
      <c r="F1521" t="s">
        <v>14</v>
      </c>
      <c r="G1521" t="s">
        <v>61</v>
      </c>
      <c r="H1521">
        <v>153</v>
      </c>
    </row>
    <row r="1522" spans="1:8" x14ac:dyDescent="0.35">
      <c r="A1522">
        <v>5449000118745</v>
      </c>
      <c r="B1522" t="s">
        <v>262</v>
      </c>
      <c r="C1522" t="s">
        <v>9</v>
      </c>
      <c r="D1522" t="s">
        <v>452</v>
      </c>
      <c r="E1522" t="s">
        <v>15</v>
      </c>
      <c r="F1522" t="s">
        <v>14</v>
      </c>
      <c r="G1522" t="s">
        <v>61</v>
      </c>
      <c r="H1522">
        <v>541</v>
      </c>
    </row>
    <row r="1523" spans="1:8" x14ac:dyDescent="0.35">
      <c r="A1523">
        <v>5449000120731</v>
      </c>
      <c r="B1523" t="s">
        <v>1875</v>
      </c>
      <c r="C1523" t="s">
        <v>192</v>
      </c>
      <c r="D1523" t="s">
        <v>1876</v>
      </c>
      <c r="E1523" t="s">
        <v>15</v>
      </c>
      <c r="F1523" t="s">
        <v>14</v>
      </c>
      <c r="G1523" t="s">
        <v>464</v>
      </c>
      <c r="H1523">
        <v>6</v>
      </c>
    </row>
    <row r="1524" spans="1:8" x14ac:dyDescent="0.35">
      <c r="A1524">
        <v>5449000120731</v>
      </c>
      <c r="B1524" t="s">
        <v>1875</v>
      </c>
      <c r="C1524" t="s">
        <v>192</v>
      </c>
      <c r="D1524" t="s">
        <v>1876</v>
      </c>
      <c r="E1524" t="s">
        <v>15</v>
      </c>
      <c r="F1524" t="s">
        <v>14</v>
      </c>
      <c r="G1524" t="s">
        <v>22</v>
      </c>
      <c r="H1524">
        <v>1</v>
      </c>
    </row>
    <row r="1525" spans="1:8" x14ac:dyDescent="0.35">
      <c r="A1525">
        <v>5449000120984</v>
      </c>
      <c r="B1525" t="s">
        <v>1844</v>
      </c>
      <c r="C1525" t="s">
        <v>78</v>
      </c>
      <c r="D1525" t="s">
        <v>246</v>
      </c>
      <c r="E1525" t="s">
        <v>15</v>
      </c>
      <c r="F1525" t="s">
        <v>14</v>
      </c>
      <c r="G1525" t="s">
        <v>33</v>
      </c>
      <c r="H1525">
        <v>50</v>
      </c>
    </row>
    <row r="1526" spans="1:8" x14ac:dyDescent="0.35">
      <c r="A1526">
        <v>5449000120984</v>
      </c>
      <c r="B1526" t="s">
        <v>1844</v>
      </c>
      <c r="C1526" t="s">
        <v>78</v>
      </c>
      <c r="D1526" t="s">
        <v>246</v>
      </c>
      <c r="E1526" t="s">
        <v>15</v>
      </c>
      <c r="F1526" t="s">
        <v>14</v>
      </c>
      <c r="G1526" t="s">
        <v>34</v>
      </c>
      <c r="H1526">
        <v>1665</v>
      </c>
    </row>
    <row r="1527" spans="1:8" x14ac:dyDescent="0.35">
      <c r="A1527">
        <v>5449000120984</v>
      </c>
      <c r="B1527" t="s">
        <v>1844</v>
      </c>
      <c r="C1527" t="s">
        <v>78</v>
      </c>
      <c r="D1527" t="s">
        <v>246</v>
      </c>
      <c r="E1527" t="s">
        <v>15</v>
      </c>
      <c r="F1527" t="s">
        <v>14</v>
      </c>
      <c r="G1527" t="s">
        <v>150</v>
      </c>
      <c r="H1527">
        <v>22</v>
      </c>
    </row>
    <row r="1528" spans="1:8" x14ac:dyDescent="0.35">
      <c r="A1528">
        <v>5449000121059</v>
      </c>
      <c r="B1528" t="s">
        <v>1877</v>
      </c>
      <c r="C1528" t="s">
        <v>9</v>
      </c>
      <c r="D1528" t="s">
        <v>1876</v>
      </c>
      <c r="E1528" t="s">
        <v>15</v>
      </c>
      <c r="F1528" t="s">
        <v>14</v>
      </c>
      <c r="G1528" t="s">
        <v>464</v>
      </c>
      <c r="H1528">
        <v>5</v>
      </c>
    </row>
    <row r="1529" spans="1:8" x14ac:dyDescent="0.35">
      <c r="A1529">
        <v>5449000123268</v>
      </c>
      <c r="B1529" t="s">
        <v>235</v>
      </c>
      <c r="C1529" t="s">
        <v>9</v>
      </c>
      <c r="D1529" t="s">
        <v>1871</v>
      </c>
      <c r="E1529" t="s">
        <v>15</v>
      </c>
      <c r="F1529" t="s">
        <v>14</v>
      </c>
      <c r="G1529" t="s">
        <v>34</v>
      </c>
      <c r="H1529">
        <v>2</v>
      </c>
    </row>
    <row r="1530" spans="1:8" x14ac:dyDescent="0.35">
      <c r="A1530">
        <v>5449000123268</v>
      </c>
      <c r="B1530" t="s">
        <v>235</v>
      </c>
      <c r="C1530" t="s">
        <v>9</v>
      </c>
      <c r="D1530" t="s">
        <v>1871</v>
      </c>
      <c r="E1530" t="s">
        <v>15</v>
      </c>
      <c r="F1530" t="s">
        <v>14</v>
      </c>
      <c r="G1530" t="s">
        <v>73</v>
      </c>
      <c r="H1530">
        <v>3</v>
      </c>
    </row>
    <row r="1531" spans="1:8" x14ac:dyDescent="0.35">
      <c r="A1531">
        <v>5449000124999</v>
      </c>
      <c r="B1531" t="s">
        <v>1878</v>
      </c>
      <c r="C1531" t="s">
        <v>9</v>
      </c>
      <c r="D1531" t="s">
        <v>1399</v>
      </c>
      <c r="E1531" t="s">
        <v>15</v>
      </c>
      <c r="F1531" t="s">
        <v>14</v>
      </c>
      <c r="G1531" t="s">
        <v>22</v>
      </c>
      <c r="H1531">
        <v>11</v>
      </c>
    </row>
    <row r="1532" spans="1:8" x14ac:dyDescent="0.35">
      <c r="A1532">
        <v>5449000124999</v>
      </c>
      <c r="B1532" t="s">
        <v>1878</v>
      </c>
      <c r="C1532" t="s">
        <v>9</v>
      </c>
      <c r="D1532" t="s">
        <v>1399</v>
      </c>
      <c r="E1532" t="s">
        <v>15</v>
      </c>
      <c r="F1532" t="s">
        <v>14</v>
      </c>
      <c r="G1532" t="s">
        <v>34</v>
      </c>
      <c r="H1532">
        <v>16</v>
      </c>
    </row>
    <row r="1533" spans="1:8" x14ac:dyDescent="0.35">
      <c r="A1533">
        <v>5449000125002</v>
      </c>
      <c r="B1533" t="s">
        <v>1878</v>
      </c>
      <c r="C1533" t="s">
        <v>192</v>
      </c>
      <c r="D1533" t="s">
        <v>1399</v>
      </c>
      <c r="E1533" t="s">
        <v>15</v>
      </c>
      <c r="F1533" t="s">
        <v>14</v>
      </c>
      <c r="G1533" t="s">
        <v>22</v>
      </c>
      <c r="H1533">
        <v>1</v>
      </c>
    </row>
    <row r="1534" spans="1:8" x14ac:dyDescent="0.35">
      <c r="A1534">
        <v>5449000125019</v>
      </c>
      <c r="B1534" t="s">
        <v>1879</v>
      </c>
      <c r="C1534" t="s">
        <v>9</v>
      </c>
      <c r="D1534" t="s">
        <v>1399</v>
      </c>
      <c r="E1534" t="s">
        <v>15</v>
      </c>
      <c r="F1534" t="s">
        <v>14</v>
      </c>
      <c r="G1534" t="s">
        <v>22</v>
      </c>
      <c r="H1534">
        <v>3</v>
      </c>
    </row>
    <row r="1535" spans="1:8" x14ac:dyDescent="0.35">
      <c r="A1535">
        <v>5449000125019</v>
      </c>
      <c r="B1535" t="s">
        <v>1879</v>
      </c>
      <c r="C1535" t="s">
        <v>9</v>
      </c>
      <c r="D1535" t="s">
        <v>1399</v>
      </c>
      <c r="E1535" t="s">
        <v>15</v>
      </c>
      <c r="F1535" t="s">
        <v>14</v>
      </c>
      <c r="G1535" t="s">
        <v>150</v>
      </c>
      <c r="H1535">
        <v>3</v>
      </c>
    </row>
    <row r="1536" spans="1:8" x14ac:dyDescent="0.35">
      <c r="A1536">
        <v>5449000129383</v>
      </c>
      <c r="B1536" t="s">
        <v>1880</v>
      </c>
      <c r="C1536" t="s">
        <v>1081</v>
      </c>
      <c r="D1536" t="s">
        <v>14</v>
      </c>
      <c r="E1536" t="s">
        <v>15</v>
      </c>
      <c r="F1536" t="s">
        <v>14</v>
      </c>
      <c r="G1536" t="s">
        <v>598</v>
      </c>
      <c r="H1536">
        <v>22</v>
      </c>
    </row>
    <row r="1537" spans="1:8" x14ac:dyDescent="0.35">
      <c r="A1537">
        <v>5449000129420</v>
      </c>
      <c r="B1537" t="s">
        <v>1881</v>
      </c>
      <c r="C1537" t="s">
        <v>326</v>
      </c>
      <c r="D1537" t="s">
        <v>1082</v>
      </c>
      <c r="E1537" t="s">
        <v>15</v>
      </c>
      <c r="F1537" t="s">
        <v>14</v>
      </c>
      <c r="G1537" t="s">
        <v>598</v>
      </c>
      <c r="H1537">
        <v>19</v>
      </c>
    </row>
    <row r="1538" spans="1:8" x14ac:dyDescent="0.35">
      <c r="A1538">
        <v>5449000130792</v>
      </c>
      <c r="B1538" t="s">
        <v>1882</v>
      </c>
      <c r="C1538" t="s">
        <v>9</v>
      </c>
      <c r="D1538" t="s">
        <v>711</v>
      </c>
      <c r="E1538" t="s">
        <v>15</v>
      </c>
      <c r="F1538" t="s">
        <v>14</v>
      </c>
      <c r="G1538" t="s">
        <v>61</v>
      </c>
      <c r="H1538">
        <v>3</v>
      </c>
    </row>
    <row r="1539" spans="1:8" x14ac:dyDescent="0.35">
      <c r="A1539">
        <v>5449000131805</v>
      </c>
      <c r="B1539" t="s">
        <v>13</v>
      </c>
      <c r="C1539" t="s">
        <v>603</v>
      </c>
      <c r="D1539" t="s">
        <v>14</v>
      </c>
      <c r="E1539" t="s">
        <v>15</v>
      </c>
      <c r="F1539" t="s">
        <v>14</v>
      </c>
      <c r="G1539" t="s">
        <v>34</v>
      </c>
      <c r="H1539">
        <v>1</v>
      </c>
    </row>
    <row r="1540" spans="1:8" x14ac:dyDescent="0.35">
      <c r="A1540">
        <v>5449000131836</v>
      </c>
      <c r="B1540" t="s">
        <v>250</v>
      </c>
      <c r="C1540" t="s">
        <v>9</v>
      </c>
      <c r="D1540" t="s">
        <v>14</v>
      </c>
      <c r="E1540" t="s">
        <v>15</v>
      </c>
      <c r="F1540" t="s">
        <v>14</v>
      </c>
      <c r="G1540" t="s">
        <v>117</v>
      </c>
      <c r="H1540">
        <v>2</v>
      </c>
    </row>
    <row r="1541" spans="1:8" x14ac:dyDescent="0.35">
      <c r="A1541">
        <v>5449000131836</v>
      </c>
      <c r="B1541" t="s">
        <v>250</v>
      </c>
      <c r="C1541" t="s">
        <v>9</v>
      </c>
      <c r="D1541" t="s">
        <v>14</v>
      </c>
      <c r="E1541" t="s">
        <v>15</v>
      </c>
      <c r="F1541" t="s">
        <v>14</v>
      </c>
      <c r="G1541" t="s">
        <v>464</v>
      </c>
      <c r="H1541">
        <v>3</v>
      </c>
    </row>
    <row r="1542" spans="1:8" x14ac:dyDescent="0.35">
      <c r="A1542">
        <v>5449000131836</v>
      </c>
      <c r="B1542" t="s">
        <v>250</v>
      </c>
      <c r="C1542" t="s">
        <v>9</v>
      </c>
      <c r="D1542" t="s">
        <v>14</v>
      </c>
      <c r="E1542" t="s">
        <v>15</v>
      </c>
      <c r="F1542" t="s">
        <v>14</v>
      </c>
      <c r="G1542" t="s">
        <v>22</v>
      </c>
      <c r="H1542">
        <v>4</v>
      </c>
    </row>
    <row r="1543" spans="1:8" x14ac:dyDescent="0.35">
      <c r="A1543">
        <v>5449000131836</v>
      </c>
      <c r="B1543" t="s">
        <v>250</v>
      </c>
      <c r="C1543" t="s">
        <v>9</v>
      </c>
      <c r="D1543" t="s">
        <v>14</v>
      </c>
      <c r="E1543" t="s">
        <v>15</v>
      </c>
      <c r="F1543" t="s">
        <v>14</v>
      </c>
      <c r="G1543" t="s">
        <v>11</v>
      </c>
      <c r="H1543">
        <v>21</v>
      </c>
    </row>
    <row r="1544" spans="1:8" x14ac:dyDescent="0.35">
      <c r="A1544">
        <v>5449000131836</v>
      </c>
      <c r="B1544" t="s">
        <v>250</v>
      </c>
      <c r="C1544" t="s">
        <v>9</v>
      </c>
      <c r="D1544" t="s">
        <v>14</v>
      </c>
      <c r="E1544" t="s">
        <v>15</v>
      </c>
      <c r="F1544" t="s">
        <v>14</v>
      </c>
      <c r="G1544" t="s">
        <v>34</v>
      </c>
      <c r="H1544">
        <v>3</v>
      </c>
    </row>
    <row r="1545" spans="1:8" x14ac:dyDescent="0.35">
      <c r="A1545">
        <v>5449000131836</v>
      </c>
      <c r="B1545" t="s">
        <v>250</v>
      </c>
      <c r="C1545" t="s">
        <v>9</v>
      </c>
      <c r="D1545" t="s">
        <v>14</v>
      </c>
      <c r="E1545" t="s">
        <v>15</v>
      </c>
      <c r="F1545" t="s">
        <v>14</v>
      </c>
      <c r="G1545" t="s">
        <v>150</v>
      </c>
      <c r="H1545">
        <v>58</v>
      </c>
    </row>
    <row r="1546" spans="1:8" x14ac:dyDescent="0.35">
      <c r="A1546">
        <v>5449000131836</v>
      </c>
      <c r="B1546" t="s">
        <v>250</v>
      </c>
      <c r="C1546" t="s">
        <v>9</v>
      </c>
      <c r="D1546" t="s">
        <v>14</v>
      </c>
      <c r="E1546" t="s">
        <v>15</v>
      </c>
      <c r="F1546" t="s">
        <v>14</v>
      </c>
      <c r="G1546" t="s">
        <v>61</v>
      </c>
      <c r="H1546">
        <v>8</v>
      </c>
    </row>
    <row r="1547" spans="1:8" x14ac:dyDescent="0.35">
      <c r="A1547">
        <v>5449000131836</v>
      </c>
      <c r="B1547" t="s">
        <v>250</v>
      </c>
      <c r="C1547" t="s">
        <v>9</v>
      </c>
      <c r="D1547" t="s">
        <v>14</v>
      </c>
      <c r="E1547" t="s">
        <v>15</v>
      </c>
      <c r="F1547" t="s">
        <v>14</v>
      </c>
      <c r="G1547" t="s">
        <v>578</v>
      </c>
      <c r="H1547">
        <v>2</v>
      </c>
    </row>
    <row r="1548" spans="1:8" x14ac:dyDescent="0.35">
      <c r="A1548">
        <v>5449000131843</v>
      </c>
      <c r="B1548" t="s">
        <v>709</v>
      </c>
      <c r="C1548" t="s">
        <v>78</v>
      </c>
      <c r="D1548" t="s">
        <v>14</v>
      </c>
      <c r="E1548" t="s">
        <v>15</v>
      </c>
      <c r="F1548" t="s">
        <v>14</v>
      </c>
      <c r="G1548" t="s">
        <v>464</v>
      </c>
      <c r="H1548">
        <v>1</v>
      </c>
    </row>
    <row r="1549" spans="1:8" x14ac:dyDescent="0.35">
      <c r="A1549">
        <v>5449000131843</v>
      </c>
      <c r="B1549" t="s">
        <v>709</v>
      </c>
      <c r="C1549" t="s">
        <v>78</v>
      </c>
      <c r="D1549" t="s">
        <v>14</v>
      </c>
      <c r="E1549" t="s">
        <v>15</v>
      </c>
      <c r="F1549" t="s">
        <v>14</v>
      </c>
      <c r="G1549" t="s">
        <v>11</v>
      </c>
      <c r="H1549">
        <v>75</v>
      </c>
    </row>
    <row r="1550" spans="1:8" x14ac:dyDescent="0.35">
      <c r="A1550">
        <v>5449000131843</v>
      </c>
      <c r="B1550" t="s">
        <v>709</v>
      </c>
      <c r="C1550" t="s">
        <v>78</v>
      </c>
      <c r="D1550" t="s">
        <v>14</v>
      </c>
      <c r="E1550" t="s">
        <v>15</v>
      </c>
      <c r="F1550" t="s">
        <v>14</v>
      </c>
      <c r="G1550" t="s">
        <v>34</v>
      </c>
      <c r="H1550">
        <v>3</v>
      </c>
    </row>
    <row r="1551" spans="1:8" x14ac:dyDescent="0.35">
      <c r="A1551">
        <v>5449000133328</v>
      </c>
      <c r="B1551" t="s">
        <v>709</v>
      </c>
      <c r="C1551" t="s">
        <v>81</v>
      </c>
      <c r="D1551" t="s">
        <v>14</v>
      </c>
      <c r="E1551" t="s">
        <v>15</v>
      </c>
      <c r="F1551" t="s">
        <v>14</v>
      </c>
      <c r="G1551" t="s">
        <v>22</v>
      </c>
      <c r="H1551">
        <v>2</v>
      </c>
    </row>
    <row r="1552" spans="1:8" x14ac:dyDescent="0.35">
      <c r="A1552">
        <v>5449000133328</v>
      </c>
      <c r="B1552" t="s">
        <v>709</v>
      </c>
      <c r="C1552" t="s">
        <v>81</v>
      </c>
      <c r="D1552" t="s">
        <v>14</v>
      </c>
      <c r="E1552" t="s">
        <v>15</v>
      </c>
      <c r="F1552" t="s">
        <v>14</v>
      </c>
      <c r="G1552" t="s">
        <v>34</v>
      </c>
      <c r="H1552">
        <v>89</v>
      </c>
    </row>
    <row r="1553" spans="1:8" x14ac:dyDescent="0.35">
      <c r="A1553">
        <v>5449000133328</v>
      </c>
      <c r="B1553" t="s">
        <v>709</v>
      </c>
      <c r="C1553" t="s">
        <v>81</v>
      </c>
      <c r="D1553" t="s">
        <v>14</v>
      </c>
      <c r="E1553" t="s">
        <v>15</v>
      </c>
      <c r="F1553" t="s">
        <v>14</v>
      </c>
      <c r="G1553" t="s">
        <v>73</v>
      </c>
      <c r="H1553">
        <v>5</v>
      </c>
    </row>
    <row r="1554" spans="1:8" x14ac:dyDescent="0.35">
      <c r="A1554">
        <v>5449000133335</v>
      </c>
      <c r="B1554" t="s">
        <v>710</v>
      </c>
      <c r="C1554" t="s">
        <v>192</v>
      </c>
      <c r="D1554" t="s">
        <v>14</v>
      </c>
      <c r="E1554" t="s">
        <v>15</v>
      </c>
      <c r="F1554" t="s">
        <v>14</v>
      </c>
      <c r="G1554" t="s">
        <v>73</v>
      </c>
      <c r="H1554">
        <v>2</v>
      </c>
    </row>
    <row r="1555" spans="1:8" x14ac:dyDescent="0.35">
      <c r="A1555">
        <v>5449000133373</v>
      </c>
      <c r="B1555" t="s">
        <v>1324</v>
      </c>
      <c r="C1555" t="s">
        <v>81</v>
      </c>
      <c r="D1555" t="s">
        <v>52</v>
      </c>
      <c r="E1555" t="s">
        <v>15</v>
      </c>
      <c r="F1555" t="s">
        <v>14</v>
      </c>
      <c r="G1555" t="s">
        <v>22</v>
      </c>
      <c r="H1555">
        <v>1</v>
      </c>
    </row>
    <row r="1556" spans="1:8" x14ac:dyDescent="0.35">
      <c r="A1556">
        <v>5449000133410</v>
      </c>
      <c r="B1556" t="s">
        <v>1883</v>
      </c>
      <c r="C1556" t="s">
        <v>801</v>
      </c>
      <c r="D1556" t="s">
        <v>52</v>
      </c>
      <c r="E1556" t="s">
        <v>15</v>
      </c>
      <c r="F1556" t="s">
        <v>14</v>
      </c>
      <c r="G1556" t="s">
        <v>22</v>
      </c>
      <c r="H1556">
        <v>1</v>
      </c>
    </row>
    <row r="1557" spans="1:8" x14ac:dyDescent="0.35">
      <c r="A1557">
        <v>5449000133724</v>
      </c>
      <c r="B1557" t="s">
        <v>709</v>
      </c>
      <c r="C1557" t="s">
        <v>814</v>
      </c>
      <c r="D1557" t="s">
        <v>14</v>
      </c>
      <c r="E1557" t="s">
        <v>15</v>
      </c>
      <c r="F1557" t="s">
        <v>14</v>
      </c>
      <c r="G1557" t="s">
        <v>22</v>
      </c>
      <c r="H1557">
        <v>2</v>
      </c>
    </row>
    <row r="1558" spans="1:8" x14ac:dyDescent="0.35">
      <c r="A1558">
        <v>5449000139030</v>
      </c>
      <c r="B1558" t="s">
        <v>1884</v>
      </c>
      <c r="C1558" t="s">
        <v>9</v>
      </c>
      <c r="D1558" t="s">
        <v>1816</v>
      </c>
      <c r="E1558" t="s">
        <v>15</v>
      </c>
      <c r="F1558" t="s">
        <v>14</v>
      </c>
      <c r="G1558" t="s">
        <v>11</v>
      </c>
      <c r="H1558">
        <v>54</v>
      </c>
    </row>
    <row r="1559" spans="1:8" x14ac:dyDescent="0.35">
      <c r="A1559">
        <v>5449000139030</v>
      </c>
      <c r="B1559" t="s">
        <v>1884</v>
      </c>
      <c r="C1559" t="s">
        <v>9</v>
      </c>
      <c r="D1559" t="s">
        <v>1816</v>
      </c>
      <c r="E1559" t="s">
        <v>15</v>
      </c>
      <c r="F1559" t="s">
        <v>14</v>
      </c>
      <c r="G1559" t="s">
        <v>31</v>
      </c>
      <c r="H1559">
        <v>31</v>
      </c>
    </row>
    <row r="1560" spans="1:8" x14ac:dyDescent="0.35">
      <c r="A1560">
        <v>5449000139474</v>
      </c>
      <c r="B1560" t="s">
        <v>1885</v>
      </c>
      <c r="C1560" t="s">
        <v>81</v>
      </c>
      <c r="D1560" t="s">
        <v>451</v>
      </c>
      <c r="E1560" t="s">
        <v>15</v>
      </c>
      <c r="F1560" t="s">
        <v>14</v>
      </c>
      <c r="G1560" t="s">
        <v>34</v>
      </c>
      <c r="H1560">
        <v>469</v>
      </c>
    </row>
    <row r="1561" spans="1:8" x14ac:dyDescent="0.35">
      <c r="A1561">
        <v>5449000139528</v>
      </c>
      <c r="B1561" t="s">
        <v>1886</v>
      </c>
      <c r="C1561" t="s">
        <v>81</v>
      </c>
      <c r="D1561" t="s">
        <v>246</v>
      </c>
      <c r="E1561" t="s">
        <v>15</v>
      </c>
      <c r="F1561" t="s">
        <v>14</v>
      </c>
      <c r="G1561" t="s">
        <v>34</v>
      </c>
      <c r="H1561">
        <v>71</v>
      </c>
    </row>
    <row r="1562" spans="1:8" x14ac:dyDescent="0.35">
      <c r="A1562">
        <v>5449000165978</v>
      </c>
      <c r="B1562" t="s">
        <v>262</v>
      </c>
      <c r="C1562" t="s">
        <v>81</v>
      </c>
      <c r="D1562" t="s">
        <v>452</v>
      </c>
      <c r="E1562" t="s">
        <v>15</v>
      </c>
      <c r="F1562" t="s">
        <v>14</v>
      </c>
      <c r="G1562" t="s">
        <v>61</v>
      </c>
      <c r="H1562">
        <v>130</v>
      </c>
    </row>
    <row r="1563" spans="1:8" x14ac:dyDescent="0.35">
      <c r="A1563">
        <v>5449000169358</v>
      </c>
      <c r="B1563" t="s">
        <v>1887</v>
      </c>
      <c r="C1563" t="s">
        <v>192</v>
      </c>
      <c r="D1563" t="s">
        <v>14</v>
      </c>
      <c r="E1563" t="s">
        <v>15</v>
      </c>
      <c r="F1563" t="s">
        <v>14</v>
      </c>
      <c r="G1563" t="s">
        <v>73</v>
      </c>
      <c r="H1563">
        <v>1</v>
      </c>
    </row>
    <row r="1564" spans="1:8" x14ac:dyDescent="0.35">
      <c r="A1564">
        <v>5449000172167</v>
      </c>
      <c r="B1564" t="s">
        <v>1888</v>
      </c>
      <c r="C1564" t="s">
        <v>1863</v>
      </c>
      <c r="D1564" t="s">
        <v>705</v>
      </c>
      <c r="E1564" t="s">
        <v>15</v>
      </c>
      <c r="F1564" t="s">
        <v>14</v>
      </c>
      <c r="G1564" t="s">
        <v>73</v>
      </c>
      <c r="H1564">
        <v>1</v>
      </c>
    </row>
    <row r="1565" spans="1:8" x14ac:dyDescent="0.35">
      <c r="A1565">
        <v>5449000174291</v>
      </c>
      <c r="B1565" t="s">
        <v>1889</v>
      </c>
      <c r="C1565" t="s">
        <v>81</v>
      </c>
      <c r="D1565" t="s">
        <v>52</v>
      </c>
      <c r="E1565" t="s">
        <v>15</v>
      </c>
      <c r="F1565" t="s">
        <v>14</v>
      </c>
      <c r="G1565" t="s">
        <v>387</v>
      </c>
      <c r="H1565">
        <v>1</v>
      </c>
    </row>
    <row r="1566" spans="1:8" x14ac:dyDescent="0.35">
      <c r="A1566">
        <v>5449000180056</v>
      </c>
      <c r="B1566" t="s">
        <v>451</v>
      </c>
      <c r="C1566" t="s">
        <v>78</v>
      </c>
      <c r="D1566" t="s">
        <v>451</v>
      </c>
      <c r="E1566" t="s">
        <v>15</v>
      </c>
      <c r="F1566" t="s">
        <v>14</v>
      </c>
      <c r="G1566" t="s">
        <v>34</v>
      </c>
      <c r="H1566">
        <v>250</v>
      </c>
    </row>
    <row r="1567" spans="1:8" x14ac:dyDescent="0.35">
      <c r="A1567">
        <v>5449000180247</v>
      </c>
      <c r="B1567" t="s">
        <v>1571</v>
      </c>
      <c r="C1567" t="s">
        <v>81</v>
      </c>
      <c r="D1567" t="s">
        <v>539</v>
      </c>
      <c r="E1567" t="s">
        <v>15</v>
      </c>
      <c r="F1567" t="s">
        <v>14</v>
      </c>
      <c r="G1567" t="s">
        <v>11</v>
      </c>
      <c r="H1567">
        <v>58</v>
      </c>
    </row>
    <row r="1568" spans="1:8" x14ac:dyDescent="0.35">
      <c r="A1568">
        <v>5449000180247</v>
      </c>
      <c r="B1568" t="s">
        <v>1571</v>
      </c>
      <c r="C1568" t="s">
        <v>81</v>
      </c>
      <c r="D1568" t="s">
        <v>539</v>
      </c>
      <c r="E1568" t="s">
        <v>15</v>
      </c>
      <c r="F1568" t="s">
        <v>14</v>
      </c>
      <c r="G1568" t="s">
        <v>150</v>
      </c>
      <c r="H1568">
        <v>1</v>
      </c>
    </row>
    <row r="1569" spans="1:8" x14ac:dyDescent="0.35">
      <c r="A1569">
        <v>5449000180247</v>
      </c>
      <c r="B1569" t="s">
        <v>1571</v>
      </c>
      <c r="C1569" t="s">
        <v>81</v>
      </c>
      <c r="D1569" t="s">
        <v>539</v>
      </c>
      <c r="E1569" t="s">
        <v>15</v>
      </c>
      <c r="F1569" t="s">
        <v>14</v>
      </c>
      <c r="G1569" t="s">
        <v>31</v>
      </c>
      <c r="H1569">
        <v>64</v>
      </c>
    </row>
    <row r="1570" spans="1:8" x14ac:dyDescent="0.35">
      <c r="A1570">
        <v>5449000180292</v>
      </c>
      <c r="B1570" t="s">
        <v>1890</v>
      </c>
      <c r="C1570" t="s">
        <v>81</v>
      </c>
      <c r="D1570" t="s">
        <v>539</v>
      </c>
      <c r="E1570" t="s">
        <v>15</v>
      </c>
      <c r="F1570" t="s">
        <v>14</v>
      </c>
      <c r="G1570" t="s">
        <v>11</v>
      </c>
      <c r="H1570">
        <v>6</v>
      </c>
    </row>
    <row r="1571" spans="1:8" x14ac:dyDescent="0.35">
      <c r="A1571">
        <v>5449000180292</v>
      </c>
      <c r="B1571" t="s">
        <v>1890</v>
      </c>
      <c r="C1571" t="s">
        <v>81</v>
      </c>
      <c r="D1571" t="s">
        <v>539</v>
      </c>
      <c r="E1571" t="s">
        <v>15</v>
      </c>
      <c r="F1571" t="s">
        <v>14</v>
      </c>
      <c r="G1571" t="s">
        <v>34</v>
      </c>
      <c r="H1571">
        <v>1</v>
      </c>
    </row>
    <row r="1572" spans="1:8" x14ac:dyDescent="0.35">
      <c r="A1572">
        <v>5449000187215</v>
      </c>
      <c r="B1572" t="s">
        <v>1891</v>
      </c>
      <c r="C1572" t="s">
        <v>192</v>
      </c>
      <c r="D1572" t="s">
        <v>332</v>
      </c>
      <c r="E1572" t="s">
        <v>71</v>
      </c>
      <c r="F1572" t="s">
        <v>72</v>
      </c>
      <c r="G1572" t="s">
        <v>464</v>
      </c>
      <c r="H1572">
        <v>1</v>
      </c>
    </row>
    <row r="1573" spans="1:8" x14ac:dyDescent="0.35">
      <c r="A1573">
        <v>5449000188342</v>
      </c>
      <c r="B1573" t="s">
        <v>1890</v>
      </c>
      <c r="C1573" t="s">
        <v>83</v>
      </c>
      <c r="D1573" t="s">
        <v>539</v>
      </c>
      <c r="E1573" t="s">
        <v>15</v>
      </c>
      <c r="F1573" t="s">
        <v>14</v>
      </c>
      <c r="G1573" t="s">
        <v>11</v>
      </c>
      <c r="H1573">
        <v>28</v>
      </c>
    </row>
    <row r="1574" spans="1:8" x14ac:dyDescent="0.35">
      <c r="A1574">
        <v>5449000188342</v>
      </c>
      <c r="B1574" t="s">
        <v>1890</v>
      </c>
      <c r="C1574" t="s">
        <v>83</v>
      </c>
      <c r="D1574" t="s">
        <v>539</v>
      </c>
      <c r="E1574" t="s">
        <v>15</v>
      </c>
      <c r="F1574" t="s">
        <v>14</v>
      </c>
      <c r="G1574" t="s">
        <v>31</v>
      </c>
      <c r="H1574">
        <v>7</v>
      </c>
    </row>
    <row r="1575" spans="1:8" x14ac:dyDescent="0.35">
      <c r="A1575">
        <v>5449000193865</v>
      </c>
      <c r="B1575" t="s">
        <v>1892</v>
      </c>
      <c r="C1575" t="s">
        <v>9</v>
      </c>
      <c r="D1575" t="s">
        <v>1893</v>
      </c>
      <c r="E1575" t="s">
        <v>15</v>
      </c>
      <c r="F1575" t="s">
        <v>14</v>
      </c>
      <c r="G1575" t="s">
        <v>11</v>
      </c>
      <c r="H1575">
        <v>5</v>
      </c>
    </row>
    <row r="1576" spans="1:8" x14ac:dyDescent="0.35">
      <c r="A1576">
        <v>5449000193865</v>
      </c>
      <c r="B1576" t="s">
        <v>1892</v>
      </c>
      <c r="C1576" t="s">
        <v>9</v>
      </c>
      <c r="D1576" t="s">
        <v>1893</v>
      </c>
      <c r="E1576" t="s">
        <v>15</v>
      </c>
      <c r="F1576" t="s">
        <v>14</v>
      </c>
      <c r="G1576" t="s">
        <v>150</v>
      </c>
      <c r="H1576">
        <v>28</v>
      </c>
    </row>
    <row r="1577" spans="1:8" x14ac:dyDescent="0.35">
      <c r="A1577">
        <v>5449000193865</v>
      </c>
      <c r="B1577" t="s">
        <v>1892</v>
      </c>
      <c r="C1577" t="s">
        <v>9</v>
      </c>
      <c r="D1577" t="s">
        <v>1893</v>
      </c>
      <c r="E1577" t="s">
        <v>15</v>
      </c>
      <c r="F1577" t="s">
        <v>14</v>
      </c>
      <c r="G1577" t="s">
        <v>31</v>
      </c>
      <c r="H1577">
        <v>180</v>
      </c>
    </row>
    <row r="1578" spans="1:8" x14ac:dyDescent="0.35">
      <c r="A1578">
        <v>5449000195456</v>
      </c>
      <c r="B1578" t="s">
        <v>1894</v>
      </c>
      <c r="C1578" t="s">
        <v>81</v>
      </c>
      <c r="D1578" t="s">
        <v>539</v>
      </c>
      <c r="E1578" t="s">
        <v>15</v>
      </c>
      <c r="F1578" t="s">
        <v>14</v>
      </c>
      <c r="G1578" t="s">
        <v>11</v>
      </c>
      <c r="H1578">
        <v>27</v>
      </c>
    </row>
    <row r="1579" spans="1:8" x14ac:dyDescent="0.35">
      <c r="A1579">
        <v>5449000195777</v>
      </c>
      <c r="B1579" t="s">
        <v>1895</v>
      </c>
      <c r="C1579" t="s">
        <v>9</v>
      </c>
      <c r="D1579" t="s">
        <v>1348</v>
      </c>
      <c r="E1579" t="s">
        <v>15</v>
      </c>
      <c r="F1579" t="s">
        <v>14</v>
      </c>
      <c r="G1579" t="s">
        <v>117</v>
      </c>
      <c r="H1579">
        <v>50</v>
      </c>
    </row>
    <row r="1580" spans="1:8" x14ac:dyDescent="0.35">
      <c r="A1580">
        <v>5449000195777</v>
      </c>
      <c r="B1580" t="s">
        <v>1895</v>
      </c>
      <c r="C1580" t="s">
        <v>9</v>
      </c>
      <c r="D1580" t="s">
        <v>1348</v>
      </c>
      <c r="E1580" t="s">
        <v>15</v>
      </c>
      <c r="F1580" t="s">
        <v>14</v>
      </c>
      <c r="G1580" t="s">
        <v>11</v>
      </c>
      <c r="H1580">
        <v>11</v>
      </c>
    </row>
    <row r="1581" spans="1:8" x14ac:dyDescent="0.35">
      <c r="A1581">
        <v>5449000195777</v>
      </c>
      <c r="B1581" t="s">
        <v>1895</v>
      </c>
      <c r="C1581" t="s">
        <v>9</v>
      </c>
      <c r="D1581" t="s">
        <v>1348</v>
      </c>
      <c r="E1581" t="s">
        <v>15</v>
      </c>
      <c r="F1581" t="s">
        <v>14</v>
      </c>
      <c r="G1581" t="s">
        <v>150</v>
      </c>
      <c r="H1581">
        <v>50</v>
      </c>
    </row>
    <row r="1582" spans="1:8" x14ac:dyDescent="0.35">
      <c r="A1582">
        <v>5449000195777</v>
      </c>
      <c r="B1582" t="s">
        <v>1895</v>
      </c>
      <c r="C1582" t="s">
        <v>9</v>
      </c>
      <c r="D1582" t="s">
        <v>1348</v>
      </c>
      <c r="E1582" t="s">
        <v>15</v>
      </c>
      <c r="F1582" t="s">
        <v>14</v>
      </c>
      <c r="G1582" t="s">
        <v>61</v>
      </c>
      <c r="H1582">
        <v>1</v>
      </c>
    </row>
    <row r="1583" spans="1:8" x14ac:dyDescent="0.35">
      <c r="A1583">
        <v>5449000195777</v>
      </c>
      <c r="B1583" t="s">
        <v>1895</v>
      </c>
      <c r="C1583" t="s">
        <v>9</v>
      </c>
      <c r="D1583" t="s">
        <v>1348</v>
      </c>
      <c r="E1583" t="s">
        <v>15</v>
      </c>
      <c r="F1583" t="s">
        <v>14</v>
      </c>
      <c r="G1583" t="s">
        <v>31</v>
      </c>
      <c r="H1583">
        <v>20</v>
      </c>
    </row>
    <row r="1584" spans="1:8" x14ac:dyDescent="0.35">
      <c r="A1584">
        <v>5449000196903</v>
      </c>
      <c r="B1584" t="s">
        <v>1014</v>
      </c>
      <c r="C1584" t="s">
        <v>814</v>
      </c>
      <c r="D1584" t="s">
        <v>1816</v>
      </c>
      <c r="E1584" t="s">
        <v>15</v>
      </c>
      <c r="F1584" t="s">
        <v>14</v>
      </c>
      <c r="G1584" t="s">
        <v>11</v>
      </c>
      <c r="H1584">
        <v>3</v>
      </c>
    </row>
    <row r="1585" spans="1:8" x14ac:dyDescent="0.35">
      <c r="A1585">
        <v>5449000201454</v>
      </c>
      <c r="B1585" t="s">
        <v>1811</v>
      </c>
      <c r="C1585" t="s">
        <v>1896</v>
      </c>
      <c r="D1585" t="s">
        <v>539</v>
      </c>
      <c r="E1585" t="s">
        <v>15</v>
      </c>
      <c r="F1585" t="s">
        <v>14</v>
      </c>
      <c r="G1585" t="s">
        <v>11</v>
      </c>
      <c r="H1585">
        <v>1</v>
      </c>
    </row>
    <row r="1586" spans="1:8" x14ac:dyDescent="0.35">
      <c r="A1586">
        <v>5449000214522</v>
      </c>
      <c r="B1586" t="s">
        <v>1897</v>
      </c>
      <c r="C1586" t="s">
        <v>9</v>
      </c>
      <c r="D1586" t="s">
        <v>246</v>
      </c>
      <c r="E1586" t="s">
        <v>15</v>
      </c>
      <c r="F1586" t="s">
        <v>14</v>
      </c>
      <c r="G1586" t="s">
        <v>22</v>
      </c>
      <c r="H1586">
        <v>1</v>
      </c>
    </row>
    <row r="1587" spans="1:8" x14ac:dyDescent="0.35">
      <c r="A1587">
        <v>5449000214607</v>
      </c>
      <c r="B1587" t="s">
        <v>1898</v>
      </c>
      <c r="C1587" t="s">
        <v>1899</v>
      </c>
      <c r="D1587" t="s">
        <v>914</v>
      </c>
      <c r="E1587" t="s">
        <v>15</v>
      </c>
      <c r="F1587" t="s">
        <v>14</v>
      </c>
      <c r="G1587" t="s">
        <v>22</v>
      </c>
      <c r="H1587">
        <v>2</v>
      </c>
    </row>
    <row r="1588" spans="1:8" x14ac:dyDescent="0.35">
      <c r="A1588">
        <v>5449000214812</v>
      </c>
      <c r="B1588" t="s">
        <v>1900</v>
      </c>
      <c r="C1588" t="s">
        <v>603</v>
      </c>
      <c r="D1588" t="s">
        <v>14</v>
      </c>
      <c r="E1588" t="s">
        <v>15</v>
      </c>
      <c r="F1588" t="s">
        <v>14</v>
      </c>
      <c r="G1588" t="s">
        <v>816</v>
      </c>
      <c r="H1588">
        <v>1</v>
      </c>
    </row>
    <row r="1589" spans="1:8" x14ac:dyDescent="0.35">
      <c r="A1589">
        <v>5449000214911</v>
      </c>
      <c r="B1589" t="s">
        <v>14</v>
      </c>
      <c r="C1589" t="s">
        <v>603</v>
      </c>
      <c r="D1589" t="s">
        <v>14</v>
      </c>
      <c r="E1589" t="s">
        <v>15</v>
      </c>
      <c r="F1589" t="s">
        <v>14</v>
      </c>
      <c r="G1589" t="s">
        <v>1901</v>
      </c>
      <c r="H1589">
        <v>1</v>
      </c>
    </row>
    <row r="1590" spans="1:8" x14ac:dyDescent="0.35">
      <c r="A1590">
        <v>5449000214911</v>
      </c>
      <c r="B1590" t="s">
        <v>14</v>
      </c>
      <c r="C1590" t="s">
        <v>603</v>
      </c>
      <c r="D1590" t="s">
        <v>14</v>
      </c>
      <c r="E1590" t="s">
        <v>15</v>
      </c>
      <c r="F1590" t="s">
        <v>14</v>
      </c>
      <c r="G1590" t="s">
        <v>34</v>
      </c>
      <c r="H1590">
        <v>5</v>
      </c>
    </row>
    <row r="1591" spans="1:8" x14ac:dyDescent="0.35">
      <c r="A1591">
        <v>5449000219206</v>
      </c>
      <c r="B1591" t="s">
        <v>1902</v>
      </c>
      <c r="C1591" t="s">
        <v>192</v>
      </c>
      <c r="D1591" t="s">
        <v>246</v>
      </c>
      <c r="E1591" t="s">
        <v>15</v>
      </c>
      <c r="F1591" t="s">
        <v>14</v>
      </c>
      <c r="G1591" t="s">
        <v>117</v>
      </c>
      <c r="H1591">
        <v>1</v>
      </c>
    </row>
    <row r="1592" spans="1:8" x14ac:dyDescent="0.35">
      <c r="A1592">
        <v>5449000219206</v>
      </c>
      <c r="B1592" t="s">
        <v>1902</v>
      </c>
      <c r="C1592" t="s">
        <v>192</v>
      </c>
      <c r="D1592" t="s">
        <v>246</v>
      </c>
      <c r="E1592" t="s">
        <v>15</v>
      </c>
      <c r="F1592" t="s">
        <v>14</v>
      </c>
      <c r="G1592" t="s">
        <v>150</v>
      </c>
      <c r="H1592">
        <v>139</v>
      </c>
    </row>
    <row r="1593" spans="1:8" x14ac:dyDescent="0.35">
      <c r="A1593">
        <v>5449000219299</v>
      </c>
      <c r="B1593" t="s">
        <v>1903</v>
      </c>
      <c r="C1593" t="s">
        <v>9</v>
      </c>
      <c r="D1593" t="s">
        <v>246</v>
      </c>
      <c r="E1593" t="s">
        <v>15</v>
      </c>
      <c r="F1593" t="s">
        <v>14</v>
      </c>
      <c r="G1593" t="s">
        <v>150</v>
      </c>
      <c r="H1593">
        <v>308</v>
      </c>
    </row>
    <row r="1594" spans="1:8" x14ac:dyDescent="0.35">
      <c r="A1594">
        <v>5449000221780</v>
      </c>
      <c r="B1594" t="s">
        <v>250</v>
      </c>
      <c r="C1594" t="s">
        <v>610</v>
      </c>
      <c r="D1594" t="s">
        <v>14</v>
      </c>
      <c r="E1594" t="s">
        <v>15</v>
      </c>
      <c r="F1594" t="s">
        <v>14</v>
      </c>
      <c r="G1594" t="s">
        <v>61</v>
      </c>
      <c r="H1594">
        <v>31</v>
      </c>
    </row>
    <row r="1595" spans="1:8" x14ac:dyDescent="0.35">
      <c r="A1595">
        <v>5449000222145</v>
      </c>
      <c r="B1595" t="s">
        <v>1904</v>
      </c>
      <c r="C1595" t="s">
        <v>81</v>
      </c>
      <c r="D1595" t="s">
        <v>539</v>
      </c>
      <c r="E1595" t="s">
        <v>15</v>
      </c>
      <c r="F1595" t="s">
        <v>14</v>
      </c>
      <c r="G1595" t="s">
        <v>31</v>
      </c>
      <c r="H1595">
        <v>41</v>
      </c>
    </row>
    <row r="1596" spans="1:8" x14ac:dyDescent="0.35">
      <c r="A1596">
        <v>5449000230089</v>
      </c>
      <c r="B1596" t="s">
        <v>1845</v>
      </c>
      <c r="C1596" t="s">
        <v>9</v>
      </c>
      <c r="D1596" t="s">
        <v>246</v>
      </c>
      <c r="E1596" t="s">
        <v>15</v>
      </c>
      <c r="F1596" t="s">
        <v>14</v>
      </c>
      <c r="G1596" t="s">
        <v>578</v>
      </c>
      <c r="H1596">
        <v>6</v>
      </c>
    </row>
    <row r="1597" spans="1:8" x14ac:dyDescent="0.35">
      <c r="A1597">
        <v>5449000230164</v>
      </c>
      <c r="B1597" t="s">
        <v>1905</v>
      </c>
      <c r="C1597" t="s">
        <v>9</v>
      </c>
      <c r="D1597" t="s">
        <v>14</v>
      </c>
      <c r="E1597" t="s">
        <v>15</v>
      </c>
      <c r="F1597" t="s">
        <v>14</v>
      </c>
      <c r="G1597" t="s">
        <v>73</v>
      </c>
      <c r="H1597">
        <v>2</v>
      </c>
    </row>
    <row r="1598" spans="1:8" x14ac:dyDescent="0.35">
      <c r="A1598">
        <v>5449000232755</v>
      </c>
      <c r="B1598" t="s">
        <v>1815</v>
      </c>
      <c r="C1598" t="s">
        <v>472</v>
      </c>
      <c r="D1598" t="s">
        <v>451</v>
      </c>
      <c r="E1598" t="s">
        <v>15</v>
      </c>
      <c r="F1598" t="s">
        <v>14</v>
      </c>
      <c r="G1598" t="s">
        <v>41</v>
      </c>
      <c r="H1598">
        <v>27</v>
      </c>
    </row>
    <row r="1599" spans="1:8" x14ac:dyDescent="0.35">
      <c r="A1599">
        <v>5449000234285</v>
      </c>
      <c r="B1599" t="s">
        <v>246</v>
      </c>
      <c r="C1599" t="s">
        <v>110</v>
      </c>
      <c r="D1599" t="s">
        <v>246</v>
      </c>
      <c r="E1599" t="s">
        <v>15</v>
      </c>
      <c r="F1599" t="s">
        <v>14</v>
      </c>
      <c r="G1599" t="s">
        <v>41</v>
      </c>
      <c r="H1599">
        <v>23</v>
      </c>
    </row>
    <row r="1600" spans="1:8" x14ac:dyDescent="0.35">
      <c r="A1600">
        <v>5449000234612</v>
      </c>
      <c r="B1600" t="s">
        <v>705</v>
      </c>
      <c r="C1600" t="s">
        <v>81</v>
      </c>
      <c r="D1600" t="s">
        <v>705</v>
      </c>
      <c r="E1600" t="s">
        <v>15</v>
      </c>
      <c r="F1600" t="s">
        <v>14</v>
      </c>
      <c r="G1600" t="s">
        <v>34</v>
      </c>
      <c r="H1600">
        <v>788</v>
      </c>
    </row>
    <row r="1601" spans="1:8" x14ac:dyDescent="0.35">
      <c r="A1601">
        <v>5449000234612</v>
      </c>
      <c r="B1601" t="s">
        <v>705</v>
      </c>
      <c r="C1601" t="s">
        <v>81</v>
      </c>
      <c r="D1601" t="s">
        <v>705</v>
      </c>
      <c r="E1601" t="s">
        <v>15</v>
      </c>
      <c r="F1601" t="s">
        <v>14</v>
      </c>
      <c r="G1601" t="s">
        <v>150</v>
      </c>
      <c r="H1601">
        <v>4</v>
      </c>
    </row>
    <row r="1602" spans="1:8" x14ac:dyDescent="0.35">
      <c r="A1602">
        <v>5449000234612</v>
      </c>
      <c r="B1602" t="s">
        <v>705</v>
      </c>
      <c r="C1602" t="s">
        <v>81</v>
      </c>
      <c r="D1602" t="s">
        <v>705</v>
      </c>
      <c r="E1602" t="s">
        <v>15</v>
      </c>
      <c r="F1602" t="s">
        <v>14</v>
      </c>
      <c r="G1602" t="s">
        <v>73</v>
      </c>
      <c r="H1602">
        <v>1</v>
      </c>
    </row>
    <row r="1603" spans="1:8" x14ac:dyDescent="0.35">
      <c r="A1603">
        <v>5449000234636</v>
      </c>
      <c r="B1603" t="s">
        <v>705</v>
      </c>
      <c r="C1603" t="s">
        <v>78</v>
      </c>
      <c r="D1603" t="s">
        <v>705</v>
      </c>
      <c r="E1603" t="s">
        <v>15</v>
      </c>
      <c r="F1603" t="s">
        <v>14</v>
      </c>
      <c r="G1603" t="s">
        <v>34</v>
      </c>
      <c r="H1603">
        <v>1554</v>
      </c>
    </row>
    <row r="1604" spans="1:8" x14ac:dyDescent="0.35">
      <c r="A1604">
        <v>5449000234636</v>
      </c>
      <c r="B1604" t="s">
        <v>705</v>
      </c>
      <c r="C1604" t="s">
        <v>78</v>
      </c>
      <c r="D1604" t="s">
        <v>705</v>
      </c>
      <c r="E1604" t="s">
        <v>15</v>
      </c>
      <c r="F1604" t="s">
        <v>14</v>
      </c>
      <c r="G1604" t="s">
        <v>73</v>
      </c>
      <c r="H1604">
        <v>1</v>
      </c>
    </row>
    <row r="1605" spans="1:8" x14ac:dyDescent="0.35">
      <c r="A1605">
        <v>5449000234643</v>
      </c>
      <c r="B1605" t="s">
        <v>1906</v>
      </c>
      <c r="C1605" t="s">
        <v>1907</v>
      </c>
      <c r="D1605" t="s">
        <v>705</v>
      </c>
      <c r="E1605" t="s">
        <v>15</v>
      </c>
      <c r="F1605" t="s">
        <v>14</v>
      </c>
      <c r="G1605" t="s">
        <v>73</v>
      </c>
      <c r="H1605">
        <v>1</v>
      </c>
    </row>
    <row r="1606" spans="1:8" x14ac:dyDescent="0.35">
      <c r="A1606">
        <v>5449000236135</v>
      </c>
      <c r="B1606" t="s">
        <v>1908</v>
      </c>
      <c r="C1606" t="s">
        <v>9</v>
      </c>
      <c r="D1606" t="s">
        <v>705</v>
      </c>
      <c r="E1606" t="s">
        <v>15</v>
      </c>
      <c r="F1606" t="s">
        <v>14</v>
      </c>
      <c r="G1606" t="s">
        <v>33</v>
      </c>
      <c r="H1606">
        <v>116</v>
      </c>
    </row>
    <row r="1607" spans="1:8" x14ac:dyDescent="0.35">
      <c r="A1607">
        <v>5449000236135</v>
      </c>
      <c r="B1607" t="s">
        <v>1908</v>
      </c>
      <c r="C1607" t="s">
        <v>9</v>
      </c>
      <c r="D1607" t="s">
        <v>705</v>
      </c>
      <c r="E1607" t="s">
        <v>15</v>
      </c>
      <c r="F1607" t="s">
        <v>14</v>
      </c>
      <c r="G1607" t="s">
        <v>578</v>
      </c>
      <c r="H1607">
        <v>8</v>
      </c>
    </row>
    <row r="1608" spans="1:8" x14ac:dyDescent="0.35">
      <c r="A1608">
        <v>5449000236371</v>
      </c>
      <c r="B1608" t="s">
        <v>1909</v>
      </c>
      <c r="C1608" t="s">
        <v>81</v>
      </c>
      <c r="D1608" t="s">
        <v>52</v>
      </c>
      <c r="E1608" t="s">
        <v>15</v>
      </c>
      <c r="F1608" t="s">
        <v>14</v>
      </c>
      <c r="G1608" t="s">
        <v>34</v>
      </c>
      <c r="H1608">
        <v>1</v>
      </c>
    </row>
    <row r="1609" spans="1:8" x14ac:dyDescent="0.35">
      <c r="A1609">
        <v>5449000239662</v>
      </c>
      <c r="B1609" t="s">
        <v>708</v>
      </c>
      <c r="C1609" t="s">
        <v>78</v>
      </c>
      <c r="D1609" t="s">
        <v>14</v>
      </c>
      <c r="E1609" t="s">
        <v>15</v>
      </c>
      <c r="F1609" t="s">
        <v>14</v>
      </c>
      <c r="G1609" t="s">
        <v>22</v>
      </c>
      <c r="H1609">
        <v>1</v>
      </c>
    </row>
    <row r="1610" spans="1:8" x14ac:dyDescent="0.35">
      <c r="A1610">
        <v>5449000241924</v>
      </c>
      <c r="B1610" t="s">
        <v>1910</v>
      </c>
      <c r="C1610" t="s">
        <v>1911</v>
      </c>
      <c r="D1610" t="s">
        <v>246</v>
      </c>
      <c r="E1610" t="s">
        <v>15</v>
      </c>
      <c r="F1610" t="s">
        <v>14</v>
      </c>
      <c r="G1610" t="s">
        <v>11</v>
      </c>
      <c r="H1610">
        <v>1</v>
      </c>
    </row>
    <row r="1611" spans="1:8" x14ac:dyDescent="0.35">
      <c r="A1611">
        <v>5449000244208</v>
      </c>
      <c r="B1611" t="s">
        <v>1912</v>
      </c>
      <c r="C1611" t="s">
        <v>78</v>
      </c>
      <c r="D1611" t="s">
        <v>1913</v>
      </c>
      <c r="E1611" t="s">
        <v>15</v>
      </c>
      <c r="F1611" t="s">
        <v>14</v>
      </c>
      <c r="G1611" t="s">
        <v>34</v>
      </c>
      <c r="H1611">
        <v>22</v>
      </c>
    </row>
    <row r="1612" spans="1:8" x14ac:dyDescent="0.35">
      <c r="A1612">
        <v>5449000251541</v>
      </c>
      <c r="B1612" t="s">
        <v>1914</v>
      </c>
      <c r="C1612" t="s">
        <v>9</v>
      </c>
      <c r="D1612" t="s">
        <v>705</v>
      </c>
      <c r="E1612" t="s">
        <v>15</v>
      </c>
      <c r="F1612" t="s">
        <v>14</v>
      </c>
      <c r="G1612" t="s">
        <v>11</v>
      </c>
      <c r="H1612">
        <v>6</v>
      </c>
    </row>
    <row r="1613" spans="1:8" x14ac:dyDescent="0.35">
      <c r="A1613">
        <v>5449000251541</v>
      </c>
      <c r="B1613" t="s">
        <v>1914</v>
      </c>
      <c r="C1613" t="s">
        <v>9</v>
      </c>
      <c r="D1613" t="s">
        <v>705</v>
      </c>
      <c r="E1613" t="s">
        <v>15</v>
      </c>
      <c r="F1613" t="s">
        <v>14</v>
      </c>
      <c r="G1613" t="s">
        <v>150</v>
      </c>
      <c r="H1613">
        <v>1</v>
      </c>
    </row>
    <row r="1614" spans="1:8" x14ac:dyDescent="0.35">
      <c r="A1614">
        <v>5449000251541</v>
      </c>
      <c r="B1614" t="s">
        <v>1914</v>
      </c>
      <c r="C1614" t="s">
        <v>9</v>
      </c>
      <c r="D1614" t="s">
        <v>705</v>
      </c>
      <c r="E1614" t="s">
        <v>15</v>
      </c>
      <c r="F1614" t="s">
        <v>14</v>
      </c>
      <c r="G1614" t="s">
        <v>31</v>
      </c>
      <c r="H1614">
        <v>24</v>
      </c>
    </row>
    <row r="1615" spans="1:8" x14ac:dyDescent="0.35">
      <c r="A1615">
        <v>5449000251893</v>
      </c>
      <c r="B1615" t="s">
        <v>1915</v>
      </c>
      <c r="C1615" t="s">
        <v>83</v>
      </c>
      <c r="D1615" t="s">
        <v>539</v>
      </c>
      <c r="E1615" t="s">
        <v>15</v>
      </c>
      <c r="F1615" t="s">
        <v>14</v>
      </c>
      <c r="G1615" t="s">
        <v>11</v>
      </c>
      <c r="H1615">
        <v>2</v>
      </c>
    </row>
    <row r="1616" spans="1:8" x14ac:dyDescent="0.35">
      <c r="A1616">
        <v>5449000251893</v>
      </c>
      <c r="B1616" t="s">
        <v>1915</v>
      </c>
      <c r="C1616" t="s">
        <v>83</v>
      </c>
      <c r="D1616" t="s">
        <v>539</v>
      </c>
      <c r="E1616" t="s">
        <v>15</v>
      </c>
      <c r="F1616" t="s">
        <v>14</v>
      </c>
      <c r="G1616" t="s">
        <v>31</v>
      </c>
      <c r="H1616">
        <v>13</v>
      </c>
    </row>
    <row r="1617" spans="1:8" x14ac:dyDescent="0.35">
      <c r="A1617">
        <v>5449000258953</v>
      </c>
      <c r="B1617" t="s">
        <v>1916</v>
      </c>
      <c r="C1617" t="s">
        <v>78</v>
      </c>
      <c r="D1617" t="s">
        <v>1893</v>
      </c>
      <c r="E1617" t="s">
        <v>15</v>
      </c>
      <c r="F1617" t="s">
        <v>14</v>
      </c>
      <c r="G1617" t="s">
        <v>73</v>
      </c>
      <c r="H1617">
        <v>2</v>
      </c>
    </row>
    <row r="1618" spans="1:8" x14ac:dyDescent="0.35">
      <c r="A1618">
        <v>5449000260093</v>
      </c>
      <c r="B1618" t="s">
        <v>1917</v>
      </c>
      <c r="C1618" t="s">
        <v>1918</v>
      </c>
      <c r="D1618" t="s">
        <v>1893</v>
      </c>
      <c r="E1618" t="s">
        <v>15</v>
      </c>
      <c r="F1618" t="s">
        <v>14</v>
      </c>
      <c r="G1618" t="s">
        <v>11</v>
      </c>
      <c r="H1618">
        <v>1</v>
      </c>
    </row>
    <row r="1619" spans="1:8" x14ac:dyDescent="0.35">
      <c r="A1619">
        <v>5449000261700</v>
      </c>
      <c r="B1619" t="s">
        <v>709</v>
      </c>
      <c r="C1619" t="s">
        <v>78</v>
      </c>
      <c r="D1619" t="s">
        <v>14</v>
      </c>
      <c r="E1619" t="s">
        <v>15</v>
      </c>
      <c r="F1619" t="s">
        <v>14</v>
      </c>
      <c r="G1619" t="s">
        <v>73</v>
      </c>
      <c r="H1619">
        <v>1</v>
      </c>
    </row>
    <row r="1620" spans="1:8" x14ac:dyDescent="0.35">
      <c r="A1620">
        <v>5449000263445</v>
      </c>
      <c r="B1620" t="s">
        <v>14</v>
      </c>
      <c r="C1620" t="s">
        <v>192</v>
      </c>
      <c r="D1620" t="s">
        <v>14</v>
      </c>
      <c r="E1620" t="s">
        <v>15</v>
      </c>
      <c r="F1620" t="s">
        <v>14</v>
      </c>
      <c r="G1620" t="s">
        <v>150</v>
      </c>
      <c r="H1620">
        <v>19</v>
      </c>
    </row>
    <row r="1621" spans="1:8" x14ac:dyDescent="0.35">
      <c r="A1621">
        <v>5449000265609</v>
      </c>
      <c r="B1621" t="s">
        <v>1919</v>
      </c>
      <c r="C1621" t="s">
        <v>326</v>
      </c>
      <c r="D1621" t="s">
        <v>1312</v>
      </c>
      <c r="E1621" t="s">
        <v>15</v>
      </c>
      <c r="F1621" t="s">
        <v>14</v>
      </c>
      <c r="G1621" t="s">
        <v>73</v>
      </c>
      <c r="H1621">
        <v>2</v>
      </c>
    </row>
    <row r="1622" spans="1:8" x14ac:dyDescent="0.35">
      <c r="A1622">
        <v>5449000270948</v>
      </c>
      <c r="B1622" t="s">
        <v>1920</v>
      </c>
      <c r="C1622" t="s">
        <v>385</v>
      </c>
      <c r="D1622" t="s">
        <v>705</v>
      </c>
      <c r="E1622" t="s">
        <v>15</v>
      </c>
      <c r="F1622" t="s">
        <v>14</v>
      </c>
      <c r="G1622" t="s">
        <v>41</v>
      </c>
      <c r="H1622">
        <v>40</v>
      </c>
    </row>
    <row r="1623" spans="1:8" x14ac:dyDescent="0.35">
      <c r="A1623">
        <v>5449000274359</v>
      </c>
      <c r="B1623" t="s">
        <v>1921</v>
      </c>
      <c r="C1623" t="s">
        <v>81</v>
      </c>
      <c r="D1623" t="s">
        <v>539</v>
      </c>
      <c r="E1623" t="s">
        <v>15</v>
      </c>
      <c r="F1623" t="s">
        <v>14</v>
      </c>
      <c r="G1623" t="s">
        <v>11</v>
      </c>
      <c r="H1623">
        <v>1</v>
      </c>
    </row>
    <row r="1624" spans="1:8" x14ac:dyDescent="0.35">
      <c r="A1624">
        <v>5449000274380</v>
      </c>
      <c r="B1624" t="s">
        <v>1922</v>
      </c>
      <c r="C1624" t="s">
        <v>81</v>
      </c>
      <c r="D1624" t="s">
        <v>539</v>
      </c>
      <c r="E1624" t="s">
        <v>15</v>
      </c>
      <c r="F1624" t="s">
        <v>14</v>
      </c>
      <c r="G1624" t="s">
        <v>11</v>
      </c>
      <c r="H1624">
        <v>5</v>
      </c>
    </row>
    <row r="1625" spans="1:8" x14ac:dyDescent="0.35">
      <c r="A1625">
        <v>5449000277695</v>
      </c>
      <c r="B1625" t="s">
        <v>1855</v>
      </c>
      <c r="C1625" t="s">
        <v>326</v>
      </c>
      <c r="D1625" t="s">
        <v>705</v>
      </c>
      <c r="E1625" t="s">
        <v>15</v>
      </c>
      <c r="F1625" t="s">
        <v>14</v>
      </c>
      <c r="G1625" t="s">
        <v>61</v>
      </c>
      <c r="H1625">
        <v>22</v>
      </c>
    </row>
    <row r="1626" spans="1:8" x14ac:dyDescent="0.35">
      <c r="A1626">
        <v>5449000278333</v>
      </c>
      <c r="B1626" t="s">
        <v>1923</v>
      </c>
      <c r="C1626" t="s">
        <v>81</v>
      </c>
      <c r="D1626" t="s">
        <v>539</v>
      </c>
      <c r="E1626" t="s">
        <v>15</v>
      </c>
      <c r="F1626" t="s">
        <v>14</v>
      </c>
      <c r="G1626" t="s">
        <v>34</v>
      </c>
      <c r="H1626">
        <v>2</v>
      </c>
    </row>
    <row r="1627" spans="1:8" x14ac:dyDescent="0.35">
      <c r="A1627">
        <v>5449000284006</v>
      </c>
      <c r="B1627" t="s">
        <v>1924</v>
      </c>
      <c r="C1627" t="s">
        <v>81</v>
      </c>
      <c r="D1627" t="s">
        <v>539</v>
      </c>
      <c r="E1627" t="s">
        <v>15</v>
      </c>
      <c r="F1627" t="s">
        <v>14</v>
      </c>
      <c r="G1627" t="s">
        <v>61</v>
      </c>
      <c r="H1627">
        <v>3</v>
      </c>
    </row>
    <row r="1628" spans="1:8" x14ac:dyDescent="0.35">
      <c r="A1628">
        <v>5449000284037</v>
      </c>
      <c r="B1628" t="s">
        <v>1925</v>
      </c>
      <c r="C1628" t="s">
        <v>81</v>
      </c>
      <c r="D1628" t="s">
        <v>539</v>
      </c>
      <c r="E1628" t="s">
        <v>15</v>
      </c>
      <c r="F1628" t="s">
        <v>14</v>
      </c>
      <c r="G1628" t="s">
        <v>61</v>
      </c>
      <c r="H1628">
        <v>54</v>
      </c>
    </row>
    <row r="1629" spans="1:8" x14ac:dyDescent="0.35">
      <c r="A1629">
        <v>5449000284044</v>
      </c>
      <c r="B1629" t="s">
        <v>1926</v>
      </c>
      <c r="C1629" t="s">
        <v>83</v>
      </c>
      <c r="D1629" t="s">
        <v>539</v>
      </c>
      <c r="E1629" t="s">
        <v>15</v>
      </c>
      <c r="F1629" t="s">
        <v>14</v>
      </c>
      <c r="G1629" t="s">
        <v>34</v>
      </c>
      <c r="H1629">
        <v>3</v>
      </c>
    </row>
    <row r="1630" spans="1:8" x14ac:dyDescent="0.35">
      <c r="A1630">
        <v>5449000284044</v>
      </c>
      <c r="B1630" t="s">
        <v>1926</v>
      </c>
      <c r="C1630" t="s">
        <v>83</v>
      </c>
      <c r="D1630" t="s">
        <v>539</v>
      </c>
      <c r="E1630" t="s">
        <v>15</v>
      </c>
      <c r="F1630" t="s">
        <v>14</v>
      </c>
      <c r="G1630" t="s">
        <v>61</v>
      </c>
      <c r="H1630">
        <v>46</v>
      </c>
    </row>
    <row r="1631" spans="1:8" x14ac:dyDescent="0.35">
      <c r="A1631">
        <v>5449000284303</v>
      </c>
      <c r="B1631" t="s">
        <v>1927</v>
      </c>
      <c r="C1631" t="s">
        <v>81</v>
      </c>
      <c r="D1631" t="s">
        <v>52</v>
      </c>
      <c r="E1631" t="s">
        <v>15</v>
      </c>
      <c r="F1631" t="s">
        <v>14</v>
      </c>
      <c r="G1631" t="s">
        <v>34</v>
      </c>
      <c r="H1631">
        <v>2</v>
      </c>
    </row>
    <row r="1632" spans="1:8" x14ac:dyDescent="0.35">
      <c r="A1632">
        <v>5449000285300</v>
      </c>
      <c r="B1632" t="s">
        <v>1928</v>
      </c>
      <c r="C1632" t="s">
        <v>814</v>
      </c>
      <c r="D1632" t="s">
        <v>539</v>
      </c>
      <c r="E1632" t="s">
        <v>15</v>
      </c>
      <c r="F1632" t="s">
        <v>14</v>
      </c>
      <c r="G1632" t="s">
        <v>117</v>
      </c>
      <c r="H1632">
        <v>1</v>
      </c>
    </row>
    <row r="1633" spans="1:8" x14ac:dyDescent="0.35">
      <c r="A1633">
        <v>5449000290014</v>
      </c>
      <c r="B1633" t="s">
        <v>1924</v>
      </c>
      <c r="C1633" t="s">
        <v>192</v>
      </c>
      <c r="D1633" t="s">
        <v>1812</v>
      </c>
      <c r="E1633" t="s">
        <v>15</v>
      </c>
      <c r="F1633" t="s">
        <v>14</v>
      </c>
      <c r="G1633" t="s">
        <v>34</v>
      </c>
      <c r="H1633">
        <v>199</v>
      </c>
    </row>
    <row r="1634" spans="1:8" x14ac:dyDescent="0.35">
      <c r="A1634">
        <v>5449000297280</v>
      </c>
      <c r="B1634" t="s">
        <v>14</v>
      </c>
      <c r="C1634" t="s">
        <v>9</v>
      </c>
      <c r="D1634" t="s">
        <v>14</v>
      </c>
      <c r="E1634" t="s">
        <v>15</v>
      </c>
      <c r="F1634" t="s">
        <v>14</v>
      </c>
      <c r="G1634" t="s">
        <v>598</v>
      </c>
      <c r="H1634">
        <v>23</v>
      </c>
    </row>
    <row r="1635" spans="1:8" x14ac:dyDescent="0.35">
      <c r="A1635">
        <v>5449000297280</v>
      </c>
      <c r="B1635" t="s">
        <v>14</v>
      </c>
      <c r="C1635" t="s">
        <v>9</v>
      </c>
      <c r="D1635" t="s">
        <v>14</v>
      </c>
      <c r="E1635" t="s">
        <v>15</v>
      </c>
      <c r="F1635" t="s">
        <v>14</v>
      </c>
      <c r="G1635" t="s">
        <v>150</v>
      </c>
      <c r="H1635">
        <v>79</v>
      </c>
    </row>
    <row r="1636" spans="1:8" x14ac:dyDescent="0.35">
      <c r="A1636">
        <v>5449000306357</v>
      </c>
      <c r="B1636" t="s">
        <v>1929</v>
      </c>
      <c r="C1636" t="s">
        <v>81</v>
      </c>
      <c r="D1636" t="s">
        <v>1812</v>
      </c>
      <c r="E1636" t="s">
        <v>15</v>
      </c>
      <c r="F1636" t="s">
        <v>14</v>
      </c>
      <c r="G1636" t="s">
        <v>34</v>
      </c>
      <c r="H1636">
        <v>13</v>
      </c>
    </row>
    <row r="1637" spans="1:8" x14ac:dyDescent="0.35">
      <c r="A1637">
        <v>5449000306579</v>
      </c>
      <c r="B1637" t="s">
        <v>1812</v>
      </c>
      <c r="C1637" t="s">
        <v>81</v>
      </c>
      <c r="D1637" t="s">
        <v>1930</v>
      </c>
      <c r="E1637" t="s">
        <v>34</v>
      </c>
      <c r="F1637" t="s">
        <v>1931</v>
      </c>
      <c r="G1637" t="s">
        <v>34</v>
      </c>
      <c r="H1637">
        <v>596</v>
      </c>
    </row>
    <row r="1638" spans="1:8" x14ac:dyDescent="0.35">
      <c r="A1638">
        <v>5449000308337</v>
      </c>
      <c r="B1638" t="s">
        <v>1557</v>
      </c>
      <c r="C1638" t="s">
        <v>83</v>
      </c>
      <c r="D1638" t="s">
        <v>52</v>
      </c>
      <c r="E1638" t="s">
        <v>15</v>
      </c>
      <c r="F1638" t="s">
        <v>14</v>
      </c>
      <c r="G1638" t="s">
        <v>598</v>
      </c>
      <c r="H1638">
        <v>3</v>
      </c>
    </row>
    <row r="1639" spans="1:8" x14ac:dyDescent="0.35">
      <c r="A1639">
        <v>5449000308672</v>
      </c>
      <c r="B1639" t="s">
        <v>1932</v>
      </c>
      <c r="C1639" t="s">
        <v>83</v>
      </c>
      <c r="D1639" t="s">
        <v>52</v>
      </c>
      <c r="E1639" t="s">
        <v>15</v>
      </c>
      <c r="F1639" t="s">
        <v>14</v>
      </c>
      <c r="G1639" t="s">
        <v>598</v>
      </c>
      <c r="H1639">
        <v>1</v>
      </c>
    </row>
    <row r="1640" spans="1:8" x14ac:dyDescent="0.35">
      <c r="A1640">
        <v>5449000310637</v>
      </c>
      <c r="B1640" t="s">
        <v>1151</v>
      </c>
      <c r="C1640" t="s">
        <v>939</v>
      </c>
      <c r="D1640" t="s">
        <v>1933</v>
      </c>
      <c r="E1640" t="s">
        <v>15</v>
      </c>
      <c r="F1640" t="s">
        <v>14</v>
      </c>
      <c r="G1640" t="s">
        <v>31</v>
      </c>
      <c r="H1640">
        <v>25</v>
      </c>
    </row>
    <row r="1641" spans="1:8" x14ac:dyDescent="0.35">
      <c r="A1641">
        <v>5449000315328</v>
      </c>
      <c r="B1641" t="s">
        <v>246</v>
      </c>
      <c r="C1641" t="s">
        <v>114</v>
      </c>
      <c r="D1641" t="s">
        <v>246</v>
      </c>
      <c r="E1641" t="s">
        <v>15</v>
      </c>
      <c r="F1641" t="s">
        <v>14</v>
      </c>
      <c r="G1641" t="s">
        <v>61</v>
      </c>
      <c r="H1641">
        <v>5</v>
      </c>
    </row>
    <row r="1642" spans="1:8" x14ac:dyDescent="0.35">
      <c r="A1642">
        <v>5449000317223</v>
      </c>
      <c r="B1642" t="s">
        <v>1934</v>
      </c>
      <c r="C1642" t="s">
        <v>447</v>
      </c>
      <c r="D1642" t="s">
        <v>52</v>
      </c>
      <c r="E1642" t="s">
        <v>15</v>
      </c>
      <c r="F1642" t="s">
        <v>14</v>
      </c>
      <c r="G1642" t="s">
        <v>61</v>
      </c>
      <c r="H1642">
        <v>1</v>
      </c>
    </row>
    <row r="1643" spans="1:8" x14ac:dyDescent="0.35">
      <c r="A1643">
        <v>5449000664525</v>
      </c>
      <c r="B1643" t="s">
        <v>478</v>
      </c>
      <c r="C1643" t="s">
        <v>1935</v>
      </c>
      <c r="D1643" t="s">
        <v>246</v>
      </c>
      <c r="E1643" t="s">
        <v>15</v>
      </c>
      <c r="F1643" t="s">
        <v>14</v>
      </c>
      <c r="G1643" t="s">
        <v>34</v>
      </c>
      <c r="H1643">
        <v>2</v>
      </c>
    </row>
    <row r="1644" spans="1:8" x14ac:dyDescent="0.35">
      <c r="A1644">
        <v>5449000664686</v>
      </c>
      <c r="B1644" t="s">
        <v>1333</v>
      </c>
      <c r="C1644" t="s">
        <v>1907</v>
      </c>
      <c r="D1644" t="s">
        <v>14</v>
      </c>
      <c r="E1644" t="s">
        <v>15</v>
      </c>
      <c r="F1644" t="s">
        <v>14</v>
      </c>
      <c r="G1644" t="s">
        <v>34</v>
      </c>
      <c r="H1644">
        <v>8</v>
      </c>
    </row>
    <row r="1645" spans="1:8" x14ac:dyDescent="0.35">
      <c r="A1645">
        <v>5449000664686</v>
      </c>
      <c r="B1645" t="s">
        <v>1333</v>
      </c>
      <c r="C1645" t="s">
        <v>1907</v>
      </c>
      <c r="D1645" t="s">
        <v>14</v>
      </c>
      <c r="E1645" t="s">
        <v>15</v>
      </c>
      <c r="F1645" t="s">
        <v>14</v>
      </c>
      <c r="G1645" t="s">
        <v>73</v>
      </c>
      <c r="H1645">
        <v>1</v>
      </c>
    </row>
    <row r="1646" spans="1:8" x14ac:dyDescent="0.35">
      <c r="A1646">
        <v>5449000664853</v>
      </c>
      <c r="B1646" t="s">
        <v>1936</v>
      </c>
      <c r="C1646" t="s">
        <v>1907</v>
      </c>
      <c r="D1646" t="s">
        <v>451</v>
      </c>
      <c r="E1646" t="s">
        <v>15</v>
      </c>
      <c r="F1646" t="s">
        <v>14</v>
      </c>
      <c r="G1646" t="s">
        <v>34</v>
      </c>
      <c r="H1646">
        <v>2</v>
      </c>
    </row>
    <row r="1647" spans="1:8" x14ac:dyDescent="0.35">
      <c r="A1647">
        <v>54490123</v>
      </c>
      <c r="B1647" t="s">
        <v>581</v>
      </c>
      <c r="C1647" t="s">
        <v>9</v>
      </c>
      <c r="D1647" t="s">
        <v>14</v>
      </c>
      <c r="E1647" t="s">
        <v>15</v>
      </c>
      <c r="F1647" t="s">
        <v>14</v>
      </c>
      <c r="G1647" t="s">
        <v>117</v>
      </c>
      <c r="H1647">
        <v>18</v>
      </c>
    </row>
    <row r="1648" spans="1:8" x14ac:dyDescent="0.35">
      <c r="A1648">
        <v>54490345</v>
      </c>
      <c r="B1648" t="s">
        <v>1937</v>
      </c>
      <c r="C1648" t="s">
        <v>9</v>
      </c>
      <c r="D1648" t="s">
        <v>707</v>
      </c>
      <c r="E1648" t="s">
        <v>15</v>
      </c>
      <c r="F1648" t="s">
        <v>14</v>
      </c>
      <c r="G1648" t="s">
        <v>34</v>
      </c>
      <c r="H1648">
        <v>1</v>
      </c>
    </row>
    <row r="1649" spans="1:8" x14ac:dyDescent="0.35">
      <c r="A1649">
        <v>54490345</v>
      </c>
      <c r="B1649" t="s">
        <v>1937</v>
      </c>
      <c r="C1649" t="s">
        <v>9</v>
      </c>
      <c r="D1649" t="s">
        <v>707</v>
      </c>
      <c r="E1649" t="s">
        <v>15</v>
      </c>
      <c r="F1649" t="s">
        <v>14</v>
      </c>
      <c r="G1649" t="s">
        <v>73</v>
      </c>
      <c r="H1649">
        <v>3</v>
      </c>
    </row>
    <row r="1650" spans="1:8" x14ac:dyDescent="0.35">
      <c r="A1650">
        <v>54490482</v>
      </c>
      <c r="B1650" t="s">
        <v>1938</v>
      </c>
      <c r="C1650" t="s">
        <v>9</v>
      </c>
      <c r="D1650" t="s">
        <v>707</v>
      </c>
      <c r="E1650" t="s">
        <v>15</v>
      </c>
      <c r="F1650" t="s">
        <v>14</v>
      </c>
      <c r="G1650" t="s">
        <v>73</v>
      </c>
      <c r="H1650">
        <v>1</v>
      </c>
    </row>
    <row r="1651" spans="1:8" x14ac:dyDescent="0.35">
      <c r="A1651">
        <v>54490673</v>
      </c>
      <c r="B1651" t="s">
        <v>1939</v>
      </c>
      <c r="C1651" t="s">
        <v>9</v>
      </c>
      <c r="D1651" t="s">
        <v>1816</v>
      </c>
      <c r="E1651" t="s">
        <v>15</v>
      </c>
      <c r="F1651" t="s">
        <v>14</v>
      </c>
      <c r="G1651" t="s">
        <v>61</v>
      </c>
      <c r="H1651">
        <v>22</v>
      </c>
    </row>
    <row r="1652" spans="1:8" x14ac:dyDescent="0.35">
      <c r="A1652">
        <v>54490857</v>
      </c>
      <c r="B1652" t="s">
        <v>1815</v>
      </c>
      <c r="C1652" t="s">
        <v>9</v>
      </c>
      <c r="D1652" t="s">
        <v>1816</v>
      </c>
      <c r="E1652" t="s">
        <v>15</v>
      </c>
      <c r="F1652" t="s">
        <v>14</v>
      </c>
      <c r="G1652" t="s">
        <v>61</v>
      </c>
      <c r="H1652">
        <v>2</v>
      </c>
    </row>
    <row r="1653" spans="1:8" x14ac:dyDescent="0.35">
      <c r="A1653">
        <v>54491069</v>
      </c>
      <c r="B1653" t="s">
        <v>1940</v>
      </c>
      <c r="C1653" t="s">
        <v>9</v>
      </c>
      <c r="D1653" t="s">
        <v>705</v>
      </c>
      <c r="E1653" t="s">
        <v>15</v>
      </c>
      <c r="F1653" t="s">
        <v>14</v>
      </c>
      <c r="G1653" t="s">
        <v>22</v>
      </c>
      <c r="H1653">
        <v>1</v>
      </c>
    </row>
    <row r="1654" spans="1:8" x14ac:dyDescent="0.35">
      <c r="A1654">
        <v>54491069</v>
      </c>
      <c r="B1654" t="s">
        <v>1940</v>
      </c>
      <c r="C1654" t="s">
        <v>9</v>
      </c>
      <c r="D1654" t="s">
        <v>705</v>
      </c>
      <c r="E1654" t="s">
        <v>15</v>
      </c>
      <c r="F1654" t="s">
        <v>14</v>
      </c>
      <c r="G1654" t="s">
        <v>11</v>
      </c>
      <c r="H1654">
        <v>64</v>
      </c>
    </row>
    <row r="1655" spans="1:8" x14ac:dyDescent="0.35">
      <c r="A1655">
        <v>54491069</v>
      </c>
      <c r="B1655" t="s">
        <v>1940</v>
      </c>
      <c r="C1655" t="s">
        <v>9</v>
      </c>
      <c r="D1655" t="s">
        <v>705</v>
      </c>
      <c r="E1655" t="s">
        <v>15</v>
      </c>
      <c r="F1655" t="s">
        <v>14</v>
      </c>
      <c r="G1655" t="s">
        <v>33</v>
      </c>
      <c r="H1655">
        <v>2</v>
      </c>
    </row>
    <row r="1656" spans="1:8" x14ac:dyDescent="0.35">
      <c r="A1656">
        <v>54491069</v>
      </c>
      <c r="B1656" t="s">
        <v>1940</v>
      </c>
      <c r="C1656" t="s">
        <v>9</v>
      </c>
      <c r="D1656" t="s">
        <v>705</v>
      </c>
      <c r="E1656" t="s">
        <v>15</v>
      </c>
      <c r="F1656" t="s">
        <v>14</v>
      </c>
      <c r="G1656" t="s">
        <v>34</v>
      </c>
      <c r="H1656">
        <v>1</v>
      </c>
    </row>
    <row r="1657" spans="1:8" x14ac:dyDescent="0.35">
      <c r="A1657">
        <v>54491069</v>
      </c>
      <c r="B1657" t="s">
        <v>1940</v>
      </c>
      <c r="C1657" t="s">
        <v>9</v>
      </c>
      <c r="D1657" t="s">
        <v>705</v>
      </c>
      <c r="E1657" t="s">
        <v>15</v>
      </c>
      <c r="F1657" t="s">
        <v>14</v>
      </c>
      <c r="G1657" t="s">
        <v>598</v>
      </c>
      <c r="H1657">
        <v>10</v>
      </c>
    </row>
    <row r="1658" spans="1:8" x14ac:dyDescent="0.35">
      <c r="A1658">
        <v>54491069</v>
      </c>
      <c r="B1658" t="s">
        <v>1940</v>
      </c>
      <c r="C1658" t="s">
        <v>9</v>
      </c>
      <c r="D1658" t="s">
        <v>705</v>
      </c>
      <c r="E1658" t="s">
        <v>15</v>
      </c>
      <c r="F1658" t="s">
        <v>14</v>
      </c>
      <c r="G1658" t="s">
        <v>150</v>
      </c>
      <c r="H1658">
        <v>47</v>
      </c>
    </row>
    <row r="1659" spans="1:8" x14ac:dyDescent="0.35">
      <c r="A1659">
        <v>54491069</v>
      </c>
      <c r="B1659" t="s">
        <v>1940</v>
      </c>
      <c r="C1659" t="s">
        <v>9</v>
      </c>
      <c r="D1659" t="s">
        <v>705</v>
      </c>
      <c r="E1659" t="s">
        <v>15</v>
      </c>
      <c r="F1659" t="s">
        <v>14</v>
      </c>
      <c r="G1659" t="s">
        <v>61</v>
      </c>
      <c r="H1659">
        <v>209</v>
      </c>
    </row>
    <row r="1660" spans="1:8" x14ac:dyDescent="0.35">
      <c r="A1660">
        <v>54491069</v>
      </c>
      <c r="B1660" t="s">
        <v>1940</v>
      </c>
      <c r="C1660" t="s">
        <v>9</v>
      </c>
      <c r="D1660" t="s">
        <v>705</v>
      </c>
      <c r="E1660" t="s">
        <v>15</v>
      </c>
      <c r="F1660" t="s">
        <v>14</v>
      </c>
      <c r="G1660" t="s">
        <v>31</v>
      </c>
      <c r="H1660">
        <v>42</v>
      </c>
    </row>
    <row r="1661" spans="1:8" x14ac:dyDescent="0.35">
      <c r="A1661">
        <v>54491397</v>
      </c>
      <c r="B1661" t="s">
        <v>1941</v>
      </c>
      <c r="C1661" t="s">
        <v>9</v>
      </c>
      <c r="D1661" t="s">
        <v>246</v>
      </c>
      <c r="E1661" t="s">
        <v>15</v>
      </c>
      <c r="F1661" t="s">
        <v>14</v>
      </c>
      <c r="G1661" t="s">
        <v>22</v>
      </c>
      <c r="H1661">
        <v>1</v>
      </c>
    </row>
    <row r="1662" spans="1:8" x14ac:dyDescent="0.35">
      <c r="A1662">
        <v>54491472</v>
      </c>
      <c r="B1662" t="s">
        <v>14</v>
      </c>
      <c r="C1662" t="s">
        <v>9</v>
      </c>
      <c r="D1662" t="s">
        <v>14</v>
      </c>
      <c r="E1662" t="s">
        <v>15</v>
      </c>
      <c r="F1662" t="s">
        <v>14</v>
      </c>
      <c r="G1662" t="s">
        <v>117</v>
      </c>
      <c r="H1662">
        <v>19</v>
      </c>
    </row>
    <row r="1663" spans="1:8" x14ac:dyDescent="0.35">
      <c r="A1663">
        <v>54491472</v>
      </c>
      <c r="B1663" t="s">
        <v>14</v>
      </c>
      <c r="C1663" t="s">
        <v>9</v>
      </c>
      <c r="D1663" t="s">
        <v>14</v>
      </c>
      <c r="E1663" t="s">
        <v>15</v>
      </c>
      <c r="F1663" t="s">
        <v>14</v>
      </c>
      <c r="G1663" t="s">
        <v>464</v>
      </c>
      <c r="H1663">
        <v>3</v>
      </c>
    </row>
    <row r="1664" spans="1:8" x14ac:dyDescent="0.35">
      <c r="A1664">
        <v>54491472</v>
      </c>
      <c r="B1664" t="s">
        <v>14</v>
      </c>
      <c r="C1664" t="s">
        <v>9</v>
      </c>
      <c r="D1664" t="s">
        <v>14</v>
      </c>
      <c r="E1664" t="s">
        <v>15</v>
      </c>
      <c r="F1664" t="s">
        <v>14</v>
      </c>
      <c r="G1664" t="s">
        <v>22</v>
      </c>
      <c r="H1664">
        <v>17</v>
      </c>
    </row>
    <row r="1665" spans="1:8" x14ac:dyDescent="0.35">
      <c r="A1665">
        <v>54491472</v>
      </c>
      <c r="B1665" t="s">
        <v>14</v>
      </c>
      <c r="C1665" t="s">
        <v>9</v>
      </c>
      <c r="D1665" t="s">
        <v>14</v>
      </c>
      <c r="E1665" t="s">
        <v>15</v>
      </c>
      <c r="F1665" t="s">
        <v>14</v>
      </c>
      <c r="G1665" t="s">
        <v>11</v>
      </c>
      <c r="H1665">
        <v>61</v>
      </c>
    </row>
    <row r="1666" spans="1:8" x14ac:dyDescent="0.35">
      <c r="A1666">
        <v>54491472</v>
      </c>
      <c r="B1666" t="s">
        <v>14</v>
      </c>
      <c r="C1666" t="s">
        <v>9</v>
      </c>
      <c r="D1666" t="s">
        <v>14</v>
      </c>
      <c r="E1666" t="s">
        <v>15</v>
      </c>
      <c r="F1666" t="s">
        <v>14</v>
      </c>
      <c r="G1666" t="s">
        <v>33</v>
      </c>
      <c r="H1666">
        <v>232</v>
      </c>
    </row>
    <row r="1667" spans="1:8" x14ac:dyDescent="0.35">
      <c r="A1667">
        <v>54491472</v>
      </c>
      <c r="B1667" t="s">
        <v>14</v>
      </c>
      <c r="C1667" t="s">
        <v>9</v>
      </c>
      <c r="D1667" t="s">
        <v>14</v>
      </c>
      <c r="E1667" t="s">
        <v>15</v>
      </c>
      <c r="F1667" t="s">
        <v>14</v>
      </c>
      <c r="G1667" t="s">
        <v>34</v>
      </c>
      <c r="H1667">
        <v>26</v>
      </c>
    </row>
    <row r="1668" spans="1:8" x14ac:dyDescent="0.35">
      <c r="A1668">
        <v>54491472</v>
      </c>
      <c r="B1668" t="s">
        <v>14</v>
      </c>
      <c r="C1668" t="s">
        <v>9</v>
      </c>
      <c r="D1668" t="s">
        <v>14</v>
      </c>
      <c r="E1668" t="s">
        <v>15</v>
      </c>
      <c r="F1668" t="s">
        <v>14</v>
      </c>
      <c r="G1668" t="s">
        <v>150</v>
      </c>
      <c r="H1668">
        <v>25</v>
      </c>
    </row>
    <row r="1669" spans="1:8" x14ac:dyDescent="0.35">
      <c r="A1669">
        <v>54491472</v>
      </c>
      <c r="B1669" t="s">
        <v>14</v>
      </c>
      <c r="C1669" t="s">
        <v>9</v>
      </c>
      <c r="D1669" t="s">
        <v>14</v>
      </c>
      <c r="E1669" t="s">
        <v>15</v>
      </c>
      <c r="F1669" t="s">
        <v>14</v>
      </c>
      <c r="G1669" t="s">
        <v>61</v>
      </c>
      <c r="H1669">
        <v>706</v>
      </c>
    </row>
    <row r="1670" spans="1:8" x14ac:dyDescent="0.35">
      <c r="A1670">
        <v>54491472</v>
      </c>
      <c r="B1670" t="s">
        <v>14</v>
      </c>
      <c r="C1670" t="s">
        <v>9</v>
      </c>
      <c r="D1670" t="s">
        <v>14</v>
      </c>
      <c r="E1670" t="s">
        <v>15</v>
      </c>
      <c r="F1670" t="s">
        <v>14</v>
      </c>
      <c r="G1670" t="s">
        <v>31</v>
      </c>
      <c r="H1670">
        <v>106</v>
      </c>
    </row>
    <row r="1671" spans="1:8" x14ac:dyDescent="0.35">
      <c r="A1671">
        <v>54491472</v>
      </c>
      <c r="B1671" t="s">
        <v>14</v>
      </c>
      <c r="C1671" t="s">
        <v>9</v>
      </c>
      <c r="D1671" t="s">
        <v>14</v>
      </c>
      <c r="E1671" t="s">
        <v>15</v>
      </c>
      <c r="F1671" t="s">
        <v>14</v>
      </c>
      <c r="G1671" t="s">
        <v>578</v>
      </c>
      <c r="H1671">
        <v>40</v>
      </c>
    </row>
    <row r="1672" spans="1:8" x14ac:dyDescent="0.35">
      <c r="A1672">
        <v>54491496</v>
      </c>
      <c r="B1672" t="s">
        <v>250</v>
      </c>
      <c r="C1672" t="s">
        <v>9</v>
      </c>
      <c r="D1672" t="s">
        <v>14</v>
      </c>
      <c r="E1672" t="s">
        <v>15</v>
      </c>
      <c r="F1672" t="s">
        <v>14</v>
      </c>
      <c r="G1672" t="s">
        <v>22</v>
      </c>
      <c r="H1672">
        <v>6</v>
      </c>
    </row>
    <row r="1673" spans="1:8" x14ac:dyDescent="0.35">
      <c r="A1673">
        <v>54491496</v>
      </c>
      <c r="B1673" t="s">
        <v>250</v>
      </c>
      <c r="C1673" t="s">
        <v>9</v>
      </c>
      <c r="D1673" t="s">
        <v>14</v>
      </c>
      <c r="E1673" t="s">
        <v>15</v>
      </c>
      <c r="F1673" t="s">
        <v>14</v>
      </c>
      <c r="G1673" t="s">
        <v>11</v>
      </c>
      <c r="H1673">
        <v>13</v>
      </c>
    </row>
    <row r="1674" spans="1:8" x14ac:dyDescent="0.35">
      <c r="A1674">
        <v>54491496</v>
      </c>
      <c r="B1674" t="s">
        <v>250</v>
      </c>
      <c r="C1674" t="s">
        <v>9</v>
      </c>
      <c r="D1674" t="s">
        <v>14</v>
      </c>
      <c r="E1674" t="s">
        <v>15</v>
      </c>
      <c r="F1674" t="s">
        <v>14</v>
      </c>
      <c r="G1674" t="s">
        <v>34</v>
      </c>
      <c r="H1674">
        <v>68</v>
      </c>
    </row>
    <row r="1675" spans="1:8" x14ac:dyDescent="0.35">
      <c r="A1675">
        <v>54491496</v>
      </c>
      <c r="B1675" t="s">
        <v>250</v>
      </c>
      <c r="C1675" t="s">
        <v>9</v>
      </c>
      <c r="D1675" t="s">
        <v>14</v>
      </c>
      <c r="E1675" t="s">
        <v>15</v>
      </c>
      <c r="F1675" t="s">
        <v>14</v>
      </c>
      <c r="G1675" t="s">
        <v>150</v>
      </c>
      <c r="H1675">
        <v>13</v>
      </c>
    </row>
    <row r="1676" spans="1:8" x14ac:dyDescent="0.35">
      <c r="A1676">
        <v>54492493</v>
      </c>
      <c r="B1676" t="s">
        <v>1344</v>
      </c>
      <c r="C1676" t="s">
        <v>9</v>
      </c>
      <c r="D1676" t="s">
        <v>246</v>
      </c>
      <c r="E1676" t="s">
        <v>15</v>
      </c>
      <c r="F1676" t="s">
        <v>14</v>
      </c>
      <c r="G1676" t="s">
        <v>22</v>
      </c>
      <c r="H1676">
        <v>2</v>
      </c>
    </row>
    <row r="1677" spans="1:8" x14ac:dyDescent="0.35">
      <c r="A1677">
        <v>54492653</v>
      </c>
      <c r="B1677" t="s">
        <v>1942</v>
      </c>
      <c r="C1677" t="s">
        <v>9</v>
      </c>
      <c r="D1677" t="s">
        <v>707</v>
      </c>
      <c r="E1677" t="s">
        <v>15</v>
      </c>
      <c r="F1677" t="s">
        <v>14</v>
      </c>
      <c r="G1677" t="s">
        <v>130</v>
      </c>
      <c r="H1677">
        <v>1</v>
      </c>
    </row>
    <row r="1678" spans="1:8" x14ac:dyDescent="0.35">
      <c r="A1678">
        <v>54492653</v>
      </c>
      <c r="B1678" t="s">
        <v>1942</v>
      </c>
      <c r="C1678" t="s">
        <v>9</v>
      </c>
      <c r="D1678" t="s">
        <v>707</v>
      </c>
      <c r="E1678" t="s">
        <v>15</v>
      </c>
      <c r="F1678" t="s">
        <v>14</v>
      </c>
      <c r="G1678" t="s">
        <v>22</v>
      </c>
      <c r="H1678">
        <v>5</v>
      </c>
    </row>
    <row r="1679" spans="1:8" x14ac:dyDescent="0.35">
      <c r="A1679">
        <v>54492691</v>
      </c>
      <c r="B1679" t="s">
        <v>705</v>
      </c>
      <c r="C1679" t="s">
        <v>38</v>
      </c>
      <c r="D1679" t="s">
        <v>705</v>
      </c>
      <c r="E1679" t="s">
        <v>15</v>
      </c>
      <c r="F1679" t="s">
        <v>14</v>
      </c>
      <c r="G1679" t="s">
        <v>11</v>
      </c>
      <c r="H1679">
        <v>6</v>
      </c>
    </row>
    <row r="1680" spans="1:8" x14ac:dyDescent="0.35">
      <c r="A1680">
        <v>54492691</v>
      </c>
      <c r="B1680" t="s">
        <v>705</v>
      </c>
      <c r="C1680" t="s">
        <v>38</v>
      </c>
      <c r="D1680" t="s">
        <v>705</v>
      </c>
      <c r="E1680" t="s">
        <v>15</v>
      </c>
      <c r="F1680" t="s">
        <v>14</v>
      </c>
      <c r="G1680" t="s">
        <v>34</v>
      </c>
      <c r="H1680">
        <v>30</v>
      </c>
    </row>
    <row r="1681" spans="1:8" x14ac:dyDescent="0.35">
      <c r="A1681">
        <v>54492691</v>
      </c>
      <c r="B1681" t="s">
        <v>705</v>
      </c>
      <c r="C1681" t="s">
        <v>38</v>
      </c>
      <c r="D1681" t="s">
        <v>705</v>
      </c>
      <c r="E1681" t="s">
        <v>15</v>
      </c>
      <c r="F1681" t="s">
        <v>14</v>
      </c>
      <c r="G1681" t="s">
        <v>150</v>
      </c>
      <c r="H1681">
        <v>17</v>
      </c>
    </row>
    <row r="1682" spans="1:8" x14ac:dyDescent="0.35">
      <c r="A1682">
        <v>54492691</v>
      </c>
      <c r="B1682" t="s">
        <v>705</v>
      </c>
      <c r="C1682" t="s">
        <v>38</v>
      </c>
      <c r="D1682" t="s">
        <v>705</v>
      </c>
      <c r="E1682" t="s">
        <v>15</v>
      </c>
      <c r="F1682" t="s">
        <v>14</v>
      </c>
      <c r="G1682" t="s">
        <v>61</v>
      </c>
      <c r="H1682">
        <v>87</v>
      </c>
    </row>
    <row r="1683" spans="1:8" x14ac:dyDescent="0.35">
      <c r="A1683">
        <v>54492790</v>
      </c>
      <c r="B1683" t="s">
        <v>1943</v>
      </c>
      <c r="C1683" t="s">
        <v>9</v>
      </c>
      <c r="D1683" t="s">
        <v>14</v>
      </c>
      <c r="E1683" t="s">
        <v>15</v>
      </c>
      <c r="F1683" t="s">
        <v>14</v>
      </c>
      <c r="G1683" t="s">
        <v>22</v>
      </c>
      <c r="H1683">
        <v>3</v>
      </c>
    </row>
    <row r="1684" spans="1:8" x14ac:dyDescent="0.35">
      <c r="A1684">
        <v>54493353</v>
      </c>
      <c r="B1684" t="s">
        <v>1944</v>
      </c>
      <c r="C1684" t="s">
        <v>9</v>
      </c>
      <c r="D1684" t="s">
        <v>246</v>
      </c>
      <c r="E1684" t="s">
        <v>15</v>
      </c>
      <c r="F1684" t="s">
        <v>14</v>
      </c>
      <c r="G1684" t="s">
        <v>11</v>
      </c>
      <c r="H1684">
        <v>21</v>
      </c>
    </row>
    <row r="1685" spans="1:8" x14ac:dyDescent="0.35">
      <c r="A1685">
        <v>54493353</v>
      </c>
      <c r="B1685" t="s">
        <v>1944</v>
      </c>
      <c r="C1685" t="s">
        <v>9</v>
      </c>
      <c r="D1685" t="s">
        <v>246</v>
      </c>
      <c r="E1685" t="s">
        <v>15</v>
      </c>
      <c r="F1685" t="s">
        <v>14</v>
      </c>
      <c r="G1685" t="s">
        <v>61</v>
      </c>
      <c r="H1685">
        <v>384</v>
      </c>
    </row>
    <row r="1686" spans="1:8" x14ac:dyDescent="0.35">
      <c r="A1686">
        <v>54493957</v>
      </c>
      <c r="B1686" t="s">
        <v>1403</v>
      </c>
      <c r="C1686" t="s">
        <v>9</v>
      </c>
      <c r="D1686" t="s">
        <v>246</v>
      </c>
      <c r="E1686" t="s">
        <v>15</v>
      </c>
      <c r="F1686" t="s">
        <v>14</v>
      </c>
      <c r="G1686" t="s">
        <v>22</v>
      </c>
      <c r="H1686">
        <v>11</v>
      </c>
    </row>
    <row r="1687" spans="1:8" x14ac:dyDescent="0.35">
      <c r="A1687">
        <v>54494022</v>
      </c>
      <c r="B1687" t="s">
        <v>1945</v>
      </c>
      <c r="C1687" t="s">
        <v>38</v>
      </c>
      <c r="D1687" t="s">
        <v>246</v>
      </c>
      <c r="E1687" t="s">
        <v>15</v>
      </c>
      <c r="F1687" t="s">
        <v>14</v>
      </c>
      <c r="G1687" t="s">
        <v>61</v>
      </c>
      <c r="H1687">
        <v>94</v>
      </c>
    </row>
    <row r="1688" spans="1:8" x14ac:dyDescent="0.35">
      <c r="A1688">
        <v>5512171114714</v>
      </c>
      <c r="B1688" t="s">
        <v>1946</v>
      </c>
      <c r="C1688" t="s">
        <v>9</v>
      </c>
      <c r="D1688" t="s">
        <v>1602</v>
      </c>
      <c r="E1688" t="s">
        <v>22</v>
      </c>
      <c r="F1688" t="s">
        <v>1603</v>
      </c>
      <c r="G1688" t="s">
        <v>22</v>
      </c>
      <c r="H1688">
        <v>1</v>
      </c>
    </row>
    <row r="1689" spans="1:8" x14ac:dyDescent="0.35">
      <c r="A1689">
        <v>5556553789336</v>
      </c>
      <c r="B1689" t="s">
        <v>1947</v>
      </c>
      <c r="C1689" t="s">
        <v>909</v>
      </c>
      <c r="D1689" t="s">
        <v>756</v>
      </c>
      <c r="E1689" t="s">
        <v>308</v>
      </c>
      <c r="F1689" t="s">
        <v>309</v>
      </c>
      <c r="G1689" t="s">
        <v>31</v>
      </c>
      <c r="H1689">
        <v>115</v>
      </c>
    </row>
    <row r="1690" spans="1:8" x14ac:dyDescent="0.35">
      <c r="A1690">
        <v>5600157262914</v>
      </c>
      <c r="B1690" t="s">
        <v>1948</v>
      </c>
      <c r="C1690" t="s">
        <v>1095</v>
      </c>
      <c r="D1690" t="s">
        <v>1949</v>
      </c>
      <c r="E1690" t="s">
        <v>507</v>
      </c>
      <c r="F1690" t="s">
        <v>1950</v>
      </c>
      <c r="G1690" t="s">
        <v>921</v>
      </c>
      <c r="H1690">
        <v>4</v>
      </c>
    </row>
    <row r="1691" spans="1:8" x14ac:dyDescent="0.35">
      <c r="A1691">
        <v>5600413000663</v>
      </c>
      <c r="B1691" t="s">
        <v>1951</v>
      </c>
      <c r="C1691" t="s">
        <v>9</v>
      </c>
      <c r="D1691" t="s">
        <v>1952</v>
      </c>
      <c r="E1691" t="s">
        <v>507</v>
      </c>
      <c r="F1691" t="s">
        <v>1953</v>
      </c>
      <c r="G1691" t="s">
        <v>34</v>
      </c>
      <c r="H1691">
        <v>2</v>
      </c>
    </row>
    <row r="1692" spans="1:8" x14ac:dyDescent="0.35">
      <c r="A1692">
        <v>5600413001127</v>
      </c>
      <c r="B1692" t="s">
        <v>1954</v>
      </c>
      <c r="C1692" t="s">
        <v>9</v>
      </c>
      <c r="D1692" t="s">
        <v>1952</v>
      </c>
      <c r="E1692" t="s">
        <v>507</v>
      </c>
      <c r="F1692" t="s">
        <v>1953</v>
      </c>
      <c r="G1692" t="s">
        <v>34</v>
      </c>
      <c r="H1692">
        <v>1</v>
      </c>
    </row>
    <row r="1693" spans="1:8" x14ac:dyDescent="0.35">
      <c r="A1693">
        <v>5600413002032</v>
      </c>
      <c r="B1693" t="s">
        <v>1955</v>
      </c>
      <c r="C1693" t="s">
        <v>9</v>
      </c>
      <c r="D1693" t="s">
        <v>1952</v>
      </c>
      <c r="E1693" t="s">
        <v>507</v>
      </c>
      <c r="F1693" t="s">
        <v>1953</v>
      </c>
      <c r="G1693" t="s">
        <v>34</v>
      </c>
      <c r="H1693">
        <v>50</v>
      </c>
    </row>
    <row r="1694" spans="1:8" x14ac:dyDescent="0.35">
      <c r="A1694">
        <v>5600621472139</v>
      </c>
      <c r="B1694" t="s">
        <v>1956</v>
      </c>
      <c r="C1694" t="s">
        <v>114</v>
      </c>
      <c r="D1694" t="s">
        <v>1957</v>
      </c>
      <c r="E1694" t="s">
        <v>507</v>
      </c>
      <c r="F1694" t="s">
        <v>1950</v>
      </c>
      <c r="G1694" t="s">
        <v>921</v>
      </c>
      <c r="H1694">
        <v>7</v>
      </c>
    </row>
    <row r="1695" spans="1:8" x14ac:dyDescent="0.35">
      <c r="A1695">
        <v>5600621472139</v>
      </c>
      <c r="B1695" t="s">
        <v>1956</v>
      </c>
      <c r="C1695" t="s">
        <v>114</v>
      </c>
      <c r="D1695" t="s">
        <v>1957</v>
      </c>
      <c r="E1695" t="s">
        <v>507</v>
      </c>
      <c r="F1695" t="s">
        <v>1950</v>
      </c>
      <c r="G1695" t="s">
        <v>34</v>
      </c>
      <c r="H1695">
        <v>11</v>
      </c>
    </row>
    <row r="1696" spans="1:8" x14ac:dyDescent="0.35">
      <c r="A1696">
        <v>5600756819021</v>
      </c>
      <c r="B1696" t="s">
        <v>1958</v>
      </c>
      <c r="C1696" t="s">
        <v>603</v>
      </c>
      <c r="D1696" t="s">
        <v>1959</v>
      </c>
      <c r="E1696" t="s">
        <v>507</v>
      </c>
      <c r="F1696" t="s">
        <v>1960</v>
      </c>
      <c r="G1696" t="s">
        <v>34</v>
      </c>
      <c r="H1696">
        <v>125</v>
      </c>
    </row>
    <row r="1697" spans="1:8" x14ac:dyDescent="0.35">
      <c r="A1697">
        <v>5600756819069</v>
      </c>
      <c r="B1697" t="s">
        <v>790</v>
      </c>
      <c r="C1697" t="s">
        <v>75</v>
      </c>
      <c r="D1697" t="s">
        <v>1959</v>
      </c>
      <c r="E1697" t="s">
        <v>507</v>
      </c>
      <c r="F1697" t="s">
        <v>1960</v>
      </c>
      <c r="G1697" t="s">
        <v>34</v>
      </c>
      <c r="H1697">
        <v>55</v>
      </c>
    </row>
    <row r="1698" spans="1:8" x14ac:dyDescent="0.35">
      <c r="A1698">
        <v>5601024335212</v>
      </c>
      <c r="B1698" t="s">
        <v>1961</v>
      </c>
      <c r="C1698" t="s">
        <v>1296</v>
      </c>
      <c r="D1698" t="s">
        <v>1962</v>
      </c>
      <c r="E1698" t="s">
        <v>507</v>
      </c>
      <c r="F1698" t="s">
        <v>1963</v>
      </c>
      <c r="G1698" t="s">
        <v>34</v>
      </c>
      <c r="H1698">
        <v>3</v>
      </c>
    </row>
    <row r="1699" spans="1:8" x14ac:dyDescent="0.35">
      <c r="A1699">
        <v>5601024335670</v>
      </c>
      <c r="B1699" t="s">
        <v>1964</v>
      </c>
      <c r="C1699" t="s">
        <v>81</v>
      </c>
      <c r="D1699" t="s">
        <v>1962</v>
      </c>
      <c r="E1699" t="s">
        <v>507</v>
      </c>
      <c r="F1699" t="s">
        <v>1963</v>
      </c>
      <c r="G1699" t="s">
        <v>34</v>
      </c>
      <c r="H1699">
        <v>68</v>
      </c>
    </row>
    <row r="1700" spans="1:8" x14ac:dyDescent="0.35">
      <c r="A1700">
        <v>5601045105009</v>
      </c>
      <c r="B1700" t="s">
        <v>505</v>
      </c>
      <c r="C1700" t="s">
        <v>603</v>
      </c>
      <c r="D1700" t="s">
        <v>1965</v>
      </c>
      <c r="E1700" t="s">
        <v>507</v>
      </c>
      <c r="F1700" t="s">
        <v>1966</v>
      </c>
      <c r="G1700" t="s">
        <v>34</v>
      </c>
      <c r="H1700">
        <v>6</v>
      </c>
    </row>
    <row r="1701" spans="1:8" x14ac:dyDescent="0.35">
      <c r="A1701">
        <v>5601045300008</v>
      </c>
      <c r="B1701" t="s">
        <v>1967</v>
      </c>
      <c r="C1701" t="s">
        <v>214</v>
      </c>
      <c r="D1701" t="s">
        <v>1968</v>
      </c>
      <c r="E1701" t="s">
        <v>308</v>
      </c>
      <c r="F1701" t="s">
        <v>309</v>
      </c>
      <c r="G1701" t="s">
        <v>34</v>
      </c>
      <c r="H1701">
        <v>5</v>
      </c>
    </row>
    <row r="1702" spans="1:8" x14ac:dyDescent="0.35">
      <c r="A1702">
        <v>5601050033878</v>
      </c>
      <c r="B1702" t="s">
        <v>1969</v>
      </c>
      <c r="C1702" t="s">
        <v>1970</v>
      </c>
      <c r="D1702" t="s">
        <v>1971</v>
      </c>
      <c r="E1702" t="s">
        <v>130</v>
      </c>
      <c r="F1702" t="s">
        <v>220</v>
      </c>
      <c r="G1702" t="s">
        <v>34</v>
      </c>
      <c r="H1702">
        <v>1</v>
      </c>
    </row>
    <row r="1703" spans="1:8" x14ac:dyDescent="0.35">
      <c r="A1703">
        <v>5601050033878</v>
      </c>
      <c r="B1703" t="s">
        <v>1969</v>
      </c>
      <c r="C1703" t="s">
        <v>1970</v>
      </c>
      <c r="D1703" t="s">
        <v>1971</v>
      </c>
      <c r="E1703" t="s">
        <v>130</v>
      </c>
      <c r="F1703" t="s">
        <v>220</v>
      </c>
      <c r="G1703" t="s">
        <v>31</v>
      </c>
      <c r="H1703">
        <v>5</v>
      </c>
    </row>
    <row r="1704" spans="1:8" x14ac:dyDescent="0.35">
      <c r="A1704">
        <v>5601082041728</v>
      </c>
      <c r="B1704" t="s">
        <v>1972</v>
      </c>
      <c r="C1704" t="s">
        <v>1973</v>
      </c>
      <c r="D1704" t="s">
        <v>1974</v>
      </c>
      <c r="E1704" t="s">
        <v>507</v>
      </c>
      <c r="F1704" t="s">
        <v>1975</v>
      </c>
      <c r="G1704" t="s">
        <v>34</v>
      </c>
      <c r="H1704">
        <v>1</v>
      </c>
    </row>
    <row r="1705" spans="1:8" x14ac:dyDescent="0.35">
      <c r="A1705">
        <v>5601082046549</v>
      </c>
      <c r="B1705" t="s">
        <v>1976</v>
      </c>
      <c r="C1705" t="s">
        <v>1973</v>
      </c>
      <c r="D1705" t="s">
        <v>1974</v>
      </c>
      <c r="E1705" t="s">
        <v>507</v>
      </c>
      <c r="F1705" t="s">
        <v>1975</v>
      </c>
      <c r="G1705" t="s">
        <v>34</v>
      </c>
      <c r="H1705">
        <v>1</v>
      </c>
    </row>
    <row r="1706" spans="1:8" x14ac:dyDescent="0.35">
      <c r="A1706">
        <v>5601084125907</v>
      </c>
      <c r="B1706" t="s">
        <v>1977</v>
      </c>
      <c r="C1706" t="s">
        <v>81</v>
      </c>
      <c r="D1706" t="s">
        <v>1978</v>
      </c>
      <c r="E1706" t="s">
        <v>507</v>
      </c>
      <c r="F1706" t="s">
        <v>1979</v>
      </c>
      <c r="G1706" t="s">
        <v>34</v>
      </c>
      <c r="H1706">
        <v>1</v>
      </c>
    </row>
    <row r="1707" spans="1:8" x14ac:dyDescent="0.35">
      <c r="A1707">
        <v>5601151972120</v>
      </c>
      <c r="B1707" t="s">
        <v>1980</v>
      </c>
      <c r="C1707" t="s">
        <v>81</v>
      </c>
      <c r="D1707" t="s">
        <v>1981</v>
      </c>
      <c r="E1707" t="s">
        <v>507</v>
      </c>
      <c r="F1707" t="s">
        <v>1966</v>
      </c>
      <c r="G1707" t="s">
        <v>34</v>
      </c>
      <c r="H1707">
        <v>1</v>
      </c>
    </row>
    <row r="1708" spans="1:8" x14ac:dyDescent="0.35">
      <c r="A1708">
        <v>5601151975527</v>
      </c>
      <c r="B1708" t="s">
        <v>1928</v>
      </c>
      <c r="C1708" t="s">
        <v>81</v>
      </c>
      <c r="D1708" t="s">
        <v>1981</v>
      </c>
      <c r="E1708" t="s">
        <v>507</v>
      </c>
      <c r="F1708" t="s">
        <v>1966</v>
      </c>
      <c r="G1708" t="s">
        <v>34</v>
      </c>
      <c r="H1708">
        <v>2</v>
      </c>
    </row>
    <row r="1709" spans="1:8" x14ac:dyDescent="0.35">
      <c r="A1709">
        <v>5601163060518</v>
      </c>
      <c r="B1709" t="s">
        <v>793</v>
      </c>
      <c r="C1709" t="s">
        <v>1982</v>
      </c>
      <c r="D1709" t="s">
        <v>1983</v>
      </c>
      <c r="E1709" t="s">
        <v>1201</v>
      </c>
      <c r="F1709" t="s">
        <v>1202</v>
      </c>
      <c r="G1709" t="s">
        <v>34</v>
      </c>
      <c r="H1709">
        <v>2</v>
      </c>
    </row>
    <row r="1710" spans="1:8" x14ac:dyDescent="0.35">
      <c r="A1710">
        <v>5601163100313</v>
      </c>
      <c r="B1710" t="s">
        <v>790</v>
      </c>
      <c r="C1710" t="s">
        <v>9</v>
      </c>
      <c r="D1710" t="s">
        <v>1983</v>
      </c>
      <c r="E1710" t="s">
        <v>1201</v>
      </c>
      <c r="F1710" t="s">
        <v>1202</v>
      </c>
      <c r="G1710" t="s">
        <v>34</v>
      </c>
      <c r="H1710">
        <v>11</v>
      </c>
    </row>
    <row r="1711" spans="1:8" x14ac:dyDescent="0.35">
      <c r="A1711">
        <v>5601312061397</v>
      </c>
      <c r="B1711" t="s">
        <v>1984</v>
      </c>
      <c r="C1711" t="s">
        <v>43</v>
      </c>
      <c r="D1711" t="s">
        <v>1985</v>
      </c>
      <c r="E1711" t="s">
        <v>507</v>
      </c>
      <c r="F1711" t="s">
        <v>1986</v>
      </c>
      <c r="G1711" t="s">
        <v>34</v>
      </c>
      <c r="H1711">
        <v>1</v>
      </c>
    </row>
    <row r="1712" spans="1:8" x14ac:dyDescent="0.35">
      <c r="A1712">
        <v>5601312063261</v>
      </c>
      <c r="B1712" t="s">
        <v>1987</v>
      </c>
      <c r="C1712" t="s">
        <v>1988</v>
      </c>
      <c r="D1712" t="s">
        <v>1985</v>
      </c>
      <c r="E1712" t="s">
        <v>507</v>
      </c>
      <c r="F1712" t="s">
        <v>1986</v>
      </c>
      <c r="G1712" t="s">
        <v>117</v>
      </c>
      <c r="H1712">
        <v>1</v>
      </c>
    </row>
    <row r="1713" spans="1:8" x14ac:dyDescent="0.35">
      <c r="A1713">
        <v>5601312063261</v>
      </c>
      <c r="B1713" t="s">
        <v>1987</v>
      </c>
      <c r="C1713" t="s">
        <v>1988</v>
      </c>
      <c r="D1713" t="s">
        <v>1985</v>
      </c>
      <c r="E1713" t="s">
        <v>507</v>
      </c>
      <c r="F1713" t="s">
        <v>1986</v>
      </c>
      <c r="G1713" t="s">
        <v>34</v>
      </c>
      <c r="H1713">
        <v>1</v>
      </c>
    </row>
    <row r="1714" spans="1:8" x14ac:dyDescent="0.35">
      <c r="A1714">
        <v>5601312069805</v>
      </c>
      <c r="B1714" t="s">
        <v>1989</v>
      </c>
      <c r="C1714" t="s">
        <v>69</v>
      </c>
      <c r="D1714" t="s">
        <v>1985</v>
      </c>
      <c r="E1714" t="s">
        <v>507</v>
      </c>
      <c r="F1714" t="s">
        <v>1986</v>
      </c>
      <c r="G1714" t="s">
        <v>34</v>
      </c>
      <c r="H1714">
        <v>2</v>
      </c>
    </row>
    <row r="1715" spans="1:8" x14ac:dyDescent="0.35">
      <c r="A1715">
        <v>5601312077701</v>
      </c>
      <c r="B1715" t="s">
        <v>1990</v>
      </c>
      <c r="C1715" t="s">
        <v>431</v>
      </c>
      <c r="D1715" t="s">
        <v>1985</v>
      </c>
      <c r="E1715" t="s">
        <v>507</v>
      </c>
      <c r="F1715" t="s">
        <v>1986</v>
      </c>
      <c r="G1715" t="s">
        <v>34</v>
      </c>
      <c r="H1715">
        <v>1</v>
      </c>
    </row>
    <row r="1716" spans="1:8" x14ac:dyDescent="0.35">
      <c r="A1716">
        <v>5601312086819</v>
      </c>
      <c r="B1716" t="s">
        <v>1991</v>
      </c>
      <c r="C1716" t="s">
        <v>83</v>
      </c>
      <c r="D1716" t="s">
        <v>1985</v>
      </c>
      <c r="E1716" t="s">
        <v>507</v>
      </c>
      <c r="F1716" t="s">
        <v>1986</v>
      </c>
      <c r="G1716" t="s">
        <v>34</v>
      </c>
      <c r="H1716">
        <v>1</v>
      </c>
    </row>
    <row r="1717" spans="1:8" x14ac:dyDescent="0.35">
      <c r="A1717">
        <v>5601312090595</v>
      </c>
      <c r="B1717" t="s">
        <v>1992</v>
      </c>
      <c r="C1717" t="s">
        <v>81</v>
      </c>
      <c r="D1717" t="s">
        <v>1985</v>
      </c>
      <c r="E1717" t="s">
        <v>507</v>
      </c>
      <c r="F1717" t="s">
        <v>1986</v>
      </c>
      <c r="G1717" t="s">
        <v>34</v>
      </c>
      <c r="H1717">
        <v>1</v>
      </c>
    </row>
    <row r="1718" spans="1:8" x14ac:dyDescent="0.35">
      <c r="A1718">
        <v>5601312092759</v>
      </c>
      <c r="B1718" t="s">
        <v>1993</v>
      </c>
      <c r="C1718" t="s">
        <v>110</v>
      </c>
      <c r="D1718" t="s">
        <v>1985</v>
      </c>
      <c r="E1718" t="s">
        <v>507</v>
      </c>
      <c r="F1718" t="s">
        <v>1986</v>
      </c>
      <c r="G1718" t="s">
        <v>34</v>
      </c>
      <c r="H1718">
        <v>1</v>
      </c>
    </row>
    <row r="1719" spans="1:8" x14ac:dyDescent="0.35">
      <c r="A1719">
        <v>5601312601678</v>
      </c>
      <c r="B1719" t="s">
        <v>1994</v>
      </c>
      <c r="C1719" t="s">
        <v>272</v>
      </c>
      <c r="D1719" t="s">
        <v>1985</v>
      </c>
      <c r="E1719" t="s">
        <v>507</v>
      </c>
      <c r="F1719" t="s">
        <v>1986</v>
      </c>
      <c r="G1719" t="s">
        <v>34</v>
      </c>
      <c r="H1719">
        <v>1</v>
      </c>
    </row>
    <row r="1720" spans="1:8" x14ac:dyDescent="0.35">
      <c r="A1720">
        <v>5601312603900</v>
      </c>
      <c r="B1720" t="s">
        <v>1995</v>
      </c>
      <c r="C1720" t="s">
        <v>78</v>
      </c>
      <c r="D1720" t="s">
        <v>1985</v>
      </c>
      <c r="E1720" t="s">
        <v>507</v>
      </c>
      <c r="F1720" t="s">
        <v>1986</v>
      </c>
      <c r="G1720" t="s">
        <v>34</v>
      </c>
      <c r="H1720">
        <v>1</v>
      </c>
    </row>
    <row r="1721" spans="1:8" x14ac:dyDescent="0.35">
      <c r="A1721">
        <v>5601312604266</v>
      </c>
      <c r="B1721" t="s">
        <v>1996</v>
      </c>
      <c r="C1721" t="s">
        <v>9</v>
      </c>
      <c r="D1721" t="s">
        <v>1985</v>
      </c>
      <c r="E1721" t="s">
        <v>507</v>
      </c>
      <c r="F1721" t="s">
        <v>1986</v>
      </c>
      <c r="G1721" t="s">
        <v>34</v>
      </c>
      <c r="H1721">
        <v>1</v>
      </c>
    </row>
    <row r="1722" spans="1:8" x14ac:dyDescent="0.35">
      <c r="A1722">
        <v>5601312604679</v>
      </c>
      <c r="B1722" t="s">
        <v>1997</v>
      </c>
      <c r="C1722" t="s">
        <v>81</v>
      </c>
      <c r="D1722" t="s">
        <v>1985</v>
      </c>
      <c r="E1722" t="s">
        <v>507</v>
      </c>
      <c r="F1722" t="s">
        <v>1986</v>
      </c>
      <c r="G1722" t="s">
        <v>34</v>
      </c>
      <c r="H1722">
        <v>1</v>
      </c>
    </row>
    <row r="1723" spans="1:8" x14ac:dyDescent="0.35">
      <c r="A1723">
        <v>5601312605553</v>
      </c>
      <c r="B1723" t="s">
        <v>1998</v>
      </c>
      <c r="C1723" t="s">
        <v>81</v>
      </c>
      <c r="D1723" t="s">
        <v>1985</v>
      </c>
      <c r="E1723" t="s">
        <v>507</v>
      </c>
      <c r="F1723" t="s">
        <v>1986</v>
      </c>
      <c r="G1723" t="s">
        <v>34</v>
      </c>
      <c r="H1723">
        <v>1</v>
      </c>
    </row>
    <row r="1724" spans="1:8" x14ac:dyDescent="0.35">
      <c r="A1724">
        <v>5601314225209</v>
      </c>
      <c r="B1724" t="s">
        <v>1999</v>
      </c>
      <c r="C1724" t="s">
        <v>192</v>
      </c>
      <c r="D1724" t="s">
        <v>2000</v>
      </c>
      <c r="E1724" t="s">
        <v>2001</v>
      </c>
      <c r="F1724" t="s">
        <v>2002</v>
      </c>
      <c r="G1724" t="s">
        <v>34</v>
      </c>
      <c r="H1724">
        <v>4</v>
      </c>
    </row>
    <row r="1725" spans="1:8" x14ac:dyDescent="0.35">
      <c r="A1725">
        <v>5601405001309</v>
      </c>
      <c r="B1725" t="s">
        <v>2003</v>
      </c>
      <c r="C1725" t="s">
        <v>192</v>
      </c>
      <c r="D1725" t="s">
        <v>2004</v>
      </c>
      <c r="E1725" t="s">
        <v>507</v>
      </c>
      <c r="F1725" t="s">
        <v>2005</v>
      </c>
      <c r="G1725" t="s">
        <v>34</v>
      </c>
      <c r="H1725">
        <v>12</v>
      </c>
    </row>
    <row r="1726" spans="1:8" x14ac:dyDescent="0.35">
      <c r="A1726">
        <v>5601591000018</v>
      </c>
      <c r="B1726" t="s">
        <v>1958</v>
      </c>
      <c r="C1726" t="s">
        <v>603</v>
      </c>
      <c r="D1726" t="s">
        <v>506</v>
      </c>
      <c r="E1726" t="s">
        <v>507</v>
      </c>
      <c r="F1726" t="s">
        <v>508</v>
      </c>
      <c r="G1726" t="s">
        <v>34</v>
      </c>
      <c r="H1726">
        <v>5</v>
      </c>
    </row>
    <row r="1727" spans="1:8" x14ac:dyDescent="0.35">
      <c r="A1727">
        <v>5601591000025</v>
      </c>
      <c r="B1727" t="s">
        <v>2006</v>
      </c>
      <c r="C1727" t="s">
        <v>192</v>
      </c>
      <c r="D1727" t="s">
        <v>506</v>
      </c>
      <c r="E1727" t="s">
        <v>507</v>
      </c>
      <c r="F1727" t="s">
        <v>508</v>
      </c>
      <c r="G1727" t="s">
        <v>34</v>
      </c>
      <c r="H1727">
        <v>1</v>
      </c>
    </row>
    <row r="1728" spans="1:8" x14ac:dyDescent="0.35">
      <c r="A1728">
        <v>5601663002315</v>
      </c>
      <c r="B1728" t="s">
        <v>2007</v>
      </c>
      <c r="C1728" t="s">
        <v>2008</v>
      </c>
      <c r="D1728" t="s">
        <v>2009</v>
      </c>
      <c r="E1728" t="s">
        <v>308</v>
      </c>
      <c r="F1728" t="s">
        <v>309</v>
      </c>
      <c r="G1728" t="s">
        <v>34</v>
      </c>
      <c r="H1728">
        <v>1</v>
      </c>
    </row>
    <row r="1729" spans="1:8" x14ac:dyDescent="0.35">
      <c r="A1729">
        <v>5601663002315</v>
      </c>
      <c r="B1729" t="s">
        <v>2007</v>
      </c>
      <c r="C1729" t="s">
        <v>2008</v>
      </c>
      <c r="D1729" t="s">
        <v>2009</v>
      </c>
      <c r="E1729" t="s">
        <v>308</v>
      </c>
      <c r="F1729" t="s">
        <v>309</v>
      </c>
      <c r="G1729" t="s">
        <v>150</v>
      </c>
      <c r="H1729">
        <v>5</v>
      </c>
    </row>
    <row r="1730" spans="1:8" x14ac:dyDescent="0.35">
      <c r="A1730">
        <v>5601839000107</v>
      </c>
      <c r="B1730" t="s">
        <v>2010</v>
      </c>
      <c r="C1730" t="s">
        <v>9</v>
      </c>
      <c r="D1730" t="s">
        <v>2011</v>
      </c>
      <c r="E1730" t="s">
        <v>507</v>
      </c>
      <c r="F1730" t="s">
        <v>2012</v>
      </c>
      <c r="G1730" t="s">
        <v>34</v>
      </c>
      <c r="H1730">
        <v>4</v>
      </c>
    </row>
    <row r="1731" spans="1:8" x14ac:dyDescent="0.35">
      <c r="A1731">
        <v>5601839000114</v>
      </c>
      <c r="B1731" t="s">
        <v>1958</v>
      </c>
      <c r="C1731" t="s">
        <v>192</v>
      </c>
      <c r="D1731" t="s">
        <v>2011</v>
      </c>
      <c r="E1731" t="s">
        <v>507</v>
      </c>
      <c r="F1731" t="s">
        <v>2012</v>
      </c>
      <c r="G1731" t="s">
        <v>34</v>
      </c>
      <c r="H1731">
        <v>2</v>
      </c>
    </row>
    <row r="1732" spans="1:8" x14ac:dyDescent="0.35">
      <c r="A1732">
        <v>5602109006874</v>
      </c>
      <c r="B1732" t="s">
        <v>2010</v>
      </c>
      <c r="C1732" t="s">
        <v>9</v>
      </c>
      <c r="D1732" t="s">
        <v>2013</v>
      </c>
      <c r="E1732" t="s">
        <v>308</v>
      </c>
      <c r="F1732" t="s">
        <v>309</v>
      </c>
      <c r="G1732" t="s">
        <v>34</v>
      </c>
      <c r="H1732">
        <v>1</v>
      </c>
    </row>
    <row r="1733" spans="1:8" x14ac:dyDescent="0.35">
      <c r="A1733">
        <v>5603124018828</v>
      </c>
      <c r="B1733" t="s">
        <v>2014</v>
      </c>
      <c r="C1733" t="s">
        <v>2015</v>
      </c>
      <c r="D1733" t="s">
        <v>2016</v>
      </c>
      <c r="E1733" t="s">
        <v>507</v>
      </c>
      <c r="F1733" t="s">
        <v>2017</v>
      </c>
      <c r="G1733" t="s">
        <v>34</v>
      </c>
      <c r="H1733">
        <v>2</v>
      </c>
    </row>
    <row r="1734" spans="1:8" x14ac:dyDescent="0.35">
      <c r="A1734">
        <v>5603124026809</v>
      </c>
      <c r="B1734" t="s">
        <v>2018</v>
      </c>
      <c r="C1734" t="s">
        <v>81</v>
      </c>
      <c r="D1734" t="s">
        <v>2019</v>
      </c>
      <c r="E1734" t="s">
        <v>507</v>
      </c>
      <c r="F1734" t="s">
        <v>2017</v>
      </c>
      <c r="G1734" t="s">
        <v>34</v>
      </c>
      <c r="H1734">
        <v>2</v>
      </c>
    </row>
    <row r="1735" spans="1:8" x14ac:dyDescent="0.35">
      <c r="A1735">
        <v>5603124026885</v>
      </c>
      <c r="B1735" t="s">
        <v>2020</v>
      </c>
      <c r="C1735" t="s">
        <v>2021</v>
      </c>
      <c r="D1735" t="s">
        <v>2019</v>
      </c>
      <c r="E1735" t="s">
        <v>507</v>
      </c>
      <c r="F1735" t="s">
        <v>2017</v>
      </c>
      <c r="G1735" t="s">
        <v>34</v>
      </c>
      <c r="H1735">
        <v>2</v>
      </c>
    </row>
    <row r="1736" spans="1:8" x14ac:dyDescent="0.35">
      <c r="A1736">
        <v>5603674000076</v>
      </c>
      <c r="B1736" t="s">
        <v>2022</v>
      </c>
      <c r="C1736" t="s">
        <v>326</v>
      </c>
      <c r="D1736" t="s">
        <v>2019</v>
      </c>
      <c r="E1736" t="s">
        <v>507</v>
      </c>
      <c r="F1736" t="s">
        <v>2017</v>
      </c>
      <c r="G1736" t="s">
        <v>34</v>
      </c>
      <c r="H1736">
        <v>2</v>
      </c>
    </row>
    <row r="1737" spans="1:8" x14ac:dyDescent="0.35">
      <c r="A1737">
        <v>5603674000311</v>
      </c>
      <c r="B1737" t="s">
        <v>2023</v>
      </c>
      <c r="C1737" t="s">
        <v>192</v>
      </c>
      <c r="D1737" t="s">
        <v>2019</v>
      </c>
      <c r="E1737" t="s">
        <v>507</v>
      </c>
      <c r="F1737" t="s">
        <v>2017</v>
      </c>
      <c r="G1737" t="s">
        <v>34</v>
      </c>
      <c r="H1737">
        <v>18</v>
      </c>
    </row>
    <row r="1738" spans="1:8" x14ac:dyDescent="0.35">
      <c r="A1738">
        <v>5603674000557</v>
      </c>
      <c r="B1738" t="s">
        <v>2024</v>
      </c>
      <c r="C1738" t="s">
        <v>1115</v>
      </c>
      <c r="D1738" t="s">
        <v>2019</v>
      </c>
      <c r="E1738" t="s">
        <v>507</v>
      </c>
      <c r="F1738" t="s">
        <v>2017</v>
      </c>
      <c r="G1738" t="s">
        <v>34</v>
      </c>
      <c r="H1738">
        <v>1</v>
      </c>
    </row>
    <row r="1739" spans="1:8" x14ac:dyDescent="0.35">
      <c r="A1739">
        <v>5603674000762</v>
      </c>
      <c r="B1739" t="s">
        <v>2025</v>
      </c>
      <c r="C1739" t="s">
        <v>272</v>
      </c>
      <c r="D1739" t="s">
        <v>2016</v>
      </c>
      <c r="E1739" t="s">
        <v>507</v>
      </c>
      <c r="F1739" t="s">
        <v>2017</v>
      </c>
      <c r="G1739" t="s">
        <v>34</v>
      </c>
      <c r="H1739">
        <v>1</v>
      </c>
    </row>
    <row r="1740" spans="1:8" x14ac:dyDescent="0.35">
      <c r="A1740">
        <v>5603674000779</v>
      </c>
      <c r="B1740" t="s">
        <v>2025</v>
      </c>
      <c r="C1740" t="s">
        <v>272</v>
      </c>
      <c r="D1740" t="s">
        <v>2016</v>
      </c>
      <c r="E1740" t="s">
        <v>507</v>
      </c>
      <c r="F1740" t="s">
        <v>2017</v>
      </c>
      <c r="G1740" t="s">
        <v>34</v>
      </c>
      <c r="H1740">
        <v>1</v>
      </c>
    </row>
    <row r="1741" spans="1:8" x14ac:dyDescent="0.35">
      <c r="A1741">
        <v>5603674002797</v>
      </c>
      <c r="B1741" t="s">
        <v>2026</v>
      </c>
      <c r="C1741" t="s">
        <v>272</v>
      </c>
      <c r="D1741" t="s">
        <v>2019</v>
      </c>
      <c r="E1741" t="s">
        <v>507</v>
      </c>
      <c r="F1741" t="s">
        <v>2017</v>
      </c>
      <c r="G1741" t="s">
        <v>34</v>
      </c>
      <c r="H1741">
        <v>1</v>
      </c>
    </row>
    <row r="1742" spans="1:8" x14ac:dyDescent="0.35">
      <c r="A1742">
        <v>5603674002803</v>
      </c>
      <c r="B1742" t="s">
        <v>2027</v>
      </c>
      <c r="C1742" t="s">
        <v>272</v>
      </c>
      <c r="D1742" t="s">
        <v>2019</v>
      </c>
      <c r="E1742" t="s">
        <v>507</v>
      </c>
      <c r="F1742" t="s">
        <v>2017</v>
      </c>
      <c r="G1742" t="s">
        <v>34</v>
      </c>
      <c r="H1742">
        <v>1</v>
      </c>
    </row>
    <row r="1743" spans="1:8" x14ac:dyDescent="0.35">
      <c r="A1743">
        <v>5604321002078</v>
      </c>
      <c r="B1743" t="s">
        <v>2028</v>
      </c>
      <c r="C1743" t="s">
        <v>431</v>
      </c>
      <c r="D1743" t="s">
        <v>2029</v>
      </c>
      <c r="E1743" t="s">
        <v>507</v>
      </c>
      <c r="F1743" t="s">
        <v>2030</v>
      </c>
      <c r="G1743" t="s">
        <v>34</v>
      </c>
      <c r="H1743">
        <v>1</v>
      </c>
    </row>
    <row r="1744" spans="1:8" x14ac:dyDescent="0.35">
      <c r="A1744">
        <v>5606536050004</v>
      </c>
      <c r="B1744" t="s">
        <v>790</v>
      </c>
      <c r="C1744" t="s">
        <v>9</v>
      </c>
      <c r="D1744" t="s">
        <v>2031</v>
      </c>
      <c r="E1744" t="s">
        <v>34</v>
      </c>
      <c r="F1744" t="s">
        <v>2032</v>
      </c>
      <c r="G1744" t="s">
        <v>34</v>
      </c>
      <c r="H1744">
        <v>42</v>
      </c>
    </row>
    <row r="1745" spans="1:8" x14ac:dyDescent="0.35">
      <c r="A1745">
        <v>5606536050011</v>
      </c>
      <c r="B1745" t="s">
        <v>2033</v>
      </c>
      <c r="C1745" t="s">
        <v>1598</v>
      </c>
      <c r="D1745" t="s">
        <v>115</v>
      </c>
      <c r="E1745" t="s">
        <v>34</v>
      </c>
      <c r="F1745" t="s">
        <v>116</v>
      </c>
      <c r="G1745" t="s">
        <v>34</v>
      </c>
      <c r="H1745">
        <v>2</v>
      </c>
    </row>
    <row r="1746" spans="1:8" x14ac:dyDescent="0.35">
      <c r="A1746">
        <v>5607375004715</v>
      </c>
      <c r="B1746" t="s">
        <v>2034</v>
      </c>
      <c r="C1746" t="s">
        <v>2035</v>
      </c>
      <c r="D1746" t="s">
        <v>2036</v>
      </c>
      <c r="E1746" t="s">
        <v>308</v>
      </c>
      <c r="F1746" t="s">
        <v>309</v>
      </c>
      <c r="G1746" t="s">
        <v>34</v>
      </c>
      <c r="H1746">
        <v>1</v>
      </c>
    </row>
    <row r="1747" spans="1:8" x14ac:dyDescent="0.35">
      <c r="A1747">
        <v>5608242145630</v>
      </c>
      <c r="B1747" t="s">
        <v>920</v>
      </c>
      <c r="C1747" t="s">
        <v>192</v>
      </c>
      <c r="D1747" t="s">
        <v>2037</v>
      </c>
      <c r="E1747" t="s">
        <v>921</v>
      </c>
      <c r="F1747" t="s">
        <v>2038</v>
      </c>
      <c r="G1747" t="s">
        <v>921</v>
      </c>
      <c r="H1747">
        <v>4</v>
      </c>
    </row>
    <row r="1748" spans="1:8" x14ac:dyDescent="0.35">
      <c r="A1748">
        <v>5608242145630</v>
      </c>
      <c r="B1748" t="s">
        <v>920</v>
      </c>
      <c r="C1748" t="s">
        <v>192</v>
      </c>
      <c r="D1748" t="s">
        <v>2037</v>
      </c>
      <c r="E1748" t="s">
        <v>921</v>
      </c>
      <c r="F1748" t="s">
        <v>2038</v>
      </c>
      <c r="G1748" t="s">
        <v>34</v>
      </c>
      <c r="H1748">
        <v>1</v>
      </c>
    </row>
    <row r="1749" spans="1:8" x14ac:dyDescent="0.35">
      <c r="A1749">
        <v>5608242145647</v>
      </c>
      <c r="B1749" t="s">
        <v>920</v>
      </c>
      <c r="C1749" t="s">
        <v>9</v>
      </c>
      <c r="D1749" t="s">
        <v>2037</v>
      </c>
      <c r="E1749" t="s">
        <v>921</v>
      </c>
      <c r="F1749" t="s">
        <v>2038</v>
      </c>
      <c r="G1749" t="s">
        <v>921</v>
      </c>
      <c r="H1749">
        <v>18</v>
      </c>
    </row>
    <row r="1750" spans="1:8" x14ac:dyDescent="0.35">
      <c r="A1750">
        <v>5608242145685</v>
      </c>
      <c r="B1750" t="s">
        <v>920</v>
      </c>
      <c r="C1750" t="s">
        <v>603</v>
      </c>
      <c r="D1750" t="s">
        <v>2037</v>
      </c>
      <c r="E1750" t="s">
        <v>921</v>
      </c>
      <c r="F1750" t="s">
        <v>2038</v>
      </c>
      <c r="G1750" t="s">
        <v>921</v>
      </c>
      <c r="H1750">
        <v>6</v>
      </c>
    </row>
    <row r="1751" spans="1:8" x14ac:dyDescent="0.35">
      <c r="A1751">
        <v>56098358</v>
      </c>
      <c r="B1751" t="s">
        <v>295</v>
      </c>
      <c r="C1751" t="s">
        <v>272</v>
      </c>
      <c r="D1751" t="s">
        <v>2039</v>
      </c>
      <c r="E1751" t="s">
        <v>921</v>
      </c>
      <c r="F1751" t="s">
        <v>2038</v>
      </c>
      <c r="G1751" t="s">
        <v>921</v>
      </c>
      <c r="H1751">
        <v>2</v>
      </c>
    </row>
    <row r="1752" spans="1:8" x14ac:dyDescent="0.35">
      <c r="A1752">
        <v>57030609</v>
      </c>
      <c r="B1752" t="s">
        <v>2040</v>
      </c>
      <c r="C1752" t="s">
        <v>1484</v>
      </c>
      <c r="D1752" t="s">
        <v>613</v>
      </c>
      <c r="E1752" t="s">
        <v>15</v>
      </c>
      <c r="F1752" t="s">
        <v>460</v>
      </c>
      <c r="G1752" t="s">
        <v>22</v>
      </c>
      <c r="H1752">
        <v>1</v>
      </c>
    </row>
    <row r="1753" spans="1:8" x14ac:dyDescent="0.35">
      <c r="A1753">
        <v>5704947001148</v>
      </c>
      <c r="B1753" t="s">
        <v>2041</v>
      </c>
      <c r="C1753" t="s">
        <v>2042</v>
      </c>
      <c r="D1753" t="s">
        <v>2043</v>
      </c>
      <c r="E1753" t="s">
        <v>308</v>
      </c>
      <c r="F1753" t="s">
        <v>309</v>
      </c>
      <c r="G1753" t="s">
        <v>22</v>
      </c>
      <c r="H1753">
        <v>1</v>
      </c>
    </row>
    <row r="1754" spans="1:8" x14ac:dyDescent="0.35">
      <c r="A1754">
        <v>5705994075090</v>
      </c>
      <c r="B1754" t="s">
        <v>2044</v>
      </c>
      <c r="C1754" t="s">
        <v>78</v>
      </c>
      <c r="D1754" t="s">
        <v>2045</v>
      </c>
      <c r="E1754" t="s">
        <v>34</v>
      </c>
      <c r="F1754" t="s">
        <v>2045</v>
      </c>
      <c r="G1754" t="s">
        <v>34</v>
      </c>
      <c r="H1754">
        <v>86</v>
      </c>
    </row>
    <row r="1755" spans="1:8" x14ac:dyDescent="0.35">
      <c r="A1755">
        <v>5705994075922</v>
      </c>
      <c r="B1755" t="s">
        <v>2046</v>
      </c>
      <c r="C1755" t="s">
        <v>75</v>
      </c>
      <c r="D1755" t="s">
        <v>2045</v>
      </c>
      <c r="E1755" t="s">
        <v>34</v>
      </c>
      <c r="F1755" t="s">
        <v>2045</v>
      </c>
      <c r="G1755" t="s">
        <v>34</v>
      </c>
      <c r="H1755">
        <v>357</v>
      </c>
    </row>
    <row r="1756" spans="1:8" x14ac:dyDescent="0.35">
      <c r="A1756">
        <v>5705994075939</v>
      </c>
      <c r="B1756" t="s">
        <v>2047</v>
      </c>
      <c r="C1756" t="s">
        <v>78</v>
      </c>
      <c r="D1756" t="s">
        <v>2045</v>
      </c>
      <c r="E1756" t="s">
        <v>34</v>
      </c>
      <c r="F1756" t="s">
        <v>2045</v>
      </c>
      <c r="G1756" t="s">
        <v>34</v>
      </c>
      <c r="H1756">
        <v>510</v>
      </c>
    </row>
    <row r="1757" spans="1:8" x14ac:dyDescent="0.35">
      <c r="A1757">
        <v>5705994075946</v>
      </c>
      <c r="B1757" t="s">
        <v>2048</v>
      </c>
      <c r="C1757" t="s">
        <v>81</v>
      </c>
      <c r="D1757" t="s">
        <v>2045</v>
      </c>
      <c r="E1757" t="s">
        <v>34</v>
      </c>
      <c r="F1757" t="s">
        <v>2045</v>
      </c>
      <c r="G1757" t="s">
        <v>34</v>
      </c>
      <c r="H1757">
        <v>232</v>
      </c>
    </row>
    <row r="1758" spans="1:8" x14ac:dyDescent="0.35">
      <c r="A1758">
        <v>5760466976329</v>
      </c>
      <c r="B1758" t="s">
        <v>2049</v>
      </c>
      <c r="C1758" t="s">
        <v>1115</v>
      </c>
      <c r="D1758" t="s">
        <v>2050</v>
      </c>
      <c r="E1758" t="s">
        <v>308</v>
      </c>
      <c r="F1758" t="s">
        <v>309</v>
      </c>
      <c r="G1758" t="s">
        <v>22</v>
      </c>
      <c r="H1758">
        <v>1</v>
      </c>
    </row>
    <row r="1759" spans="1:8" x14ac:dyDescent="0.35">
      <c r="A1759">
        <v>5786180819803</v>
      </c>
      <c r="B1759" t="s">
        <v>2051</v>
      </c>
      <c r="C1759" t="s">
        <v>9</v>
      </c>
      <c r="D1759" t="s">
        <v>2052</v>
      </c>
      <c r="E1759" t="s">
        <v>34</v>
      </c>
      <c r="F1759" t="s">
        <v>2053</v>
      </c>
      <c r="G1759" t="s">
        <v>34</v>
      </c>
      <c r="H1759">
        <v>2</v>
      </c>
    </row>
    <row r="1760" spans="1:8" x14ac:dyDescent="0.35">
      <c r="A1760">
        <v>5900002072973</v>
      </c>
      <c r="B1760" t="s">
        <v>2054</v>
      </c>
      <c r="C1760" t="s">
        <v>9</v>
      </c>
      <c r="D1760" t="s">
        <v>1082</v>
      </c>
      <c r="E1760" t="s">
        <v>15</v>
      </c>
      <c r="F1760" t="s">
        <v>14</v>
      </c>
      <c r="G1760" t="s">
        <v>150</v>
      </c>
      <c r="H1760">
        <v>1</v>
      </c>
    </row>
    <row r="1761" spans="1:8" x14ac:dyDescent="0.35">
      <c r="A1761">
        <v>5900334007919</v>
      </c>
      <c r="B1761" t="s">
        <v>2055</v>
      </c>
      <c r="C1761" t="s">
        <v>38</v>
      </c>
      <c r="D1761" t="s">
        <v>2056</v>
      </c>
      <c r="E1761" t="s">
        <v>2057</v>
      </c>
      <c r="F1761" t="s">
        <v>2056</v>
      </c>
      <c r="G1761" t="s">
        <v>41</v>
      </c>
      <c r="H1761">
        <v>22</v>
      </c>
    </row>
    <row r="1762" spans="1:8" x14ac:dyDescent="0.35">
      <c r="A1762">
        <v>5900535006407</v>
      </c>
      <c r="B1762" t="s">
        <v>2058</v>
      </c>
      <c r="C1762" t="s">
        <v>9</v>
      </c>
      <c r="D1762" t="s">
        <v>2059</v>
      </c>
      <c r="E1762" t="s">
        <v>2057</v>
      </c>
      <c r="F1762" t="s">
        <v>2060</v>
      </c>
      <c r="G1762" t="s">
        <v>387</v>
      </c>
      <c r="H1762">
        <v>5</v>
      </c>
    </row>
    <row r="1763" spans="1:8" x14ac:dyDescent="0.35">
      <c r="A1763">
        <v>5900951293610</v>
      </c>
      <c r="B1763" t="s">
        <v>2061</v>
      </c>
      <c r="C1763" t="s">
        <v>2062</v>
      </c>
      <c r="D1763" t="s">
        <v>1436</v>
      </c>
      <c r="E1763" t="s">
        <v>15</v>
      </c>
      <c r="F1763" t="s">
        <v>1227</v>
      </c>
      <c r="G1763" t="s">
        <v>22</v>
      </c>
      <c r="H1763">
        <v>1</v>
      </c>
    </row>
    <row r="1764" spans="1:8" x14ac:dyDescent="0.35">
      <c r="A1764">
        <v>5904232416200</v>
      </c>
      <c r="B1764" t="s">
        <v>2063</v>
      </c>
      <c r="C1764" t="s">
        <v>458</v>
      </c>
      <c r="D1764" t="s">
        <v>2064</v>
      </c>
      <c r="E1764" t="s">
        <v>117</v>
      </c>
      <c r="F1764" t="s">
        <v>2065</v>
      </c>
      <c r="G1764" t="s">
        <v>117</v>
      </c>
      <c r="H1764">
        <v>20</v>
      </c>
    </row>
    <row r="1765" spans="1:8" x14ac:dyDescent="0.35">
      <c r="A1765">
        <v>5905927001695</v>
      </c>
      <c r="B1765" t="s">
        <v>855</v>
      </c>
      <c r="C1765" t="s">
        <v>368</v>
      </c>
      <c r="D1765" t="s">
        <v>124</v>
      </c>
      <c r="E1765" t="s">
        <v>921</v>
      </c>
      <c r="F1765" t="s">
        <v>922</v>
      </c>
      <c r="G1765" t="s">
        <v>22</v>
      </c>
      <c r="H1765">
        <v>1</v>
      </c>
    </row>
    <row r="1766" spans="1:8" x14ac:dyDescent="0.35">
      <c r="A1766">
        <v>6000820372190</v>
      </c>
      <c r="B1766" t="s">
        <v>2066</v>
      </c>
      <c r="C1766" t="s">
        <v>268</v>
      </c>
      <c r="D1766" t="s">
        <v>426</v>
      </c>
      <c r="E1766" t="s">
        <v>22</v>
      </c>
      <c r="F1766" t="s">
        <v>427</v>
      </c>
      <c r="G1766" t="s">
        <v>22</v>
      </c>
      <c r="H1766">
        <v>1</v>
      </c>
    </row>
    <row r="1767" spans="1:8" x14ac:dyDescent="0.35">
      <c r="A1767">
        <v>6001001848213</v>
      </c>
      <c r="B1767" t="s">
        <v>1597</v>
      </c>
      <c r="C1767" t="s">
        <v>192</v>
      </c>
      <c r="D1767" t="s">
        <v>70</v>
      </c>
      <c r="E1767" t="s">
        <v>71</v>
      </c>
      <c r="F1767" t="s">
        <v>72</v>
      </c>
      <c r="G1767" t="s">
        <v>73</v>
      </c>
      <c r="H1767">
        <v>3</v>
      </c>
    </row>
    <row r="1768" spans="1:8" x14ac:dyDescent="0.35">
      <c r="A1768">
        <v>6001008101403</v>
      </c>
      <c r="B1768" t="s">
        <v>1412</v>
      </c>
      <c r="C1768" t="s">
        <v>326</v>
      </c>
      <c r="D1768" t="s">
        <v>1136</v>
      </c>
      <c r="E1768" t="s">
        <v>73</v>
      </c>
      <c r="F1768" t="s">
        <v>1137</v>
      </c>
      <c r="G1768" t="s">
        <v>73</v>
      </c>
      <c r="H1768">
        <v>1</v>
      </c>
    </row>
    <row r="1769" spans="1:8" x14ac:dyDescent="0.35">
      <c r="A1769">
        <v>6001008168123</v>
      </c>
      <c r="B1769" t="s">
        <v>2067</v>
      </c>
      <c r="C1769" t="s">
        <v>326</v>
      </c>
      <c r="D1769" t="s">
        <v>2068</v>
      </c>
      <c r="E1769" t="s">
        <v>73</v>
      </c>
      <c r="F1769" t="s">
        <v>1137</v>
      </c>
      <c r="G1769" t="s">
        <v>34</v>
      </c>
      <c r="H1769">
        <v>1</v>
      </c>
    </row>
    <row r="1770" spans="1:8" x14ac:dyDescent="0.35">
      <c r="A1770">
        <v>6001008618666</v>
      </c>
      <c r="B1770" t="s">
        <v>2069</v>
      </c>
      <c r="C1770" t="s">
        <v>69</v>
      </c>
      <c r="D1770" t="s">
        <v>1136</v>
      </c>
      <c r="E1770" t="s">
        <v>73</v>
      </c>
      <c r="F1770" t="s">
        <v>1137</v>
      </c>
      <c r="G1770" t="s">
        <v>34</v>
      </c>
      <c r="H1770">
        <v>1</v>
      </c>
    </row>
    <row r="1771" spans="1:8" x14ac:dyDescent="0.35">
      <c r="A1771">
        <v>6001008657122</v>
      </c>
      <c r="B1771" t="s">
        <v>2070</v>
      </c>
      <c r="C1771" t="s">
        <v>912</v>
      </c>
      <c r="D1771" t="s">
        <v>1136</v>
      </c>
      <c r="E1771" t="s">
        <v>73</v>
      </c>
      <c r="F1771" t="s">
        <v>1137</v>
      </c>
      <c r="G1771" t="s">
        <v>34</v>
      </c>
      <c r="H1771">
        <v>1</v>
      </c>
    </row>
    <row r="1772" spans="1:8" x14ac:dyDescent="0.35">
      <c r="A1772">
        <v>6001008684579</v>
      </c>
      <c r="B1772" t="s">
        <v>2071</v>
      </c>
      <c r="C1772" t="s">
        <v>9</v>
      </c>
      <c r="D1772" t="s">
        <v>1136</v>
      </c>
      <c r="E1772" t="s">
        <v>73</v>
      </c>
      <c r="F1772" t="s">
        <v>1137</v>
      </c>
      <c r="G1772" t="s">
        <v>33</v>
      </c>
      <c r="H1772">
        <v>50</v>
      </c>
    </row>
    <row r="1773" spans="1:8" x14ac:dyDescent="0.35">
      <c r="A1773">
        <v>6001008694097</v>
      </c>
      <c r="B1773" t="s">
        <v>2072</v>
      </c>
      <c r="C1773" t="s">
        <v>83</v>
      </c>
      <c r="D1773" t="s">
        <v>1136</v>
      </c>
      <c r="E1773" t="s">
        <v>73</v>
      </c>
      <c r="F1773" t="s">
        <v>1137</v>
      </c>
      <c r="G1773" t="s">
        <v>34</v>
      </c>
      <c r="H1773">
        <v>1</v>
      </c>
    </row>
    <row r="1774" spans="1:8" x14ac:dyDescent="0.35">
      <c r="A1774">
        <v>6001008739446</v>
      </c>
      <c r="B1774" t="s">
        <v>486</v>
      </c>
      <c r="C1774" t="s">
        <v>78</v>
      </c>
      <c r="D1774" t="s">
        <v>1136</v>
      </c>
      <c r="E1774" t="s">
        <v>73</v>
      </c>
      <c r="F1774" t="s">
        <v>1137</v>
      </c>
      <c r="G1774" t="s">
        <v>34</v>
      </c>
      <c r="H1774">
        <v>1</v>
      </c>
    </row>
    <row r="1775" spans="1:8" x14ac:dyDescent="0.35">
      <c r="A1775">
        <v>6001008808395</v>
      </c>
      <c r="B1775" t="s">
        <v>2073</v>
      </c>
      <c r="C1775" t="s">
        <v>81</v>
      </c>
      <c r="D1775" t="s">
        <v>1136</v>
      </c>
      <c r="E1775" t="s">
        <v>73</v>
      </c>
      <c r="F1775" t="s">
        <v>1137</v>
      </c>
      <c r="G1775" t="s">
        <v>34</v>
      </c>
      <c r="H1775">
        <v>1</v>
      </c>
    </row>
    <row r="1776" spans="1:8" x14ac:dyDescent="0.35">
      <c r="A1776">
        <v>6001009013446</v>
      </c>
      <c r="B1776" t="s">
        <v>2074</v>
      </c>
      <c r="C1776" t="s">
        <v>69</v>
      </c>
      <c r="D1776" t="s">
        <v>1097</v>
      </c>
      <c r="E1776" t="s">
        <v>73</v>
      </c>
      <c r="F1776" t="s">
        <v>1098</v>
      </c>
      <c r="G1776" t="s">
        <v>34</v>
      </c>
      <c r="H1776">
        <v>1</v>
      </c>
    </row>
    <row r="1777" spans="1:8" x14ac:dyDescent="0.35">
      <c r="A1777">
        <v>6001009020420</v>
      </c>
      <c r="B1777" t="s">
        <v>2075</v>
      </c>
      <c r="C1777" t="s">
        <v>78</v>
      </c>
      <c r="D1777" t="s">
        <v>1097</v>
      </c>
      <c r="E1777" t="s">
        <v>73</v>
      </c>
      <c r="F1777" t="s">
        <v>1098</v>
      </c>
      <c r="G1777" t="s">
        <v>73</v>
      </c>
      <c r="H1777">
        <v>1</v>
      </c>
    </row>
    <row r="1778" spans="1:8" x14ac:dyDescent="0.35">
      <c r="A1778">
        <v>6001009028051</v>
      </c>
      <c r="B1778" t="s">
        <v>2076</v>
      </c>
      <c r="C1778" t="s">
        <v>78</v>
      </c>
      <c r="D1778" t="s">
        <v>1120</v>
      </c>
      <c r="E1778" t="s">
        <v>73</v>
      </c>
      <c r="F1778" t="s">
        <v>1098</v>
      </c>
      <c r="G1778" t="s">
        <v>73</v>
      </c>
      <c r="H1778">
        <v>5</v>
      </c>
    </row>
    <row r="1779" spans="1:8" x14ac:dyDescent="0.35">
      <c r="A1779">
        <v>6001009038463</v>
      </c>
      <c r="B1779" t="s">
        <v>2077</v>
      </c>
      <c r="C1779" t="s">
        <v>1175</v>
      </c>
      <c r="D1779" t="s">
        <v>1097</v>
      </c>
      <c r="E1779" t="s">
        <v>73</v>
      </c>
      <c r="F1779" t="s">
        <v>1098</v>
      </c>
      <c r="G1779" t="s">
        <v>73</v>
      </c>
      <c r="H1779">
        <v>20</v>
      </c>
    </row>
    <row r="1780" spans="1:8" x14ac:dyDescent="0.35">
      <c r="A1780">
        <v>6001016400000</v>
      </c>
      <c r="B1780" t="s">
        <v>2078</v>
      </c>
      <c r="C1780" t="s">
        <v>326</v>
      </c>
      <c r="D1780" t="s">
        <v>1570</v>
      </c>
      <c r="E1780" t="s">
        <v>22</v>
      </c>
      <c r="F1780" t="s">
        <v>1568</v>
      </c>
      <c r="G1780" t="s">
        <v>73</v>
      </c>
      <c r="H1780">
        <v>1</v>
      </c>
    </row>
    <row r="1781" spans="1:8" x14ac:dyDescent="0.35">
      <c r="A1781">
        <v>6001020020195</v>
      </c>
      <c r="B1781" t="s">
        <v>2079</v>
      </c>
      <c r="C1781" t="s">
        <v>2080</v>
      </c>
      <c r="D1781" t="s">
        <v>2081</v>
      </c>
      <c r="E1781" t="s">
        <v>816</v>
      </c>
      <c r="F1781" t="s">
        <v>817</v>
      </c>
      <c r="G1781" t="s">
        <v>34</v>
      </c>
      <c r="H1781">
        <v>3</v>
      </c>
    </row>
    <row r="1782" spans="1:8" x14ac:dyDescent="0.35">
      <c r="A1782">
        <v>6001021020002</v>
      </c>
      <c r="B1782" t="s">
        <v>2082</v>
      </c>
      <c r="C1782" t="s">
        <v>912</v>
      </c>
      <c r="D1782" t="s">
        <v>323</v>
      </c>
      <c r="E1782" t="s">
        <v>73</v>
      </c>
      <c r="F1782" t="s">
        <v>324</v>
      </c>
      <c r="G1782" t="s">
        <v>73</v>
      </c>
      <c r="H1782">
        <v>3</v>
      </c>
    </row>
    <row r="1783" spans="1:8" x14ac:dyDescent="0.35">
      <c r="A1783">
        <v>6001021021023</v>
      </c>
      <c r="B1783" t="s">
        <v>2082</v>
      </c>
      <c r="C1783" t="s">
        <v>336</v>
      </c>
      <c r="D1783" t="s">
        <v>323</v>
      </c>
      <c r="E1783" t="s">
        <v>73</v>
      </c>
      <c r="F1783" t="s">
        <v>324</v>
      </c>
      <c r="G1783" t="s">
        <v>33</v>
      </c>
      <c r="H1783">
        <v>2</v>
      </c>
    </row>
    <row r="1784" spans="1:8" x14ac:dyDescent="0.35">
      <c r="A1784">
        <v>6001021021023</v>
      </c>
      <c r="B1784" t="s">
        <v>2082</v>
      </c>
      <c r="C1784" t="s">
        <v>336</v>
      </c>
      <c r="D1784" t="s">
        <v>323</v>
      </c>
      <c r="E1784" t="s">
        <v>73</v>
      </c>
      <c r="F1784" t="s">
        <v>324</v>
      </c>
      <c r="G1784" t="s">
        <v>34</v>
      </c>
      <c r="H1784">
        <v>7</v>
      </c>
    </row>
    <row r="1785" spans="1:8" x14ac:dyDescent="0.35">
      <c r="A1785">
        <v>6001021021023</v>
      </c>
      <c r="B1785" t="s">
        <v>2082</v>
      </c>
      <c r="C1785" t="s">
        <v>336</v>
      </c>
      <c r="D1785" t="s">
        <v>323</v>
      </c>
      <c r="E1785" t="s">
        <v>73</v>
      </c>
      <c r="F1785" t="s">
        <v>324</v>
      </c>
      <c r="G1785" t="s">
        <v>73</v>
      </c>
      <c r="H1785">
        <v>2</v>
      </c>
    </row>
    <row r="1786" spans="1:8" x14ac:dyDescent="0.35">
      <c r="A1786">
        <v>6001021317355</v>
      </c>
      <c r="B1786" t="s">
        <v>367</v>
      </c>
      <c r="C1786" t="s">
        <v>43</v>
      </c>
      <c r="D1786" t="s">
        <v>323</v>
      </c>
      <c r="E1786" t="s">
        <v>73</v>
      </c>
      <c r="F1786" t="s">
        <v>324</v>
      </c>
      <c r="G1786" t="s">
        <v>73</v>
      </c>
      <c r="H1786">
        <v>1</v>
      </c>
    </row>
    <row r="1787" spans="1:8" x14ac:dyDescent="0.35">
      <c r="A1787">
        <v>6001030002075</v>
      </c>
      <c r="B1787" t="s">
        <v>2083</v>
      </c>
      <c r="C1787" t="s">
        <v>9</v>
      </c>
      <c r="D1787" t="s">
        <v>2084</v>
      </c>
      <c r="E1787" t="s">
        <v>73</v>
      </c>
      <c r="F1787" t="s">
        <v>2085</v>
      </c>
      <c r="G1787" t="s">
        <v>73</v>
      </c>
      <c r="H1787">
        <v>1</v>
      </c>
    </row>
    <row r="1788" spans="1:8" x14ac:dyDescent="0.35">
      <c r="A1788">
        <v>6001038172558</v>
      </c>
      <c r="B1788" t="s">
        <v>2086</v>
      </c>
      <c r="C1788" t="s">
        <v>758</v>
      </c>
      <c r="D1788" t="s">
        <v>2087</v>
      </c>
      <c r="E1788" t="s">
        <v>22</v>
      </c>
      <c r="F1788" t="s">
        <v>361</v>
      </c>
      <c r="G1788" t="s">
        <v>34</v>
      </c>
      <c r="H1788">
        <v>1</v>
      </c>
    </row>
    <row r="1789" spans="1:8" x14ac:dyDescent="0.35">
      <c r="A1789">
        <v>6001049057806</v>
      </c>
      <c r="B1789" t="s">
        <v>2088</v>
      </c>
      <c r="C1789" t="s">
        <v>2089</v>
      </c>
      <c r="D1789" t="s">
        <v>2090</v>
      </c>
      <c r="E1789" t="s">
        <v>130</v>
      </c>
      <c r="F1789" t="s">
        <v>2091</v>
      </c>
      <c r="G1789" t="s">
        <v>34</v>
      </c>
      <c r="H1789">
        <v>1</v>
      </c>
    </row>
    <row r="1790" spans="1:8" x14ac:dyDescent="0.35">
      <c r="A1790">
        <v>6001049080613</v>
      </c>
      <c r="B1790" t="s">
        <v>2092</v>
      </c>
      <c r="C1790" t="s">
        <v>1123</v>
      </c>
      <c r="D1790" t="s">
        <v>2090</v>
      </c>
      <c r="E1790" t="s">
        <v>130</v>
      </c>
      <c r="F1790" t="s">
        <v>2091</v>
      </c>
      <c r="G1790" t="s">
        <v>73</v>
      </c>
      <c r="H1790">
        <v>1</v>
      </c>
    </row>
    <row r="1791" spans="1:8" x14ac:dyDescent="0.35">
      <c r="A1791">
        <v>6001049089500</v>
      </c>
      <c r="B1791" t="s">
        <v>2093</v>
      </c>
      <c r="C1791" t="s">
        <v>570</v>
      </c>
      <c r="D1791" t="s">
        <v>2090</v>
      </c>
      <c r="E1791" t="s">
        <v>130</v>
      </c>
      <c r="F1791" t="s">
        <v>2091</v>
      </c>
      <c r="G1791" t="s">
        <v>73</v>
      </c>
      <c r="H1791">
        <v>1</v>
      </c>
    </row>
    <row r="1792" spans="1:8" x14ac:dyDescent="0.35">
      <c r="A1792">
        <v>6001051000753</v>
      </c>
      <c r="B1792" t="s">
        <v>2094</v>
      </c>
      <c r="C1792" t="s">
        <v>83</v>
      </c>
      <c r="D1792" t="s">
        <v>1249</v>
      </c>
      <c r="E1792" t="s">
        <v>20</v>
      </c>
      <c r="F1792" t="s">
        <v>1250</v>
      </c>
      <c r="G1792" t="s">
        <v>33</v>
      </c>
      <c r="H1792">
        <v>2</v>
      </c>
    </row>
    <row r="1793" spans="1:8" x14ac:dyDescent="0.35">
      <c r="A1793">
        <v>6001051001323</v>
      </c>
      <c r="B1793" t="s">
        <v>2095</v>
      </c>
      <c r="C1793" t="s">
        <v>272</v>
      </c>
      <c r="D1793" t="s">
        <v>1249</v>
      </c>
      <c r="E1793" t="s">
        <v>20</v>
      </c>
      <c r="F1793" t="s">
        <v>1250</v>
      </c>
      <c r="G1793" t="s">
        <v>11</v>
      </c>
      <c r="H1793">
        <v>8</v>
      </c>
    </row>
    <row r="1794" spans="1:8" x14ac:dyDescent="0.35">
      <c r="A1794">
        <v>6001051002023</v>
      </c>
      <c r="B1794" t="s">
        <v>2096</v>
      </c>
      <c r="C1794" t="s">
        <v>806</v>
      </c>
      <c r="D1794" t="s">
        <v>1249</v>
      </c>
      <c r="E1794" t="s">
        <v>20</v>
      </c>
      <c r="F1794" t="s">
        <v>1250</v>
      </c>
      <c r="G1794" t="s">
        <v>578</v>
      </c>
      <c r="H1794">
        <v>1</v>
      </c>
    </row>
    <row r="1795" spans="1:8" x14ac:dyDescent="0.35">
      <c r="A1795">
        <v>6001051002375</v>
      </c>
      <c r="B1795" t="s">
        <v>2097</v>
      </c>
      <c r="C1795" t="s">
        <v>806</v>
      </c>
      <c r="D1795" t="s">
        <v>1249</v>
      </c>
      <c r="E1795" t="s">
        <v>20</v>
      </c>
      <c r="F1795" t="s">
        <v>1250</v>
      </c>
      <c r="G1795" t="s">
        <v>150</v>
      </c>
      <c r="H1795">
        <v>4</v>
      </c>
    </row>
    <row r="1796" spans="1:8" x14ac:dyDescent="0.35">
      <c r="A1796">
        <v>6001051003433</v>
      </c>
      <c r="B1796" t="s">
        <v>2098</v>
      </c>
      <c r="C1796" t="s">
        <v>272</v>
      </c>
      <c r="D1796" t="s">
        <v>1249</v>
      </c>
      <c r="E1796" t="s">
        <v>20</v>
      </c>
      <c r="F1796" t="s">
        <v>1250</v>
      </c>
      <c r="G1796" t="s">
        <v>34</v>
      </c>
      <c r="H1796">
        <v>1</v>
      </c>
    </row>
    <row r="1797" spans="1:8" x14ac:dyDescent="0.35">
      <c r="A1797">
        <v>6001056294003</v>
      </c>
      <c r="B1797" t="s">
        <v>2099</v>
      </c>
      <c r="C1797" t="s">
        <v>419</v>
      </c>
      <c r="D1797" t="s">
        <v>2100</v>
      </c>
      <c r="E1797" t="s">
        <v>308</v>
      </c>
      <c r="F1797" t="s">
        <v>309</v>
      </c>
      <c r="G1797" t="s">
        <v>34</v>
      </c>
      <c r="H1797">
        <v>2</v>
      </c>
    </row>
    <row r="1798" spans="1:8" x14ac:dyDescent="0.35">
      <c r="A1798">
        <v>6001059954072</v>
      </c>
      <c r="B1798" t="s">
        <v>2101</v>
      </c>
      <c r="C1798" t="s">
        <v>9</v>
      </c>
      <c r="D1798" t="s">
        <v>2102</v>
      </c>
      <c r="E1798" t="s">
        <v>73</v>
      </c>
      <c r="F1798" t="s">
        <v>2103</v>
      </c>
      <c r="G1798" t="s">
        <v>31</v>
      </c>
      <c r="H1798">
        <v>8</v>
      </c>
    </row>
    <row r="1799" spans="1:8" x14ac:dyDescent="0.35">
      <c r="A1799">
        <v>6001059954072</v>
      </c>
      <c r="B1799" t="s">
        <v>2101</v>
      </c>
      <c r="C1799" t="s">
        <v>9</v>
      </c>
      <c r="D1799" t="s">
        <v>2102</v>
      </c>
      <c r="E1799" t="s">
        <v>73</v>
      </c>
      <c r="F1799" t="s">
        <v>2103</v>
      </c>
      <c r="G1799" t="s">
        <v>73</v>
      </c>
      <c r="H1799">
        <v>1</v>
      </c>
    </row>
    <row r="1800" spans="1:8" x14ac:dyDescent="0.35">
      <c r="A1800">
        <v>6001065601052</v>
      </c>
      <c r="B1800" t="s">
        <v>2104</v>
      </c>
      <c r="C1800" t="s">
        <v>565</v>
      </c>
      <c r="D1800" t="s">
        <v>613</v>
      </c>
      <c r="E1800" t="s">
        <v>15</v>
      </c>
      <c r="F1800" t="s">
        <v>460</v>
      </c>
      <c r="G1800" t="s">
        <v>34</v>
      </c>
      <c r="H1800">
        <v>1</v>
      </c>
    </row>
    <row r="1801" spans="1:8" x14ac:dyDescent="0.35">
      <c r="A1801">
        <v>6001065601069</v>
      </c>
      <c r="B1801" t="s">
        <v>2105</v>
      </c>
      <c r="C1801" t="s">
        <v>565</v>
      </c>
      <c r="D1801" t="s">
        <v>613</v>
      </c>
      <c r="E1801" t="s">
        <v>15</v>
      </c>
      <c r="F1801" t="s">
        <v>460</v>
      </c>
      <c r="G1801" t="s">
        <v>11</v>
      </c>
      <c r="H1801">
        <v>3</v>
      </c>
    </row>
    <row r="1802" spans="1:8" x14ac:dyDescent="0.35">
      <c r="A1802">
        <v>6001065601069</v>
      </c>
      <c r="B1802" t="s">
        <v>2105</v>
      </c>
      <c r="C1802" t="s">
        <v>565</v>
      </c>
      <c r="D1802" t="s">
        <v>613</v>
      </c>
      <c r="E1802" t="s">
        <v>15</v>
      </c>
      <c r="F1802" t="s">
        <v>460</v>
      </c>
      <c r="G1802" t="s">
        <v>34</v>
      </c>
      <c r="H1802">
        <v>1</v>
      </c>
    </row>
    <row r="1803" spans="1:8" x14ac:dyDescent="0.35">
      <c r="A1803">
        <v>6001065601069</v>
      </c>
      <c r="B1803" t="s">
        <v>2105</v>
      </c>
      <c r="C1803" t="s">
        <v>565</v>
      </c>
      <c r="D1803" t="s">
        <v>613</v>
      </c>
      <c r="E1803" t="s">
        <v>15</v>
      </c>
      <c r="F1803" t="s">
        <v>460</v>
      </c>
      <c r="G1803" t="s">
        <v>31</v>
      </c>
      <c r="H1803">
        <v>2</v>
      </c>
    </row>
    <row r="1804" spans="1:8" x14ac:dyDescent="0.35">
      <c r="A1804">
        <v>6001067007289</v>
      </c>
      <c r="B1804" t="s">
        <v>2106</v>
      </c>
      <c r="C1804" t="s">
        <v>659</v>
      </c>
      <c r="D1804" t="s">
        <v>2107</v>
      </c>
      <c r="E1804" t="s">
        <v>15</v>
      </c>
      <c r="F1804" t="s">
        <v>2108</v>
      </c>
      <c r="G1804" t="s">
        <v>33</v>
      </c>
      <c r="H1804">
        <v>1</v>
      </c>
    </row>
    <row r="1805" spans="1:8" x14ac:dyDescent="0.35">
      <c r="A1805">
        <v>6001068371204</v>
      </c>
      <c r="B1805" t="s">
        <v>2109</v>
      </c>
      <c r="C1805" t="s">
        <v>69</v>
      </c>
      <c r="D1805" t="s">
        <v>2110</v>
      </c>
      <c r="E1805" t="s">
        <v>71</v>
      </c>
      <c r="F1805" t="s">
        <v>72</v>
      </c>
      <c r="G1805" t="s">
        <v>33</v>
      </c>
      <c r="H1805">
        <v>18</v>
      </c>
    </row>
    <row r="1806" spans="1:8" x14ac:dyDescent="0.35">
      <c r="A1806">
        <v>6001068379200</v>
      </c>
      <c r="B1806" t="s">
        <v>2111</v>
      </c>
      <c r="C1806" t="s">
        <v>43</v>
      </c>
      <c r="D1806" t="s">
        <v>70</v>
      </c>
      <c r="E1806" t="s">
        <v>71</v>
      </c>
      <c r="F1806" t="s">
        <v>72</v>
      </c>
      <c r="G1806" t="s">
        <v>73</v>
      </c>
      <c r="H1806">
        <v>1</v>
      </c>
    </row>
    <row r="1807" spans="1:8" x14ac:dyDescent="0.35">
      <c r="A1807">
        <v>6001085010346</v>
      </c>
      <c r="B1807" t="s">
        <v>2112</v>
      </c>
      <c r="C1807" t="s">
        <v>192</v>
      </c>
      <c r="D1807" t="s">
        <v>2113</v>
      </c>
      <c r="E1807" t="s">
        <v>22</v>
      </c>
      <c r="F1807" t="s">
        <v>361</v>
      </c>
      <c r="G1807" t="s">
        <v>34</v>
      </c>
      <c r="H1807">
        <v>176</v>
      </c>
    </row>
    <row r="1808" spans="1:8" x14ac:dyDescent="0.35">
      <c r="A1808">
        <v>6001085010346</v>
      </c>
      <c r="B1808" t="s">
        <v>2112</v>
      </c>
      <c r="C1808" t="s">
        <v>192</v>
      </c>
      <c r="D1808" t="s">
        <v>2113</v>
      </c>
      <c r="E1808" t="s">
        <v>22</v>
      </c>
      <c r="F1808" t="s">
        <v>361</v>
      </c>
      <c r="G1808" t="s">
        <v>73</v>
      </c>
      <c r="H1808">
        <v>5</v>
      </c>
    </row>
    <row r="1809" spans="1:8" x14ac:dyDescent="0.35">
      <c r="A1809">
        <v>6001085010469</v>
      </c>
      <c r="B1809" t="s">
        <v>2114</v>
      </c>
      <c r="C1809" t="s">
        <v>326</v>
      </c>
      <c r="D1809" t="s">
        <v>1456</v>
      </c>
      <c r="E1809" t="s">
        <v>22</v>
      </c>
      <c r="F1809" t="s">
        <v>361</v>
      </c>
      <c r="G1809" t="s">
        <v>73</v>
      </c>
      <c r="H1809">
        <v>7</v>
      </c>
    </row>
    <row r="1810" spans="1:8" x14ac:dyDescent="0.35">
      <c r="A1810">
        <v>6001085013149</v>
      </c>
      <c r="B1810" t="s">
        <v>2115</v>
      </c>
      <c r="C1810" t="s">
        <v>610</v>
      </c>
      <c r="D1810" t="s">
        <v>2116</v>
      </c>
      <c r="E1810" t="s">
        <v>22</v>
      </c>
      <c r="F1810" t="s">
        <v>361</v>
      </c>
      <c r="G1810" t="s">
        <v>73</v>
      </c>
      <c r="H1810">
        <v>1</v>
      </c>
    </row>
    <row r="1811" spans="1:8" x14ac:dyDescent="0.35">
      <c r="A1811">
        <v>6001085013156</v>
      </c>
      <c r="B1811" t="s">
        <v>2117</v>
      </c>
      <c r="C1811" t="s">
        <v>610</v>
      </c>
      <c r="D1811" t="s">
        <v>2116</v>
      </c>
      <c r="E1811" t="s">
        <v>22</v>
      </c>
      <c r="F1811" t="s">
        <v>361</v>
      </c>
      <c r="G1811" t="s">
        <v>34</v>
      </c>
      <c r="H1811">
        <v>4</v>
      </c>
    </row>
    <row r="1812" spans="1:8" x14ac:dyDescent="0.35">
      <c r="A1812">
        <v>6001085061317</v>
      </c>
      <c r="B1812" t="s">
        <v>2118</v>
      </c>
      <c r="C1812" t="s">
        <v>43</v>
      </c>
      <c r="D1812" t="s">
        <v>2119</v>
      </c>
      <c r="E1812" t="s">
        <v>22</v>
      </c>
      <c r="F1812" t="s">
        <v>361</v>
      </c>
      <c r="G1812" t="s">
        <v>34</v>
      </c>
      <c r="H1812">
        <v>1</v>
      </c>
    </row>
    <row r="1813" spans="1:8" x14ac:dyDescent="0.35">
      <c r="A1813">
        <v>6001085116956</v>
      </c>
      <c r="B1813" t="s">
        <v>2120</v>
      </c>
      <c r="C1813" t="s">
        <v>610</v>
      </c>
      <c r="D1813" t="s">
        <v>1456</v>
      </c>
      <c r="E1813" t="s">
        <v>22</v>
      </c>
      <c r="F1813" t="s">
        <v>361</v>
      </c>
      <c r="G1813" t="s">
        <v>73</v>
      </c>
      <c r="H1813">
        <v>9</v>
      </c>
    </row>
    <row r="1814" spans="1:8" x14ac:dyDescent="0.35">
      <c r="A1814">
        <v>6001085120229</v>
      </c>
      <c r="B1814" t="s">
        <v>2121</v>
      </c>
      <c r="C1814" t="s">
        <v>326</v>
      </c>
      <c r="D1814" t="s">
        <v>1456</v>
      </c>
      <c r="E1814" t="s">
        <v>22</v>
      </c>
      <c r="F1814" t="s">
        <v>361</v>
      </c>
      <c r="G1814" t="s">
        <v>73</v>
      </c>
      <c r="H1814">
        <v>3</v>
      </c>
    </row>
    <row r="1815" spans="1:8" x14ac:dyDescent="0.35">
      <c r="A1815">
        <v>6001087005647</v>
      </c>
      <c r="B1815" t="s">
        <v>2122</v>
      </c>
      <c r="C1815" t="s">
        <v>1115</v>
      </c>
      <c r="D1815" t="s">
        <v>2123</v>
      </c>
      <c r="E1815" t="s">
        <v>22</v>
      </c>
      <c r="F1815" t="s">
        <v>361</v>
      </c>
      <c r="G1815" t="s">
        <v>73</v>
      </c>
      <c r="H1815">
        <v>2</v>
      </c>
    </row>
    <row r="1816" spans="1:8" x14ac:dyDescent="0.35">
      <c r="A1816">
        <v>6001087006057</v>
      </c>
      <c r="B1816" t="s">
        <v>2124</v>
      </c>
      <c r="C1816" t="s">
        <v>326</v>
      </c>
      <c r="D1816" t="s">
        <v>2125</v>
      </c>
      <c r="E1816" t="s">
        <v>22</v>
      </c>
      <c r="F1816" t="s">
        <v>361</v>
      </c>
      <c r="G1816" t="s">
        <v>34</v>
      </c>
      <c r="H1816">
        <v>2</v>
      </c>
    </row>
    <row r="1817" spans="1:8" x14ac:dyDescent="0.35">
      <c r="A1817">
        <v>6001087006057</v>
      </c>
      <c r="B1817" t="s">
        <v>2124</v>
      </c>
      <c r="C1817" t="s">
        <v>326</v>
      </c>
      <c r="D1817" t="s">
        <v>2125</v>
      </c>
      <c r="E1817" t="s">
        <v>22</v>
      </c>
      <c r="F1817" t="s">
        <v>361</v>
      </c>
      <c r="G1817" t="s">
        <v>73</v>
      </c>
      <c r="H1817">
        <v>7</v>
      </c>
    </row>
    <row r="1818" spans="1:8" x14ac:dyDescent="0.35">
      <c r="A1818">
        <v>6001087006095</v>
      </c>
      <c r="B1818" t="s">
        <v>2126</v>
      </c>
      <c r="C1818" t="s">
        <v>326</v>
      </c>
      <c r="D1818" t="s">
        <v>2125</v>
      </c>
      <c r="E1818" t="s">
        <v>22</v>
      </c>
      <c r="F1818" t="s">
        <v>361</v>
      </c>
      <c r="G1818" t="s">
        <v>34</v>
      </c>
      <c r="H1818">
        <v>1</v>
      </c>
    </row>
    <row r="1819" spans="1:8" x14ac:dyDescent="0.35">
      <c r="A1819">
        <v>6001087009928</v>
      </c>
      <c r="B1819" t="s">
        <v>2127</v>
      </c>
      <c r="C1819" t="s">
        <v>83</v>
      </c>
      <c r="D1819" t="s">
        <v>2128</v>
      </c>
      <c r="E1819" t="s">
        <v>22</v>
      </c>
      <c r="F1819" t="s">
        <v>361</v>
      </c>
      <c r="G1819" t="s">
        <v>33</v>
      </c>
      <c r="H1819">
        <v>1</v>
      </c>
    </row>
    <row r="1820" spans="1:8" x14ac:dyDescent="0.35">
      <c r="A1820">
        <v>6001087012010</v>
      </c>
      <c r="B1820" t="s">
        <v>2129</v>
      </c>
      <c r="C1820" t="s">
        <v>83</v>
      </c>
      <c r="D1820" t="s">
        <v>2123</v>
      </c>
      <c r="E1820" t="s">
        <v>22</v>
      </c>
      <c r="F1820" t="s">
        <v>361</v>
      </c>
      <c r="G1820" t="s">
        <v>117</v>
      </c>
      <c r="H1820">
        <v>50</v>
      </c>
    </row>
    <row r="1821" spans="1:8" x14ac:dyDescent="0.35">
      <c r="A1821">
        <v>6001087012010</v>
      </c>
      <c r="B1821" t="s">
        <v>2129</v>
      </c>
      <c r="C1821" t="s">
        <v>83</v>
      </c>
      <c r="D1821" t="s">
        <v>2123</v>
      </c>
      <c r="E1821" t="s">
        <v>22</v>
      </c>
      <c r="F1821" t="s">
        <v>361</v>
      </c>
      <c r="G1821" t="s">
        <v>33</v>
      </c>
      <c r="H1821">
        <v>100</v>
      </c>
    </row>
    <row r="1822" spans="1:8" x14ac:dyDescent="0.35">
      <c r="A1822">
        <v>6001087012010</v>
      </c>
      <c r="B1822" t="s">
        <v>2129</v>
      </c>
      <c r="C1822" t="s">
        <v>83</v>
      </c>
      <c r="D1822" t="s">
        <v>2123</v>
      </c>
      <c r="E1822" t="s">
        <v>22</v>
      </c>
      <c r="F1822" t="s">
        <v>361</v>
      </c>
      <c r="G1822" t="s">
        <v>150</v>
      </c>
      <c r="H1822">
        <v>3</v>
      </c>
    </row>
    <row r="1823" spans="1:8" x14ac:dyDescent="0.35">
      <c r="A1823">
        <v>6001087012317</v>
      </c>
      <c r="B1823" t="s">
        <v>1252</v>
      </c>
      <c r="C1823" t="s">
        <v>173</v>
      </c>
      <c r="D1823" t="s">
        <v>2128</v>
      </c>
      <c r="E1823" t="s">
        <v>22</v>
      </c>
      <c r="F1823" t="s">
        <v>361</v>
      </c>
      <c r="G1823" t="s">
        <v>34</v>
      </c>
      <c r="H1823">
        <v>1</v>
      </c>
    </row>
    <row r="1824" spans="1:8" x14ac:dyDescent="0.35">
      <c r="A1824">
        <v>6001087012348</v>
      </c>
      <c r="B1824" t="s">
        <v>2130</v>
      </c>
      <c r="C1824" t="s">
        <v>83</v>
      </c>
      <c r="D1824" t="s">
        <v>2128</v>
      </c>
      <c r="E1824" t="s">
        <v>22</v>
      </c>
      <c r="F1824" t="s">
        <v>361</v>
      </c>
      <c r="G1824" t="s">
        <v>117</v>
      </c>
      <c r="H1824">
        <v>1</v>
      </c>
    </row>
    <row r="1825" spans="1:8" x14ac:dyDescent="0.35">
      <c r="A1825">
        <v>6001087012348</v>
      </c>
      <c r="B1825" t="s">
        <v>2130</v>
      </c>
      <c r="C1825" t="s">
        <v>83</v>
      </c>
      <c r="D1825" t="s">
        <v>2128</v>
      </c>
      <c r="E1825" t="s">
        <v>22</v>
      </c>
      <c r="F1825" t="s">
        <v>361</v>
      </c>
      <c r="G1825" t="s">
        <v>34</v>
      </c>
      <c r="H1825">
        <v>2</v>
      </c>
    </row>
    <row r="1826" spans="1:8" x14ac:dyDescent="0.35">
      <c r="A1826">
        <v>6001087012348</v>
      </c>
      <c r="B1826" t="s">
        <v>2130</v>
      </c>
      <c r="C1826" t="s">
        <v>83</v>
      </c>
      <c r="D1826" t="s">
        <v>2128</v>
      </c>
      <c r="E1826" t="s">
        <v>22</v>
      </c>
      <c r="F1826" t="s">
        <v>361</v>
      </c>
      <c r="G1826" t="s">
        <v>73</v>
      </c>
      <c r="H1826">
        <v>2</v>
      </c>
    </row>
    <row r="1827" spans="1:8" x14ac:dyDescent="0.35">
      <c r="A1827">
        <v>6001087357050</v>
      </c>
      <c r="B1827" t="s">
        <v>2131</v>
      </c>
      <c r="C1827" t="s">
        <v>83</v>
      </c>
      <c r="D1827" t="s">
        <v>2123</v>
      </c>
      <c r="E1827" t="s">
        <v>22</v>
      </c>
      <c r="F1827" t="s">
        <v>361</v>
      </c>
      <c r="G1827" t="s">
        <v>117</v>
      </c>
      <c r="H1827">
        <v>1</v>
      </c>
    </row>
    <row r="1828" spans="1:8" x14ac:dyDescent="0.35">
      <c r="A1828">
        <v>6001087358743</v>
      </c>
      <c r="B1828" t="s">
        <v>2132</v>
      </c>
      <c r="C1828" t="s">
        <v>326</v>
      </c>
      <c r="D1828" t="s">
        <v>2113</v>
      </c>
      <c r="E1828" t="s">
        <v>22</v>
      </c>
      <c r="F1828" t="s">
        <v>361</v>
      </c>
      <c r="G1828" t="s">
        <v>34</v>
      </c>
      <c r="H1828">
        <v>130</v>
      </c>
    </row>
    <row r="1829" spans="1:8" x14ac:dyDescent="0.35">
      <c r="A1829">
        <v>6001087358743</v>
      </c>
      <c r="B1829" t="s">
        <v>2132</v>
      </c>
      <c r="C1829" t="s">
        <v>326</v>
      </c>
      <c r="D1829" t="s">
        <v>2113</v>
      </c>
      <c r="E1829" t="s">
        <v>22</v>
      </c>
      <c r="F1829" t="s">
        <v>361</v>
      </c>
      <c r="G1829" t="s">
        <v>73</v>
      </c>
      <c r="H1829">
        <v>9</v>
      </c>
    </row>
    <row r="1830" spans="1:8" x14ac:dyDescent="0.35">
      <c r="A1830">
        <v>6001087387798</v>
      </c>
      <c r="B1830" t="s">
        <v>2133</v>
      </c>
      <c r="C1830" t="s">
        <v>81</v>
      </c>
      <c r="D1830" t="s">
        <v>2113</v>
      </c>
      <c r="E1830" t="s">
        <v>22</v>
      </c>
      <c r="F1830" t="s">
        <v>361</v>
      </c>
      <c r="G1830" t="s">
        <v>34</v>
      </c>
      <c r="H1830">
        <v>2</v>
      </c>
    </row>
    <row r="1831" spans="1:8" x14ac:dyDescent="0.35">
      <c r="A1831">
        <v>6001087391733</v>
      </c>
      <c r="B1831" t="s">
        <v>2124</v>
      </c>
      <c r="C1831" t="s">
        <v>610</v>
      </c>
      <c r="D1831" t="s">
        <v>2125</v>
      </c>
      <c r="E1831" t="s">
        <v>22</v>
      </c>
      <c r="F1831" t="s">
        <v>361</v>
      </c>
      <c r="G1831" t="s">
        <v>73</v>
      </c>
      <c r="H1831">
        <v>3</v>
      </c>
    </row>
    <row r="1832" spans="1:8" x14ac:dyDescent="0.35">
      <c r="A1832">
        <v>6001087392228</v>
      </c>
      <c r="B1832" t="s">
        <v>2134</v>
      </c>
      <c r="C1832" t="s">
        <v>81</v>
      </c>
      <c r="D1832" t="s">
        <v>2135</v>
      </c>
      <c r="E1832" t="s">
        <v>22</v>
      </c>
      <c r="F1832" t="s">
        <v>361</v>
      </c>
      <c r="G1832" t="s">
        <v>34</v>
      </c>
      <c r="H1832">
        <v>1</v>
      </c>
    </row>
    <row r="1833" spans="1:8" x14ac:dyDescent="0.35">
      <c r="A1833">
        <v>6001106100551</v>
      </c>
      <c r="B1833" t="s">
        <v>2136</v>
      </c>
      <c r="C1833" t="s">
        <v>326</v>
      </c>
      <c r="D1833" t="s">
        <v>2137</v>
      </c>
      <c r="E1833" t="s">
        <v>22</v>
      </c>
      <c r="F1833" t="s">
        <v>1568</v>
      </c>
      <c r="G1833" t="s">
        <v>73</v>
      </c>
      <c r="H1833">
        <v>4</v>
      </c>
    </row>
    <row r="1834" spans="1:8" x14ac:dyDescent="0.35">
      <c r="A1834">
        <v>6001106107031</v>
      </c>
      <c r="B1834" t="s">
        <v>2138</v>
      </c>
      <c r="C1834" t="s">
        <v>326</v>
      </c>
      <c r="D1834" t="s">
        <v>2139</v>
      </c>
      <c r="E1834" t="s">
        <v>22</v>
      </c>
      <c r="F1834" t="s">
        <v>1568</v>
      </c>
      <c r="G1834" t="s">
        <v>34</v>
      </c>
      <c r="H1834">
        <v>1</v>
      </c>
    </row>
    <row r="1835" spans="1:8" x14ac:dyDescent="0.35">
      <c r="A1835">
        <v>6001106107178</v>
      </c>
      <c r="B1835" t="s">
        <v>2140</v>
      </c>
      <c r="C1835" t="s">
        <v>610</v>
      </c>
      <c r="D1835" t="s">
        <v>2139</v>
      </c>
      <c r="E1835" t="s">
        <v>22</v>
      </c>
      <c r="F1835" t="s">
        <v>1568</v>
      </c>
      <c r="G1835" t="s">
        <v>34</v>
      </c>
      <c r="H1835">
        <v>1</v>
      </c>
    </row>
    <row r="1836" spans="1:8" x14ac:dyDescent="0.35">
      <c r="A1836">
        <v>6001106117047</v>
      </c>
      <c r="B1836" t="s">
        <v>2141</v>
      </c>
      <c r="C1836" t="s">
        <v>326</v>
      </c>
      <c r="D1836" t="s">
        <v>2137</v>
      </c>
      <c r="E1836" t="s">
        <v>22</v>
      </c>
      <c r="F1836" t="s">
        <v>1568</v>
      </c>
      <c r="G1836" t="s">
        <v>73</v>
      </c>
      <c r="H1836">
        <v>9</v>
      </c>
    </row>
    <row r="1837" spans="1:8" x14ac:dyDescent="0.35">
      <c r="A1837">
        <v>6001106120559</v>
      </c>
      <c r="B1837" t="s">
        <v>2142</v>
      </c>
      <c r="C1837" t="s">
        <v>9</v>
      </c>
      <c r="D1837" t="s">
        <v>1570</v>
      </c>
      <c r="E1837" t="s">
        <v>22</v>
      </c>
      <c r="F1837" t="s">
        <v>1568</v>
      </c>
      <c r="G1837" t="s">
        <v>34</v>
      </c>
      <c r="H1837">
        <v>2</v>
      </c>
    </row>
    <row r="1838" spans="1:8" x14ac:dyDescent="0.35">
      <c r="A1838">
        <v>6001106122966</v>
      </c>
      <c r="B1838" t="s">
        <v>2143</v>
      </c>
      <c r="C1838" t="s">
        <v>66</v>
      </c>
      <c r="D1838" t="s">
        <v>1570</v>
      </c>
      <c r="E1838" t="s">
        <v>22</v>
      </c>
      <c r="F1838" t="s">
        <v>1568</v>
      </c>
      <c r="G1838" t="s">
        <v>34</v>
      </c>
      <c r="H1838">
        <v>1</v>
      </c>
    </row>
    <row r="1839" spans="1:8" x14ac:dyDescent="0.35">
      <c r="A1839">
        <v>6001106227616</v>
      </c>
      <c r="B1839" t="s">
        <v>2144</v>
      </c>
      <c r="C1839" t="s">
        <v>326</v>
      </c>
      <c r="D1839" t="s">
        <v>2145</v>
      </c>
      <c r="E1839" t="s">
        <v>22</v>
      </c>
      <c r="F1839" t="s">
        <v>1568</v>
      </c>
      <c r="G1839" t="s">
        <v>31</v>
      </c>
      <c r="H1839">
        <v>11</v>
      </c>
    </row>
    <row r="1840" spans="1:8" x14ac:dyDescent="0.35">
      <c r="A1840">
        <v>6001106227616</v>
      </c>
      <c r="B1840" t="s">
        <v>2144</v>
      </c>
      <c r="C1840" t="s">
        <v>326</v>
      </c>
      <c r="D1840" t="s">
        <v>2145</v>
      </c>
      <c r="E1840" t="s">
        <v>22</v>
      </c>
      <c r="F1840" t="s">
        <v>1568</v>
      </c>
      <c r="G1840" t="s">
        <v>73</v>
      </c>
      <c r="H1840">
        <v>1</v>
      </c>
    </row>
    <row r="1841" spans="1:8" x14ac:dyDescent="0.35">
      <c r="A1841">
        <v>6001106228095</v>
      </c>
      <c r="B1841" t="s">
        <v>2146</v>
      </c>
      <c r="C1841" t="s">
        <v>2147</v>
      </c>
      <c r="D1841" t="s">
        <v>1570</v>
      </c>
      <c r="E1841" t="s">
        <v>22</v>
      </c>
      <c r="F1841" t="s">
        <v>1568</v>
      </c>
      <c r="G1841" t="s">
        <v>61</v>
      </c>
      <c r="H1841">
        <v>1</v>
      </c>
    </row>
    <row r="1842" spans="1:8" x14ac:dyDescent="0.35">
      <c r="A1842">
        <v>6001108028044</v>
      </c>
      <c r="B1842" t="s">
        <v>2148</v>
      </c>
      <c r="C1842" t="s">
        <v>1199</v>
      </c>
      <c r="D1842" t="s">
        <v>2148</v>
      </c>
      <c r="E1842" t="s">
        <v>73</v>
      </c>
      <c r="F1842" t="s">
        <v>2149</v>
      </c>
      <c r="G1842" t="s">
        <v>61</v>
      </c>
      <c r="H1842">
        <v>48</v>
      </c>
    </row>
    <row r="1843" spans="1:8" x14ac:dyDescent="0.35">
      <c r="A1843">
        <v>6001134087305</v>
      </c>
      <c r="B1843" t="s">
        <v>2150</v>
      </c>
      <c r="C1843" t="s">
        <v>78</v>
      </c>
      <c r="D1843" t="s">
        <v>451</v>
      </c>
      <c r="E1843" t="s">
        <v>15</v>
      </c>
      <c r="F1843" t="s">
        <v>14</v>
      </c>
      <c r="G1843" t="s">
        <v>34</v>
      </c>
      <c r="H1843">
        <v>1</v>
      </c>
    </row>
    <row r="1844" spans="1:8" x14ac:dyDescent="0.35">
      <c r="A1844">
        <v>6001134087305</v>
      </c>
      <c r="B1844" t="s">
        <v>2150</v>
      </c>
      <c r="C1844" t="s">
        <v>78</v>
      </c>
      <c r="D1844" t="s">
        <v>451</v>
      </c>
      <c r="E1844" t="s">
        <v>15</v>
      </c>
      <c r="F1844" t="s">
        <v>14</v>
      </c>
      <c r="G1844" t="s">
        <v>73</v>
      </c>
      <c r="H1844">
        <v>1</v>
      </c>
    </row>
    <row r="1845" spans="1:8" x14ac:dyDescent="0.35">
      <c r="A1845">
        <v>6001134297308</v>
      </c>
      <c r="B1845" t="s">
        <v>1903</v>
      </c>
      <c r="C1845" t="s">
        <v>78</v>
      </c>
      <c r="D1845" t="s">
        <v>2151</v>
      </c>
      <c r="E1845" t="s">
        <v>15</v>
      </c>
      <c r="F1845" t="s">
        <v>14</v>
      </c>
      <c r="G1845" t="s">
        <v>73</v>
      </c>
      <c r="H1845">
        <v>1</v>
      </c>
    </row>
    <row r="1846" spans="1:8" x14ac:dyDescent="0.35">
      <c r="A1846">
        <v>6001134707302</v>
      </c>
      <c r="B1846" t="s">
        <v>2152</v>
      </c>
      <c r="C1846" t="s">
        <v>78</v>
      </c>
      <c r="D1846" t="s">
        <v>1893</v>
      </c>
      <c r="E1846" t="s">
        <v>15</v>
      </c>
      <c r="F1846" t="s">
        <v>14</v>
      </c>
      <c r="G1846" t="s">
        <v>73</v>
      </c>
      <c r="H1846">
        <v>3</v>
      </c>
    </row>
    <row r="1847" spans="1:8" x14ac:dyDescent="0.35">
      <c r="A1847">
        <v>6001135009450</v>
      </c>
      <c r="B1847" t="s">
        <v>2153</v>
      </c>
      <c r="C1847" t="s">
        <v>9</v>
      </c>
      <c r="D1847" t="s">
        <v>2154</v>
      </c>
      <c r="E1847" t="s">
        <v>15</v>
      </c>
      <c r="F1847" t="s">
        <v>2155</v>
      </c>
      <c r="G1847" t="s">
        <v>34</v>
      </c>
      <c r="H1847">
        <v>1</v>
      </c>
    </row>
    <row r="1848" spans="1:8" x14ac:dyDescent="0.35">
      <c r="A1848">
        <v>6001135009450</v>
      </c>
      <c r="B1848" t="s">
        <v>2153</v>
      </c>
      <c r="C1848" t="s">
        <v>9</v>
      </c>
      <c r="D1848" t="s">
        <v>2154</v>
      </c>
      <c r="E1848" t="s">
        <v>15</v>
      </c>
      <c r="F1848" t="s">
        <v>2155</v>
      </c>
      <c r="G1848" t="s">
        <v>61</v>
      </c>
      <c r="H1848">
        <v>1</v>
      </c>
    </row>
    <row r="1849" spans="1:8" x14ac:dyDescent="0.35">
      <c r="A1849">
        <v>6001135009450</v>
      </c>
      <c r="B1849" t="s">
        <v>2153</v>
      </c>
      <c r="C1849" t="s">
        <v>9</v>
      </c>
      <c r="D1849" t="s">
        <v>2154</v>
      </c>
      <c r="E1849" t="s">
        <v>15</v>
      </c>
      <c r="F1849" t="s">
        <v>2155</v>
      </c>
      <c r="G1849" t="s">
        <v>73</v>
      </c>
      <c r="H1849">
        <v>1</v>
      </c>
    </row>
    <row r="1850" spans="1:8" x14ac:dyDescent="0.35">
      <c r="A1850">
        <v>6001137101398</v>
      </c>
      <c r="B1850" t="s">
        <v>2156</v>
      </c>
      <c r="C1850" t="s">
        <v>1115</v>
      </c>
      <c r="D1850" t="s">
        <v>2154</v>
      </c>
      <c r="E1850" t="s">
        <v>15</v>
      </c>
      <c r="F1850" t="s">
        <v>2155</v>
      </c>
      <c r="G1850" t="s">
        <v>73</v>
      </c>
      <c r="H1850">
        <v>1</v>
      </c>
    </row>
    <row r="1851" spans="1:8" x14ac:dyDescent="0.35">
      <c r="A1851">
        <v>6001240100073</v>
      </c>
      <c r="B1851" t="s">
        <v>349</v>
      </c>
      <c r="C1851" t="s">
        <v>81</v>
      </c>
      <c r="D1851" t="s">
        <v>2157</v>
      </c>
      <c r="E1851" t="s">
        <v>73</v>
      </c>
      <c r="F1851" t="s">
        <v>2085</v>
      </c>
      <c r="G1851" t="s">
        <v>41</v>
      </c>
      <c r="H1851">
        <v>165</v>
      </c>
    </row>
    <row r="1852" spans="1:8" x14ac:dyDescent="0.35">
      <c r="A1852">
        <v>6001240100660</v>
      </c>
      <c r="B1852" t="s">
        <v>2158</v>
      </c>
      <c r="C1852" t="s">
        <v>81</v>
      </c>
      <c r="D1852" t="s">
        <v>2157</v>
      </c>
      <c r="E1852" t="s">
        <v>73</v>
      </c>
      <c r="F1852" t="s">
        <v>2085</v>
      </c>
      <c r="G1852" t="s">
        <v>34</v>
      </c>
      <c r="H1852">
        <v>1</v>
      </c>
    </row>
    <row r="1853" spans="1:8" x14ac:dyDescent="0.35">
      <c r="A1853">
        <v>6001240100714</v>
      </c>
      <c r="B1853" t="s">
        <v>2159</v>
      </c>
      <c r="C1853" t="s">
        <v>81</v>
      </c>
      <c r="D1853" t="s">
        <v>2157</v>
      </c>
      <c r="E1853" t="s">
        <v>73</v>
      </c>
      <c r="F1853" t="s">
        <v>2085</v>
      </c>
      <c r="G1853" t="s">
        <v>33</v>
      </c>
      <c r="H1853">
        <v>7</v>
      </c>
    </row>
    <row r="1854" spans="1:8" x14ac:dyDescent="0.35">
      <c r="A1854">
        <v>6001240100714</v>
      </c>
      <c r="B1854" t="s">
        <v>2159</v>
      </c>
      <c r="C1854" t="s">
        <v>81</v>
      </c>
      <c r="D1854" t="s">
        <v>2157</v>
      </c>
      <c r="E1854" t="s">
        <v>73</v>
      </c>
      <c r="F1854" t="s">
        <v>2085</v>
      </c>
      <c r="G1854" t="s">
        <v>34</v>
      </c>
      <c r="H1854">
        <v>3</v>
      </c>
    </row>
    <row r="1855" spans="1:8" x14ac:dyDescent="0.35">
      <c r="A1855">
        <v>6001240200018</v>
      </c>
      <c r="B1855" t="s">
        <v>196</v>
      </c>
      <c r="C1855" t="s">
        <v>36</v>
      </c>
      <c r="D1855" t="s">
        <v>2157</v>
      </c>
      <c r="E1855" t="s">
        <v>73</v>
      </c>
      <c r="F1855" t="s">
        <v>2085</v>
      </c>
      <c r="G1855" t="s">
        <v>34</v>
      </c>
      <c r="H1855">
        <v>1</v>
      </c>
    </row>
    <row r="1856" spans="1:8" x14ac:dyDescent="0.35">
      <c r="A1856">
        <v>6001240229927</v>
      </c>
      <c r="B1856" t="s">
        <v>2160</v>
      </c>
      <c r="C1856" t="s">
        <v>192</v>
      </c>
      <c r="D1856" t="s">
        <v>1302</v>
      </c>
      <c r="E1856" t="s">
        <v>22</v>
      </c>
      <c r="F1856" t="s">
        <v>361</v>
      </c>
      <c r="G1856" t="s">
        <v>34</v>
      </c>
      <c r="H1856">
        <v>1</v>
      </c>
    </row>
    <row r="1857" spans="1:8" x14ac:dyDescent="0.35">
      <c r="A1857">
        <v>6001240229927</v>
      </c>
      <c r="B1857" t="s">
        <v>2160</v>
      </c>
      <c r="C1857" t="s">
        <v>192</v>
      </c>
      <c r="D1857" t="s">
        <v>1302</v>
      </c>
      <c r="E1857" t="s">
        <v>22</v>
      </c>
      <c r="F1857" t="s">
        <v>361</v>
      </c>
      <c r="G1857" t="s">
        <v>73</v>
      </c>
      <c r="H1857">
        <v>1</v>
      </c>
    </row>
    <row r="1858" spans="1:8" x14ac:dyDescent="0.35">
      <c r="A1858">
        <v>6001240229941</v>
      </c>
      <c r="B1858" t="s">
        <v>2161</v>
      </c>
      <c r="C1858" t="s">
        <v>192</v>
      </c>
      <c r="D1858" t="s">
        <v>1302</v>
      </c>
      <c r="E1858" t="s">
        <v>22</v>
      </c>
      <c r="F1858" t="s">
        <v>361</v>
      </c>
      <c r="G1858" t="s">
        <v>34</v>
      </c>
      <c r="H1858">
        <v>3</v>
      </c>
    </row>
    <row r="1859" spans="1:8" x14ac:dyDescent="0.35">
      <c r="A1859">
        <v>6001240240960</v>
      </c>
      <c r="B1859" t="s">
        <v>2162</v>
      </c>
      <c r="C1859" t="s">
        <v>110</v>
      </c>
      <c r="D1859" t="s">
        <v>2157</v>
      </c>
      <c r="E1859" t="s">
        <v>73</v>
      </c>
      <c r="F1859" t="s">
        <v>2085</v>
      </c>
      <c r="G1859" t="s">
        <v>34</v>
      </c>
      <c r="H1859">
        <v>1</v>
      </c>
    </row>
    <row r="1860" spans="1:8" x14ac:dyDescent="0.35">
      <c r="A1860">
        <v>6001285007122</v>
      </c>
      <c r="B1860" t="s">
        <v>2163</v>
      </c>
      <c r="C1860" t="s">
        <v>81</v>
      </c>
      <c r="D1860" t="s">
        <v>2157</v>
      </c>
      <c r="E1860" t="s">
        <v>73</v>
      </c>
      <c r="F1860" t="s">
        <v>2085</v>
      </c>
      <c r="G1860" t="s">
        <v>34</v>
      </c>
      <c r="H1860">
        <v>2</v>
      </c>
    </row>
    <row r="1861" spans="1:8" x14ac:dyDescent="0.35">
      <c r="A1861">
        <v>6001285007146</v>
      </c>
      <c r="B1861" t="s">
        <v>2164</v>
      </c>
      <c r="C1861" t="s">
        <v>81</v>
      </c>
      <c r="D1861" t="s">
        <v>2157</v>
      </c>
      <c r="E1861" t="s">
        <v>73</v>
      </c>
      <c r="F1861" t="s">
        <v>2085</v>
      </c>
      <c r="G1861" t="s">
        <v>34</v>
      </c>
      <c r="H1861">
        <v>1</v>
      </c>
    </row>
    <row r="1862" spans="1:8" x14ac:dyDescent="0.35">
      <c r="A1862">
        <v>6001285007160</v>
      </c>
      <c r="B1862" t="s">
        <v>2165</v>
      </c>
      <c r="C1862" t="s">
        <v>81</v>
      </c>
      <c r="D1862" t="s">
        <v>2157</v>
      </c>
      <c r="E1862" t="s">
        <v>73</v>
      </c>
      <c r="F1862" t="s">
        <v>2085</v>
      </c>
      <c r="G1862" t="s">
        <v>34</v>
      </c>
      <c r="H1862">
        <v>5</v>
      </c>
    </row>
    <row r="1863" spans="1:8" x14ac:dyDescent="0.35">
      <c r="A1863">
        <v>6001298043605</v>
      </c>
      <c r="B1863" t="s">
        <v>2166</v>
      </c>
      <c r="C1863" t="s">
        <v>9</v>
      </c>
      <c r="D1863" t="s">
        <v>2167</v>
      </c>
      <c r="E1863" t="s">
        <v>15</v>
      </c>
      <c r="F1863" t="s">
        <v>1831</v>
      </c>
      <c r="G1863" t="s">
        <v>73</v>
      </c>
      <c r="H1863">
        <v>4</v>
      </c>
    </row>
    <row r="1864" spans="1:8" x14ac:dyDescent="0.35">
      <c r="A1864">
        <v>6001299000270</v>
      </c>
      <c r="B1864" t="s">
        <v>2168</v>
      </c>
      <c r="C1864" t="s">
        <v>78</v>
      </c>
      <c r="D1864" t="s">
        <v>1245</v>
      </c>
      <c r="E1864" t="s">
        <v>73</v>
      </c>
      <c r="F1864" t="s">
        <v>1246</v>
      </c>
      <c r="G1864" t="s">
        <v>73</v>
      </c>
      <c r="H1864">
        <v>5</v>
      </c>
    </row>
    <row r="1865" spans="1:8" x14ac:dyDescent="0.35">
      <c r="A1865">
        <v>6001299003325</v>
      </c>
      <c r="B1865" t="s">
        <v>2169</v>
      </c>
      <c r="C1865" t="s">
        <v>43</v>
      </c>
      <c r="D1865" t="s">
        <v>1245</v>
      </c>
      <c r="E1865" t="s">
        <v>73</v>
      </c>
      <c r="F1865" t="s">
        <v>1246</v>
      </c>
      <c r="G1865" t="s">
        <v>34</v>
      </c>
      <c r="H1865">
        <v>2</v>
      </c>
    </row>
    <row r="1866" spans="1:8" x14ac:dyDescent="0.35">
      <c r="A1866">
        <v>6001299003325</v>
      </c>
      <c r="B1866" t="s">
        <v>2169</v>
      </c>
      <c r="C1866" t="s">
        <v>43</v>
      </c>
      <c r="D1866" t="s">
        <v>1245</v>
      </c>
      <c r="E1866" t="s">
        <v>73</v>
      </c>
      <c r="F1866" t="s">
        <v>1246</v>
      </c>
      <c r="G1866" t="s">
        <v>150</v>
      </c>
      <c r="H1866">
        <v>6</v>
      </c>
    </row>
    <row r="1867" spans="1:8" x14ac:dyDescent="0.35">
      <c r="A1867">
        <v>6001299007972</v>
      </c>
      <c r="B1867" t="s">
        <v>2170</v>
      </c>
      <c r="C1867" t="s">
        <v>9</v>
      </c>
      <c r="D1867" t="s">
        <v>1245</v>
      </c>
      <c r="E1867" t="s">
        <v>73</v>
      </c>
      <c r="F1867" t="s">
        <v>1246</v>
      </c>
      <c r="G1867" t="s">
        <v>34</v>
      </c>
      <c r="H1867">
        <v>1</v>
      </c>
    </row>
    <row r="1868" spans="1:8" x14ac:dyDescent="0.35">
      <c r="A1868">
        <v>6001299008061</v>
      </c>
      <c r="B1868" t="s">
        <v>167</v>
      </c>
      <c r="C1868" t="s">
        <v>78</v>
      </c>
      <c r="D1868" t="s">
        <v>2170</v>
      </c>
      <c r="E1868" t="s">
        <v>308</v>
      </c>
      <c r="F1868" t="s">
        <v>309</v>
      </c>
      <c r="G1868" t="s">
        <v>34</v>
      </c>
      <c r="H1868">
        <v>2</v>
      </c>
    </row>
    <row r="1869" spans="1:8" x14ac:dyDescent="0.35">
      <c r="A1869">
        <v>6001299008122</v>
      </c>
      <c r="B1869" t="s">
        <v>2171</v>
      </c>
      <c r="C1869" t="s">
        <v>78</v>
      </c>
      <c r="D1869" t="s">
        <v>2170</v>
      </c>
      <c r="E1869" t="s">
        <v>308</v>
      </c>
      <c r="F1869" t="s">
        <v>309</v>
      </c>
      <c r="G1869" t="s">
        <v>34</v>
      </c>
      <c r="H1869">
        <v>2</v>
      </c>
    </row>
    <row r="1870" spans="1:8" x14ac:dyDescent="0.35">
      <c r="A1870">
        <v>6001299016608</v>
      </c>
      <c r="B1870" t="s">
        <v>2172</v>
      </c>
      <c r="C1870" t="s">
        <v>81</v>
      </c>
      <c r="D1870" t="s">
        <v>1245</v>
      </c>
      <c r="E1870" t="s">
        <v>73</v>
      </c>
      <c r="F1870" t="s">
        <v>1246</v>
      </c>
      <c r="G1870" t="s">
        <v>33</v>
      </c>
      <c r="H1870">
        <v>50</v>
      </c>
    </row>
    <row r="1871" spans="1:8" x14ac:dyDescent="0.35">
      <c r="A1871">
        <v>6001299016608</v>
      </c>
      <c r="B1871" t="s">
        <v>2172</v>
      </c>
      <c r="C1871" t="s">
        <v>81</v>
      </c>
      <c r="D1871" t="s">
        <v>1245</v>
      </c>
      <c r="E1871" t="s">
        <v>73</v>
      </c>
      <c r="F1871" t="s">
        <v>1246</v>
      </c>
      <c r="G1871" t="s">
        <v>34</v>
      </c>
      <c r="H1871">
        <v>50</v>
      </c>
    </row>
    <row r="1872" spans="1:8" x14ac:dyDescent="0.35">
      <c r="A1872">
        <v>6001299019678</v>
      </c>
      <c r="B1872" t="s">
        <v>2173</v>
      </c>
      <c r="C1872" t="s">
        <v>110</v>
      </c>
      <c r="D1872" t="s">
        <v>1245</v>
      </c>
      <c r="E1872" t="s">
        <v>73</v>
      </c>
      <c r="F1872" t="s">
        <v>1246</v>
      </c>
      <c r="G1872" t="s">
        <v>34</v>
      </c>
      <c r="H1872">
        <v>2</v>
      </c>
    </row>
    <row r="1873" spans="1:8" x14ac:dyDescent="0.35">
      <c r="A1873">
        <v>6001299024931</v>
      </c>
      <c r="B1873" t="s">
        <v>2174</v>
      </c>
      <c r="C1873" t="s">
        <v>38</v>
      </c>
      <c r="D1873" t="s">
        <v>1245</v>
      </c>
      <c r="E1873" t="s">
        <v>73</v>
      </c>
      <c r="F1873" t="s">
        <v>1246</v>
      </c>
      <c r="G1873" t="s">
        <v>73</v>
      </c>
      <c r="H1873">
        <v>25</v>
      </c>
    </row>
    <row r="1874" spans="1:8" x14ac:dyDescent="0.35">
      <c r="A1874">
        <v>6001299025402</v>
      </c>
      <c r="B1874" t="s">
        <v>2175</v>
      </c>
      <c r="C1874" t="s">
        <v>81</v>
      </c>
      <c r="D1874" t="s">
        <v>1245</v>
      </c>
      <c r="E1874" t="s">
        <v>73</v>
      </c>
      <c r="F1874" t="s">
        <v>1246</v>
      </c>
      <c r="G1874" t="s">
        <v>73</v>
      </c>
      <c r="H1874">
        <v>1</v>
      </c>
    </row>
    <row r="1875" spans="1:8" x14ac:dyDescent="0.35">
      <c r="A1875">
        <v>6001299026973</v>
      </c>
      <c r="B1875" t="s">
        <v>2176</v>
      </c>
      <c r="C1875" t="s">
        <v>81</v>
      </c>
      <c r="D1875" t="s">
        <v>1245</v>
      </c>
      <c r="E1875" t="s">
        <v>73</v>
      </c>
      <c r="F1875" t="s">
        <v>1246</v>
      </c>
      <c r="G1875" t="s">
        <v>34</v>
      </c>
      <c r="H1875">
        <v>4</v>
      </c>
    </row>
    <row r="1876" spans="1:8" x14ac:dyDescent="0.35">
      <c r="A1876">
        <v>6001299027284</v>
      </c>
      <c r="B1876" t="s">
        <v>2177</v>
      </c>
      <c r="C1876" t="s">
        <v>2089</v>
      </c>
      <c r="D1876" t="s">
        <v>1245</v>
      </c>
      <c r="E1876" t="s">
        <v>73</v>
      </c>
      <c r="F1876" t="s">
        <v>1246</v>
      </c>
      <c r="G1876" t="s">
        <v>34</v>
      </c>
      <c r="H1876">
        <v>1</v>
      </c>
    </row>
    <row r="1877" spans="1:8" x14ac:dyDescent="0.35">
      <c r="A1877">
        <v>6001299033667</v>
      </c>
      <c r="B1877" t="s">
        <v>2178</v>
      </c>
      <c r="C1877" t="s">
        <v>2179</v>
      </c>
      <c r="D1877" t="s">
        <v>1245</v>
      </c>
      <c r="E1877" t="s">
        <v>73</v>
      </c>
      <c r="F1877" t="s">
        <v>1246</v>
      </c>
      <c r="G1877" t="s">
        <v>73</v>
      </c>
      <c r="H1877">
        <v>1</v>
      </c>
    </row>
    <row r="1878" spans="1:8" x14ac:dyDescent="0.35">
      <c r="A1878">
        <v>6001299033674</v>
      </c>
      <c r="B1878" t="s">
        <v>2180</v>
      </c>
      <c r="C1878" t="s">
        <v>2179</v>
      </c>
      <c r="D1878" t="s">
        <v>1245</v>
      </c>
      <c r="E1878" t="s">
        <v>73</v>
      </c>
      <c r="F1878" t="s">
        <v>1246</v>
      </c>
      <c r="G1878" t="s">
        <v>73</v>
      </c>
      <c r="H1878">
        <v>1</v>
      </c>
    </row>
    <row r="1879" spans="1:8" x14ac:dyDescent="0.35">
      <c r="A1879">
        <v>6001299034763</v>
      </c>
      <c r="B1879" t="s">
        <v>2181</v>
      </c>
      <c r="C1879" t="s">
        <v>94</v>
      </c>
      <c r="D1879" t="s">
        <v>1245</v>
      </c>
      <c r="E1879" t="s">
        <v>73</v>
      </c>
      <c r="F1879" t="s">
        <v>1246</v>
      </c>
      <c r="G1879" t="s">
        <v>34</v>
      </c>
      <c r="H1879">
        <v>1</v>
      </c>
    </row>
    <row r="1880" spans="1:8" x14ac:dyDescent="0.35">
      <c r="A1880">
        <v>6001299043574</v>
      </c>
      <c r="B1880" t="s">
        <v>2182</v>
      </c>
      <c r="C1880" t="s">
        <v>9</v>
      </c>
      <c r="D1880" t="s">
        <v>1245</v>
      </c>
      <c r="E1880" t="s">
        <v>73</v>
      </c>
      <c r="F1880" t="s">
        <v>1246</v>
      </c>
      <c r="G1880" t="s">
        <v>34</v>
      </c>
      <c r="H1880">
        <v>5</v>
      </c>
    </row>
    <row r="1881" spans="1:8" x14ac:dyDescent="0.35">
      <c r="A1881">
        <v>6001299043574</v>
      </c>
      <c r="B1881" t="s">
        <v>2182</v>
      </c>
      <c r="C1881" t="s">
        <v>9</v>
      </c>
      <c r="D1881" t="s">
        <v>1245</v>
      </c>
      <c r="E1881" t="s">
        <v>73</v>
      </c>
      <c r="F1881" t="s">
        <v>1246</v>
      </c>
      <c r="G1881" t="s">
        <v>150</v>
      </c>
      <c r="H1881">
        <v>1</v>
      </c>
    </row>
    <row r="1882" spans="1:8" x14ac:dyDescent="0.35">
      <c r="A1882">
        <v>6001299044601</v>
      </c>
      <c r="B1882" t="s">
        <v>2183</v>
      </c>
      <c r="C1882" t="s">
        <v>38</v>
      </c>
      <c r="D1882" t="s">
        <v>1245</v>
      </c>
      <c r="E1882" t="s">
        <v>73</v>
      </c>
      <c r="F1882" t="s">
        <v>1246</v>
      </c>
      <c r="G1882" t="s">
        <v>33</v>
      </c>
      <c r="H1882">
        <v>38</v>
      </c>
    </row>
    <row r="1883" spans="1:8" x14ac:dyDescent="0.35">
      <c r="A1883">
        <v>6001299044601</v>
      </c>
      <c r="B1883" t="s">
        <v>2183</v>
      </c>
      <c r="C1883" t="s">
        <v>38</v>
      </c>
      <c r="D1883" t="s">
        <v>1245</v>
      </c>
      <c r="E1883" t="s">
        <v>73</v>
      </c>
      <c r="F1883" t="s">
        <v>1246</v>
      </c>
      <c r="G1883" t="s">
        <v>34</v>
      </c>
      <c r="H1883">
        <v>8</v>
      </c>
    </row>
    <row r="1884" spans="1:8" x14ac:dyDescent="0.35">
      <c r="A1884">
        <v>6001299044601</v>
      </c>
      <c r="B1884" t="s">
        <v>2183</v>
      </c>
      <c r="C1884" t="s">
        <v>38</v>
      </c>
      <c r="D1884" t="s">
        <v>1245</v>
      </c>
      <c r="E1884" t="s">
        <v>73</v>
      </c>
      <c r="F1884" t="s">
        <v>1246</v>
      </c>
      <c r="G1884" t="s">
        <v>73</v>
      </c>
      <c r="H1884">
        <v>1</v>
      </c>
    </row>
    <row r="1885" spans="1:8" x14ac:dyDescent="0.35">
      <c r="A1885">
        <v>6001299049668</v>
      </c>
      <c r="B1885" t="s">
        <v>2184</v>
      </c>
      <c r="C1885" t="s">
        <v>9</v>
      </c>
      <c r="D1885" t="s">
        <v>1245</v>
      </c>
      <c r="E1885" t="s">
        <v>73</v>
      </c>
      <c r="F1885" t="s">
        <v>1246</v>
      </c>
      <c r="G1885" t="s">
        <v>34</v>
      </c>
      <c r="H1885">
        <v>1</v>
      </c>
    </row>
    <row r="1886" spans="1:8" x14ac:dyDescent="0.35">
      <c r="A1886">
        <v>6001299620140</v>
      </c>
      <c r="B1886" t="s">
        <v>2185</v>
      </c>
      <c r="C1886" t="s">
        <v>2186</v>
      </c>
      <c r="D1886" t="s">
        <v>1245</v>
      </c>
      <c r="E1886" t="s">
        <v>73</v>
      </c>
      <c r="F1886" t="s">
        <v>1246</v>
      </c>
      <c r="G1886" t="s">
        <v>34</v>
      </c>
      <c r="H1886">
        <v>4</v>
      </c>
    </row>
    <row r="1887" spans="1:8" x14ac:dyDescent="0.35">
      <c r="A1887">
        <v>6001299695216</v>
      </c>
      <c r="B1887" t="s">
        <v>2187</v>
      </c>
      <c r="C1887" t="s">
        <v>419</v>
      </c>
      <c r="D1887" t="s">
        <v>1245</v>
      </c>
      <c r="E1887" t="s">
        <v>73</v>
      </c>
      <c r="F1887" t="s">
        <v>1246</v>
      </c>
      <c r="G1887" t="s">
        <v>34</v>
      </c>
      <c r="H1887">
        <v>1</v>
      </c>
    </row>
    <row r="1888" spans="1:8" x14ac:dyDescent="0.35">
      <c r="A1888">
        <v>6001299695216</v>
      </c>
      <c r="B1888" t="s">
        <v>2187</v>
      </c>
      <c r="C1888" t="s">
        <v>419</v>
      </c>
      <c r="D1888" t="s">
        <v>1245</v>
      </c>
      <c r="E1888" t="s">
        <v>73</v>
      </c>
      <c r="F1888" t="s">
        <v>1246</v>
      </c>
      <c r="G1888" t="s">
        <v>73</v>
      </c>
      <c r="H1888">
        <v>1</v>
      </c>
    </row>
    <row r="1889" spans="1:8" x14ac:dyDescent="0.35">
      <c r="A1889">
        <v>6001299810312</v>
      </c>
      <c r="B1889" t="s">
        <v>2188</v>
      </c>
      <c r="C1889" t="s">
        <v>43</v>
      </c>
      <c r="D1889" t="s">
        <v>1245</v>
      </c>
      <c r="E1889" t="s">
        <v>73</v>
      </c>
      <c r="F1889" t="s">
        <v>1246</v>
      </c>
      <c r="G1889" t="s">
        <v>31</v>
      </c>
      <c r="H1889">
        <v>1</v>
      </c>
    </row>
    <row r="1890" spans="1:8" x14ac:dyDescent="0.35">
      <c r="A1890">
        <v>6001299810312</v>
      </c>
      <c r="B1890" t="s">
        <v>2188</v>
      </c>
      <c r="C1890" t="s">
        <v>43</v>
      </c>
      <c r="D1890" t="s">
        <v>1245</v>
      </c>
      <c r="E1890" t="s">
        <v>73</v>
      </c>
      <c r="F1890" t="s">
        <v>1246</v>
      </c>
      <c r="G1890" t="s">
        <v>73</v>
      </c>
      <c r="H1890">
        <v>8</v>
      </c>
    </row>
    <row r="1891" spans="1:8" x14ac:dyDescent="0.35">
      <c r="A1891">
        <v>6001324011172</v>
      </c>
      <c r="B1891" t="s">
        <v>2189</v>
      </c>
      <c r="C1891" t="s">
        <v>78</v>
      </c>
      <c r="D1891" t="s">
        <v>2190</v>
      </c>
      <c r="E1891" t="s">
        <v>73</v>
      </c>
      <c r="F1891" t="s">
        <v>2103</v>
      </c>
      <c r="G1891" t="s">
        <v>34</v>
      </c>
      <c r="H1891">
        <v>43</v>
      </c>
    </row>
    <row r="1892" spans="1:8" x14ac:dyDescent="0.35">
      <c r="A1892">
        <v>6001324011172</v>
      </c>
      <c r="B1892" t="s">
        <v>2189</v>
      </c>
      <c r="C1892" t="s">
        <v>78</v>
      </c>
      <c r="D1892" t="s">
        <v>2190</v>
      </c>
      <c r="E1892" t="s">
        <v>73</v>
      </c>
      <c r="F1892" t="s">
        <v>2103</v>
      </c>
      <c r="G1892" t="s">
        <v>73</v>
      </c>
      <c r="H1892">
        <v>2</v>
      </c>
    </row>
    <row r="1893" spans="1:8" x14ac:dyDescent="0.35">
      <c r="A1893">
        <v>6001324011202</v>
      </c>
      <c r="B1893" t="s">
        <v>2189</v>
      </c>
      <c r="C1893" t="s">
        <v>81</v>
      </c>
      <c r="D1893" t="s">
        <v>2190</v>
      </c>
      <c r="E1893" t="s">
        <v>73</v>
      </c>
      <c r="F1893" t="s">
        <v>2103</v>
      </c>
      <c r="G1893" t="s">
        <v>34</v>
      </c>
      <c r="H1893">
        <v>12</v>
      </c>
    </row>
    <row r="1894" spans="1:8" x14ac:dyDescent="0.35">
      <c r="A1894">
        <v>6001324217253</v>
      </c>
      <c r="B1894" t="s">
        <v>2191</v>
      </c>
      <c r="C1894" t="s">
        <v>9</v>
      </c>
      <c r="D1894" t="s">
        <v>2192</v>
      </c>
      <c r="E1894" t="s">
        <v>73</v>
      </c>
      <c r="F1894" t="s">
        <v>2103</v>
      </c>
      <c r="G1894" t="s">
        <v>34</v>
      </c>
      <c r="H1894">
        <v>42</v>
      </c>
    </row>
    <row r="1895" spans="1:8" x14ac:dyDescent="0.35">
      <c r="A1895">
        <v>6001324238173</v>
      </c>
      <c r="B1895" t="s">
        <v>2193</v>
      </c>
      <c r="C1895" t="s">
        <v>9</v>
      </c>
      <c r="D1895" t="s">
        <v>2192</v>
      </c>
      <c r="E1895" t="s">
        <v>73</v>
      </c>
      <c r="F1895" t="s">
        <v>2103</v>
      </c>
      <c r="G1895" t="s">
        <v>34</v>
      </c>
      <c r="H1895">
        <v>1</v>
      </c>
    </row>
    <row r="1896" spans="1:8" x14ac:dyDescent="0.35">
      <c r="A1896">
        <v>6001324238173</v>
      </c>
      <c r="B1896" t="s">
        <v>2193</v>
      </c>
      <c r="C1896" t="s">
        <v>9</v>
      </c>
      <c r="D1896" t="s">
        <v>2192</v>
      </c>
      <c r="E1896" t="s">
        <v>73</v>
      </c>
      <c r="F1896" t="s">
        <v>2103</v>
      </c>
      <c r="G1896" t="s">
        <v>73</v>
      </c>
      <c r="H1896">
        <v>3</v>
      </c>
    </row>
    <row r="1897" spans="1:8" x14ac:dyDescent="0.35">
      <c r="A1897">
        <v>6001324254371</v>
      </c>
      <c r="B1897" t="s">
        <v>2194</v>
      </c>
      <c r="C1897" t="s">
        <v>9</v>
      </c>
      <c r="D1897" t="s">
        <v>2192</v>
      </c>
      <c r="E1897" t="s">
        <v>73</v>
      </c>
      <c r="F1897" t="s">
        <v>2103</v>
      </c>
      <c r="G1897" t="s">
        <v>73</v>
      </c>
      <c r="H1897">
        <v>4</v>
      </c>
    </row>
    <row r="1898" spans="1:8" x14ac:dyDescent="0.35">
      <c r="A1898">
        <v>6001324299556</v>
      </c>
      <c r="B1898" t="s">
        <v>2195</v>
      </c>
      <c r="C1898" t="s">
        <v>9</v>
      </c>
      <c r="D1898" t="s">
        <v>2192</v>
      </c>
      <c r="E1898" t="s">
        <v>73</v>
      </c>
      <c r="F1898" t="s">
        <v>2103</v>
      </c>
      <c r="G1898" t="s">
        <v>34</v>
      </c>
      <c r="H1898">
        <v>1</v>
      </c>
    </row>
    <row r="1899" spans="1:8" x14ac:dyDescent="0.35">
      <c r="A1899">
        <v>6001351000521</v>
      </c>
      <c r="B1899" t="s">
        <v>2196</v>
      </c>
      <c r="C1899" t="s">
        <v>173</v>
      </c>
      <c r="D1899" t="s">
        <v>2197</v>
      </c>
      <c r="E1899" t="s">
        <v>22</v>
      </c>
      <c r="F1899" t="s">
        <v>2198</v>
      </c>
      <c r="G1899" t="s">
        <v>34</v>
      </c>
      <c r="H1899">
        <v>3</v>
      </c>
    </row>
    <row r="1900" spans="1:8" x14ac:dyDescent="0.35">
      <c r="A1900">
        <v>6001351000521</v>
      </c>
      <c r="B1900" t="s">
        <v>2196</v>
      </c>
      <c r="C1900" t="s">
        <v>173</v>
      </c>
      <c r="D1900" t="s">
        <v>2197</v>
      </c>
      <c r="E1900" t="s">
        <v>22</v>
      </c>
      <c r="F1900" t="s">
        <v>2198</v>
      </c>
      <c r="G1900" t="s">
        <v>150</v>
      </c>
      <c r="H1900">
        <v>5</v>
      </c>
    </row>
    <row r="1901" spans="1:8" x14ac:dyDescent="0.35">
      <c r="A1901">
        <v>6001351000521</v>
      </c>
      <c r="B1901" t="s">
        <v>2196</v>
      </c>
      <c r="C1901" t="s">
        <v>173</v>
      </c>
      <c r="D1901" t="s">
        <v>2197</v>
      </c>
      <c r="E1901" t="s">
        <v>22</v>
      </c>
      <c r="F1901" t="s">
        <v>2198</v>
      </c>
      <c r="G1901" t="s">
        <v>31</v>
      </c>
      <c r="H1901">
        <v>1</v>
      </c>
    </row>
    <row r="1902" spans="1:8" x14ac:dyDescent="0.35">
      <c r="A1902">
        <v>6001351000606</v>
      </c>
      <c r="B1902" t="s">
        <v>2199</v>
      </c>
      <c r="C1902" t="s">
        <v>9</v>
      </c>
      <c r="D1902" t="s">
        <v>2197</v>
      </c>
      <c r="E1902" t="s">
        <v>22</v>
      </c>
      <c r="F1902" t="s">
        <v>2198</v>
      </c>
      <c r="G1902" t="s">
        <v>33</v>
      </c>
      <c r="H1902">
        <v>5</v>
      </c>
    </row>
    <row r="1903" spans="1:8" x14ac:dyDescent="0.35">
      <c r="A1903">
        <v>6001374013331</v>
      </c>
      <c r="B1903" t="s">
        <v>2200</v>
      </c>
      <c r="C1903" t="s">
        <v>78</v>
      </c>
      <c r="D1903" t="s">
        <v>2201</v>
      </c>
      <c r="E1903" t="s">
        <v>73</v>
      </c>
      <c r="F1903" t="s">
        <v>2202</v>
      </c>
      <c r="G1903" t="s">
        <v>34</v>
      </c>
      <c r="H1903">
        <v>2</v>
      </c>
    </row>
    <row r="1904" spans="1:8" x14ac:dyDescent="0.35">
      <c r="A1904">
        <v>6001374081033</v>
      </c>
      <c r="B1904" t="s">
        <v>2203</v>
      </c>
      <c r="C1904" t="s">
        <v>9</v>
      </c>
      <c r="D1904" t="s">
        <v>2204</v>
      </c>
      <c r="E1904" t="s">
        <v>73</v>
      </c>
      <c r="F1904" t="s">
        <v>2202</v>
      </c>
      <c r="G1904" t="s">
        <v>73</v>
      </c>
      <c r="H1904">
        <v>1</v>
      </c>
    </row>
    <row r="1905" spans="1:8" x14ac:dyDescent="0.35">
      <c r="A1905">
        <v>6001374081491</v>
      </c>
      <c r="B1905" t="s">
        <v>2205</v>
      </c>
      <c r="C1905" t="s">
        <v>909</v>
      </c>
      <c r="D1905" t="s">
        <v>2204</v>
      </c>
      <c r="E1905" t="s">
        <v>73</v>
      </c>
      <c r="F1905" t="s">
        <v>2202</v>
      </c>
      <c r="G1905" t="s">
        <v>73</v>
      </c>
      <c r="H1905">
        <v>1</v>
      </c>
    </row>
    <row r="1906" spans="1:8" x14ac:dyDescent="0.35">
      <c r="A1906">
        <v>6001374082245</v>
      </c>
      <c r="B1906" t="s">
        <v>2206</v>
      </c>
      <c r="C1906" t="s">
        <v>758</v>
      </c>
      <c r="D1906" t="s">
        <v>2204</v>
      </c>
      <c r="E1906" t="s">
        <v>73</v>
      </c>
      <c r="F1906" t="s">
        <v>2202</v>
      </c>
      <c r="G1906" t="s">
        <v>33</v>
      </c>
      <c r="H1906">
        <v>50</v>
      </c>
    </row>
    <row r="1907" spans="1:8" x14ac:dyDescent="0.35">
      <c r="A1907">
        <v>6001374082245</v>
      </c>
      <c r="B1907" t="s">
        <v>2206</v>
      </c>
      <c r="C1907" t="s">
        <v>758</v>
      </c>
      <c r="D1907" t="s">
        <v>2204</v>
      </c>
      <c r="E1907" t="s">
        <v>73</v>
      </c>
      <c r="F1907" t="s">
        <v>2202</v>
      </c>
      <c r="G1907" t="s">
        <v>34</v>
      </c>
      <c r="H1907">
        <v>1</v>
      </c>
    </row>
    <row r="1908" spans="1:8" x14ac:dyDescent="0.35">
      <c r="A1908">
        <v>6001461786056</v>
      </c>
      <c r="B1908" t="s">
        <v>1463</v>
      </c>
      <c r="C1908" t="s">
        <v>75</v>
      </c>
      <c r="D1908" t="s">
        <v>2207</v>
      </c>
      <c r="E1908" t="s">
        <v>73</v>
      </c>
      <c r="F1908" t="s">
        <v>2208</v>
      </c>
      <c r="G1908" t="s">
        <v>34</v>
      </c>
      <c r="H1908">
        <v>24</v>
      </c>
    </row>
    <row r="1909" spans="1:8" x14ac:dyDescent="0.35">
      <c r="A1909">
        <v>6001495200146</v>
      </c>
      <c r="B1909" t="s">
        <v>2209</v>
      </c>
      <c r="C1909" t="s">
        <v>128</v>
      </c>
      <c r="D1909" t="s">
        <v>2209</v>
      </c>
      <c r="E1909" t="s">
        <v>1201</v>
      </c>
      <c r="F1909" t="s">
        <v>1202</v>
      </c>
      <c r="G1909" t="s">
        <v>61</v>
      </c>
      <c r="H1909">
        <v>6</v>
      </c>
    </row>
    <row r="1910" spans="1:8" x14ac:dyDescent="0.35">
      <c r="A1910">
        <v>6001495203055</v>
      </c>
      <c r="B1910" t="s">
        <v>2210</v>
      </c>
      <c r="C1910" t="s">
        <v>326</v>
      </c>
      <c r="D1910" t="s">
        <v>2209</v>
      </c>
      <c r="E1910" t="s">
        <v>1201</v>
      </c>
      <c r="F1910" t="s">
        <v>1202</v>
      </c>
      <c r="G1910" t="s">
        <v>61</v>
      </c>
      <c r="H1910">
        <v>9</v>
      </c>
    </row>
    <row r="1911" spans="1:8" x14ac:dyDescent="0.35">
      <c r="A1911">
        <v>6001526050047</v>
      </c>
      <c r="B1911" t="s">
        <v>2211</v>
      </c>
      <c r="C1911" t="s">
        <v>81</v>
      </c>
      <c r="D1911" t="s">
        <v>2212</v>
      </c>
      <c r="E1911" t="s">
        <v>22</v>
      </c>
      <c r="F1911" t="s">
        <v>2213</v>
      </c>
      <c r="G1911" t="s">
        <v>34</v>
      </c>
      <c r="H1911">
        <v>1</v>
      </c>
    </row>
    <row r="1912" spans="1:8" x14ac:dyDescent="0.35">
      <c r="A1912">
        <v>6001526050047</v>
      </c>
      <c r="B1912" t="s">
        <v>2211</v>
      </c>
      <c r="C1912" t="s">
        <v>81</v>
      </c>
      <c r="D1912" t="s">
        <v>2212</v>
      </c>
      <c r="E1912" t="s">
        <v>22</v>
      </c>
      <c r="F1912" t="s">
        <v>2213</v>
      </c>
      <c r="G1912" t="s">
        <v>31</v>
      </c>
      <c r="H1912">
        <v>1</v>
      </c>
    </row>
    <row r="1913" spans="1:8" x14ac:dyDescent="0.35">
      <c r="A1913">
        <v>6001526052041</v>
      </c>
      <c r="B1913" t="s">
        <v>2214</v>
      </c>
      <c r="C1913" t="s">
        <v>1580</v>
      </c>
      <c r="D1913" t="s">
        <v>2212</v>
      </c>
      <c r="E1913" t="s">
        <v>22</v>
      </c>
      <c r="F1913" t="s">
        <v>2213</v>
      </c>
      <c r="G1913" t="s">
        <v>73</v>
      </c>
      <c r="H1913">
        <v>1</v>
      </c>
    </row>
    <row r="1914" spans="1:8" x14ac:dyDescent="0.35">
      <c r="A1914">
        <v>6001565009020</v>
      </c>
      <c r="B1914" t="s">
        <v>2215</v>
      </c>
      <c r="C1914" t="s">
        <v>610</v>
      </c>
      <c r="D1914" t="s">
        <v>2216</v>
      </c>
      <c r="E1914" t="s">
        <v>578</v>
      </c>
      <c r="F1914" t="s">
        <v>2217</v>
      </c>
      <c r="G1914" t="s">
        <v>578</v>
      </c>
      <c r="H1914">
        <v>1</v>
      </c>
    </row>
    <row r="1915" spans="1:8" x14ac:dyDescent="0.35">
      <c r="A1915">
        <v>6001565009037</v>
      </c>
      <c r="B1915" t="s">
        <v>2215</v>
      </c>
      <c r="C1915" t="s">
        <v>2218</v>
      </c>
      <c r="D1915" t="s">
        <v>2216</v>
      </c>
      <c r="E1915" t="s">
        <v>578</v>
      </c>
      <c r="F1915" t="s">
        <v>2217</v>
      </c>
      <c r="G1915" t="s">
        <v>33</v>
      </c>
      <c r="H1915">
        <v>3</v>
      </c>
    </row>
    <row r="1916" spans="1:8" x14ac:dyDescent="0.35">
      <c r="A1916">
        <v>6001565009037</v>
      </c>
      <c r="B1916" t="s">
        <v>2215</v>
      </c>
      <c r="C1916" t="s">
        <v>2218</v>
      </c>
      <c r="D1916" t="s">
        <v>2216</v>
      </c>
      <c r="E1916" t="s">
        <v>578</v>
      </c>
      <c r="F1916" t="s">
        <v>2217</v>
      </c>
      <c r="G1916" t="s">
        <v>34</v>
      </c>
      <c r="H1916">
        <v>1</v>
      </c>
    </row>
    <row r="1917" spans="1:8" x14ac:dyDescent="0.35">
      <c r="A1917">
        <v>6001565009037</v>
      </c>
      <c r="B1917" t="s">
        <v>2215</v>
      </c>
      <c r="C1917" t="s">
        <v>2218</v>
      </c>
      <c r="D1917" t="s">
        <v>2216</v>
      </c>
      <c r="E1917" t="s">
        <v>578</v>
      </c>
      <c r="F1917" t="s">
        <v>2217</v>
      </c>
      <c r="G1917" t="s">
        <v>578</v>
      </c>
      <c r="H1917">
        <v>1</v>
      </c>
    </row>
    <row r="1918" spans="1:8" x14ac:dyDescent="0.35">
      <c r="A1918">
        <v>6001565009044</v>
      </c>
      <c r="B1918" t="s">
        <v>2215</v>
      </c>
      <c r="C1918" t="s">
        <v>2219</v>
      </c>
      <c r="D1918" t="s">
        <v>2216</v>
      </c>
      <c r="E1918" t="s">
        <v>578</v>
      </c>
      <c r="F1918" t="s">
        <v>2217</v>
      </c>
      <c r="G1918" t="s">
        <v>34</v>
      </c>
      <c r="H1918">
        <v>1</v>
      </c>
    </row>
    <row r="1919" spans="1:8" x14ac:dyDescent="0.35">
      <c r="A1919">
        <v>6001565023835</v>
      </c>
      <c r="B1919" t="s">
        <v>2220</v>
      </c>
      <c r="C1919" t="s">
        <v>78</v>
      </c>
      <c r="D1919" t="s">
        <v>2221</v>
      </c>
      <c r="E1919" t="s">
        <v>308</v>
      </c>
      <c r="F1919" t="s">
        <v>309</v>
      </c>
      <c r="G1919" t="s">
        <v>34</v>
      </c>
      <c r="H1919">
        <v>59</v>
      </c>
    </row>
    <row r="1920" spans="1:8" x14ac:dyDescent="0.35">
      <c r="A1920">
        <v>6001565023842</v>
      </c>
      <c r="B1920" t="s">
        <v>2215</v>
      </c>
      <c r="C1920" t="s">
        <v>75</v>
      </c>
      <c r="D1920" t="s">
        <v>2221</v>
      </c>
      <c r="E1920" t="s">
        <v>308</v>
      </c>
      <c r="F1920" t="s">
        <v>309</v>
      </c>
      <c r="G1920" t="s">
        <v>34</v>
      </c>
      <c r="H1920">
        <v>21</v>
      </c>
    </row>
    <row r="1921" spans="1:8" x14ac:dyDescent="0.35">
      <c r="A1921">
        <v>6001572991318</v>
      </c>
      <c r="B1921" t="s">
        <v>2222</v>
      </c>
      <c r="C1921" t="s">
        <v>9</v>
      </c>
      <c r="D1921" t="s">
        <v>2223</v>
      </c>
      <c r="E1921" t="s">
        <v>22</v>
      </c>
      <c r="F1921" t="s">
        <v>2224</v>
      </c>
      <c r="G1921" t="s">
        <v>34</v>
      </c>
      <c r="H1921">
        <v>1</v>
      </c>
    </row>
    <row r="1922" spans="1:8" x14ac:dyDescent="0.35">
      <c r="A1922">
        <v>6001582051095</v>
      </c>
      <c r="B1922" t="s">
        <v>2225</v>
      </c>
      <c r="C1922" t="s">
        <v>75</v>
      </c>
      <c r="D1922" t="s">
        <v>2226</v>
      </c>
      <c r="E1922" t="s">
        <v>2227</v>
      </c>
      <c r="F1922" t="s">
        <v>2228</v>
      </c>
      <c r="G1922" t="s">
        <v>34</v>
      </c>
      <c r="H1922">
        <v>6</v>
      </c>
    </row>
    <row r="1923" spans="1:8" x14ac:dyDescent="0.35">
      <c r="A1923">
        <v>6001582051132</v>
      </c>
      <c r="B1923" t="s">
        <v>2229</v>
      </c>
      <c r="C1923" t="s">
        <v>78</v>
      </c>
      <c r="D1923" t="s">
        <v>2226</v>
      </c>
      <c r="E1923" t="s">
        <v>2227</v>
      </c>
      <c r="F1923" t="s">
        <v>2228</v>
      </c>
      <c r="G1923" t="s">
        <v>34</v>
      </c>
      <c r="H1923">
        <v>4</v>
      </c>
    </row>
    <row r="1924" spans="1:8" x14ac:dyDescent="0.35">
      <c r="A1924">
        <v>6001651065497</v>
      </c>
      <c r="B1924" t="s">
        <v>2230</v>
      </c>
      <c r="C1924" t="s">
        <v>9</v>
      </c>
      <c r="D1924" t="s">
        <v>2231</v>
      </c>
      <c r="E1924" t="s">
        <v>150</v>
      </c>
      <c r="F1924" t="s">
        <v>2232</v>
      </c>
      <c r="G1924" t="s">
        <v>150</v>
      </c>
      <c r="H1924">
        <v>13</v>
      </c>
    </row>
    <row r="1925" spans="1:8" x14ac:dyDescent="0.35">
      <c r="A1925">
        <v>6001663003067</v>
      </c>
      <c r="B1925" t="s">
        <v>2067</v>
      </c>
      <c r="C1925" t="s">
        <v>610</v>
      </c>
      <c r="D1925" t="s">
        <v>2233</v>
      </c>
      <c r="E1925" t="s">
        <v>73</v>
      </c>
      <c r="F1925" t="s">
        <v>2234</v>
      </c>
      <c r="G1925" t="s">
        <v>34</v>
      </c>
      <c r="H1925">
        <v>3</v>
      </c>
    </row>
    <row r="1926" spans="1:8" x14ac:dyDescent="0.35">
      <c r="A1926">
        <v>6001663003630</v>
      </c>
      <c r="B1926" t="s">
        <v>2235</v>
      </c>
      <c r="C1926" t="s">
        <v>78</v>
      </c>
      <c r="D1926" t="s">
        <v>2233</v>
      </c>
      <c r="E1926" t="s">
        <v>73</v>
      </c>
      <c r="F1926" t="s">
        <v>2234</v>
      </c>
      <c r="G1926" t="s">
        <v>34</v>
      </c>
      <c r="H1926">
        <v>1</v>
      </c>
    </row>
    <row r="1927" spans="1:8" x14ac:dyDescent="0.35">
      <c r="A1927">
        <v>6001663008055</v>
      </c>
      <c r="B1927" t="s">
        <v>2236</v>
      </c>
      <c r="C1927" t="s">
        <v>43</v>
      </c>
      <c r="D1927" t="s">
        <v>2233</v>
      </c>
      <c r="E1927" t="s">
        <v>73</v>
      </c>
      <c r="F1927" t="s">
        <v>2234</v>
      </c>
      <c r="G1927" t="s">
        <v>34</v>
      </c>
      <c r="H1927">
        <v>1</v>
      </c>
    </row>
    <row r="1928" spans="1:8" x14ac:dyDescent="0.35">
      <c r="A1928">
        <v>60016973</v>
      </c>
      <c r="B1928" t="s">
        <v>2237</v>
      </c>
      <c r="C1928" t="s">
        <v>2238</v>
      </c>
      <c r="D1928" t="s">
        <v>2087</v>
      </c>
      <c r="E1928" t="s">
        <v>22</v>
      </c>
      <c r="F1928" t="s">
        <v>361</v>
      </c>
      <c r="G1928" t="s">
        <v>34</v>
      </c>
      <c r="H1928">
        <v>1</v>
      </c>
    </row>
    <row r="1929" spans="1:8" x14ac:dyDescent="0.35">
      <c r="A1929">
        <v>60017512</v>
      </c>
      <c r="B1929" t="s">
        <v>2239</v>
      </c>
      <c r="C1929" t="s">
        <v>66</v>
      </c>
      <c r="D1929" t="s">
        <v>1523</v>
      </c>
      <c r="E1929" t="s">
        <v>22</v>
      </c>
      <c r="F1929" t="s">
        <v>361</v>
      </c>
      <c r="G1929" t="s">
        <v>41</v>
      </c>
      <c r="H1929">
        <v>1</v>
      </c>
    </row>
    <row r="1930" spans="1:8" x14ac:dyDescent="0.35">
      <c r="A1930">
        <v>6001760005490</v>
      </c>
      <c r="B1930" t="s">
        <v>2240</v>
      </c>
      <c r="C1930" t="s">
        <v>603</v>
      </c>
      <c r="D1930" t="s">
        <v>2241</v>
      </c>
      <c r="E1930" t="s">
        <v>952</v>
      </c>
      <c r="F1930" t="s">
        <v>2242</v>
      </c>
      <c r="G1930" t="s">
        <v>61</v>
      </c>
      <c r="H1930">
        <v>15</v>
      </c>
    </row>
    <row r="1931" spans="1:8" x14ac:dyDescent="0.35">
      <c r="A1931">
        <v>6001878004033</v>
      </c>
      <c r="B1931" t="s">
        <v>2243</v>
      </c>
      <c r="C1931" t="s">
        <v>2244</v>
      </c>
      <c r="D1931" t="s">
        <v>2245</v>
      </c>
      <c r="E1931" t="s">
        <v>73</v>
      </c>
      <c r="F1931" t="s">
        <v>2246</v>
      </c>
      <c r="G1931" t="s">
        <v>34</v>
      </c>
      <c r="H1931">
        <v>1</v>
      </c>
    </row>
    <row r="1932" spans="1:8" x14ac:dyDescent="0.35">
      <c r="A1932">
        <v>60019066</v>
      </c>
      <c r="B1932" t="s">
        <v>2247</v>
      </c>
      <c r="C1932" t="s">
        <v>758</v>
      </c>
      <c r="D1932" t="s">
        <v>2123</v>
      </c>
      <c r="E1932" t="s">
        <v>22</v>
      </c>
      <c r="F1932" t="s">
        <v>361</v>
      </c>
      <c r="G1932" t="s">
        <v>117</v>
      </c>
      <c r="H1932">
        <v>1</v>
      </c>
    </row>
    <row r="1933" spans="1:8" x14ac:dyDescent="0.35">
      <c r="A1933">
        <v>60019066</v>
      </c>
      <c r="B1933" t="s">
        <v>2247</v>
      </c>
      <c r="C1933" t="s">
        <v>758</v>
      </c>
      <c r="D1933" t="s">
        <v>2123</v>
      </c>
      <c r="E1933" t="s">
        <v>22</v>
      </c>
      <c r="F1933" t="s">
        <v>361</v>
      </c>
      <c r="G1933" t="s">
        <v>33</v>
      </c>
      <c r="H1933">
        <v>1</v>
      </c>
    </row>
    <row r="1934" spans="1:8" x14ac:dyDescent="0.35">
      <c r="A1934">
        <v>6001983110797</v>
      </c>
      <c r="B1934" t="s">
        <v>2248</v>
      </c>
      <c r="C1934" t="s">
        <v>603</v>
      </c>
      <c r="D1934" t="s">
        <v>2249</v>
      </c>
      <c r="E1934" t="s">
        <v>578</v>
      </c>
      <c r="F1934" t="s">
        <v>2250</v>
      </c>
      <c r="G1934" t="s">
        <v>33</v>
      </c>
      <c r="H1934">
        <v>22</v>
      </c>
    </row>
    <row r="1935" spans="1:8" x14ac:dyDescent="0.35">
      <c r="A1935">
        <v>6002004001360</v>
      </c>
      <c r="B1935" t="s">
        <v>2251</v>
      </c>
      <c r="C1935" t="s">
        <v>69</v>
      </c>
      <c r="D1935" t="s">
        <v>2252</v>
      </c>
      <c r="E1935" t="s">
        <v>130</v>
      </c>
      <c r="F1935" t="s">
        <v>220</v>
      </c>
      <c r="G1935" t="s">
        <v>34</v>
      </c>
      <c r="H1935">
        <v>17</v>
      </c>
    </row>
    <row r="1936" spans="1:8" x14ac:dyDescent="0.35">
      <c r="A1936">
        <v>60024947</v>
      </c>
      <c r="B1936" t="s">
        <v>2253</v>
      </c>
      <c r="C1936" t="s">
        <v>66</v>
      </c>
      <c r="D1936" t="s">
        <v>360</v>
      </c>
      <c r="E1936" t="s">
        <v>22</v>
      </c>
      <c r="F1936" t="s">
        <v>361</v>
      </c>
      <c r="G1936" t="s">
        <v>33</v>
      </c>
      <c r="H1936">
        <v>100</v>
      </c>
    </row>
    <row r="1937" spans="1:8" x14ac:dyDescent="0.35">
      <c r="A1937">
        <v>6002570550958</v>
      </c>
      <c r="B1937" t="s">
        <v>2254</v>
      </c>
      <c r="C1937" t="s">
        <v>562</v>
      </c>
      <c r="D1937" t="s">
        <v>2255</v>
      </c>
      <c r="E1937" t="s">
        <v>308</v>
      </c>
      <c r="F1937" t="s">
        <v>309</v>
      </c>
      <c r="G1937" t="s">
        <v>34</v>
      </c>
      <c r="H1937">
        <v>1</v>
      </c>
    </row>
    <row r="1938" spans="1:8" x14ac:dyDescent="0.35">
      <c r="A1938">
        <v>6002651043553</v>
      </c>
      <c r="B1938" t="s">
        <v>684</v>
      </c>
      <c r="C1938" t="s">
        <v>2021</v>
      </c>
      <c r="D1938" t="s">
        <v>2256</v>
      </c>
      <c r="E1938" t="s">
        <v>33</v>
      </c>
      <c r="F1938" t="s">
        <v>2257</v>
      </c>
      <c r="G1938" t="s">
        <v>33</v>
      </c>
      <c r="H1938">
        <v>399</v>
      </c>
    </row>
    <row r="1939" spans="1:8" x14ac:dyDescent="0.35">
      <c r="A1939">
        <v>6002742994436</v>
      </c>
      <c r="B1939" t="s">
        <v>2258</v>
      </c>
      <c r="C1939" t="s">
        <v>78</v>
      </c>
      <c r="D1939" t="s">
        <v>2259</v>
      </c>
      <c r="E1939" t="s">
        <v>73</v>
      </c>
      <c r="F1939" t="s">
        <v>2260</v>
      </c>
      <c r="G1939" t="s">
        <v>73</v>
      </c>
      <c r="H1939">
        <v>1</v>
      </c>
    </row>
    <row r="1940" spans="1:8" x14ac:dyDescent="0.35">
      <c r="A1940">
        <v>60028000767138</v>
      </c>
      <c r="B1940" t="s">
        <v>778</v>
      </c>
      <c r="C1940" t="s">
        <v>472</v>
      </c>
      <c r="D1940" t="s">
        <v>2261</v>
      </c>
      <c r="E1940" t="s">
        <v>34</v>
      </c>
      <c r="F1940" t="s">
        <v>2262</v>
      </c>
      <c r="G1940" t="s">
        <v>33</v>
      </c>
      <c r="H1940">
        <v>50</v>
      </c>
    </row>
    <row r="1941" spans="1:8" x14ac:dyDescent="0.35">
      <c r="A1941">
        <v>6002833000336</v>
      </c>
      <c r="B1941" t="s">
        <v>2263</v>
      </c>
      <c r="C1941" t="s">
        <v>326</v>
      </c>
      <c r="D1941" t="s">
        <v>2264</v>
      </c>
      <c r="E1941" t="s">
        <v>776</v>
      </c>
      <c r="F1941" t="s">
        <v>2265</v>
      </c>
      <c r="G1941" t="s">
        <v>34</v>
      </c>
      <c r="H1941">
        <v>17</v>
      </c>
    </row>
    <row r="1942" spans="1:8" x14ac:dyDescent="0.35">
      <c r="A1942">
        <v>6002833000336</v>
      </c>
      <c r="B1942" t="s">
        <v>2263</v>
      </c>
      <c r="C1942" t="s">
        <v>326</v>
      </c>
      <c r="D1942" t="s">
        <v>2264</v>
      </c>
      <c r="E1942" t="s">
        <v>776</v>
      </c>
      <c r="F1942" t="s">
        <v>2265</v>
      </c>
      <c r="G1942" t="s">
        <v>31</v>
      </c>
      <c r="H1942">
        <v>1</v>
      </c>
    </row>
    <row r="1943" spans="1:8" x14ac:dyDescent="0.35">
      <c r="A1943">
        <v>600283300110</v>
      </c>
      <c r="B1943" t="s">
        <v>2235</v>
      </c>
      <c r="C1943" t="s">
        <v>2266</v>
      </c>
      <c r="D1943" t="s">
        <v>1062</v>
      </c>
      <c r="E1943" t="s">
        <v>130</v>
      </c>
      <c r="F1943" t="s">
        <v>424</v>
      </c>
      <c r="G1943" t="s">
        <v>34</v>
      </c>
      <c r="H1943">
        <v>6</v>
      </c>
    </row>
    <row r="1944" spans="1:8" x14ac:dyDescent="0.35">
      <c r="A1944">
        <v>6002833001104</v>
      </c>
      <c r="B1944" t="s">
        <v>2235</v>
      </c>
      <c r="C1944" t="s">
        <v>78</v>
      </c>
      <c r="D1944" t="s">
        <v>2267</v>
      </c>
      <c r="E1944" t="s">
        <v>73</v>
      </c>
      <c r="F1944" t="s">
        <v>2268</v>
      </c>
      <c r="G1944" t="s">
        <v>34</v>
      </c>
      <c r="H1944">
        <v>13</v>
      </c>
    </row>
    <row r="1945" spans="1:8" x14ac:dyDescent="0.35">
      <c r="A1945">
        <v>6002833001111</v>
      </c>
      <c r="B1945" t="s">
        <v>2235</v>
      </c>
      <c r="C1945" t="s">
        <v>9</v>
      </c>
      <c r="D1945" t="s">
        <v>2267</v>
      </c>
      <c r="E1945" t="s">
        <v>73</v>
      </c>
      <c r="F1945" t="s">
        <v>2268</v>
      </c>
      <c r="G1945" t="s">
        <v>34</v>
      </c>
      <c r="H1945">
        <v>1</v>
      </c>
    </row>
    <row r="1946" spans="1:8" x14ac:dyDescent="0.35">
      <c r="A1946">
        <v>6002833001128</v>
      </c>
      <c r="B1946" t="s">
        <v>2235</v>
      </c>
      <c r="C1946" t="s">
        <v>1115</v>
      </c>
      <c r="D1946" t="s">
        <v>1062</v>
      </c>
      <c r="E1946" t="s">
        <v>130</v>
      </c>
      <c r="F1946" t="s">
        <v>424</v>
      </c>
      <c r="G1946" t="s">
        <v>34</v>
      </c>
      <c r="H1946">
        <v>1</v>
      </c>
    </row>
    <row r="1947" spans="1:8" x14ac:dyDescent="0.35">
      <c r="A1947">
        <v>6003001015596</v>
      </c>
      <c r="B1947" t="s">
        <v>2269</v>
      </c>
      <c r="C1947" t="s">
        <v>9</v>
      </c>
      <c r="D1947" t="s">
        <v>2154</v>
      </c>
      <c r="E1947" t="s">
        <v>15</v>
      </c>
      <c r="F1947" t="s">
        <v>2155</v>
      </c>
      <c r="G1947" t="s">
        <v>61</v>
      </c>
      <c r="H1947">
        <v>1</v>
      </c>
    </row>
    <row r="1948" spans="1:8" x14ac:dyDescent="0.35">
      <c r="A1948">
        <v>6004052000319</v>
      </c>
      <c r="B1948" t="s">
        <v>2270</v>
      </c>
      <c r="C1948" t="s">
        <v>78</v>
      </c>
      <c r="D1948" t="s">
        <v>2259</v>
      </c>
      <c r="E1948" t="s">
        <v>73</v>
      </c>
      <c r="F1948" t="s">
        <v>2260</v>
      </c>
      <c r="G1948" t="s">
        <v>73</v>
      </c>
      <c r="H1948">
        <v>1</v>
      </c>
    </row>
    <row r="1949" spans="1:8" x14ac:dyDescent="0.35">
      <c r="A1949">
        <v>6004318000602</v>
      </c>
      <c r="B1949" t="s">
        <v>485</v>
      </c>
      <c r="C1949" t="s">
        <v>192</v>
      </c>
      <c r="D1949" t="s">
        <v>222</v>
      </c>
      <c r="E1949" t="s">
        <v>71</v>
      </c>
      <c r="F1949" t="s">
        <v>72</v>
      </c>
      <c r="G1949" t="s">
        <v>34</v>
      </c>
      <c r="H1949">
        <v>2</v>
      </c>
    </row>
    <row r="1950" spans="1:8" x14ac:dyDescent="0.35">
      <c r="A1950">
        <v>6005118000311</v>
      </c>
      <c r="B1950" t="s">
        <v>2271</v>
      </c>
      <c r="C1950" t="s">
        <v>2272</v>
      </c>
      <c r="D1950" t="s">
        <v>2273</v>
      </c>
      <c r="E1950" t="s">
        <v>73</v>
      </c>
      <c r="F1950" t="s">
        <v>2274</v>
      </c>
      <c r="G1950" t="s">
        <v>73</v>
      </c>
      <c r="H1950">
        <v>9</v>
      </c>
    </row>
    <row r="1951" spans="1:8" x14ac:dyDescent="0.35">
      <c r="A1951">
        <v>6005118001943</v>
      </c>
      <c r="B1951" t="s">
        <v>2275</v>
      </c>
      <c r="C1951" t="s">
        <v>159</v>
      </c>
      <c r="D1951" t="s">
        <v>2273</v>
      </c>
      <c r="E1951" t="s">
        <v>73</v>
      </c>
      <c r="F1951" t="s">
        <v>2274</v>
      </c>
      <c r="G1951" t="s">
        <v>34</v>
      </c>
      <c r="H1951">
        <v>1</v>
      </c>
    </row>
    <row r="1952" spans="1:8" x14ac:dyDescent="0.35">
      <c r="A1952">
        <v>6005165000920</v>
      </c>
      <c r="B1952" t="s">
        <v>2276</v>
      </c>
      <c r="C1952" t="s">
        <v>603</v>
      </c>
      <c r="D1952" t="s">
        <v>2277</v>
      </c>
      <c r="E1952" t="s">
        <v>15</v>
      </c>
      <c r="F1952" t="s">
        <v>14</v>
      </c>
      <c r="G1952" t="s">
        <v>33</v>
      </c>
      <c r="H1952">
        <v>18</v>
      </c>
    </row>
    <row r="1953" spans="1:8" x14ac:dyDescent="0.35">
      <c r="A1953">
        <v>6005277000016</v>
      </c>
      <c r="B1953" t="s">
        <v>2075</v>
      </c>
      <c r="C1953" t="s">
        <v>81</v>
      </c>
      <c r="D1953" t="s">
        <v>2278</v>
      </c>
      <c r="E1953" t="s">
        <v>73</v>
      </c>
      <c r="F1953" t="s">
        <v>2279</v>
      </c>
      <c r="G1953" t="s">
        <v>73</v>
      </c>
      <c r="H1953">
        <v>3</v>
      </c>
    </row>
    <row r="1954" spans="1:8" x14ac:dyDescent="0.35">
      <c r="A1954">
        <v>60059222</v>
      </c>
      <c r="B1954" t="s">
        <v>1916</v>
      </c>
      <c r="C1954" t="s">
        <v>9</v>
      </c>
      <c r="D1954" t="s">
        <v>1893</v>
      </c>
      <c r="E1954" t="s">
        <v>15</v>
      </c>
      <c r="F1954" t="s">
        <v>14</v>
      </c>
      <c r="G1954" t="s">
        <v>73</v>
      </c>
      <c r="H1954">
        <v>1</v>
      </c>
    </row>
    <row r="1955" spans="1:8" x14ac:dyDescent="0.35">
      <c r="A1955">
        <v>6006414000623</v>
      </c>
      <c r="B1955" t="s">
        <v>2280</v>
      </c>
      <c r="C1955" t="s">
        <v>610</v>
      </c>
      <c r="D1955" t="s">
        <v>2264</v>
      </c>
      <c r="E1955" t="s">
        <v>776</v>
      </c>
      <c r="F1955" t="s">
        <v>2265</v>
      </c>
      <c r="G1955" t="s">
        <v>34</v>
      </c>
      <c r="H1955">
        <v>25</v>
      </c>
    </row>
    <row r="1956" spans="1:8" x14ac:dyDescent="0.35">
      <c r="A1956">
        <v>6006414000623</v>
      </c>
      <c r="B1956" t="s">
        <v>2280</v>
      </c>
      <c r="C1956" t="s">
        <v>610</v>
      </c>
      <c r="D1956" t="s">
        <v>2264</v>
      </c>
      <c r="E1956" t="s">
        <v>776</v>
      </c>
      <c r="F1956" t="s">
        <v>2265</v>
      </c>
      <c r="G1956" t="s">
        <v>150</v>
      </c>
      <c r="H1956">
        <v>1</v>
      </c>
    </row>
    <row r="1957" spans="1:8" x14ac:dyDescent="0.35">
      <c r="A1957">
        <v>6006414000630</v>
      </c>
      <c r="B1957" t="s">
        <v>2281</v>
      </c>
      <c r="C1957" t="s">
        <v>78</v>
      </c>
      <c r="D1957" t="s">
        <v>2264</v>
      </c>
      <c r="E1957" t="s">
        <v>776</v>
      </c>
      <c r="F1957" t="s">
        <v>2265</v>
      </c>
      <c r="G1957" t="s">
        <v>34</v>
      </c>
      <c r="H1957">
        <v>25</v>
      </c>
    </row>
    <row r="1958" spans="1:8" x14ac:dyDescent="0.35">
      <c r="A1958">
        <v>6006414000739</v>
      </c>
      <c r="B1958" t="s">
        <v>2282</v>
      </c>
      <c r="C1958" t="s">
        <v>2283</v>
      </c>
      <c r="D1958" t="s">
        <v>2267</v>
      </c>
      <c r="E1958" t="s">
        <v>73</v>
      </c>
      <c r="F1958" t="s">
        <v>2268</v>
      </c>
      <c r="G1958" t="s">
        <v>34</v>
      </c>
      <c r="H1958">
        <v>2</v>
      </c>
    </row>
    <row r="1959" spans="1:8" x14ac:dyDescent="0.35">
      <c r="A1959">
        <v>6006507004774</v>
      </c>
      <c r="B1959" t="s">
        <v>2284</v>
      </c>
      <c r="C1959" t="s">
        <v>2285</v>
      </c>
      <c r="D1959" t="s">
        <v>2286</v>
      </c>
      <c r="E1959" t="s">
        <v>73</v>
      </c>
      <c r="F1959" t="s">
        <v>2287</v>
      </c>
      <c r="G1959" t="s">
        <v>34</v>
      </c>
      <c r="H1959">
        <v>1</v>
      </c>
    </row>
    <row r="1960" spans="1:8" x14ac:dyDescent="0.35">
      <c r="A1960">
        <v>6006507005306</v>
      </c>
      <c r="B1960" t="s">
        <v>2288</v>
      </c>
      <c r="C1960" t="s">
        <v>2289</v>
      </c>
      <c r="D1960" t="s">
        <v>2286</v>
      </c>
      <c r="E1960" t="s">
        <v>73</v>
      </c>
      <c r="F1960" t="s">
        <v>2287</v>
      </c>
      <c r="G1960" t="s">
        <v>34</v>
      </c>
      <c r="H1960">
        <v>1</v>
      </c>
    </row>
    <row r="1961" spans="1:8" x14ac:dyDescent="0.35">
      <c r="A1961">
        <v>6006507005313</v>
      </c>
      <c r="B1961" t="s">
        <v>2290</v>
      </c>
      <c r="C1961" t="s">
        <v>967</v>
      </c>
      <c r="D1961" t="s">
        <v>2286</v>
      </c>
      <c r="E1961" t="s">
        <v>73</v>
      </c>
      <c r="F1961" t="s">
        <v>2287</v>
      </c>
      <c r="G1961" t="s">
        <v>34</v>
      </c>
      <c r="H1961">
        <v>3</v>
      </c>
    </row>
    <row r="1962" spans="1:8" x14ac:dyDescent="0.35">
      <c r="A1962">
        <v>6006564000030</v>
      </c>
      <c r="B1962" t="s">
        <v>2291</v>
      </c>
      <c r="C1962" t="s">
        <v>36</v>
      </c>
      <c r="D1962" t="s">
        <v>2292</v>
      </c>
      <c r="E1962" t="s">
        <v>2293</v>
      </c>
      <c r="F1962" t="s">
        <v>2294</v>
      </c>
      <c r="G1962" t="s">
        <v>34</v>
      </c>
      <c r="H1962">
        <v>23</v>
      </c>
    </row>
    <row r="1963" spans="1:8" x14ac:dyDescent="0.35">
      <c r="A1963">
        <v>6006690040245</v>
      </c>
      <c r="B1963" t="s">
        <v>1151</v>
      </c>
      <c r="C1963" t="s">
        <v>472</v>
      </c>
      <c r="D1963" t="s">
        <v>2295</v>
      </c>
      <c r="E1963" t="s">
        <v>61</v>
      </c>
      <c r="F1963" t="s">
        <v>2296</v>
      </c>
      <c r="G1963" t="s">
        <v>61</v>
      </c>
      <c r="H1963">
        <v>53</v>
      </c>
    </row>
    <row r="1964" spans="1:8" x14ac:dyDescent="0.35">
      <c r="A1964">
        <v>60067999</v>
      </c>
      <c r="B1964" t="s">
        <v>2297</v>
      </c>
      <c r="C1964" t="s">
        <v>69</v>
      </c>
      <c r="D1964" t="s">
        <v>1245</v>
      </c>
      <c r="E1964" t="s">
        <v>73</v>
      </c>
      <c r="F1964" t="s">
        <v>1246</v>
      </c>
      <c r="G1964" t="s">
        <v>34</v>
      </c>
      <c r="H1964">
        <v>1</v>
      </c>
    </row>
    <row r="1965" spans="1:8" x14ac:dyDescent="0.35">
      <c r="A1965">
        <v>60067999</v>
      </c>
      <c r="B1965" t="s">
        <v>2297</v>
      </c>
      <c r="C1965" t="s">
        <v>69</v>
      </c>
      <c r="D1965" t="s">
        <v>1245</v>
      </c>
      <c r="E1965" t="s">
        <v>73</v>
      </c>
      <c r="F1965" t="s">
        <v>1246</v>
      </c>
      <c r="G1965" t="s">
        <v>73</v>
      </c>
      <c r="H1965">
        <v>1</v>
      </c>
    </row>
    <row r="1966" spans="1:8" x14ac:dyDescent="0.35">
      <c r="A1966">
        <v>60068088</v>
      </c>
      <c r="B1966" t="s">
        <v>2298</v>
      </c>
      <c r="C1966" t="s">
        <v>892</v>
      </c>
      <c r="D1966" t="s">
        <v>2204</v>
      </c>
      <c r="E1966" t="s">
        <v>73</v>
      </c>
      <c r="F1966" t="s">
        <v>2202</v>
      </c>
      <c r="G1966" t="s">
        <v>73</v>
      </c>
      <c r="H1966">
        <v>2</v>
      </c>
    </row>
    <row r="1967" spans="1:8" x14ac:dyDescent="0.35">
      <c r="A1967">
        <v>6007048002700</v>
      </c>
      <c r="B1967" t="s">
        <v>2299</v>
      </c>
      <c r="C1967" t="s">
        <v>9</v>
      </c>
      <c r="D1967" t="s">
        <v>2300</v>
      </c>
      <c r="E1967" t="s">
        <v>33</v>
      </c>
      <c r="F1967" t="s">
        <v>2301</v>
      </c>
      <c r="G1967" t="s">
        <v>33</v>
      </c>
      <c r="H1967">
        <v>2823</v>
      </c>
    </row>
    <row r="1968" spans="1:8" x14ac:dyDescent="0.35">
      <c r="A1968">
        <v>6007048005749</v>
      </c>
      <c r="B1968" t="s">
        <v>1597</v>
      </c>
      <c r="C1968" t="s">
        <v>75</v>
      </c>
      <c r="D1968" t="s">
        <v>2300</v>
      </c>
      <c r="E1968" t="s">
        <v>33</v>
      </c>
      <c r="F1968" t="s">
        <v>2301</v>
      </c>
      <c r="G1968" t="s">
        <v>33</v>
      </c>
      <c r="H1968">
        <v>15</v>
      </c>
    </row>
    <row r="1969" spans="1:8" x14ac:dyDescent="0.35">
      <c r="A1969">
        <v>6007048006135</v>
      </c>
      <c r="B1969" t="s">
        <v>895</v>
      </c>
      <c r="C1969" t="s">
        <v>78</v>
      </c>
      <c r="D1969" t="s">
        <v>2300</v>
      </c>
      <c r="E1969" t="s">
        <v>33</v>
      </c>
      <c r="F1969" t="s">
        <v>2301</v>
      </c>
      <c r="G1969" t="s">
        <v>33</v>
      </c>
      <c r="H1969">
        <v>63</v>
      </c>
    </row>
    <row r="1970" spans="1:8" x14ac:dyDescent="0.35">
      <c r="A1970">
        <v>6007048006289</v>
      </c>
      <c r="B1970" t="s">
        <v>2302</v>
      </c>
      <c r="C1970" t="s">
        <v>78</v>
      </c>
      <c r="D1970" t="s">
        <v>2300</v>
      </c>
      <c r="E1970" t="s">
        <v>33</v>
      </c>
      <c r="F1970" t="s">
        <v>2301</v>
      </c>
      <c r="G1970" t="s">
        <v>33</v>
      </c>
      <c r="H1970">
        <v>234</v>
      </c>
    </row>
    <row r="1971" spans="1:8" x14ac:dyDescent="0.35">
      <c r="A1971">
        <v>6007048006432</v>
      </c>
      <c r="B1971" t="s">
        <v>2189</v>
      </c>
      <c r="C1971" t="s">
        <v>78</v>
      </c>
      <c r="D1971" t="s">
        <v>2303</v>
      </c>
      <c r="E1971" t="s">
        <v>33</v>
      </c>
      <c r="F1971" t="s">
        <v>2301</v>
      </c>
      <c r="G1971" t="s">
        <v>33</v>
      </c>
      <c r="H1971">
        <v>58</v>
      </c>
    </row>
    <row r="1972" spans="1:8" x14ac:dyDescent="0.35">
      <c r="A1972">
        <v>6007048006449</v>
      </c>
      <c r="B1972" t="s">
        <v>2189</v>
      </c>
      <c r="C1972" t="s">
        <v>75</v>
      </c>
      <c r="D1972" t="s">
        <v>2303</v>
      </c>
      <c r="E1972" t="s">
        <v>33</v>
      </c>
      <c r="F1972" t="s">
        <v>2301</v>
      </c>
      <c r="G1972" t="s">
        <v>33</v>
      </c>
      <c r="H1972">
        <v>17</v>
      </c>
    </row>
    <row r="1973" spans="1:8" x14ac:dyDescent="0.35">
      <c r="A1973">
        <v>6007048006593</v>
      </c>
      <c r="B1973" t="s">
        <v>2304</v>
      </c>
      <c r="C1973" t="s">
        <v>214</v>
      </c>
      <c r="D1973" t="s">
        <v>2304</v>
      </c>
      <c r="E1973" t="s">
        <v>33</v>
      </c>
      <c r="F1973" t="s">
        <v>2301</v>
      </c>
      <c r="G1973" t="s">
        <v>33</v>
      </c>
      <c r="H1973">
        <v>25</v>
      </c>
    </row>
    <row r="1974" spans="1:8" x14ac:dyDescent="0.35">
      <c r="A1974">
        <v>6007048006807</v>
      </c>
      <c r="B1974" t="s">
        <v>2164</v>
      </c>
      <c r="C1974" t="s">
        <v>81</v>
      </c>
      <c r="D1974" t="s">
        <v>2305</v>
      </c>
      <c r="E1974" t="s">
        <v>33</v>
      </c>
      <c r="F1974" t="s">
        <v>2301</v>
      </c>
      <c r="G1974" t="s">
        <v>33</v>
      </c>
      <c r="H1974">
        <v>94</v>
      </c>
    </row>
    <row r="1975" spans="1:8" x14ac:dyDescent="0.35">
      <c r="A1975">
        <v>6007048006845</v>
      </c>
      <c r="B1975" t="s">
        <v>481</v>
      </c>
      <c r="C1975" t="s">
        <v>81</v>
      </c>
      <c r="D1975" t="s">
        <v>2305</v>
      </c>
      <c r="E1975" t="s">
        <v>33</v>
      </c>
      <c r="F1975" t="s">
        <v>2301</v>
      </c>
      <c r="G1975" t="s">
        <v>33</v>
      </c>
      <c r="H1975">
        <v>50</v>
      </c>
    </row>
    <row r="1976" spans="1:8" x14ac:dyDescent="0.35">
      <c r="A1976">
        <v>6007048006975</v>
      </c>
      <c r="B1976" t="s">
        <v>2306</v>
      </c>
      <c r="C1976" t="s">
        <v>78</v>
      </c>
      <c r="D1976" t="s">
        <v>2300</v>
      </c>
      <c r="E1976" t="s">
        <v>33</v>
      </c>
      <c r="F1976" t="s">
        <v>2301</v>
      </c>
      <c r="G1976" t="s">
        <v>33</v>
      </c>
      <c r="H1976">
        <v>47</v>
      </c>
    </row>
    <row r="1977" spans="1:8" x14ac:dyDescent="0.35">
      <c r="A1977">
        <v>6007497100798</v>
      </c>
      <c r="B1977" t="s">
        <v>2307</v>
      </c>
      <c r="C1977" t="s">
        <v>43</v>
      </c>
      <c r="D1977" t="s">
        <v>2308</v>
      </c>
      <c r="E1977" t="s">
        <v>2309</v>
      </c>
      <c r="F1977" t="s">
        <v>2310</v>
      </c>
      <c r="G1977" t="s">
        <v>73</v>
      </c>
      <c r="H1977">
        <v>4</v>
      </c>
    </row>
    <row r="1978" spans="1:8" x14ac:dyDescent="0.35">
      <c r="A1978">
        <v>6007575000569</v>
      </c>
      <c r="B1978" t="s">
        <v>2311</v>
      </c>
      <c r="C1978" t="s">
        <v>9</v>
      </c>
      <c r="D1978" t="s">
        <v>2312</v>
      </c>
      <c r="E1978" t="s">
        <v>73</v>
      </c>
      <c r="F1978" t="s">
        <v>2312</v>
      </c>
      <c r="G1978" t="s">
        <v>34</v>
      </c>
      <c r="H1978">
        <v>6</v>
      </c>
    </row>
    <row r="1979" spans="1:8" x14ac:dyDescent="0.35">
      <c r="A1979">
        <v>6007575000569</v>
      </c>
      <c r="B1979" t="s">
        <v>2311</v>
      </c>
      <c r="C1979" t="s">
        <v>9</v>
      </c>
      <c r="D1979" t="s">
        <v>2312</v>
      </c>
      <c r="E1979" t="s">
        <v>73</v>
      </c>
      <c r="F1979" t="s">
        <v>2312</v>
      </c>
      <c r="G1979" t="s">
        <v>150</v>
      </c>
      <c r="H1979">
        <v>1</v>
      </c>
    </row>
    <row r="1980" spans="1:8" x14ac:dyDescent="0.35">
      <c r="A1980">
        <v>6007575000576</v>
      </c>
      <c r="B1980" t="s">
        <v>2313</v>
      </c>
      <c r="C1980" t="s">
        <v>9</v>
      </c>
      <c r="D1980" t="s">
        <v>2312</v>
      </c>
      <c r="E1980" t="s">
        <v>73</v>
      </c>
      <c r="F1980" t="s">
        <v>2312</v>
      </c>
      <c r="G1980" t="s">
        <v>34</v>
      </c>
      <c r="H1980">
        <v>1</v>
      </c>
    </row>
    <row r="1981" spans="1:8" x14ac:dyDescent="0.35">
      <c r="A1981">
        <v>6007575000606</v>
      </c>
      <c r="B1981" t="s">
        <v>2314</v>
      </c>
      <c r="C1981" t="s">
        <v>9</v>
      </c>
      <c r="D1981" t="s">
        <v>2312</v>
      </c>
      <c r="E1981" t="s">
        <v>73</v>
      </c>
      <c r="F1981" t="s">
        <v>2312</v>
      </c>
      <c r="G1981" t="s">
        <v>34</v>
      </c>
      <c r="H1981">
        <v>7</v>
      </c>
    </row>
    <row r="1982" spans="1:8" x14ac:dyDescent="0.35">
      <c r="A1982">
        <v>6007575003119</v>
      </c>
      <c r="B1982" t="s">
        <v>2315</v>
      </c>
      <c r="C1982" t="s">
        <v>472</v>
      </c>
      <c r="D1982" t="s">
        <v>2312</v>
      </c>
      <c r="E1982" t="s">
        <v>73</v>
      </c>
      <c r="F1982" t="s">
        <v>2312</v>
      </c>
      <c r="G1982" t="s">
        <v>34</v>
      </c>
      <c r="H1982">
        <v>1</v>
      </c>
    </row>
    <row r="1983" spans="1:8" x14ac:dyDescent="0.35">
      <c r="A1983">
        <v>6007842701670</v>
      </c>
      <c r="B1983" t="s">
        <v>549</v>
      </c>
      <c r="C1983" t="s">
        <v>9</v>
      </c>
      <c r="D1983" t="s">
        <v>2316</v>
      </c>
      <c r="E1983" t="s">
        <v>33</v>
      </c>
      <c r="F1983" t="s">
        <v>2317</v>
      </c>
      <c r="G1983" t="s">
        <v>33</v>
      </c>
      <c r="H1983">
        <v>5</v>
      </c>
    </row>
    <row r="1984" spans="1:8" x14ac:dyDescent="0.35">
      <c r="A1984">
        <v>6007856098414</v>
      </c>
      <c r="B1984" t="s">
        <v>212</v>
      </c>
      <c r="C1984" t="s">
        <v>603</v>
      </c>
      <c r="D1984" t="s">
        <v>2318</v>
      </c>
      <c r="E1984" t="s">
        <v>15</v>
      </c>
      <c r="F1984" t="s">
        <v>2319</v>
      </c>
      <c r="G1984" t="s">
        <v>34</v>
      </c>
      <c r="H1984">
        <v>1</v>
      </c>
    </row>
    <row r="1985" spans="1:8" x14ac:dyDescent="0.35">
      <c r="A1985">
        <v>6007875488371</v>
      </c>
      <c r="B1985" t="s">
        <v>2088</v>
      </c>
      <c r="C1985" t="s">
        <v>1123</v>
      </c>
      <c r="D1985" t="s">
        <v>1097</v>
      </c>
      <c r="E1985" t="s">
        <v>73</v>
      </c>
      <c r="F1985" t="s">
        <v>1098</v>
      </c>
      <c r="G1985" t="s">
        <v>34</v>
      </c>
      <c r="H1985">
        <v>1</v>
      </c>
    </row>
    <row r="1986" spans="1:8" x14ac:dyDescent="0.35">
      <c r="A1986">
        <v>6008000440813</v>
      </c>
      <c r="B1986" t="s">
        <v>2320</v>
      </c>
      <c r="C1986" t="s">
        <v>2321</v>
      </c>
      <c r="D1986" t="s">
        <v>1097</v>
      </c>
      <c r="E1986" t="s">
        <v>73</v>
      </c>
      <c r="F1986" t="s">
        <v>1098</v>
      </c>
      <c r="G1986" t="s">
        <v>73</v>
      </c>
      <c r="H1986">
        <v>1</v>
      </c>
    </row>
    <row r="1987" spans="1:8" x14ac:dyDescent="0.35">
      <c r="A1987">
        <v>6008000555951</v>
      </c>
      <c r="B1987" t="s">
        <v>2322</v>
      </c>
      <c r="C1987" t="s">
        <v>43</v>
      </c>
      <c r="D1987" t="s">
        <v>1097</v>
      </c>
      <c r="E1987" t="s">
        <v>73</v>
      </c>
      <c r="F1987" t="s">
        <v>1098</v>
      </c>
      <c r="G1987" t="s">
        <v>34</v>
      </c>
      <c r="H1987">
        <v>2</v>
      </c>
    </row>
    <row r="1988" spans="1:8" x14ac:dyDescent="0.35">
      <c r="A1988">
        <v>6008155002027</v>
      </c>
      <c r="B1988" t="s">
        <v>2323</v>
      </c>
      <c r="C1988" t="s">
        <v>663</v>
      </c>
      <c r="D1988" t="s">
        <v>2324</v>
      </c>
      <c r="E1988" t="s">
        <v>41</v>
      </c>
      <c r="F1988" t="s">
        <v>2325</v>
      </c>
      <c r="G1988" t="s">
        <v>41</v>
      </c>
      <c r="H1988">
        <v>381</v>
      </c>
    </row>
    <row r="1989" spans="1:8" x14ac:dyDescent="0.35">
      <c r="A1989">
        <v>6008155002300</v>
      </c>
      <c r="B1989" t="s">
        <v>2326</v>
      </c>
      <c r="C1989" t="s">
        <v>663</v>
      </c>
      <c r="D1989" t="s">
        <v>2324</v>
      </c>
      <c r="E1989" t="s">
        <v>41</v>
      </c>
      <c r="F1989" t="s">
        <v>2325</v>
      </c>
      <c r="G1989" t="s">
        <v>41</v>
      </c>
      <c r="H1989">
        <v>56</v>
      </c>
    </row>
    <row r="1990" spans="1:8" x14ac:dyDescent="0.35">
      <c r="A1990">
        <v>6008155004373</v>
      </c>
      <c r="B1990" t="s">
        <v>2327</v>
      </c>
      <c r="C1990" t="s">
        <v>659</v>
      </c>
      <c r="D1990" t="s">
        <v>2324</v>
      </c>
      <c r="E1990" t="s">
        <v>41</v>
      </c>
      <c r="F1990" t="s">
        <v>2325</v>
      </c>
      <c r="G1990" t="s">
        <v>41</v>
      </c>
      <c r="H1990">
        <v>3</v>
      </c>
    </row>
    <row r="1991" spans="1:8" x14ac:dyDescent="0.35">
      <c r="A1991">
        <v>6008155007534</v>
      </c>
      <c r="B1991" t="s">
        <v>2328</v>
      </c>
      <c r="C1991" t="s">
        <v>454</v>
      </c>
      <c r="D1991" t="s">
        <v>2329</v>
      </c>
      <c r="E1991" t="s">
        <v>41</v>
      </c>
      <c r="F1991" t="s">
        <v>2325</v>
      </c>
      <c r="G1991" t="s">
        <v>41</v>
      </c>
      <c r="H1991">
        <v>33</v>
      </c>
    </row>
    <row r="1992" spans="1:8" x14ac:dyDescent="0.35">
      <c r="A1992">
        <v>6008155008029</v>
      </c>
      <c r="B1992" t="s">
        <v>2330</v>
      </c>
      <c r="C1992" t="s">
        <v>919</v>
      </c>
      <c r="D1992" t="s">
        <v>2331</v>
      </c>
      <c r="E1992" t="s">
        <v>41</v>
      </c>
      <c r="F1992" t="s">
        <v>2325</v>
      </c>
      <c r="G1992" t="s">
        <v>41</v>
      </c>
      <c r="H1992">
        <v>39</v>
      </c>
    </row>
    <row r="1993" spans="1:8" x14ac:dyDescent="0.35">
      <c r="A1993">
        <v>6008155011470</v>
      </c>
      <c r="B1993" t="s">
        <v>2332</v>
      </c>
      <c r="C1993" t="s">
        <v>94</v>
      </c>
      <c r="D1993" t="s">
        <v>2324</v>
      </c>
      <c r="E1993" t="s">
        <v>41</v>
      </c>
      <c r="F1993" t="s">
        <v>2325</v>
      </c>
      <c r="G1993" t="s">
        <v>117</v>
      </c>
      <c r="H1993">
        <v>58</v>
      </c>
    </row>
    <row r="1994" spans="1:8" x14ac:dyDescent="0.35">
      <c r="A1994">
        <v>6008155015324</v>
      </c>
      <c r="B1994" t="s">
        <v>2333</v>
      </c>
      <c r="C1994" t="s">
        <v>458</v>
      </c>
      <c r="D1994" t="s">
        <v>2331</v>
      </c>
      <c r="E1994" t="s">
        <v>41</v>
      </c>
      <c r="F1994" t="s">
        <v>2325</v>
      </c>
      <c r="G1994" t="s">
        <v>41</v>
      </c>
      <c r="H1994">
        <v>25</v>
      </c>
    </row>
    <row r="1995" spans="1:8" x14ac:dyDescent="0.35">
      <c r="A1995">
        <v>6008155018967</v>
      </c>
      <c r="B1995" t="s">
        <v>2334</v>
      </c>
      <c r="C1995" t="s">
        <v>2335</v>
      </c>
      <c r="D1995" t="s">
        <v>2324</v>
      </c>
      <c r="E1995" t="s">
        <v>41</v>
      </c>
      <c r="F1995" t="s">
        <v>2325</v>
      </c>
      <c r="G1995" t="s">
        <v>41</v>
      </c>
      <c r="H1995">
        <v>8</v>
      </c>
    </row>
    <row r="1996" spans="1:8" x14ac:dyDescent="0.35">
      <c r="A1996">
        <v>60084590</v>
      </c>
      <c r="B1996" t="s">
        <v>2336</v>
      </c>
      <c r="C1996" t="s">
        <v>472</v>
      </c>
      <c r="D1996" t="s">
        <v>2337</v>
      </c>
      <c r="E1996" t="s">
        <v>11</v>
      </c>
      <c r="F1996" t="s">
        <v>2338</v>
      </c>
      <c r="G1996" t="s">
        <v>11</v>
      </c>
      <c r="H1996">
        <v>2</v>
      </c>
    </row>
    <row r="1997" spans="1:8" x14ac:dyDescent="0.35">
      <c r="A1997">
        <v>60084590</v>
      </c>
      <c r="B1997" t="s">
        <v>2336</v>
      </c>
      <c r="C1997" t="s">
        <v>472</v>
      </c>
      <c r="D1997" t="s">
        <v>2337</v>
      </c>
      <c r="E1997" t="s">
        <v>11</v>
      </c>
      <c r="F1997" t="s">
        <v>2338</v>
      </c>
      <c r="G1997" t="s">
        <v>31</v>
      </c>
      <c r="H1997">
        <v>1</v>
      </c>
    </row>
    <row r="1998" spans="1:8" x14ac:dyDescent="0.35">
      <c r="A1998">
        <v>6008459000019</v>
      </c>
      <c r="B1998" t="s">
        <v>2339</v>
      </c>
      <c r="C1998" t="s">
        <v>9</v>
      </c>
      <c r="D1998" t="s">
        <v>2340</v>
      </c>
      <c r="E1998" t="s">
        <v>15</v>
      </c>
      <c r="F1998" t="s">
        <v>14</v>
      </c>
      <c r="G1998" t="s">
        <v>11</v>
      </c>
      <c r="H1998">
        <v>16</v>
      </c>
    </row>
    <row r="1999" spans="1:8" x14ac:dyDescent="0.35">
      <c r="A1999">
        <v>6008459000033</v>
      </c>
      <c r="B1999" t="s">
        <v>852</v>
      </c>
      <c r="C1999" t="s">
        <v>192</v>
      </c>
      <c r="D1999" t="s">
        <v>2340</v>
      </c>
      <c r="E1999" t="s">
        <v>15</v>
      </c>
      <c r="F1999" t="s">
        <v>14</v>
      </c>
      <c r="G1999" t="s">
        <v>11</v>
      </c>
      <c r="H1999">
        <v>3</v>
      </c>
    </row>
    <row r="2000" spans="1:8" x14ac:dyDescent="0.35">
      <c r="A2000">
        <v>6008459000033</v>
      </c>
      <c r="B2000" t="s">
        <v>852</v>
      </c>
      <c r="C2000" t="s">
        <v>192</v>
      </c>
      <c r="D2000" t="s">
        <v>2340</v>
      </c>
      <c r="E2000" t="s">
        <v>15</v>
      </c>
      <c r="F2000" t="s">
        <v>14</v>
      </c>
      <c r="G2000" t="s">
        <v>31</v>
      </c>
      <c r="H2000">
        <v>4</v>
      </c>
    </row>
    <row r="2001" spans="1:8" x14ac:dyDescent="0.35">
      <c r="A2001">
        <v>6008459000330</v>
      </c>
      <c r="B2001" t="s">
        <v>2341</v>
      </c>
      <c r="C2001" t="s">
        <v>9</v>
      </c>
      <c r="D2001" t="s">
        <v>2337</v>
      </c>
      <c r="E2001" t="s">
        <v>11</v>
      </c>
      <c r="F2001" t="s">
        <v>2338</v>
      </c>
      <c r="G2001" t="s">
        <v>11</v>
      </c>
      <c r="H2001">
        <v>1</v>
      </c>
    </row>
    <row r="2002" spans="1:8" x14ac:dyDescent="0.35">
      <c r="A2002">
        <v>6008459000330</v>
      </c>
      <c r="B2002" t="s">
        <v>2341</v>
      </c>
      <c r="C2002" t="s">
        <v>9</v>
      </c>
      <c r="D2002" t="s">
        <v>2337</v>
      </c>
      <c r="E2002" t="s">
        <v>11</v>
      </c>
      <c r="F2002" t="s">
        <v>2338</v>
      </c>
      <c r="G2002" t="s">
        <v>31</v>
      </c>
      <c r="H2002">
        <v>1</v>
      </c>
    </row>
    <row r="2003" spans="1:8" x14ac:dyDescent="0.35">
      <c r="A2003">
        <v>6008459000446</v>
      </c>
      <c r="B2003" t="s">
        <v>2342</v>
      </c>
      <c r="C2003" t="s">
        <v>38</v>
      </c>
      <c r="D2003" t="s">
        <v>2337</v>
      </c>
      <c r="E2003" t="s">
        <v>11</v>
      </c>
      <c r="F2003" t="s">
        <v>2338</v>
      </c>
      <c r="G2003" t="s">
        <v>11</v>
      </c>
      <c r="H2003">
        <v>12</v>
      </c>
    </row>
    <row r="2004" spans="1:8" x14ac:dyDescent="0.35">
      <c r="A2004">
        <v>6008459000453</v>
      </c>
      <c r="B2004" t="s">
        <v>2343</v>
      </c>
      <c r="C2004" t="s">
        <v>9</v>
      </c>
      <c r="D2004" t="s">
        <v>2337</v>
      </c>
      <c r="E2004" t="s">
        <v>11</v>
      </c>
      <c r="F2004" t="s">
        <v>2338</v>
      </c>
      <c r="G2004" t="s">
        <v>11</v>
      </c>
      <c r="H2004">
        <v>163</v>
      </c>
    </row>
    <row r="2005" spans="1:8" x14ac:dyDescent="0.35">
      <c r="A2005">
        <v>6008459000453</v>
      </c>
      <c r="B2005" t="s">
        <v>2343</v>
      </c>
      <c r="C2005" t="s">
        <v>9</v>
      </c>
      <c r="D2005" t="s">
        <v>2337</v>
      </c>
      <c r="E2005" t="s">
        <v>11</v>
      </c>
      <c r="F2005" t="s">
        <v>2338</v>
      </c>
      <c r="G2005" t="s">
        <v>150</v>
      </c>
      <c r="H2005">
        <v>45</v>
      </c>
    </row>
    <row r="2006" spans="1:8" x14ac:dyDescent="0.35">
      <c r="A2006">
        <v>6008459000453</v>
      </c>
      <c r="B2006" t="s">
        <v>2343</v>
      </c>
      <c r="C2006" t="s">
        <v>9</v>
      </c>
      <c r="D2006" t="s">
        <v>2337</v>
      </c>
      <c r="E2006" t="s">
        <v>11</v>
      </c>
      <c r="F2006" t="s">
        <v>2338</v>
      </c>
      <c r="G2006" t="s">
        <v>61</v>
      </c>
      <c r="H2006">
        <v>35</v>
      </c>
    </row>
    <row r="2007" spans="1:8" x14ac:dyDescent="0.35">
      <c r="A2007">
        <v>6008459000453</v>
      </c>
      <c r="B2007" t="s">
        <v>2343</v>
      </c>
      <c r="C2007" t="s">
        <v>9</v>
      </c>
      <c r="D2007" t="s">
        <v>2337</v>
      </c>
      <c r="E2007" t="s">
        <v>11</v>
      </c>
      <c r="F2007" t="s">
        <v>2338</v>
      </c>
      <c r="G2007" t="s">
        <v>31</v>
      </c>
      <c r="H2007">
        <v>1</v>
      </c>
    </row>
    <row r="2008" spans="1:8" x14ac:dyDescent="0.35">
      <c r="A2008">
        <v>6008459000507</v>
      </c>
      <c r="B2008" t="s">
        <v>1922</v>
      </c>
      <c r="C2008" t="s">
        <v>909</v>
      </c>
      <c r="D2008" t="s">
        <v>366</v>
      </c>
      <c r="E2008" t="s">
        <v>61</v>
      </c>
      <c r="F2008" t="s">
        <v>364</v>
      </c>
      <c r="G2008" t="s">
        <v>11</v>
      </c>
      <c r="H2008">
        <v>43</v>
      </c>
    </row>
    <row r="2009" spans="1:8" x14ac:dyDescent="0.35">
      <c r="A2009">
        <v>6008459000507</v>
      </c>
      <c r="B2009" t="s">
        <v>1922</v>
      </c>
      <c r="C2009" t="s">
        <v>909</v>
      </c>
      <c r="D2009" t="s">
        <v>366</v>
      </c>
      <c r="E2009" t="s">
        <v>61</v>
      </c>
      <c r="F2009" t="s">
        <v>364</v>
      </c>
      <c r="G2009" t="s">
        <v>61</v>
      </c>
      <c r="H2009">
        <v>5</v>
      </c>
    </row>
    <row r="2010" spans="1:8" x14ac:dyDescent="0.35">
      <c r="A2010">
        <v>6008459000972</v>
      </c>
      <c r="B2010" t="s">
        <v>2344</v>
      </c>
      <c r="C2010" t="s">
        <v>9</v>
      </c>
      <c r="D2010" t="s">
        <v>2337</v>
      </c>
      <c r="E2010" t="s">
        <v>11</v>
      </c>
      <c r="F2010" t="s">
        <v>2338</v>
      </c>
      <c r="G2010" t="s">
        <v>11</v>
      </c>
      <c r="H2010">
        <v>9</v>
      </c>
    </row>
    <row r="2011" spans="1:8" x14ac:dyDescent="0.35">
      <c r="A2011">
        <v>6008459000972</v>
      </c>
      <c r="B2011" t="s">
        <v>2344</v>
      </c>
      <c r="C2011" t="s">
        <v>9</v>
      </c>
      <c r="D2011" t="s">
        <v>2337</v>
      </c>
      <c r="E2011" t="s">
        <v>11</v>
      </c>
      <c r="F2011" t="s">
        <v>2338</v>
      </c>
      <c r="G2011" t="s">
        <v>150</v>
      </c>
      <c r="H2011">
        <v>1</v>
      </c>
    </row>
    <row r="2012" spans="1:8" x14ac:dyDescent="0.35">
      <c r="A2012">
        <v>6008835001470</v>
      </c>
      <c r="B2012" t="s">
        <v>2345</v>
      </c>
      <c r="C2012" t="s">
        <v>1123</v>
      </c>
      <c r="D2012" t="s">
        <v>2346</v>
      </c>
      <c r="E2012" t="s">
        <v>11</v>
      </c>
      <c r="F2012" t="s">
        <v>2347</v>
      </c>
      <c r="G2012" t="s">
        <v>11</v>
      </c>
      <c r="H2012">
        <v>11</v>
      </c>
    </row>
    <row r="2013" spans="1:8" x14ac:dyDescent="0.35">
      <c r="A2013">
        <v>6008835001470</v>
      </c>
      <c r="B2013" t="s">
        <v>2345</v>
      </c>
      <c r="C2013" t="s">
        <v>1123</v>
      </c>
      <c r="D2013" t="s">
        <v>2346</v>
      </c>
      <c r="E2013" t="s">
        <v>11</v>
      </c>
      <c r="F2013" t="s">
        <v>2347</v>
      </c>
      <c r="G2013" t="s">
        <v>61</v>
      </c>
      <c r="H2013">
        <v>11</v>
      </c>
    </row>
    <row r="2014" spans="1:8" x14ac:dyDescent="0.35">
      <c r="A2014">
        <v>6008874329030</v>
      </c>
      <c r="B2014" t="s">
        <v>2248</v>
      </c>
      <c r="C2014" t="s">
        <v>603</v>
      </c>
      <c r="D2014" t="s">
        <v>2249</v>
      </c>
      <c r="E2014" t="s">
        <v>578</v>
      </c>
      <c r="F2014" t="s">
        <v>2250</v>
      </c>
      <c r="G2014" t="s">
        <v>33</v>
      </c>
      <c r="H2014">
        <v>20</v>
      </c>
    </row>
    <row r="2015" spans="1:8" x14ac:dyDescent="0.35">
      <c r="A2015">
        <v>6009000980026</v>
      </c>
      <c r="B2015" t="s">
        <v>2348</v>
      </c>
      <c r="C2015" t="s">
        <v>2349</v>
      </c>
      <c r="D2015" t="s">
        <v>2350</v>
      </c>
      <c r="E2015" t="s">
        <v>34</v>
      </c>
      <c r="F2015" t="s">
        <v>2351</v>
      </c>
      <c r="G2015" t="s">
        <v>34</v>
      </c>
      <c r="H2015">
        <v>2</v>
      </c>
    </row>
    <row r="2016" spans="1:8" x14ac:dyDescent="0.35">
      <c r="A2016">
        <v>6009000980040</v>
      </c>
      <c r="B2016" t="s">
        <v>2352</v>
      </c>
      <c r="C2016" t="s">
        <v>272</v>
      </c>
      <c r="D2016" t="s">
        <v>2350</v>
      </c>
      <c r="E2016" t="s">
        <v>34</v>
      </c>
      <c r="F2016" t="s">
        <v>2351</v>
      </c>
      <c r="G2016" t="s">
        <v>34</v>
      </c>
      <c r="H2016">
        <v>151</v>
      </c>
    </row>
    <row r="2017" spans="1:8" x14ac:dyDescent="0.35">
      <c r="A2017">
        <v>6009000980057</v>
      </c>
      <c r="B2017" t="s">
        <v>589</v>
      </c>
      <c r="C2017" t="s">
        <v>472</v>
      </c>
      <c r="D2017" t="s">
        <v>2350</v>
      </c>
      <c r="E2017" t="s">
        <v>34</v>
      </c>
      <c r="F2017" t="s">
        <v>2351</v>
      </c>
      <c r="G2017" t="s">
        <v>34</v>
      </c>
      <c r="H2017">
        <v>51</v>
      </c>
    </row>
    <row r="2018" spans="1:8" x14ac:dyDescent="0.35">
      <c r="A2018">
        <v>6009000980057</v>
      </c>
      <c r="B2018" t="s">
        <v>589</v>
      </c>
      <c r="C2018" t="s">
        <v>472</v>
      </c>
      <c r="D2018" t="s">
        <v>2350</v>
      </c>
      <c r="E2018" t="s">
        <v>34</v>
      </c>
      <c r="F2018" t="s">
        <v>2351</v>
      </c>
      <c r="G2018" t="s">
        <v>31</v>
      </c>
      <c r="H2018">
        <v>7</v>
      </c>
    </row>
    <row r="2019" spans="1:8" x14ac:dyDescent="0.35">
      <c r="A2019">
        <v>6009000980071</v>
      </c>
      <c r="B2019" t="s">
        <v>2353</v>
      </c>
      <c r="C2019" t="s">
        <v>603</v>
      </c>
      <c r="D2019" t="s">
        <v>2350</v>
      </c>
      <c r="E2019" t="s">
        <v>34</v>
      </c>
      <c r="F2019" t="s">
        <v>2351</v>
      </c>
      <c r="G2019" t="s">
        <v>34</v>
      </c>
      <c r="H2019">
        <v>605</v>
      </c>
    </row>
    <row r="2020" spans="1:8" x14ac:dyDescent="0.35">
      <c r="A2020">
        <v>6009000980088</v>
      </c>
      <c r="B2020" t="s">
        <v>2354</v>
      </c>
      <c r="C2020" t="s">
        <v>472</v>
      </c>
      <c r="D2020" t="s">
        <v>2350</v>
      </c>
      <c r="E2020" t="s">
        <v>34</v>
      </c>
      <c r="F2020" t="s">
        <v>2351</v>
      </c>
      <c r="G2020" t="s">
        <v>34</v>
      </c>
      <c r="H2020">
        <v>330</v>
      </c>
    </row>
    <row r="2021" spans="1:8" x14ac:dyDescent="0.35">
      <c r="A2021">
        <v>6009000982211</v>
      </c>
      <c r="B2021" t="s">
        <v>2355</v>
      </c>
      <c r="C2021" t="s">
        <v>9</v>
      </c>
      <c r="D2021" t="s">
        <v>2356</v>
      </c>
      <c r="E2021" t="s">
        <v>34</v>
      </c>
      <c r="F2021" t="s">
        <v>2357</v>
      </c>
      <c r="G2021" t="s">
        <v>34</v>
      </c>
      <c r="H2021">
        <v>1</v>
      </c>
    </row>
    <row r="2022" spans="1:8" x14ac:dyDescent="0.35">
      <c r="A2022">
        <v>6009000982259</v>
      </c>
      <c r="B2022" t="s">
        <v>2358</v>
      </c>
      <c r="C2022" t="s">
        <v>9</v>
      </c>
      <c r="D2022" t="s">
        <v>2356</v>
      </c>
      <c r="E2022" t="s">
        <v>34</v>
      </c>
      <c r="F2022" t="s">
        <v>2357</v>
      </c>
      <c r="G2022" t="s">
        <v>34</v>
      </c>
      <c r="H2022">
        <v>4</v>
      </c>
    </row>
    <row r="2023" spans="1:8" x14ac:dyDescent="0.35">
      <c r="A2023">
        <v>6009101070824</v>
      </c>
      <c r="B2023" t="s">
        <v>2359</v>
      </c>
      <c r="C2023" t="s">
        <v>443</v>
      </c>
      <c r="D2023" t="s">
        <v>1097</v>
      </c>
      <c r="E2023" t="s">
        <v>73</v>
      </c>
      <c r="F2023" t="s">
        <v>1098</v>
      </c>
      <c r="G2023" t="s">
        <v>73</v>
      </c>
      <c r="H2023">
        <v>1</v>
      </c>
    </row>
    <row r="2024" spans="1:8" x14ac:dyDescent="0.35">
      <c r="A2024">
        <v>6009101708574</v>
      </c>
      <c r="B2024" t="s">
        <v>2360</v>
      </c>
      <c r="C2024" t="s">
        <v>1123</v>
      </c>
      <c r="D2024" t="s">
        <v>1097</v>
      </c>
      <c r="E2024" t="s">
        <v>73</v>
      </c>
      <c r="F2024" t="s">
        <v>1098</v>
      </c>
      <c r="G2024" t="s">
        <v>73</v>
      </c>
      <c r="H2024">
        <v>1</v>
      </c>
    </row>
    <row r="2025" spans="1:8" x14ac:dyDescent="0.35">
      <c r="A2025">
        <v>6009101961788</v>
      </c>
      <c r="B2025" t="s">
        <v>2263</v>
      </c>
      <c r="C2025" t="s">
        <v>326</v>
      </c>
      <c r="D2025" t="s">
        <v>1097</v>
      </c>
      <c r="E2025" t="s">
        <v>73</v>
      </c>
      <c r="F2025" t="s">
        <v>1098</v>
      </c>
      <c r="G2025" t="s">
        <v>73</v>
      </c>
      <c r="H2025">
        <v>1</v>
      </c>
    </row>
    <row r="2026" spans="1:8" x14ac:dyDescent="0.35">
      <c r="A2026">
        <v>6009171831134</v>
      </c>
      <c r="B2026" t="s">
        <v>2361</v>
      </c>
      <c r="C2026" t="s">
        <v>272</v>
      </c>
      <c r="D2026" t="s">
        <v>1097</v>
      </c>
      <c r="E2026" t="s">
        <v>73</v>
      </c>
      <c r="F2026" t="s">
        <v>1098</v>
      </c>
      <c r="G2026" t="s">
        <v>73</v>
      </c>
      <c r="H2026">
        <v>1</v>
      </c>
    </row>
    <row r="2027" spans="1:8" x14ac:dyDescent="0.35">
      <c r="A2027">
        <v>6009171929749</v>
      </c>
      <c r="B2027" t="s">
        <v>2362</v>
      </c>
      <c r="C2027" t="s">
        <v>1435</v>
      </c>
      <c r="D2027" t="s">
        <v>1097</v>
      </c>
      <c r="E2027" t="s">
        <v>73</v>
      </c>
      <c r="F2027" t="s">
        <v>1098</v>
      </c>
      <c r="G2027" t="s">
        <v>73</v>
      </c>
      <c r="H2027">
        <v>3</v>
      </c>
    </row>
    <row r="2028" spans="1:8" x14ac:dyDescent="0.35">
      <c r="A2028">
        <v>6009173456816</v>
      </c>
      <c r="B2028" t="s">
        <v>2363</v>
      </c>
      <c r="C2028" t="s">
        <v>272</v>
      </c>
      <c r="D2028" t="s">
        <v>1097</v>
      </c>
      <c r="E2028" t="s">
        <v>73</v>
      </c>
      <c r="F2028" t="s">
        <v>1098</v>
      </c>
      <c r="G2028" t="s">
        <v>73</v>
      </c>
      <c r="H2028">
        <v>1</v>
      </c>
    </row>
    <row r="2029" spans="1:8" x14ac:dyDescent="0.35">
      <c r="A2029">
        <v>6009173967152</v>
      </c>
      <c r="B2029" t="s">
        <v>2364</v>
      </c>
      <c r="C2029" t="s">
        <v>192</v>
      </c>
      <c r="D2029" t="s">
        <v>1097</v>
      </c>
      <c r="E2029" t="s">
        <v>73</v>
      </c>
      <c r="F2029" t="s">
        <v>1098</v>
      </c>
      <c r="G2029" t="s">
        <v>73</v>
      </c>
      <c r="H2029">
        <v>1</v>
      </c>
    </row>
    <row r="2030" spans="1:8" x14ac:dyDescent="0.35">
      <c r="A2030">
        <v>6009175095907</v>
      </c>
      <c r="B2030" t="s">
        <v>2365</v>
      </c>
      <c r="C2030" t="s">
        <v>272</v>
      </c>
      <c r="D2030" t="s">
        <v>1097</v>
      </c>
      <c r="E2030" t="s">
        <v>73</v>
      </c>
      <c r="F2030" t="s">
        <v>1098</v>
      </c>
      <c r="G2030" t="s">
        <v>73</v>
      </c>
      <c r="H2030">
        <v>1</v>
      </c>
    </row>
    <row r="2031" spans="1:8" x14ac:dyDescent="0.35">
      <c r="A2031">
        <v>6009175199971</v>
      </c>
      <c r="B2031" t="s">
        <v>2366</v>
      </c>
      <c r="C2031" t="s">
        <v>69</v>
      </c>
      <c r="D2031" t="s">
        <v>1097</v>
      </c>
      <c r="E2031" t="s">
        <v>73</v>
      </c>
      <c r="F2031" t="s">
        <v>1098</v>
      </c>
      <c r="G2031" t="s">
        <v>34</v>
      </c>
      <c r="H2031">
        <v>2</v>
      </c>
    </row>
    <row r="2032" spans="1:8" x14ac:dyDescent="0.35">
      <c r="A2032">
        <v>6009175199995</v>
      </c>
      <c r="B2032" t="s">
        <v>2367</v>
      </c>
      <c r="C2032" t="s">
        <v>2368</v>
      </c>
      <c r="D2032" t="s">
        <v>1097</v>
      </c>
      <c r="E2032" t="s">
        <v>73</v>
      </c>
      <c r="F2032" t="s">
        <v>1098</v>
      </c>
      <c r="G2032" t="s">
        <v>34</v>
      </c>
      <c r="H2032">
        <v>1</v>
      </c>
    </row>
    <row r="2033" spans="1:8" x14ac:dyDescent="0.35">
      <c r="A2033">
        <v>6009175213356</v>
      </c>
      <c r="B2033" t="s">
        <v>2369</v>
      </c>
      <c r="C2033" t="s">
        <v>43</v>
      </c>
      <c r="D2033" t="s">
        <v>1097</v>
      </c>
      <c r="E2033" t="s">
        <v>73</v>
      </c>
      <c r="F2033" t="s">
        <v>1098</v>
      </c>
      <c r="G2033" t="s">
        <v>73</v>
      </c>
      <c r="H2033">
        <v>1</v>
      </c>
    </row>
    <row r="2034" spans="1:8" x14ac:dyDescent="0.35">
      <c r="A2034">
        <v>6009175423854</v>
      </c>
      <c r="B2034" t="s">
        <v>201</v>
      </c>
      <c r="C2034" t="s">
        <v>81</v>
      </c>
      <c r="D2034" t="s">
        <v>1097</v>
      </c>
      <c r="E2034" t="s">
        <v>73</v>
      </c>
      <c r="F2034" t="s">
        <v>1098</v>
      </c>
      <c r="G2034" t="s">
        <v>34</v>
      </c>
      <c r="H2034">
        <v>2</v>
      </c>
    </row>
    <row r="2035" spans="1:8" x14ac:dyDescent="0.35">
      <c r="A2035">
        <v>6009178222591</v>
      </c>
      <c r="B2035" t="s">
        <v>2370</v>
      </c>
      <c r="C2035" t="s">
        <v>2371</v>
      </c>
      <c r="D2035" t="s">
        <v>1097</v>
      </c>
      <c r="E2035" t="s">
        <v>73</v>
      </c>
      <c r="F2035" t="s">
        <v>1098</v>
      </c>
      <c r="G2035" t="s">
        <v>34</v>
      </c>
      <c r="H2035">
        <v>1</v>
      </c>
    </row>
    <row r="2036" spans="1:8" x14ac:dyDescent="0.35">
      <c r="A2036">
        <v>6009178253977</v>
      </c>
      <c r="B2036" t="s">
        <v>2372</v>
      </c>
      <c r="C2036" t="s">
        <v>1175</v>
      </c>
      <c r="D2036" t="s">
        <v>1097</v>
      </c>
      <c r="E2036" t="s">
        <v>73</v>
      </c>
      <c r="F2036" t="s">
        <v>1098</v>
      </c>
      <c r="G2036" t="s">
        <v>73</v>
      </c>
      <c r="H2036">
        <v>6</v>
      </c>
    </row>
    <row r="2037" spans="1:8" x14ac:dyDescent="0.35">
      <c r="A2037">
        <v>6009178930830</v>
      </c>
      <c r="B2037" t="s">
        <v>486</v>
      </c>
      <c r="C2037" t="s">
        <v>78</v>
      </c>
      <c r="D2037" t="s">
        <v>1097</v>
      </c>
      <c r="E2037" t="s">
        <v>73</v>
      </c>
      <c r="F2037" t="s">
        <v>1098</v>
      </c>
      <c r="G2037" t="s">
        <v>73</v>
      </c>
      <c r="H2037">
        <v>1</v>
      </c>
    </row>
    <row r="2038" spans="1:8" x14ac:dyDescent="0.35">
      <c r="A2038">
        <v>6009178931394</v>
      </c>
      <c r="B2038" t="s">
        <v>2373</v>
      </c>
      <c r="C2038" t="s">
        <v>78</v>
      </c>
      <c r="D2038" t="s">
        <v>1097</v>
      </c>
      <c r="E2038" t="s">
        <v>73</v>
      </c>
      <c r="F2038" t="s">
        <v>1098</v>
      </c>
      <c r="G2038" t="s">
        <v>73</v>
      </c>
      <c r="H2038">
        <v>1</v>
      </c>
    </row>
    <row r="2039" spans="1:8" x14ac:dyDescent="0.35">
      <c r="A2039">
        <v>6009184110455</v>
      </c>
      <c r="B2039" t="s">
        <v>2374</v>
      </c>
      <c r="C2039" t="s">
        <v>912</v>
      </c>
      <c r="D2039" t="s">
        <v>1097</v>
      </c>
      <c r="E2039" t="s">
        <v>73</v>
      </c>
      <c r="F2039" t="s">
        <v>1098</v>
      </c>
      <c r="G2039" t="s">
        <v>34</v>
      </c>
      <c r="H2039">
        <v>1</v>
      </c>
    </row>
    <row r="2040" spans="1:8" x14ac:dyDescent="0.35">
      <c r="A2040">
        <v>6009184138763</v>
      </c>
      <c r="B2040" t="s">
        <v>2375</v>
      </c>
      <c r="C2040" t="s">
        <v>919</v>
      </c>
      <c r="D2040" t="s">
        <v>1097</v>
      </c>
      <c r="E2040" t="s">
        <v>73</v>
      </c>
      <c r="F2040" t="s">
        <v>1098</v>
      </c>
      <c r="G2040" t="s">
        <v>73</v>
      </c>
      <c r="H2040">
        <v>1</v>
      </c>
    </row>
    <row r="2041" spans="1:8" x14ac:dyDescent="0.35">
      <c r="A2041">
        <v>6009184329970</v>
      </c>
      <c r="B2041" t="s">
        <v>2376</v>
      </c>
      <c r="C2041" t="s">
        <v>919</v>
      </c>
      <c r="D2041" t="s">
        <v>1097</v>
      </c>
      <c r="E2041" t="s">
        <v>73</v>
      </c>
      <c r="F2041" t="s">
        <v>1098</v>
      </c>
      <c r="G2041" t="s">
        <v>34</v>
      </c>
      <c r="H2041">
        <v>1</v>
      </c>
    </row>
    <row r="2042" spans="1:8" x14ac:dyDescent="0.35">
      <c r="A2042">
        <v>6009184634388</v>
      </c>
      <c r="B2042" t="s">
        <v>2377</v>
      </c>
      <c r="C2042" t="s">
        <v>1118</v>
      </c>
      <c r="D2042" t="s">
        <v>1097</v>
      </c>
      <c r="E2042" t="s">
        <v>73</v>
      </c>
      <c r="F2042" t="s">
        <v>1098</v>
      </c>
      <c r="G2042" t="s">
        <v>73</v>
      </c>
      <c r="H2042">
        <v>1</v>
      </c>
    </row>
    <row r="2043" spans="1:8" x14ac:dyDescent="0.35">
      <c r="A2043">
        <v>6009188002213</v>
      </c>
      <c r="B2043" t="s">
        <v>2378</v>
      </c>
      <c r="C2043" t="s">
        <v>454</v>
      </c>
      <c r="D2043" t="s">
        <v>2379</v>
      </c>
      <c r="E2043" t="s">
        <v>71</v>
      </c>
      <c r="F2043" t="s">
        <v>72</v>
      </c>
      <c r="G2043" t="s">
        <v>34</v>
      </c>
      <c r="H2043">
        <v>2</v>
      </c>
    </row>
    <row r="2044" spans="1:8" x14ac:dyDescent="0.35">
      <c r="A2044">
        <v>6009189642401</v>
      </c>
      <c r="B2044" t="s">
        <v>2380</v>
      </c>
      <c r="C2044" t="s">
        <v>1175</v>
      </c>
      <c r="D2044" t="s">
        <v>1097</v>
      </c>
      <c r="E2044" t="s">
        <v>73</v>
      </c>
      <c r="F2044" t="s">
        <v>1098</v>
      </c>
      <c r="G2044" t="s">
        <v>73</v>
      </c>
      <c r="H2044">
        <v>9</v>
      </c>
    </row>
    <row r="2045" spans="1:8" x14ac:dyDescent="0.35">
      <c r="A2045">
        <v>6009189862502</v>
      </c>
      <c r="B2045" t="s">
        <v>1128</v>
      </c>
      <c r="C2045" t="s">
        <v>472</v>
      </c>
      <c r="D2045" t="s">
        <v>1097</v>
      </c>
      <c r="E2045" t="s">
        <v>73</v>
      </c>
      <c r="F2045" t="s">
        <v>1098</v>
      </c>
      <c r="G2045" t="s">
        <v>73</v>
      </c>
      <c r="H2045">
        <v>1</v>
      </c>
    </row>
    <row r="2046" spans="1:8" x14ac:dyDescent="0.35">
      <c r="A2046">
        <v>6009189862823</v>
      </c>
      <c r="B2046" t="s">
        <v>2381</v>
      </c>
      <c r="C2046" t="s">
        <v>192</v>
      </c>
      <c r="D2046" t="s">
        <v>1097</v>
      </c>
      <c r="E2046" t="s">
        <v>73</v>
      </c>
      <c r="F2046" t="s">
        <v>1098</v>
      </c>
      <c r="G2046" t="s">
        <v>34</v>
      </c>
      <c r="H2046">
        <v>1</v>
      </c>
    </row>
    <row r="2047" spans="1:8" x14ac:dyDescent="0.35">
      <c r="A2047">
        <v>6009189914997</v>
      </c>
      <c r="B2047" t="s">
        <v>2382</v>
      </c>
      <c r="C2047" t="s">
        <v>69</v>
      </c>
      <c r="D2047" t="s">
        <v>1097</v>
      </c>
      <c r="E2047" t="s">
        <v>73</v>
      </c>
      <c r="F2047" t="s">
        <v>1098</v>
      </c>
      <c r="G2047" t="s">
        <v>34</v>
      </c>
      <c r="H2047">
        <v>1</v>
      </c>
    </row>
    <row r="2048" spans="1:8" x14ac:dyDescent="0.35">
      <c r="A2048">
        <v>6009189919466</v>
      </c>
      <c r="B2048" t="s">
        <v>2383</v>
      </c>
      <c r="C2048" t="s">
        <v>2384</v>
      </c>
      <c r="D2048" t="s">
        <v>1097</v>
      </c>
      <c r="E2048" t="s">
        <v>73</v>
      </c>
      <c r="F2048" t="s">
        <v>1098</v>
      </c>
      <c r="G2048" t="s">
        <v>34</v>
      </c>
      <c r="H2048">
        <v>1</v>
      </c>
    </row>
    <row r="2049" spans="1:8" x14ac:dyDescent="0.35">
      <c r="A2049">
        <v>6009195707972</v>
      </c>
      <c r="B2049" t="s">
        <v>2385</v>
      </c>
      <c r="C2049" t="s">
        <v>78</v>
      </c>
      <c r="D2049" t="s">
        <v>1097</v>
      </c>
      <c r="E2049" t="s">
        <v>73</v>
      </c>
      <c r="F2049" t="s">
        <v>1098</v>
      </c>
      <c r="G2049" t="s">
        <v>73</v>
      </c>
      <c r="H2049">
        <v>1</v>
      </c>
    </row>
    <row r="2050" spans="1:8" x14ac:dyDescent="0.35">
      <c r="A2050">
        <v>6009207356471</v>
      </c>
      <c r="B2050" t="s">
        <v>2386</v>
      </c>
      <c r="C2050" t="s">
        <v>903</v>
      </c>
      <c r="D2050" t="s">
        <v>1097</v>
      </c>
      <c r="E2050" t="s">
        <v>73</v>
      </c>
      <c r="F2050" t="s">
        <v>1098</v>
      </c>
      <c r="G2050" t="s">
        <v>73</v>
      </c>
      <c r="H2050">
        <v>1</v>
      </c>
    </row>
    <row r="2051" spans="1:8" x14ac:dyDescent="0.35">
      <c r="A2051">
        <v>6009207761978</v>
      </c>
      <c r="B2051" t="s">
        <v>2387</v>
      </c>
      <c r="C2051" t="s">
        <v>2388</v>
      </c>
      <c r="D2051" t="s">
        <v>1097</v>
      </c>
      <c r="E2051" t="s">
        <v>73</v>
      </c>
      <c r="F2051" t="s">
        <v>1098</v>
      </c>
      <c r="G2051" t="s">
        <v>73</v>
      </c>
      <c r="H2051">
        <v>2</v>
      </c>
    </row>
    <row r="2052" spans="1:8" x14ac:dyDescent="0.35">
      <c r="A2052">
        <v>6009207762050</v>
      </c>
      <c r="B2052" t="s">
        <v>2389</v>
      </c>
      <c r="C2052" t="s">
        <v>1435</v>
      </c>
      <c r="D2052" t="s">
        <v>1097</v>
      </c>
      <c r="E2052" t="s">
        <v>73</v>
      </c>
      <c r="F2052" t="s">
        <v>1098</v>
      </c>
      <c r="G2052" t="s">
        <v>73</v>
      </c>
      <c r="H2052">
        <v>2</v>
      </c>
    </row>
    <row r="2053" spans="1:8" x14ac:dyDescent="0.35">
      <c r="A2053">
        <v>6009211118904</v>
      </c>
      <c r="B2053" t="s">
        <v>2390</v>
      </c>
      <c r="C2053" t="s">
        <v>43</v>
      </c>
      <c r="D2053" t="s">
        <v>1097</v>
      </c>
      <c r="E2053" t="s">
        <v>73</v>
      </c>
      <c r="F2053" t="s">
        <v>1098</v>
      </c>
      <c r="G2053" t="s">
        <v>73</v>
      </c>
      <c r="H2053">
        <v>1</v>
      </c>
    </row>
    <row r="2054" spans="1:8" x14ac:dyDescent="0.35">
      <c r="A2054">
        <v>6009211171312</v>
      </c>
      <c r="B2054" t="s">
        <v>2391</v>
      </c>
      <c r="C2054" t="s">
        <v>272</v>
      </c>
      <c r="D2054" t="s">
        <v>1097</v>
      </c>
      <c r="E2054" t="s">
        <v>73</v>
      </c>
      <c r="F2054" t="s">
        <v>1098</v>
      </c>
      <c r="G2054" t="s">
        <v>73</v>
      </c>
      <c r="H2054">
        <v>3</v>
      </c>
    </row>
    <row r="2055" spans="1:8" x14ac:dyDescent="0.35">
      <c r="A2055">
        <v>6009211635166</v>
      </c>
      <c r="B2055" t="s">
        <v>2392</v>
      </c>
      <c r="C2055" t="s">
        <v>2393</v>
      </c>
      <c r="D2055" t="s">
        <v>1097</v>
      </c>
      <c r="E2055" t="s">
        <v>73</v>
      </c>
      <c r="F2055" t="s">
        <v>1098</v>
      </c>
      <c r="G2055" t="s">
        <v>31</v>
      </c>
      <c r="H2055">
        <v>16</v>
      </c>
    </row>
    <row r="2056" spans="1:8" x14ac:dyDescent="0.35">
      <c r="A2056">
        <v>6009211635166</v>
      </c>
      <c r="B2056" t="s">
        <v>2392</v>
      </c>
      <c r="C2056" t="s">
        <v>2393</v>
      </c>
      <c r="D2056" t="s">
        <v>1097</v>
      </c>
      <c r="E2056" t="s">
        <v>73</v>
      </c>
      <c r="F2056" t="s">
        <v>1098</v>
      </c>
      <c r="G2056" t="s">
        <v>73</v>
      </c>
      <c r="H2056">
        <v>1</v>
      </c>
    </row>
    <row r="2057" spans="1:8" x14ac:dyDescent="0.35">
      <c r="A2057">
        <v>6009217216369</v>
      </c>
      <c r="B2057" t="s">
        <v>2394</v>
      </c>
      <c r="C2057" t="s">
        <v>1123</v>
      </c>
      <c r="D2057" t="s">
        <v>1097</v>
      </c>
      <c r="E2057" t="s">
        <v>73</v>
      </c>
      <c r="F2057" t="s">
        <v>1098</v>
      </c>
      <c r="G2057" t="s">
        <v>73</v>
      </c>
      <c r="H2057">
        <v>1</v>
      </c>
    </row>
    <row r="2058" spans="1:8" x14ac:dyDescent="0.35">
      <c r="A2058">
        <v>6009223529415</v>
      </c>
      <c r="B2058" t="s">
        <v>2395</v>
      </c>
      <c r="C2058" t="s">
        <v>1175</v>
      </c>
      <c r="D2058" t="s">
        <v>1097</v>
      </c>
      <c r="E2058" t="s">
        <v>73</v>
      </c>
      <c r="F2058" t="s">
        <v>1098</v>
      </c>
      <c r="G2058" t="s">
        <v>73</v>
      </c>
      <c r="H2058">
        <v>1</v>
      </c>
    </row>
    <row r="2059" spans="1:8" x14ac:dyDescent="0.35">
      <c r="A2059">
        <v>6009223535454</v>
      </c>
      <c r="B2059" t="s">
        <v>2396</v>
      </c>
      <c r="C2059" t="s">
        <v>1141</v>
      </c>
      <c r="D2059" t="s">
        <v>1097</v>
      </c>
      <c r="E2059" t="s">
        <v>73</v>
      </c>
      <c r="F2059" t="s">
        <v>1098</v>
      </c>
      <c r="G2059" t="s">
        <v>73</v>
      </c>
      <c r="H2059">
        <v>1</v>
      </c>
    </row>
    <row r="2060" spans="1:8" x14ac:dyDescent="0.35">
      <c r="A2060">
        <v>6009223535461</v>
      </c>
      <c r="B2060" t="s">
        <v>2397</v>
      </c>
      <c r="C2060" t="s">
        <v>2062</v>
      </c>
      <c r="D2060" t="s">
        <v>1120</v>
      </c>
      <c r="E2060" t="s">
        <v>73</v>
      </c>
      <c r="F2060" t="s">
        <v>1098</v>
      </c>
      <c r="G2060" t="s">
        <v>73</v>
      </c>
      <c r="H2060">
        <v>4</v>
      </c>
    </row>
    <row r="2061" spans="1:8" x14ac:dyDescent="0.35">
      <c r="A2061">
        <v>6009223763321</v>
      </c>
      <c r="B2061" t="s">
        <v>2398</v>
      </c>
      <c r="C2061" t="s">
        <v>43</v>
      </c>
      <c r="D2061" t="s">
        <v>1097</v>
      </c>
      <c r="E2061" t="s">
        <v>73</v>
      </c>
      <c r="F2061" t="s">
        <v>1098</v>
      </c>
      <c r="G2061" t="s">
        <v>73</v>
      </c>
      <c r="H2061">
        <v>1</v>
      </c>
    </row>
    <row r="2062" spans="1:8" x14ac:dyDescent="0.35">
      <c r="A2062">
        <v>6009328205221</v>
      </c>
      <c r="B2062" t="s">
        <v>2399</v>
      </c>
      <c r="C2062" t="s">
        <v>2400</v>
      </c>
      <c r="D2062" t="s">
        <v>2401</v>
      </c>
      <c r="E2062" t="s">
        <v>34</v>
      </c>
      <c r="F2062" t="s">
        <v>2402</v>
      </c>
      <c r="G2062" t="s">
        <v>34</v>
      </c>
      <c r="H2062">
        <v>431</v>
      </c>
    </row>
    <row r="2063" spans="1:8" x14ac:dyDescent="0.35">
      <c r="A2063">
        <v>6009510804683</v>
      </c>
      <c r="B2063" t="s">
        <v>2403</v>
      </c>
      <c r="C2063" t="s">
        <v>659</v>
      </c>
      <c r="D2063" t="s">
        <v>2404</v>
      </c>
      <c r="E2063" t="s">
        <v>117</v>
      </c>
      <c r="F2063" t="s">
        <v>2405</v>
      </c>
      <c r="G2063" t="s">
        <v>34</v>
      </c>
      <c r="H2063">
        <v>2</v>
      </c>
    </row>
    <row r="2064" spans="1:8" x14ac:dyDescent="0.35">
      <c r="A2064">
        <v>6009510805840</v>
      </c>
      <c r="B2064" t="s">
        <v>2406</v>
      </c>
      <c r="C2064" t="s">
        <v>2407</v>
      </c>
      <c r="D2064" t="s">
        <v>563</v>
      </c>
      <c r="E2064" t="s">
        <v>15</v>
      </c>
      <c r="F2064" t="s">
        <v>56</v>
      </c>
      <c r="G2064" t="s">
        <v>117</v>
      </c>
      <c r="H2064">
        <v>13</v>
      </c>
    </row>
    <row r="2065" spans="1:8" x14ac:dyDescent="0.35">
      <c r="A2065">
        <v>6009510805840</v>
      </c>
      <c r="B2065" t="s">
        <v>2406</v>
      </c>
      <c r="C2065" t="s">
        <v>2407</v>
      </c>
      <c r="D2065" t="s">
        <v>563</v>
      </c>
      <c r="E2065" t="s">
        <v>15</v>
      </c>
      <c r="F2065" t="s">
        <v>56</v>
      </c>
      <c r="G2065" t="s">
        <v>34</v>
      </c>
      <c r="H2065">
        <v>5</v>
      </c>
    </row>
    <row r="2066" spans="1:8" x14ac:dyDescent="0.35">
      <c r="A2066">
        <v>6009510805857</v>
      </c>
      <c r="B2066" t="s">
        <v>2408</v>
      </c>
      <c r="C2066" t="s">
        <v>2407</v>
      </c>
      <c r="D2066" t="s">
        <v>563</v>
      </c>
      <c r="E2066" t="s">
        <v>15</v>
      </c>
      <c r="F2066" t="s">
        <v>56</v>
      </c>
      <c r="G2066" t="s">
        <v>34</v>
      </c>
      <c r="H2066">
        <v>2</v>
      </c>
    </row>
    <row r="2067" spans="1:8" x14ac:dyDescent="0.35">
      <c r="A2067">
        <v>6009510805864</v>
      </c>
      <c r="B2067" t="s">
        <v>2409</v>
      </c>
      <c r="C2067" t="s">
        <v>2407</v>
      </c>
      <c r="D2067" t="s">
        <v>563</v>
      </c>
      <c r="E2067" t="s">
        <v>15</v>
      </c>
      <c r="F2067" t="s">
        <v>56</v>
      </c>
      <c r="G2067" t="s">
        <v>34</v>
      </c>
      <c r="H2067">
        <v>1</v>
      </c>
    </row>
    <row r="2068" spans="1:8" x14ac:dyDescent="0.35">
      <c r="A2068">
        <v>6009510805888</v>
      </c>
      <c r="B2068" t="s">
        <v>2410</v>
      </c>
      <c r="C2068" t="s">
        <v>967</v>
      </c>
      <c r="D2068" t="s">
        <v>566</v>
      </c>
      <c r="E2068" t="s">
        <v>15</v>
      </c>
      <c r="F2068" t="s">
        <v>56</v>
      </c>
      <c r="G2068" t="s">
        <v>34</v>
      </c>
      <c r="H2068">
        <v>2</v>
      </c>
    </row>
    <row r="2069" spans="1:8" x14ac:dyDescent="0.35">
      <c r="A2069">
        <v>6009510805949</v>
      </c>
      <c r="B2069" t="s">
        <v>2411</v>
      </c>
      <c r="C2069" t="s">
        <v>617</v>
      </c>
      <c r="D2069" t="s">
        <v>2412</v>
      </c>
      <c r="E2069" t="s">
        <v>15</v>
      </c>
      <c r="F2069" t="s">
        <v>56</v>
      </c>
      <c r="G2069" t="s">
        <v>34</v>
      </c>
      <c r="H2069">
        <v>8</v>
      </c>
    </row>
    <row r="2070" spans="1:8" x14ac:dyDescent="0.35">
      <c r="A2070">
        <v>6009510805956</v>
      </c>
      <c r="B2070" t="s">
        <v>2413</v>
      </c>
      <c r="C2070" t="s">
        <v>617</v>
      </c>
      <c r="D2070" t="s">
        <v>2412</v>
      </c>
      <c r="E2070" t="s">
        <v>15</v>
      </c>
      <c r="F2070" t="s">
        <v>56</v>
      </c>
      <c r="G2070" t="s">
        <v>34</v>
      </c>
      <c r="H2070">
        <v>6</v>
      </c>
    </row>
    <row r="2071" spans="1:8" x14ac:dyDescent="0.35">
      <c r="A2071">
        <v>6009510806168</v>
      </c>
      <c r="B2071" t="s">
        <v>2414</v>
      </c>
      <c r="C2071" t="s">
        <v>2415</v>
      </c>
      <c r="D2071" t="s">
        <v>563</v>
      </c>
      <c r="E2071" t="s">
        <v>15</v>
      </c>
      <c r="F2071" t="s">
        <v>56</v>
      </c>
      <c r="G2071" t="s">
        <v>117</v>
      </c>
      <c r="H2071">
        <v>1</v>
      </c>
    </row>
    <row r="2072" spans="1:8" x14ac:dyDescent="0.35">
      <c r="A2072">
        <v>6009510806168</v>
      </c>
      <c r="B2072" t="s">
        <v>2414</v>
      </c>
      <c r="C2072" t="s">
        <v>2415</v>
      </c>
      <c r="D2072" t="s">
        <v>563</v>
      </c>
      <c r="E2072" t="s">
        <v>15</v>
      </c>
      <c r="F2072" t="s">
        <v>56</v>
      </c>
      <c r="G2072" t="s">
        <v>34</v>
      </c>
      <c r="H2072">
        <v>5</v>
      </c>
    </row>
    <row r="2073" spans="1:8" x14ac:dyDescent="0.35">
      <c r="A2073">
        <v>6009510806861</v>
      </c>
      <c r="B2073" t="s">
        <v>668</v>
      </c>
      <c r="C2073" t="s">
        <v>78</v>
      </c>
      <c r="D2073" t="s">
        <v>273</v>
      </c>
      <c r="E2073" t="s">
        <v>15</v>
      </c>
      <c r="F2073" t="s">
        <v>56</v>
      </c>
      <c r="G2073" t="s">
        <v>16</v>
      </c>
      <c r="H2073">
        <v>1</v>
      </c>
    </row>
    <row r="2074" spans="1:8" x14ac:dyDescent="0.35">
      <c r="A2074">
        <v>6009510806861</v>
      </c>
      <c r="B2074" t="s">
        <v>668</v>
      </c>
      <c r="C2074" t="s">
        <v>78</v>
      </c>
      <c r="D2074" t="s">
        <v>273</v>
      </c>
      <c r="E2074" t="s">
        <v>15</v>
      </c>
      <c r="F2074" t="s">
        <v>56</v>
      </c>
      <c r="G2074" t="s">
        <v>22</v>
      </c>
      <c r="H2074">
        <v>1</v>
      </c>
    </row>
    <row r="2075" spans="1:8" x14ac:dyDescent="0.35">
      <c r="A2075">
        <v>6009510806861</v>
      </c>
      <c r="B2075" t="s">
        <v>668</v>
      </c>
      <c r="C2075" t="s">
        <v>78</v>
      </c>
      <c r="D2075" t="s">
        <v>273</v>
      </c>
      <c r="E2075" t="s">
        <v>15</v>
      </c>
      <c r="F2075" t="s">
        <v>56</v>
      </c>
      <c r="G2075" t="s">
        <v>34</v>
      </c>
      <c r="H2075">
        <v>5</v>
      </c>
    </row>
    <row r="2076" spans="1:8" x14ac:dyDescent="0.35">
      <c r="A2076">
        <v>6009512420218</v>
      </c>
      <c r="B2076" t="s">
        <v>2416</v>
      </c>
      <c r="C2076" t="s">
        <v>110</v>
      </c>
      <c r="D2076" t="s">
        <v>2417</v>
      </c>
      <c r="E2076" t="s">
        <v>34</v>
      </c>
      <c r="F2076" t="s">
        <v>2418</v>
      </c>
      <c r="G2076" t="s">
        <v>34</v>
      </c>
      <c r="H2076">
        <v>2</v>
      </c>
    </row>
    <row r="2077" spans="1:8" x14ac:dyDescent="0.35">
      <c r="A2077">
        <v>6009522300609</v>
      </c>
      <c r="B2077" t="s">
        <v>1107</v>
      </c>
      <c r="C2077" t="s">
        <v>445</v>
      </c>
      <c r="D2077" t="s">
        <v>2419</v>
      </c>
      <c r="E2077" t="s">
        <v>73</v>
      </c>
      <c r="F2077" t="s">
        <v>2103</v>
      </c>
      <c r="G2077" t="s">
        <v>73</v>
      </c>
      <c r="H2077">
        <v>2</v>
      </c>
    </row>
    <row r="2078" spans="1:8" x14ac:dyDescent="0.35">
      <c r="A2078">
        <v>6009523603235</v>
      </c>
      <c r="B2078" t="s">
        <v>2420</v>
      </c>
      <c r="C2078" t="s">
        <v>9</v>
      </c>
      <c r="D2078" t="s">
        <v>2421</v>
      </c>
      <c r="E2078" t="s">
        <v>73</v>
      </c>
      <c r="F2078" t="s">
        <v>2103</v>
      </c>
      <c r="G2078" t="s">
        <v>33</v>
      </c>
      <c r="H2078">
        <v>2</v>
      </c>
    </row>
    <row r="2079" spans="1:8" x14ac:dyDescent="0.35">
      <c r="A2079">
        <v>6009537015758</v>
      </c>
      <c r="B2079" t="s">
        <v>2422</v>
      </c>
      <c r="C2079" t="s">
        <v>1115</v>
      </c>
      <c r="D2079" t="s">
        <v>2423</v>
      </c>
      <c r="E2079" t="s">
        <v>578</v>
      </c>
      <c r="F2079" t="s">
        <v>2424</v>
      </c>
      <c r="G2079" t="s">
        <v>117</v>
      </c>
      <c r="H2079">
        <v>54</v>
      </c>
    </row>
    <row r="2080" spans="1:8" x14ac:dyDescent="0.35">
      <c r="A2080">
        <v>6009537015758</v>
      </c>
      <c r="B2080" t="s">
        <v>2422</v>
      </c>
      <c r="C2080" t="s">
        <v>1115</v>
      </c>
      <c r="D2080" t="s">
        <v>2423</v>
      </c>
      <c r="E2080" t="s">
        <v>578</v>
      </c>
      <c r="F2080" t="s">
        <v>2424</v>
      </c>
      <c r="G2080" t="s">
        <v>34</v>
      </c>
      <c r="H2080">
        <v>57</v>
      </c>
    </row>
    <row r="2081" spans="1:8" x14ac:dyDescent="0.35">
      <c r="A2081">
        <v>6009537015758</v>
      </c>
      <c r="B2081" t="s">
        <v>2422</v>
      </c>
      <c r="C2081" t="s">
        <v>1115</v>
      </c>
      <c r="D2081" t="s">
        <v>2423</v>
      </c>
      <c r="E2081" t="s">
        <v>578</v>
      </c>
      <c r="F2081" t="s">
        <v>2424</v>
      </c>
      <c r="G2081" t="s">
        <v>578</v>
      </c>
      <c r="H2081">
        <v>11</v>
      </c>
    </row>
    <row r="2082" spans="1:8" x14ac:dyDescent="0.35">
      <c r="A2082">
        <v>6009537015765</v>
      </c>
      <c r="B2082" t="s">
        <v>2425</v>
      </c>
      <c r="C2082" t="s">
        <v>9</v>
      </c>
      <c r="D2082" t="s">
        <v>2426</v>
      </c>
      <c r="E2082" t="s">
        <v>578</v>
      </c>
      <c r="F2082" t="s">
        <v>2217</v>
      </c>
      <c r="G2082" t="s">
        <v>117</v>
      </c>
      <c r="H2082">
        <v>9</v>
      </c>
    </row>
    <row r="2083" spans="1:8" x14ac:dyDescent="0.35">
      <c r="A2083">
        <v>6009537015765</v>
      </c>
      <c r="B2083" t="s">
        <v>2425</v>
      </c>
      <c r="C2083" t="s">
        <v>9</v>
      </c>
      <c r="D2083" t="s">
        <v>2426</v>
      </c>
      <c r="E2083" t="s">
        <v>578</v>
      </c>
      <c r="F2083" t="s">
        <v>2217</v>
      </c>
      <c r="G2083" t="s">
        <v>33</v>
      </c>
      <c r="H2083">
        <v>11</v>
      </c>
    </row>
    <row r="2084" spans="1:8" x14ac:dyDescent="0.35">
      <c r="A2084">
        <v>6009537015765</v>
      </c>
      <c r="B2084" t="s">
        <v>2425</v>
      </c>
      <c r="C2084" t="s">
        <v>9</v>
      </c>
      <c r="D2084" t="s">
        <v>2426</v>
      </c>
      <c r="E2084" t="s">
        <v>578</v>
      </c>
      <c r="F2084" t="s">
        <v>2217</v>
      </c>
      <c r="G2084" t="s">
        <v>34</v>
      </c>
      <c r="H2084">
        <v>20</v>
      </c>
    </row>
    <row r="2085" spans="1:8" x14ac:dyDescent="0.35">
      <c r="A2085">
        <v>6009537019435</v>
      </c>
      <c r="B2085" t="s">
        <v>2427</v>
      </c>
      <c r="C2085" t="s">
        <v>2428</v>
      </c>
      <c r="D2085" t="s">
        <v>2429</v>
      </c>
      <c r="E2085" t="s">
        <v>578</v>
      </c>
      <c r="F2085" t="s">
        <v>2217</v>
      </c>
      <c r="G2085" t="s">
        <v>578</v>
      </c>
      <c r="H2085">
        <v>13</v>
      </c>
    </row>
    <row r="2086" spans="1:8" x14ac:dyDescent="0.35">
      <c r="A2086">
        <v>6009601541633</v>
      </c>
      <c r="B2086" t="s">
        <v>1834</v>
      </c>
      <c r="C2086" t="s">
        <v>326</v>
      </c>
      <c r="D2086" t="s">
        <v>832</v>
      </c>
      <c r="E2086" t="s">
        <v>11</v>
      </c>
      <c r="F2086" t="s">
        <v>833</v>
      </c>
      <c r="G2086" t="s">
        <v>150</v>
      </c>
      <c r="H2086">
        <v>31</v>
      </c>
    </row>
    <row r="2087" spans="1:8" x14ac:dyDescent="0.35">
      <c r="A2087">
        <v>6009601541633</v>
      </c>
      <c r="B2087" t="s">
        <v>1834</v>
      </c>
      <c r="C2087" t="s">
        <v>326</v>
      </c>
      <c r="D2087" t="s">
        <v>832</v>
      </c>
      <c r="E2087" t="s">
        <v>11</v>
      </c>
      <c r="F2087" t="s">
        <v>833</v>
      </c>
      <c r="G2087" t="s">
        <v>31</v>
      </c>
      <c r="H2087">
        <v>4</v>
      </c>
    </row>
    <row r="2088" spans="1:8" x14ac:dyDescent="0.35">
      <c r="A2088">
        <v>6009602000009</v>
      </c>
      <c r="B2088" t="s">
        <v>649</v>
      </c>
      <c r="C2088" t="s">
        <v>192</v>
      </c>
      <c r="D2088" t="s">
        <v>2430</v>
      </c>
      <c r="E2088" t="s">
        <v>34</v>
      </c>
      <c r="F2088" t="s">
        <v>2431</v>
      </c>
      <c r="G2088" t="s">
        <v>34</v>
      </c>
      <c r="H2088">
        <v>221</v>
      </c>
    </row>
    <row r="2089" spans="1:8" x14ac:dyDescent="0.35">
      <c r="A2089">
        <v>6009602000016</v>
      </c>
      <c r="B2089" t="s">
        <v>1951</v>
      </c>
      <c r="C2089" t="s">
        <v>9</v>
      </c>
      <c r="D2089" t="s">
        <v>2430</v>
      </c>
      <c r="E2089" t="s">
        <v>34</v>
      </c>
      <c r="F2089" t="s">
        <v>2431</v>
      </c>
      <c r="G2089" t="s">
        <v>34</v>
      </c>
      <c r="H2089">
        <v>12</v>
      </c>
    </row>
    <row r="2090" spans="1:8" x14ac:dyDescent="0.35">
      <c r="A2090">
        <v>6009602379013</v>
      </c>
      <c r="B2090" t="s">
        <v>649</v>
      </c>
      <c r="C2090" t="s">
        <v>9</v>
      </c>
      <c r="D2090" t="s">
        <v>2432</v>
      </c>
      <c r="E2090" t="s">
        <v>73</v>
      </c>
      <c r="F2090" t="s">
        <v>2433</v>
      </c>
      <c r="G2090" t="s">
        <v>34</v>
      </c>
      <c r="H2090">
        <v>115</v>
      </c>
    </row>
    <row r="2091" spans="1:8" x14ac:dyDescent="0.35">
      <c r="A2091">
        <v>6009603570648</v>
      </c>
      <c r="B2091" t="s">
        <v>2434</v>
      </c>
      <c r="C2091" t="s">
        <v>94</v>
      </c>
      <c r="D2091" t="s">
        <v>2435</v>
      </c>
      <c r="E2091" t="s">
        <v>308</v>
      </c>
      <c r="F2091" t="s">
        <v>309</v>
      </c>
      <c r="G2091" t="s">
        <v>34</v>
      </c>
      <c r="H2091">
        <v>1</v>
      </c>
    </row>
    <row r="2092" spans="1:8" x14ac:dyDescent="0.35">
      <c r="A2092">
        <v>6009608440274</v>
      </c>
      <c r="B2092" t="s">
        <v>2436</v>
      </c>
      <c r="C2092" t="s">
        <v>336</v>
      </c>
      <c r="D2092" t="s">
        <v>2437</v>
      </c>
      <c r="E2092" t="s">
        <v>308</v>
      </c>
      <c r="F2092" t="s">
        <v>309</v>
      </c>
      <c r="G2092" t="s">
        <v>578</v>
      </c>
      <c r="H2092">
        <v>1</v>
      </c>
    </row>
    <row r="2093" spans="1:8" x14ac:dyDescent="0.35">
      <c r="A2093">
        <v>6009610390192</v>
      </c>
      <c r="B2093" t="s">
        <v>2438</v>
      </c>
      <c r="C2093" t="s">
        <v>758</v>
      </c>
      <c r="D2093" t="s">
        <v>2439</v>
      </c>
      <c r="E2093" t="s">
        <v>11</v>
      </c>
      <c r="F2093" t="s">
        <v>2440</v>
      </c>
      <c r="G2093" t="s">
        <v>150</v>
      </c>
      <c r="H2093">
        <v>6</v>
      </c>
    </row>
    <row r="2094" spans="1:8" x14ac:dyDescent="0.35">
      <c r="A2094">
        <v>6009612470014</v>
      </c>
      <c r="B2094" t="s">
        <v>1128</v>
      </c>
      <c r="C2094" t="s">
        <v>192</v>
      </c>
      <c r="D2094" t="s">
        <v>2441</v>
      </c>
      <c r="E2094" t="s">
        <v>73</v>
      </c>
      <c r="F2094" t="s">
        <v>2442</v>
      </c>
      <c r="G2094" t="s">
        <v>34</v>
      </c>
      <c r="H2094">
        <v>1</v>
      </c>
    </row>
    <row r="2095" spans="1:8" x14ac:dyDescent="0.35">
      <c r="A2095">
        <v>6009612470014</v>
      </c>
      <c r="B2095" t="s">
        <v>1128</v>
      </c>
      <c r="C2095" t="s">
        <v>192</v>
      </c>
      <c r="D2095" t="s">
        <v>2441</v>
      </c>
      <c r="E2095" t="s">
        <v>73</v>
      </c>
      <c r="F2095" t="s">
        <v>2442</v>
      </c>
      <c r="G2095" t="s">
        <v>2443</v>
      </c>
      <c r="H2095">
        <v>1</v>
      </c>
    </row>
    <row r="2096" spans="1:8" x14ac:dyDescent="0.35">
      <c r="A2096">
        <v>6009612470045</v>
      </c>
      <c r="B2096" t="s">
        <v>2444</v>
      </c>
      <c r="C2096" t="s">
        <v>9</v>
      </c>
      <c r="D2096" t="s">
        <v>2441</v>
      </c>
      <c r="E2096" t="s">
        <v>73</v>
      </c>
      <c r="F2096" t="s">
        <v>2442</v>
      </c>
      <c r="G2096" t="s">
        <v>34</v>
      </c>
      <c r="H2096">
        <v>1</v>
      </c>
    </row>
    <row r="2097" spans="1:8" x14ac:dyDescent="0.35">
      <c r="A2097">
        <v>6009612470045</v>
      </c>
      <c r="B2097" t="s">
        <v>2444</v>
      </c>
      <c r="C2097" t="s">
        <v>9</v>
      </c>
      <c r="D2097" t="s">
        <v>2441</v>
      </c>
      <c r="E2097" t="s">
        <v>73</v>
      </c>
      <c r="F2097" t="s">
        <v>2442</v>
      </c>
      <c r="G2097" t="s">
        <v>73</v>
      </c>
      <c r="H2097">
        <v>3</v>
      </c>
    </row>
    <row r="2098" spans="1:8" x14ac:dyDescent="0.35">
      <c r="A2098">
        <v>6009612470083</v>
      </c>
      <c r="B2098" t="s">
        <v>212</v>
      </c>
      <c r="C2098" t="s">
        <v>192</v>
      </c>
      <c r="D2098" t="s">
        <v>2441</v>
      </c>
      <c r="E2098" t="s">
        <v>73</v>
      </c>
      <c r="F2098" t="s">
        <v>2442</v>
      </c>
      <c r="G2098" t="s">
        <v>34</v>
      </c>
      <c r="H2098">
        <v>5</v>
      </c>
    </row>
    <row r="2099" spans="1:8" x14ac:dyDescent="0.35">
      <c r="A2099">
        <v>6009612470083</v>
      </c>
      <c r="B2099" t="s">
        <v>212</v>
      </c>
      <c r="C2099" t="s">
        <v>192</v>
      </c>
      <c r="D2099" t="s">
        <v>2441</v>
      </c>
      <c r="E2099" t="s">
        <v>73</v>
      </c>
      <c r="F2099" t="s">
        <v>2442</v>
      </c>
      <c r="G2099" t="s">
        <v>2443</v>
      </c>
      <c r="H2099">
        <v>1</v>
      </c>
    </row>
    <row r="2100" spans="1:8" x14ac:dyDescent="0.35">
      <c r="A2100">
        <v>6009612470175</v>
      </c>
      <c r="B2100" t="s">
        <v>2445</v>
      </c>
      <c r="C2100" t="s">
        <v>9</v>
      </c>
      <c r="D2100" t="s">
        <v>2441</v>
      </c>
      <c r="E2100" t="s">
        <v>73</v>
      </c>
      <c r="F2100" t="s">
        <v>2442</v>
      </c>
      <c r="G2100" t="s">
        <v>34</v>
      </c>
      <c r="H2100">
        <v>1</v>
      </c>
    </row>
    <row r="2101" spans="1:8" x14ac:dyDescent="0.35">
      <c r="A2101">
        <v>6009612470298</v>
      </c>
      <c r="B2101" t="s">
        <v>2446</v>
      </c>
      <c r="C2101" t="s">
        <v>192</v>
      </c>
      <c r="D2101" t="s">
        <v>2441</v>
      </c>
      <c r="E2101" t="s">
        <v>73</v>
      </c>
      <c r="F2101" t="s">
        <v>2442</v>
      </c>
      <c r="G2101" t="s">
        <v>34</v>
      </c>
      <c r="H2101">
        <v>1</v>
      </c>
    </row>
    <row r="2102" spans="1:8" x14ac:dyDescent="0.35">
      <c r="A2102">
        <v>6009612470502</v>
      </c>
      <c r="B2102" t="s">
        <v>2447</v>
      </c>
      <c r="C2102" t="s">
        <v>9</v>
      </c>
      <c r="D2102" t="s">
        <v>2448</v>
      </c>
      <c r="E2102" t="s">
        <v>15</v>
      </c>
      <c r="F2102" t="s">
        <v>2449</v>
      </c>
      <c r="G2102" t="s">
        <v>34</v>
      </c>
      <c r="H2102">
        <v>1</v>
      </c>
    </row>
    <row r="2103" spans="1:8" x14ac:dyDescent="0.35">
      <c r="A2103">
        <v>6009612470533</v>
      </c>
      <c r="B2103" t="s">
        <v>2450</v>
      </c>
      <c r="C2103" t="s">
        <v>192</v>
      </c>
      <c r="D2103" t="s">
        <v>2441</v>
      </c>
      <c r="E2103" t="s">
        <v>73</v>
      </c>
      <c r="F2103" t="s">
        <v>2442</v>
      </c>
      <c r="G2103" t="s">
        <v>73</v>
      </c>
      <c r="H2103">
        <v>7</v>
      </c>
    </row>
    <row r="2104" spans="1:8" x14ac:dyDescent="0.35">
      <c r="A2104">
        <v>6009612470649</v>
      </c>
      <c r="B2104" t="s">
        <v>2451</v>
      </c>
      <c r="C2104" t="s">
        <v>75</v>
      </c>
      <c r="D2104" t="s">
        <v>2441</v>
      </c>
      <c r="E2104" t="s">
        <v>73</v>
      </c>
      <c r="F2104" t="s">
        <v>2442</v>
      </c>
      <c r="G2104" t="s">
        <v>34</v>
      </c>
      <c r="H2104">
        <v>9</v>
      </c>
    </row>
    <row r="2105" spans="1:8" x14ac:dyDescent="0.35">
      <c r="A2105">
        <v>6009612470649</v>
      </c>
      <c r="B2105" t="s">
        <v>2451</v>
      </c>
      <c r="C2105" t="s">
        <v>75</v>
      </c>
      <c r="D2105" t="s">
        <v>2441</v>
      </c>
      <c r="E2105" t="s">
        <v>73</v>
      </c>
      <c r="F2105" t="s">
        <v>2442</v>
      </c>
      <c r="G2105" t="s">
        <v>73</v>
      </c>
      <c r="H2105">
        <v>3</v>
      </c>
    </row>
    <row r="2106" spans="1:8" x14ac:dyDescent="0.35">
      <c r="A2106">
        <v>6009612470694</v>
      </c>
      <c r="B2106" t="s">
        <v>485</v>
      </c>
      <c r="C2106" t="s">
        <v>9</v>
      </c>
      <c r="D2106" t="s">
        <v>2441</v>
      </c>
      <c r="E2106" t="s">
        <v>73</v>
      </c>
      <c r="F2106" t="s">
        <v>2442</v>
      </c>
      <c r="G2106" t="s">
        <v>11</v>
      </c>
      <c r="H2106">
        <v>1</v>
      </c>
    </row>
    <row r="2107" spans="1:8" x14ac:dyDescent="0.35">
      <c r="A2107">
        <v>6009612470694</v>
      </c>
      <c r="B2107" t="s">
        <v>485</v>
      </c>
      <c r="C2107" t="s">
        <v>9</v>
      </c>
      <c r="D2107" t="s">
        <v>2441</v>
      </c>
      <c r="E2107" t="s">
        <v>73</v>
      </c>
      <c r="F2107" t="s">
        <v>2442</v>
      </c>
      <c r="G2107" t="s">
        <v>34</v>
      </c>
      <c r="H2107">
        <v>899</v>
      </c>
    </row>
    <row r="2108" spans="1:8" x14ac:dyDescent="0.35">
      <c r="A2108">
        <v>6009612470717</v>
      </c>
      <c r="B2108" t="s">
        <v>2452</v>
      </c>
      <c r="C2108" t="s">
        <v>192</v>
      </c>
      <c r="D2108" t="s">
        <v>2441</v>
      </c>
      <c r="E2108" t="s">
        <v>73</v>
      </c>
      <c r="F2108" t="s">
        <v>2442</v>
      </c>
      <c r="G2108" t="s">
        <v>34</v>
      </c>
      <c r="H2108">
        <v>7</v>
      </c>
    </row>
    <row r="2109" spans="1:8" x14ac:dyDescent="0.35">
      <c r="A2109">
        <v>6009612470717</v>
      </c>
      <c r="B2109" t="s">
        <v>2452</v>
      </c>
      <c r="C2109" t="s">
        <v>192</v>
      </c>
      <c r="D2109" t="s">
        <v>2441</v>
      </c>
      <c r="E2109" t="s">
        <v>73</v>
      </c>
      <c r="F2109" t="s">
        <v>2442</v>
      </c>
      <c r="G2109" t="s">
        <v>73</v>
      </c>
      <c r="H2109">
        <v>2</v>
      </c>
    </row>
    <row r="2110" spans="1:8" x14ac:dyDescent="0.35">
      <c r="A2110">
        <v>6009612470878</v>
      </c>
      <c r="B2110" t="s">
        <v>2453</v>
      </c>
      <c r="C2110" t="s">
        <v>9</v>
      </c>
      <c r="D2110" t="s">
        <v>2441</v>
      </c>
      <c r="E2110" t="s">
        <v>73</v>
      </c>
      <c r="F2110" t="s">
        <v>2442</v>
      </c>
      <c r="G2110" t="s">
        <v>34</v>
      </c>
      <c r="H2110">
        <v>1</v>
      </c>
    </row>
    <row r="2111" spans="1:8" x14ac:dyDescent="0.35">
      <c r="A2111">
        <v>6009612471523</v>
      </c>
      <c r="B2111" t="s">
        <v>2454</v>
      </c>
      <c r="C2111" t="s">
        <v>9</v>
      </c>
      <c r="D2111" t="s">
        <v>2441</v>
      </c>
      <c r="E2111" t="s">
        <v>73</v>
      </c>
      <c r="F2111" t="s">
        <v>2442</v>
      </c>
      <c r="G2111" t="s">
        <v>34</v>
      </c>
      <c r="H2111">
        <v>1</v>
      </c>
    </row>
    <row r="2112" spans="1:8" x14ac:dyDescent="0.35">
      <c r="A2112">
        <v>6009612471707</v>
      </c>
      <c r="B2112" t="s">
        <v>2455</v>
      </c>
      <c r="C2112" t="s">
        <v>114</v>
      </c>
      <c r="D2112" t="s">
        <v>2441</v>
      </c>
      <c r="E2112" t="s">
        <v>73</v>
      </c>
      <c r="F2112" t="s">
        <v>2442</v>
      </c>
      <c r="G2112" t="s">
        <v>34</v>
      </c>
      <c r="H2112">
        <v>1</v>
      </c>
    </row>
    <row r="2113" spans="1:8" x14ac:dyDescent="0.35">
      <c r="A2113">
        <v>6009614733902</v>
      </c>
      <c r="B2113" t="s">
        <v>2456</v>
      </c>
      <c r="C2113" t="s">
        <v>9</v>
      </c>
      <c r="D2113" t="s">
        <v>2457</v>
      </c>
      <c r="E2113" t="s">
        <v>73</v>
      </c>
      <c r="F2113" t="s">
        <v>2458</v>
      </c>
      <c r="G2113" t="s">
        <v>34</v>
      </c>
      <c r="H2113">
        <v>22</v>
      </c>
    </row>
    <row r="2114" spans="1:8" x14ac:dyDescent="0.35">
      <c r="A2114">
        <v>6009616040558</v>
      </c>
      <c r="B2114" t="s">
        <v>2088</v>
      </c>
      <c r="C2114" t="s">
        <v>81</v>
      </c>
      <c r="D2114" t="s">
        <v>2459</v>
      </c>
      <c r="E2114" t="s">
        <v>130</v>
      </c>
      <c r="F2114" t="s">
        <v>220</v>
      </c>
      <c r="G2114" t="s">
        <v>34</v>
      </c>
      <c r="H2114">
        <v>6</v>
      </c>
    </row>
    <row r="2115" spans="1:8" x14ac:dyDescent="0.35">
      <c r="A2115">
        <v>6009616040558</v>
      </c>
      <c r="B2115" t="s">
        <v>2088</v>
      </c>
      <c r="C2115" t="s">
        <v>81</v>
      </c>
      <c r="D2115" t="s">
        <v>2459</v>
      </c>
      <c r="E2115" t="s">
        <v>130</v>
      </c>
      <c r="F2115" t="s">
        <v>220</v>
      </c>
      <c r="G2115" t="s">
        <v>150</v>
      </c>
      <c r="H2115">
        <v>20</v>
      </c>
    </row>
    <row r="2116" spans="1:8" x14ac:dyDescent="0.35">
      <c r="A2116">
        <v>6009616047533</v>
      </c>
      <c r="B2116" t="s">
        <v>2460</v>
      </c>
      <c r="C2116" t="s">
        <v>1123</v>
      </c>
      <c r="D2116" t="s">
        <v>2459</v>
      </c>
      <c r="E2116" t="s">
        <v>130</v>
      </c>
      <c r="F2116" t="s">
        <v>220</v>
      </c>
      <c r="G2116" t="s">
        <v>34</v>
      </c>
      <c r="H2116">
        <v>1</v>
      </c>
    </row>
    <row r="2117" spans="1:8" x14ac:dyDescent="0.35">
      <c r="A2117">
        <v>6009616049322</v>
      </c>
      <c r="B2117" t="s">
        <v>2461</v>
      </c>
      <c r="C2117" t="s">
        <v>2179</v>
      </c>
      <c r="D2117" t="s">
        <v>2252</v>
      </c>
      <c r="E2117" t="s">
        <v>130</v>
      </c>
      <c r="F2117" t="s">
        <v>220</v>
      </c>
      <c r="G2117" t="s">
        <v>22</v>
      </c>
      <c r="H2117">
        <v>1</v>
      </c>
    </row>
    <row r="2118" spans="1:8" x14ac:dyDescent="0.35">
      <c r="A2118">
        <v>6009616049322</v>
      </c>
      <c r="B2118" t="s">
        <v>2461</v>
      </c>
      <c r="C2118" t="s">
        <v>2179</v>
      </c>
      <c r="D2118" t="s">
        <v>2252</v>
      </c>
      <c r="E2118" t="s">
        <v>130</v>
      </c>
      <c r="F2118" t="s">
        <v>220</v>
      </c>
      <c r="G2118" t="s">
        <v>73</v>
      </c>
      <c r="H2118">
        <v>1</v>
      </c>
    </row>
    <row r="2119" spans="1:8" x14ac:dyDescent="0.35">
      <c r="A2119">
        <v>6009617221628</v>
      </c>
      <c r="B2119" t="s">
        <v>2088</v>
      </c>
      <c r="C2119" t="s">
        <v>1123</v>
      </c>
      <c r="D2119" t="s">
        <v>2462</v>
      </c>
      <c r="E2119" t="s">
        <v>73</v>
      </c>
      <c r="F2119" t="s">
        <v>2287</v>
      </c>
      <c r="G2119" t="s">
        <v>34</v>
      </c>
      <c r="H2119">
        <v>1</v>
      </c>
    </row>
    <row r="2120" spans="1:8" x14ac:dyDescent="0.35">
      <c r="A2120">
        <v>6009619870046</v>
      </c>
      <c r="B2120" t="s">
        <v>2463</v>
      </c>
      <c r="C2120" t="s">
        <v>78</v>
      </c>
      <c r="D2120" t="s">
        <v>2464</v>
      </c>
      <c r="E2120" t="s">
        <v>11</v>
      </c>
      <c r="F2120" t="s">
        <v>2465</v>
      </c>
      <c r="G2120" t="s">
        <v>11</v>
      </c>
      <c r="H2120">
        <v>13</v>
      </c>
    </row>
    <row r="2121" spans="1:8" x14ac:dyDescent="0.35">
      <c r="A2121">
        <v>6009622620003</v>
      </c>
      <c r="B2121" t="s">
        <v>485</v>
      </c>
      <c r="C2121" t="s">
        <v>192</v>
      </c>
      <c r="D2121" t="s">
        <v>1933</v>
      </c>
      <c r="E2121" t="s">
        <v>15</v>
      </c>
      <c r="F2121" t="s">
        <v>14</v>
      </c>
      <c r="G2121" t="s">
        <v>130</v>
      </c>
      <c r="H2121">
        <v>2</v>
      </c>
    </row>
    <row r="2122" spans="1:8" x14ac:dyDescent="0.35">
      <c r="A2122">
        <v>6009622620003</v>
      </c>
      <c r="B2122" t="s">
        <v>485</v>
      </c>
      <c r="C2122" t="s">
        <v>192</v>
      </c>
      <c r="D2122" t="s">
        <v>1933</v>
      </c>
      <c r="E2122" t="s">
        <v>15</v>
      </c>
      <c r="F2122" t="s">
        <v>14</v>
      </c>
      <c r="G2122" t="s">
        <v>31</v>
      </c>
      <c r="H2122">
        <v>231</v>
      </c>
    </row>
    <row r="2123" spans="1:8" x14ac:dyDescent="0.35">
      <c r="A2123">
        <v>6009622620027</v>
      </c>
      <c r="B2123" t="s">
        <v>1839</v>
      </c>
      <c r="C2123" t="s">
        <v>9</v>
      </c>
      <c r="D2123" t="s">
        <v>1933</v>
      </c>
      <c r="E2123" t="s">
        <v>15</v>
      </c>
      <c r="F2123" t="s">
        <v>14</v>
      </c>
      <c r="G2123" t="s">
        <v>31</v>
      </c>
      <c r="H2123">
        <v>592</v>
      </c>
    </row>
    <row r="2124" spans="1:8" x14ac:dyDescent="0.35">
      <c r="A2124">
        <v>6009622620041</v>
      </c>
      <c r="B2124" t="s">
        <v>2466</v>
      </c>
      <c r="C2124" t="s">
        <v>75</v>
      </c>
      <c r="D2124" t="s">
        <v>1933</v>
      </c>
      <c r="E2124" t="s">
        <v>15</v>
      </c>
      <c r="F2124" t="s">
        <v>14</v>
      </c>
      <c r="G2124" t="s">
        <v>150</v>
      </c>
      <c r="H2124">
        <v>1</v>
      </c>
    </row>
    <row r="2125" spans="1:8" x14ac:dyDescent="0.35">
      <c r="A2125">
        <v>6009622620041</v>
      </c>
      <c r="B2125" t="s">
        <v>2466</v>
      </c>
      <c r="C2125" t="s">
        <v>75</v>
      </c>
      <c r="D2125" t="s">
        <v>1933</v>
      </c>
      <c r="E2125" t="s">
        <v>15</v>
      </c>
      <c r="F2125" t="s">
        <v>14</v>
      </c>
      <c r="G2125" t="s">
        <v>31</v>
      </c>
      <c r="H2125">
        <v>2</v>
      </c>
    </row>
    <row r="2126" spans="1:8" x14ac:dyDescent="0.35">
      <c r="A2126">
        <v>6009622620096</v>
      </c>
      <c r="B2126" t="s">
        <v>485</v>
      </c>
      <c r="C2126" t="s">
        <v>2467</v>
      </c>
      <c r="D2126" t="s">
        <v>1933</v>
      </c>
      <c r="E2126" t="s">
        <v>15</v>
      </c>
      <c r="F2126" t="s">
        <v>14</v>
      </c>
      <c r="G2126" t="s">
        <v>31</v>
      </c>
      <c r="H2126">
        <v>1</v>
      </c>
    </row>
    <row r="2127" spans="1:8" x14ac:dyDescent="0.35">
      <c r="A2127">
        <v>60096226262003</v>
      </c>
      <c r="B2127" t="s">
        <v>485</v>
      </c>
      <c r="C2127" t="s">
        <v>192</v>
      </c>
      <c r="D2127" t="s">
        <v>1933</v>
      </c>
      <c r="E2127" t="s">
        <v>15</v>
      </c>
      <c r="F2127" t="s">
        <v>14</v>
      </c>
      <c r="G2127" t="s">
        <v>31</v>
      </c>
      <c r="H2127">
        <v>1</v>
      </c>
    </row>
    <row r="2128" spans="1:8" x14ac:dyDescent="0.35">
      <c r="A2128">
        <v>6009627080246</v>
      </c>
      <c r="B2128" t="s">
        <v>1596</v>
      </c>
      <c r="C2128" t="s">
        <v>81</v>
      </c>
      <c r="D2128" t="s">
        <v>1606</v>
      </c>
      <c r="E2128" t="s">
        <v>15</v>
      </c>
      <c r="F2128" t="s">
        <v>14</v>
      </c>
      <c r="G2128" t="s">
        <v>11</v>
      </c>
      <c r="H2128">
        <v>8</v>
      </c>
    </row>
    <row r="2129" spans="1:8" x14ac:dyDescent="0.35">
      <c r="A2129">
        <v>6009627320243</v>
      </c>
      <c r="B2129" t="s">
        <v>2468</v>
      </c>
      <c r="C2129" t="s">
        <v>43</v>
      </c>
      <c r="D2129" t="s">
        <v>2469</v>
      </c>
      <c r="E2129" t="s">
        <v>11</v>
      </c>
      <c r="F2129" t="s">
        <v>2470</v>
      </c>
      <c r="G2129" t="s">
        <v>11</v>
      </c>
      <c r="H2129">
        <v>130</v>
      </c>
    </row>
    <row r="2130" spans="1:8" x14ac:dyDescent="0.35">
      <c r="A2130">
        <v>6009627320243</v>
      </c>
      <c r="B2130" t="s">
        <v>2468</v>
      </c>
      <c r="C2130" t="s">
        <v>43</v>
      </c>
      <c r="D2130" t="s">
        <v>2469</v>
      </c>
      <c r="E2130" t="s">
        <v>11</v>
      </c>
      <c r="F2130" t="s">
        <v>2470</v>
      </c>
      <c r="G2130" t="s">
        <v>150</v>
      </c>
      <c r="H2130">
        <v>1</v>
      </c>
    </row>
    <row r="2131" spans="1:8" x14ac:dyDescent="0.35">
      <c r="A2131">
        <v>6009633160055</v>
      </c>
      <c r="B2131" t="s">
        <v>2471</v>
      </c>
      <c r="C2131" t="s">
        <v>9</v>
      </c>
      <c r="D2131" t="s">
        <v>2472</v>
      </c>
      <c r="E2131" t="s">
        <v>34</v>
      </c>
      <c r="F2131" t="s">
        <v>2473</v>
      </c>
      <c r="G2131" t="s">
        <v>34</v>
      </c>
      <c r="H2131">
        <v>388</v>
      </c>
    </row>
    <row r="2132" spans="1:8" x14ac:dyDescent="0.35">
      <c r="A2132">
        <v>6009633160154</v>
      </c>
      <c r="B2132" t="s">
        <v>790</v>
      </c>
      <c r="C2132" t="s">
        <v>192</v>
      </c>
      <c r="D2132" t="s">
        <v>2472</v>
      </c>
      <c r="E2132" t="s">
        <v>34</v>
      </c>
      <c r="F2132" t="s">
        <v>2473</v>
      </c>
      <c r="G2132" t="s">
        <v>34</v>
      </c>
      <c r="H2132">
        <v>548</v>
      </c>
    </row>
    <row r="2133" spans="1:8" x14ac:dyDescent="0.35">
      <c r="A2133">
        <v>6009633160505</v>
      </c>
      <c r="B2133" t="s">
        <v>2474</v>
      </c>
      <c r="C2133" t="s">
        <v>75</v>
      </c>
      <c r="D2133" t="s">
        <v>2472</v>
      </c>
      <c r="E2133" t="s">
        <v>34</v>
      </c>
      <c r="F2133" t="s">
        <v>2473</v>
      </c>
      <c r="G2133" t="s">
        <v>34</v>
      </c>
      <c r="H2133">
        <v>58</v>
      </c>
    </row>
    <row r="2134" spans="1:8" x14ac:dyDescent="0.35">
      <c r="A2134">
        <v>6009644540372</v>
      </c>
      <c r="B2134" t="s">
        <v>2475</v>
      </c>
      <c r="C2134" t="s">
        <v>1433</v>
      </c>
      <c r="D2134" t="s">
        <v>1176</v>
      </c>
      <c r="E2134" t="s">
        <v>61</v>
      </c>
      <c r="F2134" t="s">
        <v>1070</v>
      </c>
      <c r="G2134" t="s">
        <v>61</v>
      </c>
      <c r="H2134">
        <v>8</v>
      </c>
    </row>
    <row r="2135" spans="1:8" x14ac:dyDescent="0.35">
      <c r="A2135">
        <v>6009644540433</v>
      </c>
      <c r="B2135" t="s">
        <v>2476</v>
      </c>
      <c r="C2135" t="s">
        <v>2477</v>
      </c>
      <c r="D2135" t="s">
        <v>1176</v>
      </c>
      <c r="E2135" t="s">
        <v>61</v>
      </c>
      <c r="F2135" t="s">
        <v>1070</v>
      </c>
      <c r="G2135" t="s">
        <v>61</v>
      </c>
      <c r="H2135">
        <v>1</v>
      </c>
    </row>
    <row r="2136" spans="1:8" x14ac:dyDescent="0.35">
      <c r="A2136">
        <v>6009644540440</v>
      </c>
      <c r="B2136" t="s">
        <v>2478</v>
      </c>
      <c r="C2136" t="s">
        <v>2479</v>
      </c>
      <c r="D2136" t="s">
        <v>1176</v>
      </c>
      <c r="E2136" t="s">
        <v>61</v>
      </c>
      <c r="F2136" t="s">
        <v>1070</v>
      </c>
      <c r="G2136" t="s">
        <v>61</v>
      </c>
      <c r="H2136">
        <v>3</v>
      </c>
    </row>
    <row r="2137" spans="1:8" x14ac:dyDescent="0.35">
      <c r="A2137">
        <v>6009644540655</v>
      </c>
      <c r="B2137" t="s">
        <v>2480</v>
      </c>
      <c r="C2137" t="s">
        <v>2481</v>
      </c>
      <c r="D2137" t="s">
        <v>1176</v>
      </c>
      <c r="E2137" t="s">
        <v>61</v>
      </c>
      <c r="F2137" t="s">
        <v>1070</v>
      </c>
      <c r="G2137" t="s">
        <v>61</v>
      </c>
      <c r="H2137">
        <v>25</v>
      </c>
    </row>
    <row r="2138" spans="1:8" x14ac:dyDescent="0.35">
      <c r="A2138">
        <v>6009644540679</v>
      </c>
      <c r="B2138" t="s">
        <v>2482</v>
      </c>
      <c r="C2138" t="s">
        <v>2483</v>
      </c>
      <c r="D2138" t="s">
        <v>1176</v>
      </c>
      <c r="E2138" t="s">
        <v>61</v>
      </c>
      <c r="F2138" t="s">
        <v>1070</v>
      </c>
      <c r="G2138" t="s">
        <v>61</v>
      </c>
      <c r="H2138">
        <v>30</v>
      </c>
    </row>
    <row r="2139" spans="1:8" x14ac:dyDescent="0.35">
      <c r="A2139">
        <v>6009644540808</v>
      </c>
      <c r="B2139" t="s">
        <v>2484</v>
      </c>
      <c r="C2139" t="s">
        <v>2479</v>
      </c>
      <c r="D2139" t="s">
        <v>1176</v>
      </c>
      <c r="E2139" t="s">
        <v>61</v>
      </c>
      <c r="F2139" t="s">
        <v>1070</v>
      </c>
      <c r="G2139" t="s">
        <v>61</v>
      </c>
      <c r="H2139">
        <v>456</v>
      </c>
    </row>
    <row r="2140" spans="1:8" x14ac:dyDescent="0.35">
      <c r="A2140">
        <v>6009644541133</v>
      </c>
      <c r="B2140" t="s">
        <v>2485</v>
      </c>
      <c r="C2140" t="s">
        <v>758</v>
      </c>
      <c r="D2140" t="s">
        <v>1176</v>
      </c>
      <c r="E2140" t="s">
        <v>61</v>
      </c>
      <c r="F2140" t="s">
        <v>1070</v>
      </c>
      <c r="G2140" t="s">
        <v>61</v>
      </c>
      <c r="H2140">
        <v>3</v>
      </c>
    </row>
    <row r="2141" spans="1:8" x14ac:dyDescent="0.35">
      <c r="A2141">
        <v>6009644541133</v>
      </c>
      <c r="B2141" t="s">
        <v>2485</v>
      </c>
      <c r="C2141" t="s">
        <v>758</v>
      </c>
      <c r="D2141" t="s">
        <v>1176</v>
      </c>
      <c r="E2141" t="s">
        <v>61</v>
      </c>
      <c r="F2141" t="s">
        <v>1070</v>
      </c>
      <c r="G2141" t="s">
        <v>31</v>
      </c>
      <c r="H2141">
        <v>2</v>
      </c>
    </row>
    <row r="2142" spans="1:8" x14ac:dyDescent="0.35">
      <c r="A2142">
        <v>6009644546626</v>
      </c>
      <c r="B2142" t="s">
        <v>2486</v>
      </c>
      <c r="C2142" t="s">
        <v>9</v>
      </c>
      <c r="D2142" t="s">
        <v>1176</v>
      </c>
      <c r="E2142" t="s">
        <v>61</v>
      </c>
      <c r="F2142" t="s">
        <v>1070</v>
      </c>
      <c r="G2142" t="s">
        <v>117</v>
      </c>
      <c r="H2142">
        <v>56</v>
      </c>
    </row>
    <row r="2143" spans="1:8" x14ac:dyDescent="0.35">
      <c r="A2143">
        <v>6009644546626</v>
      </c>
      <c r="B2143" t="s">
        <v>2486</v>
      </c>
      <c r="C2143" t="s">
        <v>9</v>
      </c>
      <c r="D2143" t="s">
        <v>1176</v>
      </c>
      <c r="E2143" t="s">
        <v>61</v>
      </c>
      <c r="F2143" t="s">
        <v>1070</v>
      </c>
      <c r="G2143" t="s">
        <v>150</v>
      </c>
      <c r="H2143">
        <v>865</v>
      </c>
    </row>
    <row r="2144" spans="1:8" x14ac:dyDescent="0.35">
      <c r="A2144">
        <v>6009644546763</v>
      </c>
      <c r="B2144" t="s">
        <v>2487</v>
      </c>
      <c r="C2144" t="s">
        <v>38</v>
      </c>
      <c r="D2144" t="s">
        <v>1176</v>
      </c>
      <c r="E2144" t="s">
        <v>61</v>
      </c>
      <c r="F2144" t="s">
        <v>1070</v>
      </c>
      <c r="G2144" t="s">
        <v>33</v>
      </c>
      <c r="H2144">
        <v>1</v>
      </c>
    </row>
    <row r="2145" spans="1:8" x14ac:dyDescent="0.35">
      <c r="A2145">
        <v>6009644546763</v>
      </c>
      <c r="B2145" t="s">
        <v>2487</v>
      </c>
      <c r="C2145" t="s">
        <v>38</v>
      </c>
      <c r="D2145" t="s">
        <v>1176</v>
      </c>
      <c r="E2145" t="s">
        <v>61</v>
      </c>
      <c r="F2145" t="s">
        <v>1070</v>
      </c>
      <c r="G2145" t="s">
        <v>34</v>
      </c>
      <c r="H2145">
        <v>9</v>
      </c>
    </row>
    <row r="2146" spans="1:8" x14ac:dyDescent="0.35">
      <c r="A2146">
        <v>6009644546763</v>
      </c>
      <c r="B2146" t="s">
        <v>2487</v>
      </c>
      <c r="C2146" t="s">
        <v>38</v>
      </c>
      <c r="D2146" t="s">
        <v>1176</v>
      </c>
      <c r="E2146" t="s">
        <v>61</v>
      </c>
      <c r="F2146" t="s">
        <v>1070</v>
      </c>
      <c r="G2146" t="s">
        <v>61</v>
      </c>
      <c r="H2146">
        <v>74</v>
      </c>
    </row>
    <row r="2147" spans="1:8" x14ac:dyDescent="0.35">
      <c r="A2147">
        <v>60096445469320</v>
      </c>
      <c r="B2147" t="s">
        <v>295</v>
      </c>
      <c r="C2147" t="s">
        <v>38</v>
      </c>
      <c r="D2147" t="s">
        <v>1176</v>
      </c>
      <c r="E2147" t="s">
        <v>61</v>
      </c>
      <c r="F2147" t="s">
        <v>1070</v>
      </c>
      <c r="G2147" t="s">
        <v>33</v>
      </c>
      <c r="H2147">
        <v>50</v>
      </c>
    </row>
    <row r="2148" spans="1:8" x14ac:dyDescent="0.35">
      <c r="A2148">
        <v>60096445469320</v>
      </c>
      <c r="B2148" t="s">
        <v>295</v>
      </c>
      <c r="C2148" t="s">
        <v>38</v>
      </c>
      <c r="D2148" t="s">
        <v>1176</v>
      </c>
      <c r="E2148" t="s">
        <v>61</v>
      </c>
      <c r="F2148" t="s">
        <v>1070</v>
      </c>
      <c r="G2148" t="s">
        <v>34</v>
      </c>
      <c r="H2148">
        <v>2</v>
      </c>
    </row>
    <row r="2149" spans="1:8" x14ac:dyDescent="0.35">
      <c r="A2149">
        <v>60096445469320</v>
      </c>
      <c r="B2149" t="s">
        <v>295</v>
      </c>
      <c r="C2149" t="s">
        <v>38</v>
      </c>
      <c r="D2149" t="s">
        <v>1176</v>
      </c>
      <c r="E2149" t="s">
        <v>61</v>
      </c>
      <c r="F2149" t="s">
        <v>1070</v>
      </c>
      <c r="G2149" t="s">
        <v>61</v>
      </c>
      <c r="H2149">
        <v>52</v>
      </c>
    </row>
    <row r="2150" spans="1:8" x14ac:dyDescent="0.35">
      <c r="A2150">
        <v>60096445469320</v>
      </c>
      <c r="B2150" t="s">
        <v>295</v>
      </c>
      <c r="C2150" t="s">
        <v>38</v>
      </c>
      <c r="D2150" t="s">
        <v>1176</v>
      </c>
      <c r="E2150" t="s">
        <v>61</v>
      </c>
      <c r="F2150" t="s">
        <v>1070</v>
      </c>
      <c r="G2150" t="s">
        <v>31</v>
      </c>
      <c r="H2150">
        <v>2</v>
      </c>
    </row>
    <row r="2151" spans="1:8" x14ac:dyDescent="0.35">
      <c r="A2151">
        <v>6009644547166</v>
      </c>
      <c r="B2151" t="s">
        <v>2488</v>
      </c>
      <c r="C2151" t="s">
        <v>2489</v>
      </c>
      <c r="D2151" t="s">
        <v>1176</v>
      </c>
      <c r="E2151" t="s">
        <v>61</v>
      </c>
      <c r="F2151" t="s">
        <v>1070</v>
      </c>
      <c r="G2151" t="s">
        <v>61</v>
      </c>
      <c r="H2151">
        <v>7</v>
      </c>
    </row>
    <row r="2152" spans="1:8" x14ac:dyDescent="0.35">
      <c r="A2152">
        <v>6009644547517</v>
      </c>
      <c r="B2152" t="s">
        <v>2490</v>
      </c>
      <c r="C2152" t="s">
        <v>2489</v>
      </c>
      <c r="D2152" t="s">
        <v>1176</v>
      </c>
      <c r="E2152" t="s">
        <v>61</v>
      </c>
      <c r="F2152" t="s">
        <v>1070</v>
      </c>
      <c r="G2152" t="s">
        <v>61</v>
      </c>
      <c r="H2152">
        <v>2</v>
      </c>
    </row>
    <row r="2153" spans="1:8" x14ac:dyDescent="0.35">
      <c r="A2153">
        <v>6009644547944</v>
      </c>
      <c r="B2153" t="s">
        <v>2491</v>
      </c>
      <c r="C2153" t="s">
        <v>38</v>
      </c>
      <c r="D2153" t="s">
        <v>1176</v>
      </c>
      <c r="E2153" t="s">
        <v>61</v>
      </c>
      <c r="F2153" t="s">
        <v>1070</v>
      </c>
      <c r="G2153" t="s">
        <v>61</v>
      </c>
      <c r="H2153">
        <v>50</v>
      </c>
    </row>
    <row r="2154" spans="1:8" x14ac:dyDescent="0.35">
      <c r="A2154">
        <v>6009644547982</v>
      </c>
      <c r="B2154" t="s">
        <v>2492</v>
      </c>
      <c r="C2154" t="s">
        <v>38</v>
      </c>
      <c r="D2154" t="s">
        <v>2493</v>
      </c>
      <c r="E2154" t="s">
        <v>816</v>
      </c>
      <c r="F2154" t="s">
        <v>817</v>
      </c>
      <c r="G2154" t="s">
        <v>117</v>
      </c>
      <c r="H2154">
        <v>18</v>
      </c>
    </row>
    <row r="2155" spans="1:8" x14ac:dyDescent="0.35">
      <c r="A2155">
        <v>6009644547982</v>
      </c>
      <c r="B2155" t="s">
        <v>2492</v>
      </c>
      <c r="C2155" t="s">
        <v>38</v>
      </c>
      <c r="D2155" t="s">
        <v>2493</v>
      </c>
      <c r="E2155" t="s">
        <v>816</v>
      </c>
      <c r="F2155" t="s">
        <v>817</v>
      </c>
      <c r="G2155" t="s">
        <v>33</v>
      </c>
      <c r="H2155">
        <v>384</v>
      </c>
    </row>
    <row r="2156" spans="1:8" x14ac:dyDescent="0.35">
      <c r="A2156">
        <v>6009644547982</v>
      </c>
      <c r="B2156" t="s">
        <v>2492</v>
      </c>
      <c r="C2156" t="s">
        <v>38</v>
      </c>
      <c r="D2156" t="s">
        <v>2493</v>
      </c>
      <c r="E2156" t="s">
        <v>816</v>
      </c>
      <c r="F2156" t="s">
        <v>817</v>
      </c>
      <c r="G2156" t="s">
        <v>34</v>
      </c>
      <c r="H2156">
        <v>2</v>
      </c>
    </row>
    <row r="2157" spans="1:8" x14ac:dyDescent="0.35">
      <c r="A2157">
        <v>6009644547982</v>
      </c>
      <c r="B2157" t="s">
        <v>2492</v>
      </c>
      <c r="C2157" t="s">
        <v>38</v>
      </c>
      <c r="D2157" t="s">
        <v>2493</v>
      </c>
      <c r="E2157" t="s">
        <v>816</v>
      </c>
      <c r="F2157" t="s">
        <v>817</v>
      </c>
      <c r="G2157" t="s">
        <v>150</v>
      </c>
      <c r="H2157">
        <v>17</v>
      </c>
    </row>
    <row r="2158" spans="1:8" x14ac:dyDescent="0.35">
      <c r="A2158">
        <v>6009644547982</v>
      </c>
      <c r="B2158" t="s">
        <v>2492</v>
      </c>
      <c r="C2158" t="s">
        <v>38</v>
      </c>
      <c r="D2158" t="s">
        <v>2493</v>
      </c>
      <c r="E2158" t="s">
        <v>816</v>
      </c>
      <c r="F2158" t="s">
        <v>817</v>
      </c>
      <c r="G2158" t="s">
        <v>61</v>
      </c>
      <c r="H2158">
        <v>461</v>
      </c>
    </row>
    <row r="2159" spans="1:8" x14ac:dyDescent="0.35">
      <c r="A2159">
        <v>6009644548361</v>
      </c>
      <c r="B2159" t="s">
        <v>2494</v>
      </c>
      <c r="C2159" t="s">
        <v>909</v>
      </c>
      <c r="D2159" t="s">
        <v>2493</v>
      </c>
      <c r="E2159" t="s">
        <v>816</v>
      </c>
      <c r="F2159" t="s">
        <v>817</v>
      </c>
      <c r="G2159" t="s">
        <v>11</v>
      </c>
      <c r="H2159">
        <v>2</v>
      </c>
    </row>
    <row r="2160" spans="1:8" x14ac:dyDescent="0.35">
      <c r="A2160">
        <v>6009644548361</v>
      </c>
      <c r="B2160" t="s">
        <v>2494</v>
      </c>
      <c r="C2160" t="s">
        <v>909</v>
      </c>
      <c r="D2160" t="s">
        <v>2493</v>
      </c>
      <c r="E2160" t="s">
        <v>816</v>
      </c>
      <c r="F2160" t="s">
        <v>817</v>
      </c>
      <c r="G2160" t="s">
        <v>33</v>
      </c>
      <c r="H2160">
        <v>121</v>
      </c>
    </row>
    <row r="2161" spans="1:8" x14ac:dyDescent="0.35">
      <c r="A2161">
        <v>6009644548361</v>
      </c>
      <c r="B2161" t="s">
        <v>2494</v>
      </c>
      <c r="C2161" t="s">
        <v>909</v>
      </c>
      <c r="D2161" t="s">
        <v>2493</v>
      </c>
      <c r="E2161" t="s">
        <v>816</v>
      </c>
      <c r="F2161" t="s">
        <v>817</v>
      </c>
      <c r="G2161" t="s">
        <v>34</v>
      </c>
      <c r="H2161">
        <v>5</v>
      </c>
    </row>
    <row r="2162" spans="1:8" x14ac:dyDescent="0.35">
      <c r="A2162">
        <v>6009644548361</v>
      </c>
      <c r="B2162" t="s">
        <v>2494</v>
      </c>
      <c r="C2162" t="s">
        <v>909</v>
      </c>
      <c r="D2162" t="s">
        <v>2493</v>
      </c>
      <c r="E2162" t="s">
        <v>816</v>
      </c>
      <c r="F2162" t="s">
        <v>817</v>
      </c>
      <c r="G2162" t="s">
        <v>61</v>
      </c>
      <c r="H2162">
        <v>125</v>
      </c>
    </row>
    <row r="2163" spans="1:8" x14ac:dyDescent="0.35">
      <c r="A2163">
        <v>6009644548361</v>
      </c>
      <c r="B2163" t="s">
        <v>2494</v>
      </c>
      <c r="C2163" t="s">
        <v>909</v>
      </c>
      <c r="D2163" t="s">
        <v>2493</v>
      </c>
      <c r="E2163" t="s">
        <v>816</v>
      </c>
      <c r="F2163" t="s">
        <v>817</v>
      </c>
      <c r="G2163" t="s">
        <v>31</v>
      </c>
      <c r="H2163">
        <v>1</v>
      </c>
    </row>
    <row r="2164" spans="1:8" x14ac:dyDescent="0.35">
      <c r="A2164">
        <v>6009644548767</v>
      </c>
      <c r="B2164" t="s">
        <v>2495</v>
      </c>
      <c r="C2164" t="s">
        <v>454</v>
      </c>
      <c r="D2164" t="s">
        <v>1176</v>
      </c>
      <c r="E2164" t="s">
        <v>61</v>
      </c>
      <c r="F2164" t="s">
        <v>1070</v>
      </c>
      <c r="G2164" t="s">
        <v>61</v>
      </c>
      <c r="H2164">
        <v>13</v>
      </c>
    </row>
    <row r="2165" spans="1:8" x14ac:dyDescent="0.35">
      <c r="A2165">
        <v>6009644548903</v>
      </c>
      <c r="B2165" t="s">
        <v>2496</v>
      </c>
      <c r="C2165" t="s">
        <v>2497</v>
      </c>
      <c r="D2165" t="s">
        <v>1176</v>
      </c>
      <c r="E2165" t="s">
        <v>61</v>
      </c>
      <c r="F2165" t="s">
        <v>1070</v>
      </c>
      <c r="G2165" t="s">
        <v>61</v>
      </c>
      <c r="H2165">
        <v>2</v>
      </c>
    </row>
    <row r="2166" spans="1:8" x14ac:dyDescent="0.35">
      <c r="A2166">
        <v>6009644549047</v>
      </c>
      <c r="B2166" t="s">
        <v>2498</v>
      </c>
      <c r="C2166" t="s">
        <v>9</v>
      </c>
      <c r="D2166" t="s">
        <v>2493</v>
      </c>
      <c r="E2166" t="s">
        <v>816</v>
      </c>
      <c r="F2166" t="s">
        <v>817</v>
      </c>
      <c r="G2166" t="s">
        <v>34</v>
      </c>
      <c r="H2166">
        <v>1</v>
      </c>
    </row>
    <row r="2167" spans="1:8" x14ac:dyDescent="0.35">
      <c r="A2167">
        <v>6009644549047</v>
      </c>
      <c r="B2167" t="s">
        <v>2498</v>
      </c>
      <c r="C2167" t="s">
        <v>9</v>
      </c>
      <c r="D2167" t="s">
        <v>2493</v>
      </c>
      <c r="E2167" t="s">
        <v>816</v>
      </c>
      <c r="F2167" t="s">
        <v>817</v>
      </c>
      <c r="G2167" t="s">
        <v>150</v>
      </c>
      <c r="H2167">
        <v>41</v>
      </c>
    </row>
    <row r="2168" spans="1:8" x14ac:dyDescent="0.35">
      <c r="A2168">
        <v>6009644549047</v>
      </c>
      <c r="B2168" t="s">
        <v>2498</v>
      </c>
      <c r="C2168" t="s">
        <v>9</v>
      </c>
      <c r="D2168" t="s">
        <v>2493</v>
      </c>
      <c r="E2168" t="s">
        <v>816</v>
      </c>
      <c r="F2168" t="s">
        <v>817</v>
      </c>
      <c r="G2168" t="s">
        <v>61</v>
      </c>
      <c r="H2168">
        <v>22</v>
      </c>
    </row>
    <row r="2169" spans="1:8" x14ac:dyDescent="0.35">
      <c r="A2169">
        <v>6009644549047</v>
      </c>
      <c r="B2169" t="s">
        <v>2498</v>
      </c>
      <c r="C2169" t="s">
        <v>9</v>
      </c>
      <c r="D2169" t="s">
        <v>2493</v>
      </c>
      <c r="E2169" t="s">
        <v>816</v>
      </c>
      <c r="F2169" t="s">
        <v>817</v>
      </c>
      <c r="G2169" t="s">
        <v>31</v>
      </c>
      <c r="H2169">
        <v>6</v>
      </c>
    </row>
    <row r="2170" spans="1:8" x14ac:dyDescent="0.35">
      <c r="A2170">
        <v>6009644549085</v>
      </c>
      <c r="B2170" t="s">
        <v>2499</v>
      </c>
      <c r="C2170" t="s">
        <v>2500</v>
      </c>
      <c r="D2170" t="s">
        <v>1176</v>
      </c>
      <c r="E2170" t="s">
        <v>61</v>
      </c>
      <c r="F2170" t="s">
        <v>1070</v>
      </c>
      <c r="G2170" t="s">
        <v>61</v>
      </c>
      <c r="H2170">
        <v>5</v>
      </c>
    </row>
    <row r="2171" spans="1:8" x14ac:dyDescent="0.35">
      <c r="A2171">
        <v>6009644549269</v>
      </c>
      <c r="B2171" t="s">
        <v>2501</v>
      </c>
      <c r="C2171" t="s">
        <v>38</v>
      </c>
      <c r="D2171" t="s">
        <v>2502</v>
      </c>
      <c r="E2171" t="s">
        <v>61</v>
      </c>
      <c r="F2171" t="s">
        <v>1070</v>
      </c>
      <c r="G2171" t="s">
        <v>150</v>
      </c>
      <c r="H2171">
        <v>1</v>
      </c>
    </row>
    <row r="2172" spans="1:8" x14ac:dyDescent="0.35">
      <c r="A2172">
        <v>6009644549269</v>
      </c>
      <c r="B2172" t="s">
        <v>2501</v>
      </c>
      <c r="C2172" t="s">
        <v>38</v>
      </c>
      <c r="D2172" t="s">
        <v>2502</v>
      </c>
      <c r="E2172" t="s">
        <v>61</v>
      </c>
      <c r="F2172" t="s">
        <v>1070</v>
      </c>
      <c r="G2172" t="s">
        <v>61</v>
      </c>
      <c r="H2172">
        <v>8</v>
      </c>
    </row>
    <row r="2173" spans="1:8" x14ac:dyDescent="0.35">
      <c r="A2173">
        <v>6009644549276</v>
      </c>
      <c r="B2173" t="s">
        <v>2503</v>
      </c>
      <c r="C2173" t="s">
        <v>454</v>
      </c>
      <c r="D2173" t="s">
        <v>1176</v>
      </c>
      <c r="E2173" t="s">
        <v>61</v>
      </c>
      <c r="F2173" t="s">
        <v>1070</v>
      </c>
      <c r="G2173" t="s">
        <v>61</v>
      </c>
      <c r="H2173">
        <v>1</v>
      </c>
    </row>
    <row r="2174" spans="1:8" x14ac:dyDescent="0.35">
      <c r="A2174">
        <v>6009644549320</v>
      </c>
      <c r="B2174" t="s">
        <v>853</v>
      </c>
      <c r="C2174" t="s">
        <v>38</v>
      </c>
      <c r="D2174" t="s">
        <v>1176</v>
      </c>
      <c r="E2174" t="s">
        <v>61</v>
      </c>
      <c r="F2174" t="s">
        <v>1070</v>
      </c>
      <c r="G2174" t="s">
        <v>11</v>
      </c>
      <c r="H2174">
        <v>668</v>
      </c>
    </row>
    <row r="2175" spans="1:8" x14ac:dyDescent="0.35">
      <c r="A2175">
        <v>6009644549320</v>
      </c>
      <c r="B2175" t="s">
        <v>853</v>
      </c>
      <c r="C2175" t="s">
        <v>38</v>
      </c>
      <c r="D2175" t="s">
        <v>1176</v>
      </c>
      <c r="E2175" t="s">
        <v>61</v>
      </c>
      <c r="F2175" t="s">
        <v>1070</v>
      </c>
      <c r="G2175" t="s">
        <v>33</v>
      </c>
      <c r="H2175">
        <v>4246</v>
      </c>
    </row>
    <row r="2176" spans="1:8" x14ac:dyDescent="0.35">
      <c r="A2176">
        <v>6009644549320</v>
      </c>
      <c r="B2176" t="s">
        <v>853</v>
      </c>
      <c r="C2176" t="s">
        <v>38</v>
      </c>
      <c r="D2176" t="s">
        <v>1176</v>
      </c>
      <c r="E2176" t="s">
        <v>61</v>
      </c>
      <c r="F2176" t="s">
        <v>1070</v>
      </c>
      <c r="G2176" t="s">
        <v>34</v>
      </c>
      <c r="H2176">
        <v>79</v>
      </c>
    </row>
    <row r="2177" spans="1:8" x14ac:dyDescent="0.35">
      <c r="A2177">
        <v>6009644549320</v>
      </c>
      <c r="B2177" t="s">
        <v>853</v>
      </c>
      <c r="C2177" t="s">
        <v>38</v>
      </c>
      <c r="D2177" t="s">
        <v>1176</v>
      </c>
      <c r="E2177" t="s">
        <v>61</v>
      </c>
      <c r="F2177" t="s">
        <v>1070</v>
      </c>
      <c r="G2177" t="s">
        <v>150</v>
      </c>
      <c r="H2177">
        <v>3904</v>
      </c>
    </row>
    <row r="2178" spans="1:8" x14ac:dyDescent="0.35">
      <c r="A2178">
        <v>6009644549320</v>
      </c>
      <c r="B2178" t="s">
        <v>853</v>
      </c>
      <c r="C2178" t="s">
        <v>38</v>
      </c>
      <c r="D2178" t="s">
        <v>1176</v>
      </c>
      <c r="E2178" t="s">
        <v>61</v>
      </c>
      <c r="F2178" t="s">
        <v>1070</v>
      </c>
      <c r="G2178" t="s">
        <v>61</v>
      </c>
      <c r="H2178">
        <v>2971</v>
      </c>
    </row>
    <row r="2179" spans="1:8" x14ac:dyDescent="0.35">
      <c r="A2179">
        <v>6009644549320</v>
      </c>
      <c r="B2179" t="s">
        <v>853</v>
      </c>
      <c r="C2179" t="s">
        <v>38</v>
      </c>
      <c r="D2179" t="s">
        <v>1176</v>
      </c>
      <c r="E2179" t="s">
        <v>61</v>
      </c>
      <c r="F2179" t="s">
        <v>1070</v>
      </c>
      <c r="G2179" t="s">
        <v>31</v>
      </c>
      <c r="H2179">
        <v>17</v>
      </c>
    </row>
    <row r="2180" spans="1:8" x14ac:dyDescent="0.35">
      <c r="A2180">
        <v>6009644549337</v>
      </c>
      <c r="B2180" t="s">
        <v>2504</v>
      </c>
      <c r="C2180" t="s">
        <v>909</v>
      </c>
      <c r="D2180" t="s">
        <v>1176</v>
      </c>
      <c r="E2180" t="s">
        <v>61</v>
      </c>
      <c r="F2180" t="s">
        <v>1070</v>
      </c>
      <c r="G2180" t="s">
        <v>61</v>
      </c>
      <c r="H2180">
        <v>7</v>
      </c>
    </row>
    <row r="2181" spans="1:8" x14ac:dyDescent="0.35">
      <c r="A2181">
        <v>6009644921003</v>
      </c>
      <c r="B2181" t="s">
        <v>2505</v>
      </c>
      <c r="C2181" t="s">
        <v>9</v>
      </c>
      <c r="D2181" t="s">
        <v>577</v>
      </c>
      <c r="E2181" t="s">
        <v>578</v>
      </c>
      <c r="F2181" t="s">
        <v>579</v>
      </c>
      <c r="G2181" t="s">
        <v>578</v>
      </c>
      <c r="H2181">
        <v>3</v>
      </c>
    </row>
    <row r="2182" spans="1:8" x14ac:dyDescent="0.35">
      <c r="A2182">
        <v>6009644921140</v>
      </c>
      <c r="B2182" t="s">
        <v>2506</v>
      </c>
      <c r="C2182" t="s">
        <v>9</v>
      </c>
      <c r="D2182" t="s">
        <v>2507</v>
      </c>
      <c r="E2182" t="s">
        <v>816</v>
      </c>
      <c r="F2182" t="s">
        <v>817</v>
      </c>
      <c r="G2182" t="s">
        <v>33</v>
      </c>
      <c r="H2182">
        <v>124</v>
      </c>
    </row>
    <row r="2183" spans="1:8" x14ac:dyDescent="0.35">
      <c r="A2183">
        <v>6009644921188</v>
      </c>
      <c r="B2183" t="s">
        <v>2508</v>
      </c>
      <c r="C2183" t="s">
        <v>9</v>
      </c>
      <c r="D2183" t="s">
        <v>2507</v>
      </c>
      <c r="E2183" t="s">
        <v>816</v>
      </c>
      <c r="F2183" t="s">
        <v>817</v>
      </c>
      <c r="G2183" t="s">
        <v>33</v>
      </c>
      <c r="H2183">
        <v>171</v>
      </c>
    </row>
    <row r="2184" spans="1:8" x14ac:dyDescent="0.35">
      <c r="A2184">
        <v>6009644921492</v>
      </c>
      <c r="B2184" t="s">
        <v>2509</v>
      </c>
      <c r="C2184" t="s">
        <v>9</v>
      </c>
      <c r="D2184" t="s">
        <v>2510</v>
      </c>
      <c r="E2184" t="s">
        <v>578</v>
      </c>
      <c r="F2184" t="s">
        <v>2217</v>
      </c>
      <c r="G2184" t="s">
        <v>33</v>
      </c>
      <c r="H2184">
        <v>52</v>
      </c>
    </row>
    <row r="2185" spans="1:8" x14ac:dyDescent="0.35">
      <c r="A2185">
        <v>6009644921492</v>
      </c>
      <c r="B2185" t="s">
        <v>2509</v>
      </c>
      <c r="C2185" t="s">
        <v>9</v>
      </c>
      <c r="D2185" t="s">
        <v>2510</v>
      </c>
      <c r="E2185" t="s">
        <v>578</v>
      </c>
      <c r="F2185" t="s">
        <v>2217</v>
      </c>
      <c r="G2185" t="s">
        <v>34</v>
      </c>
      <c r="H2185">
        <v>49</v>
      </c>
    </row>
    <row r="2186" spans="1:8" x14ac:dyDescent="0.35">
      <c r="A2186">
        <v>6009644921492</v>
      </c>
      <c r="B2186" t="s">
        <v>2509</v>
      </c>
      <c r="C2186" t="s">
        <v>9</v>
      </c>
      <c r="D2186" t="s">
        <v>2510</v>
      </c>
      <c r="E2186" t="s">
        <v>578</v>
      </c>
      <c r="F2186" t="s">
        <v>2217</v>
      </c>
      <c r="G2186" t="s">
        <v>578</v>
      </c>
      <c r="H2186">
        <v>9</v>
      </c>
    </row>
    <row r="2187" spans="1:8" x14ac:dyDescent="0.35">
      <c r="A2187">
        <v>6009644925575</v>
      </c>
      <c r="B2187" t="s">
        <v>2511</v>
      </c>
      <c r="C2187" t="s">
        <v>806</v>
      </c>
      <c r="D2187" t="s">
        <v>2512</v>
      </c>
      <c r="E2187" t="s">
        <v>578</v>
      </c>
      <c r="F2187" t="s">
        <v>2217</v>
      </c>
      <c r="G2187" t="s">
        <v>578</v>
      </c>
      <c r="H2187">
        <v>1</v>
      </c>
    </row>
    <row r="2188" spans="1:8" x14ac:dyDescent="0.35">
      <c r="A2188">
        <v>6009644925605</v>
      </c>
      <c r="B2188" t="s">
        <v>2513</v>
      </c>
      <c r="C2188" t="s">
        <v>326</v>
      </c>
      <c r="D2188" t="s">
        <v>2512</v>
      </c>
      <c r="E2188" t="s">
        <v>578</v>
      </c>
      <c r="F2188" t="s">
        <v>2217</v>
      </c>
      <c r="G2188" t="s">
        <v>117</v>
      </c>
      <c r="H2188">
        <v>2</v>
      </c>
    </row>
    <row r="2189" spans="1:8" x14ac:dyDescent="0.35">
      <c r="A2189">
        <v>6009644925605</v>
      </c>
      <c r="B2189" t="s">
        <v>2513</v>
      </c>
      <c r="C2189" t="s">
        <v>326</v>
      </c>
      <c r="D2189" t="s">
        <v>2512</v>
      </c>
      <c r="E2189" t="s">
        <v>578</v>
      </c>
      <c r="F2189" t="s">
        <v>2217</v>
      </c>
      <c r="G2189" t="s">
        <v>34</v>
      </c>
      <c r="H2189">
        <v>1</v>
      </c>
    </row>
    <row r="2190" spans="1:8" x14ac:dyDescent="0.35">
      <c r="A2190">
        <v>6009644991198</v>
      </c>
      <c r="B2190" t="s">
        <v>2514</v>
      </c>
      <c r="C2190" t="s">
        <v>9</v>
      </c>
      <c r="D2190" t="s">
        <v>2515</v>
      </c>
      <c r="E2190" t="s">
        <v>578</v>
      </c>
      <c r="F2190" t="s">
        <v>2217</v>
      </c>
      <c r="G2190" t="s">
        <v>578</v>
      </c>
      <c r="H2190">
        <v>21</v>
      </c>
    </row>
    <row r="2191" spans="1:8" x14ac:dyDescent="0.35">
      <c r="A2191">
        <v>6009644991204</v>
      </c>
      <c r="B2191" t="s">
        <v>2514</v>
      </c>
      <c r="C2191" t="s">
        <v>603</v>
      </c>
      <c r="D2191" t="s">
        <v>2515</v>
      </c>
      <c r="E2191" t="s">
        <v>578</v>
      </c>
      <c r="F2191" t="s">
        <v>2217</v>
      </c>
      <c r="G2191" t="s">
        <v>578</v>
      </c>
      <c r="H2191">
        <v>3</v>
      </c>
    </row>
    <row r="2192" spans="1:8" x14ac:dyDescent="0.35">
      <c r="A2192">
        <v>6009644991266</v>
      </c>
      <c r="B2192" t="s">
        <v>2516</v>
      </c>
      <c r="C2192" t="s">
        <v>9</v>
      </c>
      <c r="D2192" t="s">
        <v>2517</v>
      </c>
      <c r="E2192" t="s">
        <v>578</v>
      </c>
      <c r="F2192" t="s">
        <v>2217</v>
      </c>
      <c r="G2192" t="s">
        <v>31</v>
      </c>
      <c r="H2192">
        <v>1</v>
      </c>
    </row>
    <row r="2193" spans="1:8" x14ac:dyDescent="0.35">
      <c r="A2193">
        <v>6009644991266</v>
      </c>
      <c r="B2193" t="s">
        <v>2516</v>
      </c>
      <c r="C2193" t="s">
        <v>9</v>
      </c>
      <c r="D2193" t="s">
        <v>2517</v>
      </c>
      <c r="E2193" t="s">
        <v>578</v>
      </c>
      <c r="F2193" t="s">
        <v>2217</v>
      </c>
      <c r="G2193" t="s">
        <v>578</v>
      </c>
      <c r="H2193">
        <v>8</v>
      </c>
    </row>
    <row r="2194" spans="1:8" x14ac:dyDescent="0.35">
      <c r="A2194">
        <v>6009644991389</v>
      </c>
      <c r="B2194" t="s">
        <v>1834</v>
      </c>
      <c r="C2194" t="s">
        <v>610</v>
      </c>
      <c r="D2194" t="s">
        <v>2518</v>
      </c>
      <c r="E2194" t="s">
        <v>578</v>
      </c>
      <c r="F2194" t="s">
        <v>2217</v>
      </c>
      <c r="G2194" t="s">
        <v>578</v>
      </c>
      <c r="H2194">
        <v>1</v>
      </c>
    </row>
    <row r="2195" spans="1:8" x14ac:dyDescent="0.35">
      <c r="A2195">
        <v>6009644991778</v>
      </c>
      <c r="B2195" t="s">
        <v>2519</v>
      </c>
      <c r="C2195" t="s">
        <v>9</v>
      </c>
      <c r="D2195" t="s">
        <v>2515</v>
      </c>
      <c r="E2195" t="s">
        <v>578</v>
      </c>
      <c r="F2195" t="s">
        <v>2217</v>
      </c>
      <c r="G2195" t="s">
        <v>34</v>
      </c>
      <c r="H2195">
        <v>35</v>
      </c>
    </row>
    <row r="2196" spans="1:8" x14ac:dyDescent="0.35">
      <c r="A2196">
        <v>6009644991778</v>
      </c>
      <c r="B2196" t="s">
        <v>2519</v>
      </c>
      <c r="C2196" t="s">
        <v>9</v>
      </c>
      <c r="D2196" t="s">
        <v>2515</v>
      </c>
      <c r="E2196" t="s">
        <v>578</v>
      </c>
      <c r="F2196" t="s">
        <v>2217</v>
      </c>
      <c r="G2196" t="s">
        <v>578</v>
      </c>
      <c r="H2196">
        <v>23</v>
      </c>
    </row>
    <row r="2197" spans="1:8" x14ac:dyDescent="0.35">
      <c r="A2197">
        <v>6009644993284</v>
      </c>
      <c r="B2197" t="s">
        <v>2520</v>
      </c>
      <c r="C2197" t="s">
        <v>9</v>
      </c>
      <c r="D2197" t="s">
        <v>2515</v>
      </c>
      <c r="E2197" t="s">
        <v>578</v>
      </c>
      <c r="F2197" t="s">
        <v>2217</v>
      </c>
      <c r="G2197" t="s">
        <v>578</v>
      </c>
      <c r="H2197">
        <v>9</v>
      </c>
    </row>
    <row r="2198" spans="1:8" x14ac:dyDescent="0.35">
      <c r="A2198">
        <v>6009644993628</v>
      </c>
      <c r="B2198" t="s">
        <v>2521</v>
      </c>
      <c r="C2198" t="s">
        <v>83</v>
      </c>
      <c r="D2198" t="s">
        <v>2522</v>
      </c>
      <c r="E2198" t="s">
        <v>578</v>
      </c>
      <c r="F2198" t="s">
        <v>2217</v>
      </c>
      <c r="G2198" t="s">
        <v>33</v>
      </c>
      <c r="H2198">
        <v>3</v>
      </c>
    </row>
    <row r="2199" spans="1:8" x14ac:dyDescent="0.35">
      <c r="A2199">
        <v>6009644993628</v>
      </c>
      <c r="B2199" t="s">
        <v>2521</v>
      </c>
      <c r="C2199" t="s">
        <v>83</v>
      </c>
      <c r="D2199" t="s">
        <v>2522</v>
      </c>
      <c r="E2199" t="s">
        <v>578</v>
      </c>
      <c r="F2199" t="s">
        <v>2217</v>
      </c>
      <c r="G2199" t="s">
        <v>578</v>
      </c>
      <c r="H2199">
        <v>1</v>
      </c>
    </row>
    <row r="2200" spans="1:8" x14ac:dyDescent="0.35">
      <c r="A2200">
        <v>6009644993772</v>
      </c>
      <c r="B2200" t="s">
        <v>2523</v>
      </c>
      <c r="C2200" t="s">
        <v>9</v>
      </c>
      <c r="D2200" t="s">
        <v>609</v>
      </c>
      <c r="E2200" t="s">
        <v>578</v>
      </c>
      <c r="F2200" t="s">
        <v>2217</v>
      </c>
      <c r="G2200" t="s">
        <v>117</v>
      </c>
      <c r="H2200">
        <v>16</v>
      </c>
    </row>
    <row r="2201" spans="1:8" x14ac:dyDescent="0.35">
      <c r="A2201">
        <v>6009644993772</v>
      </c>
      <c r="B2201" t="s">
        <v>2523</v>
      </c>
      <c r="C2201" t="s">
        <v>9</v>
      </c>
      <c r="D2201" t="s">
        <v>609</v>
      </c>
      <c r="E2201" t="s">
        <v>578</v>
      </c>
      <c r="F2201" t="s">
        <v>2217</v>
      </c>
      <c r="G2201" t="s">
        <v>578</v>
      </c>
      <c r="H2201">
        <v>29</v>
      </c>
    </row>
    <row r="2202" spans="1:8" x14ac:dyDescent="0.35">
      <c r="A2202">
        <v>6009644995790</v>
      </c>
      <c r="B2202" t="s">
        <v>668</v>
      </c>
      <c r="C2202" t="s">
        <v>603</v>
      </c>
      <c r="D2202" t="s">
        <v>2524</v>
      </c>
      <c r="E2202" t="s">
        <v>578</v>
      </c>
      <c r="F2202" t="s">
        <v>2217</v>
      </c>
      <c r="G2202" t="s">
        <v>117</v>
      </c>
      <c r="H2202">
        <v>6</v>
      </c>
    </row>
    <row r="2203" spans="1:8" x14ac:dyDescent="0.35">
      <c r="A2203">
        <v>6009644995806</v>
      </c>
      <c r="B2203" t="s">
        <v>2525</v>
      </c>
      <c r="C2203" t="s">
        <v>1199</v>
      </c>
      <c r="D2203" t="s">
        <v>2515</v>
      </c>
      <c r="E2203" t="s">
        <v>578</v>
      </c>
      <c r="F2203" t="s">
        <v>2217</v>
      </c>
      <c r="G2203" t="s">
        <v>117</v>
      </c>
      <c r="H2203">
        <v>15</v>
      </c>
    </row>
    <row r="2204" spans="1:8" x14ac:dyDescent="0.35">
      <c r="A2204">
        <v>6009644995806</v>
      </c>
      <c r="B2204" t="s">
        <v>2525</v>
      </c>
      <c r="C2204" t="s">
        <v>1199</v>
      </c>
      <c r="D2204" t="s">
        <v>2515</v>
      </c>
      <c r="E2204" t="s">
        <v>578</v>
      </c>
      <c r="F2204" t="s">
        <v>2217</v>
      </c>
      <c r="G2204" t="s">
        <v>578</v>
      </c>
      <c r="H2204">
        <v>13</v>
      </c>
    </row>
    <row r="2205" spans="1:8" x14ac:dyDescent="0.35">
      <c r="A2205">
        <v>6009644995820</v>
      </c>
      <c r="B2205" t="s">
        <v>675</v>
      </c>
      <c r="C2205" t="s">
        <v>603</v>
      </c>
      <c r="D2205" t="s">
        <v>2524</v>
      </c>
      <c r="E2205" t="s">
        <v>578</v>
      </c>
      <c r="F2205" t="s">
        <v>2217</v>
      </c>
      <c r="G2205" t="s">
        <v>117</v>
      </c>
      <c r="H2205">
        <v>5</v>
      </c>
    </row>
    <row r="2206" spans="1:8" x14ac:dyDescent="0.35">
      <c r="A2206">
        <v>6009644996186</v>
      </c>
      <c r="B2206" t="s">
        <v>2526</v>
      </c>
      <c r="C2206" t="s">
        <v>1199</v>
      </c>
      <c r="D2206" t="s">
        <v>2515</v>
      </c>
      <c r="E2206" t="s">
        <v>578</v>
      </c>
      <c r="F2206" t="s">
        <v>2217</v>
      </c>
      <c r="G2206" t="s">
        <v>34</v>
      </c>
      <c r="H2206">
        <v>1</v>
      </c>
    </row>
    <row r="2207" spans="1:8" x14ac:dyDescent="0.35">
      <c r="A2207">
        <v>6009644996186</v>
      </c>
      <c r="B2207" t="s">
        <v>2526</v>
      </c>
      <c r="C2207" t="s">
        <v>1199</v>
      </c>
      <c r="D2207" t="s">
        <v>2515</v>
      </c>
      <c r="E2207" t="s">
        <v>578</v>
      </c>
      <c r="F2207" t="s">
        <v>2217</v>
      </c>
      <c r="G2207" t="s">
        <v>578</v>
      </c>
      <c r="H2207">
        <v>15</v>
      </c>
    </row>
    <row r="2208" spans="1:8" x14ac:dyDescent="0.35">
      <c r="A2208">
        <v>6009644996995</v>
      </c>
      <c r="B2208" t="s">
        <v>2527</v>
      </c>
      <c r="C2208" t="s">
        <v>9</v>
      </c>
      <c r="D2208" t="s">
        <v>2515</v>
      </c>
      <c r="E2208" t="s">
        <v>578</v>
      </c>
      <c r="F2208" t="s">
        <v>2217</v>
      </c>
      <c r="G2208" t="s">
        <v>578</v>
      </c>
      <c r="H2208">
        <v>25</v>
      </c>
    </row>
    <row r="2209" spans="1:8" x14ac:dyDescent="0.35">
      <c r="A2209">
        <v>6009645820145</v>
      </c>
      <c r="B2209" t="s">
        <v>485</v>
      </c>
      <c r="C2209" t="s">
        <v>610</v>
      </c>
      <c r="D2209" t="s">
        <v>2528</v>
      </c>
      <c r="E2209" t="s">
        <v>34</v>
      </c>
      <c r="F2209" t="s">
        <v>2529</v>
      </c>
      <c r="G2209" t="s">
        <v>578</v>
      </c>
      <c r="H2209">
        <v>2</v>
      </c>
    </row>
    <row r="2210" spans="1:8" x14ac:dyDescent="0.35">
      <c r="A2210">
        <v>6009646580512</v>
      </c>
      <c r="B2210" t="s">
        <v>2530</v>
      </c>
      <c r="C2210" t="s">
        <v>472</v>
      </c>
      <c r="D2210" t="s">
        <v>2531</v>
      </c>
      <c r="E2210" t="s">
        <v>2227</v>
      </c>
      <c r="F2210" t="s">
        <v>2532</v>
      </c>
      <c r="G2210" t="s">
        <v>34</v>
      </c>
      <c r="H2210">
        <v>9</v>
      </c>
    </row>
    <row r="2211" spans="1:8" x14ac:dyDescent="0.35">
      <c r="A2211">
        <v>6009646580536</v>
      </c>
      <c r="B2211" t="s">
        <v>2533</v>
      </c>
      <c r="C2211" t="s">
        <v>81</v>
      </c>
      <c r="D2211" t="s">
        <v>2531</v>
      </c>
      <c r="E2211" t="s">
        <v>2227</v>
      </c>
      <c r="F2211" t="s">
        <v>2532</v>
      </c>
      <c r="G2211" t="s">
        <v>34</v>
      </c>
      <c r="H2211">
        <v>1</v>
      </c>
    </row>
    <row r="2212" spans="1:8" x14ac:dyDescent="0.35">
      <c r="A2212">
        <v>6009646580611</v>
      </c>
      <c r="B2212" t="s">
        <v>2533</v>
      </c>
      <c r="C2212" t="s">
        <v>75</v>
      </c>
      <c r="D2212" t="s">
        <v>2531</v>
      </c>
      <c r="E2212" t="s">
        <v>2227</v>
      </c>
      <c r="F2212" t="s">
        <v>2532</v>
      </c>
      <c r="G2212" t="s">
        <v>34</v>
      </c>
      <c r="H2212">
        <v>37</v>
      </c>
    </row>
    <row r="2213" spans="1:8" x14ac:dyDescent="0.35">
      <c r="A2213">
        <v>6009646580703</v>
      </c>
      <c r="B2213" t="s">
        <v>2534</v>
      </c>
      <c r="C2213" t="s">
        <v>78</v>
      </c>
      <c r="D2213" t="s">
        <v>2531</v>
      </c>
      <c r="E2213" t="s">
        <v>2227</v>
      </c>
      <c r="F2213" t="s">
        <v>2532</v>
      </c>
      <c r="G2213" t="s">
        <v>34</v>
      </c>
      <c r="H2213">
        <v>13</v>
      </c>
    </row>
    <row r="2214" spans="1:8" x14ac:dyDescent="0.35">
      <c r="A2214">
        <v>6009646580857</v>
      </c>
      <c r="B2214" t="s">
        <v>2207</v>
      </c>
      <c r="C2214" t="s">
        <v>78</v>
      </c>
      <c r="D2214" t="s">
        <v>2535</v>
      </c>
      <c r="E2214" t="s">
        <v>34</v>
      </c>
      <c r="F2214" t="s">
        <v>2536</v>
      </c>
      <c r="G2214" t="s">
        <v>34</v>
      </c>
      <c r="H2214">
        <v>17</v>
      </c>
    </row>
    <row r="2215" spans="1:8" x14ac:dyDescent="0.35">
      <c r="A2215">
        <v>6009646580864</v>
      </c>
      <c r="B2215" t="s">
        <v>2537</v>
      </c>
      <c r="C2215" t="s">
        <v>75</v>
      </c>
      <c r="D2215" t="s">
        <v>2207</v>
      </c>
      <c r="E2215" t="s">
        <v>73</v>
      </c>
      <c r="F2215" t="s">
        <v>2208</v>
      </c>
      <c r="G2215" t="s">
        <v>34</v>
      </c>
      <c r="H2215">
        <v>261</v>
      </c>
    </row>
    <row r="2216" spans="1:8" x14ac:dyDescent="0.35">
      <c r="A2216">
        <v>6009646580864</v>
      </c>
      <c r="B2216" t="s">
        <v>2537</v>
      </c>
      <c r="C2216" t="s">
        <v>75</v>
      </c>
      <c r="D2216" t="s">
        <v>2207</v>
      </c>
      <c r="E2216" t="s">
        <v>73</v>
      </c>
      <c r="F2216" t="s">
        <v>2208</v>
      </c>
      <c r="G2216" t="s">
        <v>150</v>
      </c>
      <c r="H2216">
        <v>20</v>
      </c>
    </row>
    <row r="2217" spans="1:8" x14ac:dyDescent="0.35">
      <c r="A2217">
        <v>6009646581007</v>
      </c>
      <c r="B2217" t="s">
        <v>485</v>
      </c>
      <c r="C2217" t="s">
        <v>192</v>
      </c>
      <c r="D2217" t="s">
        <v>2538</v>
      </c>
      <c r="E2217" t="s">
        <v>34</v>
      </c>
      <c r="F2217" t="s">
        <v>2539</v>
      </c>
      <c r="G2217" t="s">
        <v>34</v>
      </c>
      <c r="H2217">
        <v>7776</v>
      </c>
    </row>
    <row r="2218" spans="1:8" x14ac:dyDescent="0.35">
      <c r="A2218">
        <v>6009646581014</v>
      </c>
      <c r="B2218" t="s">
        <v>2540</v>
      </c>
      <c r="C2218" t="s">
        <v>9</v>
      </c>
      <c r="D2218" t="s">
        <v>2538</v>
      </c>
      <c r="E2218" t="s">
        <v>34</v>
      </c>
      <c r="F2218" t="s">
        <v>2539</v>
      </c>
      <c r="G2218" t="s">
        <v>34</v>
      </c>
      <c r="H2218">
        <v>13707</v>
      </c>
    </row>
    <row r="2219" spans="1:8" x14ac:dyDescent="0.35">
      <c r="A2219">
        <v>6009646581014</v>
      </c>
      <c r="B2219" t="s">
        <v>2540</v>
      </c>
      <c r="C2219" t="s">
        <v>9</v>
      </c>
      <c r="D2219" t="s">
        <v>2538</v>
      </c>
      <c r="E2219" t="s">
        <v>34</v>
      </c>
      <c r="F2219" t="s">
        <v>2539</v>
      </c>
      <c r="G2219" t="s">
        <v>61</v>
      </c>
      <c r="H2219">
        <v>1</v>
      </c>
    </row>
    <row r="2220" spans="1:8" x14ac:dyDescent="0.35">
      <c r="A2220">
        <v>6009652782757</v>
      </c>
      <c r="B2220" t="s">
        <v>2541</v>
      </c>
      <c r="C2220" t="s">
        <v>9</v>
      </c>
      <c r="D2220" t="s">
        <v>2542</v>
      </c>
      <c r="E2220" t="s">
        <v>578</v>
      </c>
      <c r="F2220" t="s">
        <v>2543</v>
      </c>
      <c r="G2220" t="s">
        <v>578</v>
      </c>
      <c r="H2220">
        <v>31</v>
      </c>
    </row>
    <row r="2221" spans="1:8" x14ac:dyDescent="0.35">
      <c r="A2221">
        <v>6009652782955</v>
      </c>
      <c r="B2221" t="s">
        <v>2544</v>
      </c>
      <c r="C2221" t="s">
        <v>472</v>
      </c>
      <c r="D2221" t="s">
        <v>2542</v>
      </c>
      <c r="E2221" t="s">
        <v>578</v>
      </c>
      <c r="F2221" t="s">
        <v>2543</v>
      </c>
      <c r="G2221" t="s">
        <v>578</v>
      </c>
      <c r="H2221">
        <v>11</v>
      </c>
    </row>
    <row r="2222" spans="1:8" x14ac:dyDescent="0.35">
      <c r="A2222">
        <v>6009652782962</v>
      </c>
      <c r="B2222" t="s">
        <v>2303</v>
      </c>
      <c r="C2222" t="s">
        <v>472</v>
      </c>
      <c r="D2222" t="s">
        <v>2542</v>
      </c>
      <c r="E2222" t="s">
        <v>578</v>
      </c>
      <c r="F2222" t="s">
        <v>2543</v>
      </c>
      <c r="G2222" t="s">
        <v>34</v>
      </c>
      <c r="H2222">
        <v>50</v>
      </c>
    </row>
    <row r="2223" spans="1:8" x14ac:dyDescent="0.35">
      <c r="A2223">
        <v>6009652782962</v>
      </c>
      <c r="B2223" t="s">
        <v>2303</v>
      </c>
      <c r="C2223" t="s">
        <v>472</v>
      </c>
      <c r="D2223" t="s">
        <v>2542</v>
      </c>
      <c r="E2223" t="s">
        <v>578</v>
      </c>
      <c r="F2223" t="s">
        <v>2543</v>
      </c>
      <c r="G2223" t="s">
        <v>578</v>
      </c>
      <c r="H2223">
        <v>21</v>
      </c>
    </row>
    <row r="2224" spans="1:8" x14ac:dyDescent="0.35">
      <c r="A2224">
        <v>6009655973381</v>
      </c>
      <c r="B2224" t="s">
        <v>2545</v>
      </c>
      <c r="C2224" t="s">
        <v>81</v>
      </c>
      <c r="D2224" t="s">
        <v>2546</v>
      </c>
      <c r="E2224" t="s">
        <v>73</v>
      </c>
      <c r="F2224" t="s">
        <v>2547</v>
      </c>
      <c r="G2224" t="s">
        <v>34</v>
      </c>
      <c r="H2224">
        <v>11</v>
      </c>
    </row>
    <row r="2225" spans="1:8" x14ac:dyDescent="0.35">
      <c r="A2225">
        <v>6009655974272</v>
      </c>
      <c r="B2225" t="s">
        <v>2163</v>
      </c>
      <c r="C2225" t="s">
        <v>81</v>
      </c>
      <c r="D2225" t="s">
        <v>2546</v>
      </c>
      <c r="E2225" t="s">
        <v>73</v>
      </c>
      <c r="F2225" t="s">
        <v>2547</v>
      </c>
      <c r="G2225" t="s">
        <v>34</v>
      </c>
      <c r="H2225">
        <v>19</v>
      </c>
    </row>
    <row r="2226" spans="1:8" x14ac:dyDescent="0.35">
      <c r="A2226">
        <v>6009660040214</v>
      </c>
      <c r="B2226" t="s">
        <v>544</v>
      </c>
      <c r="C2226" t="s">
        <v>192</v>
      </c>
      <c r="D2226" t="s">
        <v>2548</v>
      </c>
      <c r="E2226" t="s">
        <v>61</v>
      </c>
      <c r="F2226" t="s">
        <v>2296</v>
      </c>
      <c r="G2226" t="s">
        <v>11</v>
      </c>
      <c r="H2226">
        <v>1</v>
      </c>
    </row>
    <row r="2227" spans="1:8" x14ac:dyDescent="0.35">
      <c r="A2227">
        <v>6009660040214</v>
      </c>
      <c r="B2227" t="s">
        <v>544</v>
      </c>
      <c r="C2227" t="s">
        <v>192</v>
      </c>
      <c r="D2227" t="s">
        <v>2548</v>
      </c>
      <c r="E2227" t="s">
        <v>61</v>
      </c>
      <c r="F2227" t="s">
        <v>2296</v>
      </c>
      <c r="G2227" t="s">
        <v>34</v>
      </c>
      <c r="H2227">
        <v>47</v>
      </c>
    </row>
    <row r="2228" spans="1:8" x14ac:dyDescent="0.35">
      <c r="A2228">
        <v>6009660040214</v>
      </c>
      <c r="B2228" t="s">
        <v>544</v>
      </c>
      <c r="C2228" t="s">
        <v>192</v>
      </c>
      <c r="D2228" t="s">
        <v>2548</v>
      </c>
      <c r="E2228" t="s">
        <v>61</v>
      </c>
      <c r="F2228" t="s">
        <v>2296</v>
      </c>
      <c r="G2228" t="s">
        <v>61</v>
      </c>
      <c r="H2228">
        <v>147</v>
      </c>
    </row>
    <row r="2229" spans="1:8" x14ac:dyDescent="0.35">
      <c r="A2229">
        <v>6009660040221</v>
      </c>
      <c r="B2229" t="s">
        <v>544</v>
      </c>
      <c r="C2229" t="s">
        <v>9</v>
      </c>
      <c r="D2229" t="s">
        <v>2548</v>
      </c>
      <c r="E2229" t="s">
        <v>61</v>
      </c>
      <c r="F2229" t="s">
        <v>2296</v>
      </c>
      <c r="G2229" t="s">
        <v>61</v>
      </c>
      <c r="H2229">
        <v>437</v>
      </c>
    </row>
    <row r="2230" spans="1:8" x14ac:dyDescent="0.35">
      <c r="A2230">
        <v>6009660040238</v>
      </c>
      <c r="B2230" t="s">
        <v>2549</v>
      </c>
      <c r="C2230" t="s">
        <v>81</v>
      </c>
      <c r="D2230" t="s">
        <v>2548</v>
      </c>
      <c r="E2230" t="s">
        <v>61</v>
      </c>
      <c r="F2230" t="s">
        <v>2296</v>
      </c>
      <c r="G2230" t="s">
        <v>61</v>
      </c>
      <c r="H2230">
        <v>145</v>
      </c>
    </row>
    <row r="2231" spans="1:8" x14ac:dyDescent="0.35">
      <c r="A2231">
        <v>6009660040245</v>
      </c>
      <c r="B2231" t="s">
        <v>1151</v>
      </c>
      <c r="C2231" t="s">
        <v>472</v>
      </c>
      <c r="D2231" t="s">
        <v>2295</v>
      </c>
      <c r="E2231" t="s">
        <v>61</v>
      </c>
      <c r="F2231" t="s">
        <v>2296</v>
      </c>
      <c r="G2231" t="s">
        <v>61</v>
      </c>
      <c r="H2231">
        <v>812</v>
      </c>
    </row>
    <row r="2232" spans="1:8" x14ac:dyDescent="0.35">
      <c r="A2232">
        <v>6009660040269</v>
      </c>
      <c r="B2232" t="s">
        <v>544</v>
      </c>
      <c r="C2232" t="s">
        <v>192</v>
      </c>
      <c r="D2232" t="s">
        <v>2548</v>
      </c>
      <c r="E2232" t="s">
        <v>61</v>
      </c>
      <c r="F2232" t="s">
        <v>2296</v>
      </c>
      <c r="G2232" t="s">
        <v>61</v>
      </c>
      <c r="H2232">
        <v>3</v>
      </c>
    </row>
    <row r="2233" spans="1:8" x14ac:dyDescent="0.35">
      <c r="A2233">
        <v>6009660903724</v>
      </c>
      <c r="B2233" t="s">
        <v>642</v>
      </c>
      <c r="C2233" t="s">
        <v>36</v>
      </c>
      <c r="D2233" t="s">
        <v>2550</v>
      </c>
      <c r="E2233" t="s">
        <v>73</v>
      </c>
      <c r="F2233" t="s">
        <v>2551</v>
      </c>
      <c r="G2233" t="s">
        <v>61</v>
      </c>
      <c r="H2233">
        <v>7</v>
      </c>
    </row>
    <row r="2234" spans="1:8" x14ac:dyDescent="0.35">
      <c r="A2234">
        <v>6009660903816</v>
      </c>
      <c r="B2234" t="s">
        <v>2552</v>
      </c>
      <c r="C2234" t="s">
        <v>173</v>
      </c>
      <c r="D2234" t="s">
        <v>2550</v>
      </c>
      <c r="E2234" t="s">
        <v>73</v>
      </c>
      <c r="F2234" t="s">
        <v>2551</v>
      </c>
      <c r="G2234" t="s">
        <v>61</v>
      </c>
      <c r="H2234">
        <v>8</v>
      </c>
    </row>
    <row r="2235" spans="1:8" x14ac:dyDescent="0.35">
      <c r="A2235">
        <v>6009661170118</v>
      </c>
      <c r="B2235" t="s">
        <v>2399</v>
      </c>
      <c r="C2235" t="s">
        <v>192</v>
      </c>
      <c r="D2235" t="s">
        <v>900</v>
      </c>
      <c r="E2235" t="s">
        <v>15</v>
      </c>
      <c r="F2235" t="s">
        <v>901</v>
      </c>
      <c r="G2235" t="s">
        <v>34</v>
      </c>
      <c r="H2235">
        <v>64</v>
      </c>
    </row>
    <row r="2236" spans="1:8" x14ac:dyDescent="0.35">
      <c r="A2236">
        <v>6009661170118</v>
      </c>
      <c r="B2236" t="s">
        <v>2399</v>
      </c>
      <c r="C2236" t="s">
        <v>192</v>
      </c>
      <c r="D2236" t="s">
        <v>900</v>
      </c>
      <c r="E2236" t="s">
        <v>15</v>
      </c>
      <c r="F2236" t="s">
        <v>901</v>
      </c>
      <c r="G2236" t="s">
        <v>150</v>
      </c>
      <c r="H2236">
        <v>6</v>
      </c>
    </row>
    <row r="2237" spans="1:8" x14ac:dyDescent="0.35">
      <c r="A2237">
        <v>6009661170125</v>
      </c>
      <c r="B2237" t="s">
        <v>2399</v>
      </c>
      <c r="C2237" t="s">
        <v>9</v>
      </c>
      <c r="D2237" t="s">
        <v>900</v>
      </c>
      <c r="E2237" t="s">
        <v>15</v>
      </c>
      <c r="F2237" t="s">
        <v>901</v>
      </c>
      <c r="G2237" t="s">
        <v>34</v>
      </c>
      <c r="H2237">
        <v>91</v>
      </c>
    </row>
    <row r="2238" spans="1:8" x14ac:dyDescent="0.35">
      <c r="A2238">
        <v>6009661170125</v>
      </c>
      <c r="B2238" t="s">
        <v>2399</v>
      </c>
      <c r="C2238" t="s">
        <v>9</v>
      </c>
      <c r="D2238" t="s">
        <v>900</v>
      </c>
      <c r="E2238" t="s">
        <v>15</v>
      </c>
      <c r="F2238" t="s">
        <v>901</v>
      </c>
      <c r="G2238" t="s">
        <v>150</v>
      </c>
      <c r="H2238">
        <v>43</v>
      </c>
    </row>
    <row r="2239" spans="1:8" x14ac:dyDescent="0.35">
      <c r="A2239">
        <v>6009661170255</v>
      </c>
      <c r="B2239" t="s">
        <v>606</v>
      </c>
      <c r="C2239" t="s">
        <v>9</v>
      </c>
      <c r="D2239" t="s">
        <v>607</v>
      </c>
      <c r="E2239" t="s">
        <v>22</v>
      </c>
      <c r="F2239" t="s">
        <v>608</v>
      </c>
      <c r="G2239" t="s">
        <v>34</v>
      </c>
      <c r="H2239">
        <v>163</v>
      </c>
    </row>
    <row r="2240" spans="1:8" x14ac:dyDescent="0.35">
      <c r="A2240">
        <v>6009661170262</v>
      </c>
      <c r="B2240" t="s">
        <v>698</v>
      </c>
      <c r="C2240" t="s">
        <v>78</v>
      </c>
      <c r="D2240" t="s">
        <v>698</v>
      </c>
      <c r="E2240" t="s">
        <v>34</v>
      </c>
      <c r="F2240" t="s">
        <v>699</v>
      </c>
      <c r="G2240" t="s">
        <v>34</v>
      </c>
      <c r="H2240">
        <v>70</v>
      </c>
    </row>
    <row r="2241" spans="1:8" x14ac:dyDescent="0.35">
      <c r="A2241">
        <v>6009661170279</v>
      </c>
      <c r="B2241" t="s">
        <v>1515</v>
      </c>
      <c r="C2241" t="s">
        <v>9</v>
      </c>
      <c r="D2241" t="s">
        <v>698</v>
      </c>
      <c r="E2241" t="s">
        <v>34</v>
      </c>
      <c r="F2241" t="s">
        <v>699</v>
      </c>
      <c r="G2241" t="s">
        <v>34</v>
      </c>
      <c r="H2241">
        <v>309</v>
      </c>
    </row>
    <row r="2242" spans="1:8" x14ac:dyDescent="0.35">
      <c r="A2242">
        <v>6009661170279</v>
      </c>
      <c r="B2242" t="s">
        <v>1515</v>
      </c>
      <c r="C2242" t="s">
        <v>9</v>
      </c>
      <c r="D2242" t="s">
        <v>698</v>
      </c>
      <c r="E2242" t="s">
        <v>34</v>
      </c>
      <c r="F2242" t="s">
        <v>699</v>
      </c>
      <c r="G2242" t="s">
        <v>31</v>
      </c>
      <c r="H2242">
        <v>2</v>
      </c>
    </row>
    <row r="2243" spans="1:8" x14ac:dyDescent="0.35">
      <c r="A2243">
        <v>6009661170309</v>
      </c>
      <c r="B2243" t="s">
        <v>2553</v>
      </c>
      <c r="C2243" t="s">
        <v>78</v>
      </c>
      <c r="D2243" t="s">
        <v>698</v>
      </c>
      <c r="E2243" t="s">
        <v>34</v>
      </c>
      <c r="F2243" t="s">
        <v>699</v>
      </c>
      <c r="G2243" t="s">
        <v>34</v>
      </c>
      <c r="H2243">
        <v>50</v>
      </c>
    </row>
    <row r="2244" spans="1:8" x14ac:dyDescent="0.35">
      <c r="A2244">
        <v>6009661170323</v>
      </c>
      <c r="B2244" t="s">
        <v>698</v>
      </c>
      <c r="C2244" t="s">
        <v>78</v>
      </c>
      <c r="D2244" t="s">
        <v>698</v>
      </c>
      <c r="E2244" t="s">
        <v>34</v>
      </c>
      <c r="F2244" t="s">
        <v>699</v>
      </c>
      <c r="G2244" t="s">
        <v>34</v>
      </c>
      <c r="H2244">
        <v>138</v>
      </c>
    </row>
    <row r="2245" spans="1:8" x14ac:dyDescent="0.35">
      <c r="A2245">
        <v>6009661170330</v>
      </c>
      <c r="B2245" t="s">
        <v>2554</v>
      </c>
      <c r="C2245" t="s">
        <v>9</v>
      </c>
      <c r="D2245" t="s">
        <v>698</v>
      </c>
      <c r="E2245" t="s">
        <v>34</v>
      </c>
      <c r="F2245" t="s">
        <v>699</v>
      </c>
      <c r="G2245" t="s">
        <v>34</v>
      </c>
      <c r="H2245">
        <v>1547</v>
      </c>
    </row>
    <row r="2246" spans="1:8" x14ac:dyDescent="0.35">
      <c r="A2246">
        <v>6009661170330</v>
      </c>
      <c r="B2246" t="s">
        <v>2554</v>
      </c>
      <c r="C2246" t="s">
        <v>9</v>
      </c>
      <c r="D2246" t="s">
        <v>698</v>
      </c>
      <c r="E2246" t="s">
        <v>34</v>
      </c>
      <c r="F2246" t="s">
        <v>699</v>
      </c>
      <c r="G2246" t="s">
        <v>31</v>
      </c>
      <c r="H2246">
        <v>10</v>
      </c>
    </row>
    <row r="2247" spans="1:8" x14ac:dyDescent="0.35">
      <c r="A2247">
        <v>6009661170347</v>
      </c>
      <c r="B2247" t="s">
        <v>698</v>
      </c>
      <c r="C2247" t="s">
        <v>78</v>
      </c>
      <c r="D2247" t="s">
        <v>698</v>
      </c>
      <c r="E2247" t="s">
        <v>34</v>
      </c>
      <c r="F2247" t="s">
        <v>699</v>
      </c>
      <c r="G2247" t="s">
        <v>34</v>
      </c>
      <c r="H2247">
        <v>146</v>
      </c>
    </row>
    <row r="2248" spans="1:8" x14ac:dyDescent="0.35">
      <c r="A2248">
        <v>6009661170354</v>
      </c>
      <c r="B2248" t="s">
        <v>2555</v>
      </c>
      <c r="C2248" t="s">
        <v>9</v>
      </c>
      <c r="D2248" t="s">
        <v>698</v>
      </c>
      <c r="E2248" t="s">
        <v>34</v>
      </c>
      <c r="F2248" t="s">
        <v>699</v>
      </c>
      <c r="G2248" t="s">
        <v>34</v>
      </c>
      <c r="H2248">
        <v>2033</v>
      </c>
    </row>
    <row r="2249" spans="1:8" x14ac:dyDescent="0.35">
      <c r="A2249">
        <v>6009661170354</v>
      </c>
      <c r="B2249" t="s">
        <v>2555</v>
      </c>
      <c r="C2249" t="s">
        <v>9</v>
      </c>
      <c r="D2249" t="s">
        <v>698</v>
      </c>
      <c r="E2249" t="s">
        <v>34</v>
      </c>
      <c r="F2249" t="s">
        <v>699</v>
      </c>
      <c r="G2249" t="s">
        <v>150</v>
      </c>
      <c r="H2249">
        <v>11</v>
      </c>
    </row>
    <row r="2250" spans="1:8" x14ac:dyDescent="0.35">
      <c r="A2250">
        <v>6009661170361</v>
      </c>
      <c r="B2250" t="s">
        <v>698</v>
      </c>
      <c r="C2250" t="s">
        <v>78</v>
      </c>
      <c r="D2250" t="s">
        <v>698</v>
      </c>
      <c r="E2250" t="s">
        <v>34</v>
      </c>
      <c r="F2250" t="s">
        <v>699</v>
      </c>
      <c r="G2250" t="s">
        <v>34</v>
      </c>
      <c r="H2250">
        <v>45</v>
      </c>
    </row>
    <row r="2251" spans="1:8" x14ac:dyDescent="0.35">
      <c r="A2251">
        <v>6009661170378</v>
      </c>
      <c r="B2251" t="s">
        <v>2556</v>
      </c>
      <c r="C2251" t="s">
        <v>9</v>
      </c>
      <c r="D2251" t="s">
        <v>698</v>
      </c>
      <c r="E2251" t="s">
        <v>34</v>
      </c>
      <c r="F2251" t="s">
        <v>699</v>
      </c>
      <c r="G2251" t="s">
        <v>34</v>
      </c>
      <c r="H2251">
        <v>699</v>
      </c>
    </row>
    <row r="2252" spans="1:8" x14ac:dyDescent="0.35">
      <c r="A2252">
        <v>6009661219039</v>
      </c>
      <c r="B2252" t="s">
        <v>2557</v>
      </c>
      <c r="C2252" t="s">
        <v>38</v>
      </c>
      <c r="D2252" t="s">
        <v>1249</v>
      </c>
      <c r="E2252" t="s">
        <v>20</v>
      </c>
      <c r="F2252" t="s">
        <v>1250</v>
      </c>
      <c r="G2252" t="s">
        <v>73</v>
      </c>
      <c r="H2252">
        <v>2</v>
      </c>
    </row>
    <row r="2253" spans="1:8" x14ac:dyDescent="0.35">
      <c r="A2253">
        <v>6009661602848</v>
      </c>
      <c r="B2253" t="s">
        <v>2558</v>
      </c>
      <c r="C2253" t="s">
        <v>336</v>
      </c>
      <c r="D2253" t="s">
        <v>2559</v>
      </c>
      <c r="E2253" t="s">
        <v>117</v>
      </c>
      <c r="F2253" t="s">
        <v>2560</v>
      </c>
      <c r="G2253" t="s">
        <v>117</v>
      </c>
      <c r="H2253">
        <v>1</v>
      </c>
    </row>
    <row r="2254" spans="1:8" x14ac:dyDescent="0.35">
      <c r="A2254">
        <v>600966200003</v>
      </c>
      <c r="B2254" t="s">
        <v>2558</v>
      </c>
      <c r="C2254" t="s">
        <v>1141</v>
      </c>
      <c r="D2254" t="s">
        <v>2559</v>
      </c>
      <c r="E2254" t="s">
        <v>117</v>
      </c>
      <c r="F2254" t="s">
        <v>2560</v>
      </c>
      <c r="G2254" t="s">
        <v>117</v>
      </c>
      <c r="H2254">
        <v>3</v>
      </c>
    </row>
    <row r="2255" spans="1:8" x14ac:dyDescent="0.35">
      <c r="A2255">
        <v>6009664104646</v>
      </c>
      <c r="B2255" t="s">
        <v>581</v>
      </c>
      <c r="C2255" t="s">
        <v>9</v>
      </c>
      <c r="D2255" t="s">
        <v>2561</v>
      </c>
      <c r="E2255" t="s">
        <v>117</v>
      </c>
      <c r="F2255" t="s">
        <v>2562</v>
      </c>
      <c r="G2255" t="s">
        <v>117</v>
      </c>
      <c r="H2255">
        <v>1</v>
      </c>
    </row>
    <row r="2256" spans="1:8" x14ac:dyDescent="0.35">
      <c r="A2256">
        <v>6009667480150</v>
      </c>
      <c r="B2256" t="s">
        <v>2563</v>
      </c>
      <c r="C2256" t="s">
        <v>43</v>
      </c>
      <c r="D2256" t="s">
        <v>2564</v>
      </c>
      <c r="E2256" t="s">
        <v>578</v>
      </c>
      <c r="F2256" t="s">
        <v>2564</v>
      </c>
      <c r="G2256" t="s">
        <v>33</v>
      </c>
      <c r="H2256">
        <v>21</v>
      </c>
    </row>
    <row r="2257" spans="1:8" x14ac:dyDescent="0.35">
      <c r="A2257">
        <v>6009670370004</v>
      </c>
      <c r="B2257" t="s">
        <v>485</v>
      </c>
      <c r="C2257" t="s">
        <v>192</v>
      </c>
      <c r="D2257" t="s">
        <v>1149</v>
      </c>
      <c r="E2257" t="s">
        <v>34</v>
      </c>
      <c r="F2257" t="s">
        <v>1150</v>
      </c>
      <c r="G2257" t="s">
        <v>34</v>
      </c>
      <c r="H2257">
        <v>11373</v>
      </c>
    </row>
    <row r="2258" spans="1:8" x14ac:dyDescent="0.35">
      <c r="A2258">
        <v>6009670370011</v>
      </c>
      <c r="B2258" t="s">
        <v>2565</v>
      </c>
      <c r="C2258" t="s">
        <v>2008</v>
      </c>
      <c r="D2258" t="s">
        <v>1149</v>
      </c>
      <c r="E2258" t="s">
        <v>34</v>
      </c>
      <c r="F2258" t="s">
        <v>1150</v>
      </c>
      <c r="G2258" t="s">
        <v>34</v>
      </c>
      <c r="H2258">
        <v>353</v>
      </c>
    </row>
    <row r="2259" spans="1:8" x14ac:dyDescent="0.35">
      <c r="A2259">
        <v>6009670370028</v>
      </c>
      <c r="B2259" t="s">
        <v>2566</v>
      </c>
      <c r="C2259" t="s">
        <v>9</v>
      </c>
      <c r="D2259" t="s">
        <v>1149</v>
      </c>
      <c r="E2259" t="s">
        <v>34</v>
      </c>
      <c r="F2259" t="s">
        <v>1150</v>
      </c>
      <c r="G2259" t="s">
        <v>34</v>
      </c>
      <c r="H2259">
        <v>28132</v>
      </c>
    </row>
    <row r="2260" spans="1:8" x14ac:dyDescent="0.35">
      <c r="A2260">
        <v>600967037004</v>
      </c>
      <c r="B2260" t="s">
        <v>1999</v>
      </c>
      <c r="C2260" t="s">
        <v>192</v>
      </c>
      <c r="D2260" t="s">
        <v>1149</v>
      </c>
      <c r="E2260" t="s">
        <v>34</v>
      </c>
      <c r="F2260" t="s">
        <v>1150</v>
      </c>
      <c r="G2260" t="s">
        <v>34</v>
      </c>
      <c r="H2260">
        <v>55</v>
      </c>
    </row>
    <row r="2261" spans="1:8" x14ac:dyDescent="0.35">
      <c r="A2261">
        <v>6009670370042</v>
      </c>
      <c r="B2261" t="s">
        <v>461</v>
      </c>
      <c r="C2261" t="s">
        <v>1863</v>
      </c>
      <c r="D2261" t="s">
        <v>1149</v>
      </c>
      <c r="E2261" t="s">
        <v>34</v>
      </c>
      <c r="F2261" t="s">
        <v>1150</v>
      </c>
      <c r="G2261" t="s">
        <v>34</v>
      </c>
      <c r="H2261">
        <v>23</v>
      </c>
    </row>
    <row r="2262" spans="1:8" x14ac:dyDescent="0.35">
      <c r="A2262">
        <v>6009670370509</v>
      </c>
      <c r="B2262" t="s">
        <v>485</v>
      </c>
      <c r="C2262" t="s">
        <v>75</v>
      </c>
      <c r="D2262" t="s">
        <v>1152</v>
      </c>
      <c r="E2262" t="s">
        <v>34</v>
      </c>
      <c r="F2262" t="s">
        <v>1150</v>
      </c>
      <c r="G2262" t="s">
        <v>34</v>
      </c>
      <c r="H2262">
        <v>3032</v>
      </c>
    </row>
    <row r="2263" spans="1:8" x14ac:dyDescent="0.35">
      <c r="A2263">
        <v>6009670370516</v>
      </c>
      <c r="B2263" t="s">
        <v>1999</v>
      </c>
      <c r="C2263" t="s">
        <v>192</v>
      </c>
      <c r="D2263" t="s">
        <v>1152</v>
      </c>
      <c r="E2263" t="s">
        <v>34</v>
      </c>
      <c r="F2263" t="s">
        <v>1150</v>
      </c>
      <c r="G2263" t="s">
        <v>34</v>
      </c>
      <c r="H2263">
        <v>517</v>
      </c>
    </row>
    <row r="2264" spans="1:8" x14ac:dyDescent="0.35">
      <c r="A2264">
        <v>6009670370523</v>
      </c>
      <c r="B2264" t="s">
        <v>1158</v>
      </c>
      <c r="C2264" t="s">
        <v>9</v>
      </c>
      <c r="D2264" t="s">
        <v>1152</v>
      </c>
      <c r="E2264" t="s">
        <v>34</v>
      </c>
      <c r="F2264" t="s">
        <v>1150</v>
      </c>
      <c r="G2264" t="s">
        <v>34</v>
      </c>
      <c r="H2264">
        <v>2336</v>
      </c>
    </row>
    <row r="2265" spans="1:8" x14ac:dyDescent="0.35">
      <c r="A2265">
        <v>6009670370530</v>
      </c>
      <c r="B2265" t="s">
        <v>461</v>
      </c>
      <c r="C2265" t="s">
        <v>81</v>
      </c>
      <c r="D2265" t="s">
        <v>1152</v>
      </c>
      <c r="E2265" t="s">
        <v>34</v>
      </c>
      <c r="F2265" t="s">
        <v>1150</v>
      </c>
      <c r="G2265" t="s">
        <v>34</v>
      </c>
      <c r="H2265">
        <v>90</v>
      </c>
    </row>
    <row r="2266" spans="1:8" x14ac:dyDescent="0.35">
      <c r="A2266">
        <v>6009671260021</v>
      </c>
      <c r="B2266" t="s">
        <v>485</v>
      </c>
      <c r="C2266" t="s">
        <v>9</v>
      </c>
      <c r="D2266" t="s">
        <v>2567</v>
      </c>
      <c r="E2266" t="s">
        <v>578</v>
      </c>
      <c r="F2266" t="s">
        <v>2568</v>
      </c>
      <c r="G2266" t="s">
        <v>578</v>
      </c>
      <c r="H2266">
        <v>2</v>
      </c>
    </row>
    <row r="2267" spans="1:8" x14ac:dyDescent="0.35">
      <c r="A2267">
        <v>6009671260038</v>
      </c>
      <c r="B2267" t="s">
        <v>2567</v>
      </c>
      <c r="C2267" t="s">
        <v>326</v>
      </c>
      <c r="D2267" t="s">
        <v>2567</v>
      </c>
      <c r="E2267" t="s">
        <v>578</v>
      </c>
      <c r="F2267" t="s">
        <v>2568</v>
      </c>
      <c r="G2267" t="s">
        <v>578</v>
      </c>
      <c r="H2267">
        <v>22</v>
      </c>
    </row>
    <row r="2268" spans="1:8" x14ac:dyDescent="0.35">
      <c r="A2268">
        <v>6009672211664</v>
      </c>
      <c r="B2268" t="s">
        <v>2569</v>
      </c>
      <c r="C2268" t="s">
        <v>9</v>
      </c>
      <c r="D2268" t="s">
        <v>2570</v>
      </c>
      <c r="E2268" t="s">
        <v>578</v>
      </c>
      <c r="F2268" t="s">
        <v>2217</v>
      </c>
      <c r="G2268" t="s">
        <v>150</v>
      </c>
      <c r="H2268">
        <v>1</v>
      </c>
    </row>
    <row r="2269" spans="1:8" x14ac:dyDescent="0.35">
      <c r="A2269">
        <v>6009672211664</v>
      </c>
      <c r="B2269" t="s">
        <v>2569</v>
      </c>
      <c r="C2269" t="s">
        <v>9</v>
      </c>
      <c r="D2269" t="s">
        <v>2570</v>
      </c>
      <c r="E2269" t="s">
        <v>578</v>
      </c>
      <c r="F2269" t="s">
        <v>2217</v>
      </c>
      <c r="G2269" t="s">
        <v>578</v>
      </c>
      <c r="H2269">
        <v>2</v>
      </c>
    </row>
    <row r="2270" spans="1:8" x14ac:dyDescent="0.35">
      <c r="A2270">
        <v>6009674400172</v>
      </c>
      <c r="B2270" t="s">
        <v>2571</v>
      </c>
      <c r="C2270" t="s">
        <v>192</v>
      </c>
      <c r="D2270" t="s">
        <v>2567</v>
      </c>
      <c r="E2270" t="s">
        <v>578</v>
      </c>
      <c r="F2270" t="s">
        <v>2568</v>
      </c>
      <c r="G2270" t="s">
        <v>34</v>
      </c>
      <c r="H2270">
        <v>49</v>
      </c>
    </row>
    <row r="2271" spans="1:8" x14ac:dyDescent="0.35">
      <c r="A2271">
        <v>6009674400189</v>
      </c>
      <c r="B2271" t="s">
        <v>2572</v>
      </c>
      <c r="C2271" t="s">
        <v>9</v>
      </c>
      <c r="D2271" t="s">
        <v>2567</v>
      </c>
      <c r="E2271" t="s">
        <v>578</v>
      </c>
      <c r="F2271" t="s">
        <v>2568</v>
      </c>
      <c r="G2271" t="s">
        <v>34</v>
      </c>
      <c r="H2271">
        <v>21</v>
      </c>
    </row>
    <row r="2272" spans="1:8" x14ac:dyDescent="0.35">
      <c r="A2272">
        <v>6009677500053</v>
      </c>
      <c r="B2272" t="s">
        <v>2573</v>
      </c>
      <c r="C2272" t="s">
        <v>192</v>
      </c>
      <c r="D2272" t="s">
        <v>2574</v>
      </c>
      <c r="E2272" t="s">
        <v>308</v>
      </c>
      <c r="F2272" t="s">
        <v>309</v>
      </c>
      <c r="G2272" t="s">
        <v>34</v>
      </c>
      <c r="H2272">
        <v>1</v>
      </c>
    </row>
    <row r="2273" spans="1:8" x14ac:dyDescent="0.35">
      <c r="A2273">
        <v>6009677971679</v>
      </c>
      <c r="B2273" t="s">
        <v>2575</v>
      </c>
      <c r="C2273" t="s">
        <v>2576</v>
      </c>
      <c r="D2273" t="s">
        <v>2577</v>
      </c>
      <c r="E2273" t="s">
        <v>15</v>
      </c>
      <c r="F2273" t="s">
        <v>2578</v>
      </c>
      <c r="G2273" t="s">
        <v>73</v>
      </c>
      <c r="H2273">
        <v>1</v>
      </c>
    </row>
    <row r="2274" spans="1:8" x14ac:dyDescent="0.35">
      <c r="A2274">
        <v>6009678270450</v>
      </c>
      <c r="B2274" t="s">
        <v>2579</v>
      </c>
      <c r="C2274" t="s">
        <v>9</v>
      </c>
      <c r="D2274" t="s">
        <v>2580</v>
      </c>
      <c r="E2274" t="s">
        <v>33</v>
      </c>
      <c r="F2274" t="s">
        <v>2581</v>
      </c>
      <c r="G2274" t="s">
        <v>33</v>
      </c>
      <c r="H2274">
        <v>20</v>
      </c>
    </row>
    <row r="2275" spans="1:8" x14ac:dyDescent="0.35">
      <c r="A2275">
        <v>6009678592316</v>
      </c>
      <c r="B2275" t="s">
        <v>2582</v>
      </c>
      <c r="C2275" t="s">
        <v>9</v>
      </c>
      <c r="D2275" t="s">
        <v>2583</v>
      </c>
      <c r="E2275" t="s">
        <v>33</v>
      </c>
      <c r="F2275" t="s">
        <v>2584</v>
      </c>
      <c r="G2275" t="s">
        <v>33</v>
      </c>
      <c r="H2275">
        <v>29</v>
      </c>
    </row>
    <row r="2276" spans="1:8" x14ac:dyDescent="0.35">
      <c r="A2276">
        <v>6009678592408</v>
      </c>
      <c r="B2276" t="s">
        <v>2585</v>
      </c>
      <c r="C2276" t="s">
        <v>9</v>
      </c>
      <c r="D2276" t="s">
        <v>2586</v>
      </c>
      <c r="E2276" t="s">
        <v>33</v>
      </c>
      <c r="F2276" t="s">
        <v>2584</v>
      </c>
      <c r="G2276" t="s">
        <v>33</v>
      </c>
      <c r="H2276">
        <v>102</v>
      </c>
    </row>
    <row r="2277" spans="1:8" x14ac:dyDescent="0.35">
      <c r="A2277">
        <v>6009678592415</v>
      </c>
      <c r="B2277" t="s">
        <v>2587</v>
      </c>
      <c r="C2277" t="s">
        <v>9</v>
      </c>
      <c r="D2277" t="s">
        <v>2588</v>
      </c>
      <c r="E2277" t="s">
        <v>33</v>
      </c>
      <c r="F2277" t="s">
        <v>2584</v>
      </c>
      <c r="G2277" t="s">
        <v>33</v>
      </c>
      <c r="H2277">
        <v>20</v>
      </c>
    </row>
    <row r="2278" spans="1:8" x14ac:dyDescent="0.35">
      <c r="A2278">
        <v>6009678592798</v>
      </c>
      <c r="B2278" t="s">
        <v>2589</v>
      </c>
      <c r="C2278" t="s">
        <v>9</v>
      </c>
      <c r="D2278" t="s">
        <v>2588</v>
      </c>
      <c r="E2278" t="s">
        <v>33</v>
      </c>
      <c r="F2278" t="s">
        <v>2584</v>
      </c>
      <c r="G2278" t="s">
        <v>33</v>
      </c>
      <c r="H2278">
        <v>26</v>
      </c>
    </row>
    <row r="2279" spans="1:8" x14ac:dyDescent="0.35">
      <c r="A2279">
        <v>6009679916906</v>
      </c>
      <c r="B2279" t="s">
        <v>2590</v>
      </c>
      <c r="C2279" t="s">
        <v>919</v>
      </c>
      <c r="D2279" t="s">
        <v>2591</v>
      </c>
      <c r="E2279" t="s">
        <v>308</v>
      </c>
      <c r="F2279" t="s">
        <v>309</v>
      </c>
      <c r="G2279" t="s">
        <v>34</v>
      </c>
      <c r="H2279">
        <v>2</v>
      </c>
    </row>
    <row r="2280" spans="1:8" x14ac:dyDescent="0.35">
      <c r="A2280">
        <v>6009681152330</v>
      </c>
      <c r="B2280" t="s">
        <v>2592</v>
      </c>
      <c r="C2280" t="s">
        <v>9</v>
      </c>
      <c r="D2280" t="s">
        <v>1554</v>
      </c>
      <c r="E2280" t="s">
        <v>33</v>
      </c>
      <c r="F2280" t="s">
        <v>2593</v>
      </c>
      <c r="G2280" t="s">
        <v>33</v>
      </c>
      <c r="H2280">
        <v>359</v>
      </c>
    </row>
    <row r="2281" spans="1:8" x14ac:dyDescent="0.35">
      <c r="A2281">
        <v>6009681152385</v>
      </c>
      <c r="B2281" t="s">
        <v>2594</v>
      </c>
      <c r="C2281" t="s">
        <v>472</v>
      </c>
      <c r="D2281" t="s">
        <v>2595</v>
      </c>
      <c r="E2281" t="s">
        <v>33</v>
      </c>
      <c r="F2281" t="s">
        <v>2593</v>
      </c>
      <c r="G2281" t="s">
        <v>33</v>
      </c>
      <c r="H2281">
        <v>695</v>
      </c>
    </row>
    <row r="2282" spans="1:8" x14ac:dyDescent="0.35">
      <c r="A2282">
        <v>6009681152408</v>
      </c>
      <c r="B2282" t="s">
        <v>2596</v>
      </c>
      <c r="C2282" t="s">
        <v>576</v>
      </c>
      <c r="D2282" t="s">
        <v>2595</v>
      </c>
      <c r="E2282" t="s">
        <v>33</v>
      </c>
      <c r="F2282" t="s">
        <v>2593</v>
      </c>
      <c r="G2282" t="s">
        <v>33</v>
      </c>
      <c r="H2282">
        <v>1</v>
      </c>
    </row>
    <row r="2283" spans="1:8" x14ac:dyDescent="0.35">
      <c r="A2283">
        <v>6009681152446</v>
      </c>
      <c r="B2283" t="s">
        <v>703</v>
      </c>
      <c r="C2283" t="s">
        <v>472</v>
      </c>
      <c r="D2283" t="s">
        <v>2595</v>
      </c>
      <c r="E2283" t="s">
        <v>33</v>
      </c>
      <c r="F2283" t="s">
        <v>2593</v>
      </c>
      <c r="G2283" t="s">
        <v>33</v>
      </c>
      <c r="H2283">
        <v>181</v>
      </c>
    </row>
    <row r="2284" spans="1:8" x14ac:dyDescent="0.35">
      <c r="A2284">
        <v>6009681152453</v>
      </c>
      <c r="B2284" t="s">
        <v>139</v>
      </c>
      <c r="C2284" t="s">
        <v>472</v>
      </c>
      <c r="D2284" t="s">
        <v>2595</v>
      </c>
      <c r="E2284" t="s">
        <v>33</v>
      </c>
      <c r="F2284" t="s">
        <v>2593</v>
      </c>
      <c r="G2284" t="s">
        <v>33</v>
      </c>
      <c r="H2284">
        <v>7</v>
      </c>
    </row>
    <row r="2285" spans="1:8" x14ac:dyDescent="0.35">
      <c r="A2285">
        <v>6009681152569</v>
      </c>
      <c r="B2285" t="s">
        <v>2597</v>
      </c>
      <c r="C2285" t="s">
        <v>472</v>
      </c>
      <c r="D2285" t="s">
        <v>2595</v>
      </c>
      <c r="E2285" t="s">
        <v>33</v>
      </c>
      <c r="F2285" t="s">
        <v>2593</v>
      </c>
      <c r="G2285" t="s">
        <v>33</v>
      </c>
      <c r="H2285">
        <v>209</v>
      </c>
    </row>
    <row r="2286" spans="1:8" x14ac:dyDescent="0.35">
      <c r="A2286">
        <v>6009681152583</v>
      </c>
      <c r="B2286" t="s">
        <v>2598</v>
      </c>
      <c r="C2286" t="s">
        <v>472</v>
      </c>
      <c r="D2286" t="s">
        <v>2595</v>
      </c>
      <c r="E2286" t="s">
        <v>33</v>
      </c>
      <c r="F2286" t="s">
        <v>2593</v>
      </c>
      <c r="G2286" t="s">
        <v>33</v>
      </c>
      <c r="H2286">
        <v>212</v>
      </c>
    </row>
    <row r="2287" spans="1:8" x14ac:dyDescent="0.35">
      <c r="A2287">
        <v>6009681260196</v>
      </c>
      <c r="B2287" t="s">
        <v>273</v>
      </c>
      <c r="C2287" t="s">
        <v>114</v>
      </c>
      <c r="D2287" t="s">
        <v>273</v>
      </c>
      <c r="E2287" t="s">
        <v>15</v>
      </c>
      <c r="F2287" t="s">
        <v>56</v>
      </c>
      <c r="G2287" t="s">
        <v>578</v>
      </c>
      <c r="H2287">
        <v>13</v>
      </c>
    </row>
    <row r="2288" spans="1:8" x14ac:dyDescent="0.35">
      <c r="A2288">
        <v>6009681260929</v>
      </c>
      <c r="B2288" t="s">
        <v>2599</v>
      </c>
      <c r="C2288" t="s">
        <v>214</v>
      </c>
      <c r="D2288" t="s">
        <v>1044</v>
      </c>
      <c r="E2288" t="s">
        <v>15</v>
      </c>
      <c r="F2288" t="s">
        <v>56</v>
      </c>
      <c r="G2288" t="s">
        <v>117</v>
      </c>
      <c r="H2288">
        <v>1</v>
      </c>
    </row>
    <row r="2289" spans="1:8" x14ac:dyDescent="0.35">
      <c r="A2289">
        <v>6009681261209</v>
      </c>
      <c r="B2289" t="s">
        <v>2600</v>
      </c>
      <c r="C2289" t="s">
        <v>114</v>
      </c>
      <c r="D2289" t="s">
        <v>1044</v>
      </c>
      <c r="E2289" t="s">
        <v>15</v>
      </c>
      <c r="F2289" t="s">
        <v>56</v>
      </c>
      <c r="G2289" t="s">
        <v>61</v>
      </c>
      <c r="H2289">
        <v>63</v>
      </c>
    </row>
    <row r="2290" spans="1:8" x14ac:dyDescent="0.35">
      <c r="A2290">
        <v>6009681261209</v>
      </c>
      <c r="B2290" t="s">
        <v>2600</v>
      </c>
      <c r="C2290" t="s">
        <v>114</v>
      </c>
      <c r="D2290" t="s">
        <v>1044</v>
      </c>
      <c r="E2290" t="s">
        <v>15</v>
      </c>
      <c r="F2290" t="s">
        <v>56</v>
      </c>
      <c r="G2290" t="s">
        <v>578</v>
      </c>
      <c r="H2290">
        <v>7</v>
      </c>
    </row>
    <row r="2291" spans="1:8" x14ac:dyDescent="0.35">
      <c r="A2291">
        <v>6009681261285</v>
      </c>
      <c r="B2291" t="s">
        <v>2601</v>
      </c>
      <c r="C2291" t="s">
        <v>114</v>
      </c>
      <c r="D2291" t="s">
        <v>1044</v>
      </c>
      <c r="E2291" t="s">
        <v>15</v>
      </c>
      <c r="F2291" t="s">
        <v>56</v>
      </c>
      <c r="G2291" t="s">
        <v>578</v>
      </c>
      <c r="H2291">
        <v>6</v>
      </c>
    </row>
    <row r="2292" spans="1:8" x14ac:dyDescent="0.35">
      <c r="A2292">
        <v>6009681267102</v>
      </c>
      <c r="B2292" t="s">
        <v>2602</v>
      </c>
      <c r="C2292" t="s">
        <v>603</v>
      </c>
      <c r="D2292" t="s">
        <v>24</v>
      </c>
      <c r="E2292" t="s">
        <v>15</v>
      </c>
      <c r="F2292" t="s">
        <v>25</v>
      </c>
      <c r="G2292" t="s">
        <v>33</v>
      </c>
      <c r="H2292">
        <v>23</v>
      </c>
    </row>
    <row r="2293" spans="1:8" x14ac:dyDescent="0.35">
      <c r="A2293">
        <v>6009681267102</v>
      </c>
      <c r="B2293" t="s">
        <v>2602</v>
      </c>
      <c r="C2293" t="s">
        <v>603</v>
      </c>
      <c r="D2293" t="s">
        <v>24</v>
      </c>
      <c r="E2293" t="s">
        <v>15</v>
      </c>
      <c r="F2293" t="s">
        <v>25</v>
      </c>
      <c r="G2293" t="s">
        <v>578</v>
      </c>
      <c r="H2293">
        <v>1</v>
      </c>
    </row>
    <row r="2294" spans="1:8" x14ac:dyDescent="0.35">
      <c r="A2294">
        <v>6009681510093</v>
      </c>
      <c r="B2294" t="s">
        <v>1597</v>
      </c>
      <c r="C2294" t="s">
        <v>9</v>
      </c>
      <c r="D2294" t="s">
        <v>2603</v>
      </c>
      <c r="E2294" t="s">
        <v>73</v>
      </c>
      <c r="F2294" t="s">
        <v>2603</v>
      </c>
      <c r="G2294" t="s">
        <v>73</v>
      </c>
      <c r="H2294">
        <v>4</v>
      </c>
    </row>
    <row r="2295" spans="1:8" x14ac:dyDescent="0.35">
      <c r="A2295">
        <v>6009681511854</v>
      </c>
      <c r="B2295" t="s">
        <v>1151</v>
      </c>
      <c r="C2295" t="s">
        <v>272</v>
      </c>
      <c r="D2295" t="s">
        <v>2603</v>
      </c>
      <c r="E2295" t="s">
        <v>73</v>
      </c>
      <c r="F2295" t="s">
        <v>2603</v>
      </c>
      <c r="G2295" t="s">
        <v>71</v>
      </c>
      <c r="H2295">
        <v>1</v>
      </c>
    </row>
    <row r="2296" spans="1:8" x14ac:dyDescent="0.35">
      <c r="A2296">
        <v>6009681511854</v>
      </c>
      <c r="B2296" t="s">
        <v>1151</v>
      </c>
      <c r="C2296" t="s">
        <v>272</v>
      </c>
      <c r="D2296" t="s">
        <v>2603</v>
      </c>
      <c r="E2296" t="s">
        <v>73</v>
      </c>
      <c r="F2296" t="s">
        <v>2603</v>
      </c>
      <c r="G2296" t="s">
        <v>34</v>
      </c>
      <c r="H2296">
        <v>103</v>
      </c>
    </row>
    <row r="2297" spans="1:8" x14ac:dyDescent="0.35">
      <c r="A2297">
        <v>6009681511854</v>
      </c>
      <c r="B2297" t="s">
        <v>1151</v>
      </c>
      <c r="C2297" t="s">
        <v>272</v>
      </c>
      <c r="D2297" t="s">
        <v>2603</v>
      </c>
      <c r="E2297" t="s">
        <v>73</v>
      </c>
      <c r="F2297" t="s">
        <v>2603</v>
      </c>
      <c r="G2297" t="s">
        <v>2604</v>
      </c>
      <c r="H2297">
        <v>2</v>
      </c>
    </row>
    <row r="2298" spans="1:8" x14ac:dyDescent="0.35">
      <c r="A2298">
        <v>6009683330040</v>
      </c>
      <c r="B2298" t="s">
        <v>2299</v>
      </c>
      <c r="C2298" t="s">
        <v>9</v>
      </c>
      <c r="D2298" t="s">
        <v>2605</v>
      </c>
      <c r="E2298" t="s">
        <v>2001</v>
      </c>
      <c r="F2298" t="s">
        <v>2002</v>
      </c>
      <c r="G2298" t="s">
        <v>33</v>
      </c>
      <c r="H2298">
        <v>21</v>
      </c>
    </row>
    <row r="2299" spans="1:8" x14ac:dyDescent="0.35">
      <c r="A2299">
        <v>6009683330989</v>
      </c>
      <c r="B2299" t="s">
        <v>2606</v>
      </c>
      <c r="C2299" t="s">
        <v>78</v>
      </c>
      <c r="D2299" t="s">
        <v>2607</v>
      </c>
      <c r="E2299" t="s">
        <v>15</v>
      </c>
      <c r="F2299" t="s">
        <v>14</v>
      </c>
      <c r="G2299" t="s">
        <v>33</v>
      </c>
      <c r="H2299">
        <v>45</v>
      </c>
    </row>
    <row r="2300" spans="1:8" x14ac:dyDescent="0.35">
      <c r="A2300">
        <v>6009688130591</v>
      </c>
      <c r="B2300" t="s">
        <v>2608</v>
      </c>
      <c r="C2300" t="s">
        <v>69</v>
      </c>
      <c r="D2300" t="s">
        <v>2609</v>
      </c>
      <c r="E2300" t="s">
        <v>61</v>
      </c>
      <c r="F2300" t="s">
        <v>1216</v>
      </c>
      <c r="G2300" t="s">
        <v>61</v>
      </c>
      <c r="H2300">
        <v>6</v>
      </c>
    </row>
    <row r="2301" spans="1:8" x14ac:dyDescent="0.35">
      <c r="A2301">
        <v>6009689440149</v>
      </c>
      <c r="B2301" t="s">
        <v>2610</v>
      </c>
      <c r="C2301" t="s">
        <v>943</v>
      </c>
      <c r="D2301" t="s">
        <v>2611</v>
      </c>
      <c r="E2301" t="s">
        <v>33</v>
      </c>
      <c r="F2301" t="s">
        <v>2612</v>
      </c>
      <c r="G2301" t="s">
        <v>33</v>
      </c>
      <c r="H2301">
        <v>92</v>
      </c>
    </row>
    <row r="2302" spans="1:8" x14ac:dyDescent="0.35">
      <c r="A2302">
        <v>6009690380038</v>
      </c>
      <c r="B2302" t="s">
        <v>2613</v>
      </c>
      <c r="C2302" t="s">
        <v>9</v>
      </c>
      <c r="D2302" t="s">
        <v>2614</v>
      </c>
      <c r="E2302" t="s">
        <v>73</v>
      </c>
      <c r="F2302" t="s">
        <v>2615</v>
      </c>
      <c r="G2302" t="s">
        <v>34</v>
      </c>
      <c r="H2302">
        <v>616</v>
      </c>
    </row>
    <row r="2303" spans="1:8" x14ac:dyDescent="0.35">
      <c r="A2303">
        <v>6009691350092</v>
      </c>
      <c r="B2303" t="s">
        <v>2616</v>
      </c>
      <c r="C2303" t="s">
        <v>78</v>
      </c>
      <c r="D2303" t="s">
        <v>2617</v>
      </c>
      <c r="E2303" t="s">
        <v>73</v>
      </c>
      <c r="F2303" t="s">
        <v>2260</v>
      </c>
      <c r="G2303" t="s">
        <v>31</v>
      </c>
      <c r="H2303">
        <v>1</v>
      </c>
    </row>
    <row r="2304" spans="1:8" x14ac:dyDescent="0.35">
      <c r="A2304">
        <v>6009691350092</v>
      </c>
      <c r="B2304" t="s">
        <v>2616</v>
      </c>
      <c r="C2304" t="s">
        <v>78</v>
      </c>
      <c r="D2304" t="s">
        <v>2617</v>
      </c>
      <c r="E2304" t="s">
        <v>73</v>
      </c>
      <c r="F2304" t="s">
        <v>2260</v>
      </c>
      <c r="G2304" t="s">
        <v>73</v>
      </c>
      <c r="H2304">
        <v>16</v>
      </c>
    </row>
    <row r="2305" spans="1:8" x14ac:dyDescent="0.35">
      <c r="A2305">
        <v>6009691350115</v>
      </c>
      <c r="B2305" t="s">
        <v>2618</v>
      </c>
      <c r="C2305" t="s">
        <v>78</v>
      </c>
      <c r="D2305" t="s">
        <v>2617</v>
      </c>
      <c r="E2305" t="s">
        <v>73</v>
      </c>
      <c r="F2305" t="s">
        <v>2260</v>
      </c>
      <c r="G2305" t="s">
        <v>31</v>
      </c>
      <c r="H2305">
        <v>1</v>
      </c>
    </row>
    <row r="2306" spans="1:8" x14ac:dyDescent="0.35">
      <c r="A2306">
        <v>6009691350115</v>
      </c>
      <c r="B2306" t="s">
        <v>2618</v>
      </c>
      <c r="C2306" t="s">
        <v>78</v>
      </c>
      <c r="D2306" t="s">
        <v>2617</v>
      </c>
      <c r="E2306" t="s">
        <v>73</v>
      </c>
      <c r="F2306" t="s">
        <v>2260</v>
      </c>
      <c r="G2306" t="s">
        <v>73</v>
      </c>
      <c r="H2306">
        <v>1</v>
      </c>
    </row>
    <row r="2307" spans="1:8" x14ac:dyDescent="0.35">
      <c r="A2307">
        <v>6009691350894</v>
      </c>
      <c r="B2307" t="s">
        <v>2619</v>
      </c>
      <c r="C2307" t="s">
        <v>192</v>
      </c>
      <c r="D2307" t="s">
        <v>2617</v>
      </c>
      <c r="E2307" t="s">
        <v>73</v>
      </c>
      <c r="F2307" t="s">
        <v>2260</v>
      </c>
      <c r="G2307" t="s">
        <v>33</v>
      </c>
      <c r="H2307">
        <v>1</v>
      </c>
    </row>
    <row r="2308" spans="1:8" x14ac:dyDescent="0.35">
      <c r="A2308">
        <v>6009691350900</v>
      </c>
      <c r="B2308" t="s">
        <v>2620</v>
      </c>
      <c r="C2308" t="s">
        <v>1374</v>
      </c>
      <c r="D2308" t="s">
        <v>2617</v>
      </c>
      <c r="E2308" t="s">
        <v>73</v>
      </c>
      <c r="F2308" t="s">
        <v>2260</v>
      </c>
      <c r="G2308" t="s">
        <v>34</v>
      </c>
      <c r="H2308">
        <v>1</v>
      </c>
    </row>
    <row r="2309" spans="1:8" x14ac:dyDescent="0.35">
      <c r="A2309">
        <v>6009691350924</v>
      </c>
      <c r="B2309" t="s">
        <v>2621</v>
      </c>
      <c r="C2309" t="s">
        <v>192</v>
      </c>
      <c r="D2309" t="s">
        <v>2617</v>
      </c>
      <c r="E2309" t="s">
        <v>73</v>
      </c>
      <c r="F2309" t="s">
        <v>2260</v>
      </c>
      <c r="G2309" t="s">
        <v>34</v>
      </c>
      <c r="H2309">
        <v>4</v>
      </c>
    </row>
    <row r="2310" spans="1:8" x14ac:dyDescent="0.35">
      <c r="A2310">
        <v>6009691353901</v>
      </c>
      <c r="B2310" t="s">
        <v>2622</v>
      </c>
      <c r="C2310" t="s">
        <v>192</v>
      </c>
      <c r="D2310" t="s">
        <v>2617</v>
      </c>
      <c r="E2310" t="s">
        <v>73</v>
      </c>
      <c r="F2310" t="s">
        <v>2260</v>
      </c>
      <c r="G2310" t="s">
        <v>34</v>
      </c>
      <c r="H2310">
        <v>1</v>
      </c>
    </row>
    <row r="2311" spans="1:8" x14ac:dyDescent="0.35">
      <c r="A2311">
        <v>6009691358203</v>
      </c>
      <c r="B2311" t="s">
        <v>2623</v>
      </c>
      <c r="C2311" t="s">
        <v>192</v>
      </c>
      <c r="D2311" t="s">
        <v>2617</v>
      </c>
      <c r="E2311" t="s">
        <v>73</v>
      </c>
      <c r="F2311" t="s">
        <v>2260</v>
      </c>
      <c r="G2311" t="s">
        <v>34</v>
      </c>
      <c r="H2311">
        <v>1</v>
      </c>
    </row>
    <row r="2312" spans="1:8" x14ac:dyDescent="0.35">
      <c r="A2312">
        <v>6009691800092</v>
      </c>
      <c r="B2312" t="s">
        <v>2624</v>
      </c>
      <c r="C2312" t="s">
        <v>326</v>
      </c>
      <c r="D2312" t="s">
        <v>2625</v>
      </c>
      <c r="E2312" t="s">
        <v>308</v>
      </c>
      <c r="F2312" t="s">
        <v>309</v>
      </c>
      <c r="G2312" t="s">
        <v>34</v>
      </c>
      <c r="H2312">
        <v>35</v>
      </c>
    </row>
    <row r="2313" spans="1:8" x14ac:dyDescent="0.35">
      <c r="A2313">
        <v>6009691800115</v>
      </c>
      <c r="B2313" t="s">
        <v>2626</v>
      </c>
      <c r="C2313" t="s">
        <v>472</v>
      </c>
      <c r="D2313" t="s">
        <v>2625</v>
      </c>
      <c r="E2313" t="s">
        <v>308</v>
      </c>
      <c r="F2313" t="s">
        <v>309</v>
      </c>
      <c r="G2313" t="s">
        <v>34</v>
      </c>
      <c r="H2313">
        <v>28</v>
      </c>
    </row>
    <row r="2314" spans="1:8" x14ac:dyDescent="0.35">
      <c r="A2314">
        <v>6009691800153</v>
      </c>
      <c r="B2314" t="s">
        <v>2627</v>
      </c>
      <c r="C2314" t="s">
        <v>9</v>
      </c>
      <c r="D2314" t="s">
        <v>546</v>
      </c>
      <c r="E2314" t="s">
        <v>547</v>
      </c>
      <c r="F2314" t="s">
        <v>548</v>
      </c>
      <c r="G2314" t="s">
        <v>34</v>
      </c>
      <c r="H2314">
        <v>1</v>
      </c>
    </row>
    <row r="2315" spans="1:8" x14ac:dyDescent="0.35">
      <c r="A2315">
        <v>6009691800887</v>
      </c>
      <c r="B2315" t="s">
        <v>2399</v>
      </c>
      <c r="C2315" t="s">
        <v>192</v>
      </c>
      <c r="D2315" t="s">
        <v>546</v>
      </c>
      <c r="E2315" t="s">
        <v>547</v>
      </c>
      <c r="F2315" t="s">
        <v>548</v>
      </c>
      <c r="G2315" t="s">
        <v>34</v>
      </c>
      <c r="H2315">
        <v>4</v>
      </c>
    </row>
    <row r="2316" spans="1:8" x14ac:dyDescent="0.35">
      <c r="A2316">
        <v>6009691800917</v>
      </c>
      <c r="B2316" t="s">
        <v>2628</v>
      </c>
      <c r="C2316" t="s">
        <v>681</v>
      </c>
      <c r="D2316" t="s">
        <v>2629</v>
      </c>
      <c r="E2316" t="s">
        <v>547</v>
      </c>
      <c r="F2316" t="s">
        <v>548</v>
      </c>
      <c r="G2316" t="s">
        <v>34</v>
      </c>
      <c r="H2316">
        <v>1</v>
      </c>
    </row>
    <row r="2317" spans="1:8" x14ac:dyDescent="0.35">
      <c r="A2317">
        <v>6009694630559</v>
      </c>
      <c r="B2317" t="s">
        <v>2630</v>
      </c>
      <c r="C2317" t="s">
        <v>9</v>
      </c>
      <c r="D2317" t="s">
        <v>2631</v>
      </c>
      <c r="E2317" t="s">
        <v>73</v>
      </c>
      <c r="F2317" t="s">
        <v>2632</v>
      </c>
      <c r="G2317" t="s">
        <v>34</v>
      </c>
      <c r="H2317">
        <v>3</v>
      </c>
    </row>
    <row r="2318" spans="1:8" x14ac:dyDescent="0.35">
      <c r="A2318">
        <v>6009694630733</v>
      </c>
      <c r="B2318" t="s">
        <v>2633</v>
      </c>
      <c r="C2318" t="s">
        <v>78</v>
      </c>
      <c r="D2318" t="s">
        <v>2631</v>
      </c>
      <c r="E2318" t="s">
        <v>73</v>
      </c>
      <c r="F2318" t="s">
        <v>2632</v>
      </c>
      <c r="G2318" t="s">
        <v>34</v>
      </c>
      <c r="H2318">
        <v>13</v>
      </c>
    </row>
    <row r="2319" spans="1:8" x14ac:dyDescent="0.35">
      <c r="A2319">
        <v>6009694632140</v>
      </c>
      <c r="B2319" t="s">
        <v>2634</v>
      </c>
      <c r="C2319" t="s">
        <v>192</v>
      </c>
      <c r="D2319" t="s">
        <v>2631</v>
      </c>
      <c r="E2319" t="s">
        <v>73</v>
      </c>
      <c r="F2319" t="s">
        <v>2632</v>
      </c>
      <c r="G2319" t="s">
        <v>34</v>
      </c>
      <c r="H2319">
        <v>1</v>
      </c>
    </row>
    <row r="2320" spans="1:8" x14ac:dyDescent="0.35">
      <c r="A2320">
        <v>6009694633147</v>
      </c>
      <c r="B2320" t="s">
        <v>2635</v>
      </c>
      <c r="C2320" t="s">
        <v>214</v>
      </c>
      <c r="D2320" t="s">
        <v>2631</v>
      </c>
      <c r="E2320" t="s">
        <v>73</v>
      </c>
      <c r="F2320" t="s">
        <v>2632</v>
      </c>
      <c r="G2320" t="s">
        <v>34</v>
      </c>
      <c r="H2320">
        <v>1</v>
      </c>
    </row>
    <row r="2321" spans="1:8" x14ac:dyDescent="0.35">
      <c r="A2321">
        <v>6009694634045</v>
      </c>
      <c r="B2321" t="s">
        <v>1903</v>
      </c>
      <c r="C2321" t="s">
        <v>1296</v>
      </c>
      <c r="D2321" t="s">
        <v>2631</v>
      </c>
      <c r="E2321" t="s">
        <v>73</v>
      </c>
      <c r="F2321" t="s">
        <v>2632</v>
      </c>
      <c r="G2321" t="s">
        <v>34</v>
      </c>
      <c r="H2321">
        <v>1</v>
      </c>
    </row>
    <row r="2322" spans="1:8" x14ac:dyDescent="0.35">
      <c r="A2322">
        <v>6009698930129</v>
      </c>
      <c r="B2322" t="s">
        <v>2636</v>
      </c>
      <c r="C2322" t="s">
        <v>272</v>
      </c>
      <c r="D2322" t="s">
        <v>2637</v>
      </c>
      <c r="E2322" t="s">
        <v>33</v>
      </c>
      <c r="F2322" t="s">
        <v>2638</v>
      </c>
      <c r="G2322" t="s">
        <v>33</v>
      </c>
      <c r="H2322">
        <v>45</v>
      </c>
    </row>
    <row r="2323" spans="1:8" x14ac:dyDescent="0.35">
      <c r="A2323">
        <v>6009698930273</v>
      </c>
      <c r="B2323" t="s">
        <v>2639</v>
      </c>
      <c r="C2323" t="s">
        <v>272</v>
      </c>
      <c r="D2323" t="s">
        <v>2637</v>
      </c>
      <c r="E2323" t="s">
        <v>33</v>
      </c>
      <c r="F2323" t="s">
        <v>2638</v>
      </c>
      <c r="G2323" t="s">
        <v>33</v>
      </c>
      <c r="H2323">
        <v>20</v>
      </c>
    </row>
    <row r="2324" spans="1:8" x14ac:dyDescent="0.35">
      <c r="A2324">
        <v>6009700620291</v>
      </c>
      <c r="B2324" t="s">
        <v>2640</v>
      </c>
      <c r="C2324" t="s">
        <v>2641</v>
      </c>
      <c r="D2324" t="s">
        <v>2642</v>
      </c>
      <c r="E2324" t="s">
        <v>117</v>
      </c>
      <c r="F2324" t="s">
        <v>1234</v>
      </c>
      <c r="G2324" t="s">
        <v>117</v>
      </c>
      <c r="H2324">
        <v>11</v>
      </c>
    </row>
    <row r="2325" spans="1:8" x14ac:dyDescent="0.35">
      <c r="A2325">
        <v>6009700620864</v>
      </c>
      <c r="B2325" t="s">
        <v>2643</v>
      </c>
      <c r="C2325" t="s">
        <v>2368</v>
      </c>
      <c r="D2325" t="s">
        <v>2644</v>
      </c>
      <c r="E2325" t="s">
        <v>117</v>
      </c>
      <c r="F2325" t="s">
        <v>1234</v>
      </c>
      <c r="G2325" t="s">
        <v>117</v>
      </c>
      <c r="H2325">
        <v>53</v>
      </c>
    </row>
    <row r="2326" spans="1:8" x14ac:dyDescent="0.35">
      <c r="A2326">
        <v>6009700621205</v>
      </c>
      <c r="B2326" t="s">
        <v>2645</v>
      </c>
      <c r="C2326" t="s">
        <v>1184</v>
      </c>
      <c r="D2326" t="s">
        <v>2646</v>
      </c>
      <c r="E2326" t="s">
        <v>117</v>
      </c>
      <c r="F2326" t="s">
        <v>1234</v>
      </c>
      <c r="G2326" t="s">
        <v>117</v>
      </c>
      <c r="H2326">
        <v>1</v>
      </c>
    </row>
    <row r="2327" spans="1:8" x14ac:dyDescent="0.35">
      <c r="A2327">
        <v>6009700621274</v>
      </c>
      <c r="B2327" t="s">
        <v>2647</v>
      </c>
      <c r="C2327" t="s">
        <v>2147</v>
      </c>
      <c r="D2327" t="s">
        <v>2648</v>
      </c>
      <c r="E2327" t="s">
        <v>117</v>
      </c>
      <c r="F2327" t="s">
        <v>1234</v>
      </c>
      <c r="G2327" t="s">
        <v>117</v>
      </c>
      <c r="H2327">
        <v>3</v>
      </c>
    </row>
    <row r="2328" spans="1:8" x14ac:dyDescent="0.35">
      <c r="A2328">
        <v>6009700621564</v>
      </c>
      <c r="B2328" t="s">
        <v>1091</v>
      </c>
      <c r="C2328" t="s">
        <v>9</v>
      </c>
      <c r="D2328" t="s">
        <v>2649</v>
      </c>
      <c r="E2328" t="s">
        <v>117</v>
      </c>
      <c r="F2328" t="s">
        <v>1234</v>
      </c>
      <c r="G2328" t="s">
        <v>117</v>
      </c>
      <c r="H2328">
        <v>1</v>
      </c>
    </row>
    <row r="2329" spans="1:8" x14ac:dyDescent="0.35">
      <c r="A2329">
        <v>6009701816631</v>
      </c>
      <c r="B2329" t="s">
        <v>2650</v>
      </c>
      <c r="C2329" t="s">
        <v>603</v>
      </c>
      <c r="D2329" t="s">
        <v>2515</v>
      </c>
      <c r="E2329" t="s">
        <v>578</v>
      </c>
      <c r="F2329" t="s">
        <v>2217</v>
      </c>
      <c r="G2329" t="s">
        <v>33</v>
      </c>
      <c r="H2329">
        <v>32</v>
      </c>
    </row>
    <row r="2330" spans="1:8" x14ac:dyDescent="0.35">
      <c r="A2330">
        <v>6009701816631</v>
      </c>
      <c r="B2330" t="s">
        <v>2650</v>
      </c>
      <c r="C2330" t="s">
        <v>603</v>
      </c>
      <c r="D2330" t="s">
        <v>2515</v>
      </c>
      <c r="E2330" t="s">
        <v>578</v>
      </c>
      <c r="F2330" t="s">
        <v>2217</v>
      </c>
      <c r="G2330" t="s">
        <v>578</v>
      </c>
      <c r="H2330">
        <v>1</v>
      </c>
    </row>
    <row r="2331" spans="1:8" x14ac:dyDescent="0.35">
      <c r="A2331">
        <v>6009702440996</v>
      </c>
      <c r="B2331" t="s">
        <v>2651</v>
      </c>
      <c r="C2331" t="s">
        <v>2576</v>
      </c>
      <c r="D2331" t="s">
        <v>2652</v>
      </c>
      <c r="E2331" t="s">
        <v>73</v>
      </c>
      <c r="F2331" t="s">
        <v>2653</v>
      </c>
      <c r="G2331" t="s">
        <v>34</v>
      </c>
      <c r="H2331">
        <v>1</v>
      </c>
    </row>
    <row r="2332" spans="1:8" x14ac:dyDescent="0.35">
      <c r="A2332">
        <v>6009702811178</v>
      </c>
      <c r="B2332" t="s">
        <v>2654</v>
      </c>
      <c r="C2332" t="s">
        <v>2655</v>
      </c>
      <c r="D2332" t="s">
        <v>2656</v>
      </c>
      <c r="E2332" t="s">
        <v>308</v>
      </c>
      <c r="F2332" t="s">
        <v>309</v>
      </c>
      <c r="G2332" t="s">
        <v>61</v>
      </c>
      <c r="H2332">
        <v>1</v>
      </c>
    </row>
    <row r="2333" spans="1:8" x14ac:dyDescent="0.35">
      <c r="A2333">
        <v>6009702811178</v>
      </c>
      <c r="B2333" t="s">
        <v>2654</v>
      </c>
      <c r="C2333" t="s">
        <v>2655</v>
      </c>
      <c r="D2333" t="s">
        <v>2656</v>
      </c>
      <c r="E2333" t="s">
        <v>308</v>
      </c>
      <c r="F2333" t="s">
        <v>309</v>
      </c>
      <c r="G2333" t="s">
        <v>31</v>
      </c>
      <c r="H2333">
        <v>1</v>
      </c>
    </row>
    <row r="2334" spans="1:8" x14ac:dyDescent="0.35">
      <c r="A2334">
        <v>6009704170860</v>
      </c>
      <c r="B2334" t="s">
        <v>2657</v>
      </c>
      <c r="C2334" t="s">
        <v>919</v>
      </c>
      <c r="D2334" t="s">
        <v>2100</v>
      </c>
      <c r="E2334" t="s">
        <v>308</v>
      </c>
      <c r="F2334" t="s">
        <v>309</v>
      </c>
      <c r="G2334" t="s">
        <v>34</v>
      </c>
      <c r="H2334">
        <v>1</v>
      </c>
    </row>
    <row r="2335" spans="1:8" x14ac:dyDescent="0.35">
      <c r="A2335">
        <v>6009704171454</v>
      </c>
      <c r="B2335" t="s">
        <v>2658</v>
      </c>
      <c r="C2335" t="s">
        <v>2368</v>
      </c>
      <c r="D2335" t="s">
        <v>2100</v>
      </c>
      <c r="E2335" t="s">
        <v>308</v>
      </c>
      <c r="F2335" t="s">
        <v>309</v>
      </c>
      <c r="G2335" t="s">
        <v>34</v>
      </c>
      <c r="H2335">
        <v>2</v>
      </c>
    </row>
    <row r="2336" spans="1:8" x14ac:dyDescent="0.35">
      <c r="A2336">
        <v>6009705290130</v>
      </c>
      <c r="B2336" t="s">
        <v>2461</v>
      </c>
      <c r="C2336" t="s">
        <v>2368</v>
      </c>
      <c r="D2336" t="s">
        <v>2252</v>
      </c>
      <c r="E2336" t="s">
        <v>130</v>
      </c>
      <c r="F2336" t="s">
        <v>220</v>
      </c>
      <c r="G2336" t="s">
        <v>73</v>
      </c>
      <c r="H2336">
        <v>1</v>
      </c>
    </row>
    <row r="2337" spans="1:8" x14ac:dyDescent="0.35">
      <c r="A2337">
        <v>6009706160494</v>
      </c>
      <c r="B2337" t="s">
        <v>2215</v>
      </c>
      <c r="C2337" t="s">
        <v>610</v>
      </c>
      <c r="D2337" t="s">
        <v>2659</v>
      </c>
      <c r="E2337" t="s">
        <v>2309</v>
      </c>
      <c r="F2337" t="s">
        <v>2660</v>
      </c>
      <c r="G2337" t="s">
        <v>578</v>
      </c>
      <c r="H2337">
        <v>23</v>
      </c>
    </row>
    <row r="2338" spans="1:8" x14ac:dyDescent="0.35">
      <c r="A2338">
        <v>6009706160937</v>
      </c>
      <c r="B2338" t="s">
        <v>2661</v>
      </c>
      <c r="C2338" t="s">
        <v>9</v>
      </c>
      <c r="D2338" t="s">
        <v>2659</v>
      </c>
      <c r="E2338" t="s">
        <v>2309</v>
      </c>
      <c r="F2338" t="s">
        <v>2660</v>
      </c>
      <c r="G2338" t="s">
        <v>578</v>
      </c>
      <c r="H2338">
        <v>6</v>
      </c>
    </row>
    <row r="2339" spans="1:8" x14ac:dyDescent="0.35">
      <c r="A2339">
        <v>6009706161149</v>
      </c>
      <c r="B2339" t="s">
        <v>2662</v>
      </c>
      <c r="C2339" t="s">
        <v>78</v>
      </c>
      <c r="D2339" t="s">
        <v>2663</v>
      </c>
      <c r="E2339" t="s">
        <v>2309</v>
      </c>
      <c r="F2339" t="s">
        <v>2660</v>
      </c>
      <c r="G2339" t="s">
        <v>33</v>
      </c>
      <c r="H2339">
        <v>32</v>
      </c>
    </row>
    <row r="2340" spans="1:8" x14ac:dyDescent="0.35">
      <c r="A2340">
        <v>6009707170775</v>
      </c>
      <c r="B2340" t="s">
        <v>2664</v>
      </c>
      <c r="C2340" t="s">
        <v>9</v>
      </c>
      <c r="D2340" t="s">
        <v>2665</v>
      </c>
      <c r="E2340" t="s">
        <v>308</v>
      </c>
      <c r="F2340" t="s">
        <v>309</v>
      </c>
      <c r="G2340" t="s">
        <v>34</v>
      </c>
      <c r="H2340">
        <v>1</v>
      </c>
    </row>
    <row r="2341" spans="1:8" x14ac:dyDescent="0.35">
      <c r="A2341">
        <v>6009707171482</v>
      </c>
      <c r="B2341" t="s">
        <v>2666</v>
      </c>
      <c r="C2341" t="s">
        <v>81</v>
      </c>
      <c r="D2341" t="s">
        <v>2665</v>
      </c>
      <c r="E2341" t="s">
        <v>308</v>
      </c>
      <c r="F2341" t="s">
        <v>309</v>
      </c>
      <c r="G2341" t="s">
        <v>34</v>
      </c>
      <c r="H2341">
        <v>1</v>
      </c>
    </row>
    <row r="2342" spans="1:8" x14ac:dyDescent="0.35">
      <c r="A2342">
        <v>6009708461131</v>
      </c>
      <c r="B2342" t="s">
        <v>1109</v>
      </c>
      <c r="C2342" t="s">
        <v>1394</v>
      </c>
      <c r="D2342" t="s">
        <v>2459</v>
      </c>
      <c r="E2342" t="s">
        <v>130</v>
      </c>
      <c r="F2342" t="s">
        <v>220</v>
      </c>
      <c r="G2342" t="s">
        <v>34</v>
      </c>
      <c r="H2342">
        <v>3</v>
      </c>
    </row>
    <row r="2343" spans="1:8" x14ac:dyDescent="0.35">
      <c r="A2343">
        <v>6009708461131</v>
      </c>
      <c r="B2343" t="s">
        <v>1109</v>
      </c>
      <c r="C2343" t="s">
        <v>1394</v>
      </c>
      <c r="D2343" t="s">
        <v>2459</v>
      </c>
      <c r="E2343" t="s">
        <v>130</v>
      </c>
      <c r="F2343" t="s">
        <v>220</v>
      </c>
      <c r="G2343" t="s">
        <v>150</v>
      </c>
      <c r="H2343">
        <v>1</v>
      </c>
    </row>
    <row r="2344" spans="1:8" x14ac:dyDescent="0.35">
      <c r="A2344">
        <v>6009708461131</v>
      </c>
      <c r="B2344" t="s">
        <v>1109</v>
      </c>
      <c r="C2344" t="s">
        <v>1394</v>
      </c>
      <c r="D2344" t="s">
        <v>2459</v>
      </c>
      <c r="E2344" t="s">
        <v>130</v>
      </c>
      <c r="F2344" t="s">
        <v>220</v>
      </c>
      <c r="G2344" t="s">
        <v>73</v>
      </c>
      <c r="H2344">
        <v>1</v>
      </c>
    </row>
    <row r="2345" spans="1:8" x14ac:dyDescent="0.35">
      <c r="A2345">
        <v>6009708461360</v>
      </c>
      <c r="B2345" t="s">
        <v>2667</v>
      </c>
      <c r="C2345" t="s">
        <v>1394</v>
      </c>
      <c r="D2345" t="s">
        <v>2459</v>
      </c>
      <c r="E2345" t="s">
        <v>130</v>
      </c>
      <c r="F2345" t="s">
        <v>220</v>
      </c>
      <c r="G2345" t="s">
        <v>34</v>
      </c>
      <c r="H2345">
        <v>1</v>
      </c>
    </row>
    <row r="2346" spans="1:8" x14ac:dyDescent="0.35">
      <c r="A2346">
        <v>6009708841810</v>
      </c>
      <c r="B2346" t="s">
        <v>2668</v>
      </c>
      <c r="C2346" t="s">
        <v>110</v>
      </c>
      <c r="D2346" t="s">
        <v>2669</v>
      </c>
      <c r="E2346" t="s">
        <v>117</v>
      </c>
      <c r="F2346" t="s">
        <v>2670</v>
      </c>
      <c r="G2346" t="s">
        <v>117</v>
      </c>
      <c r="H2346">
        <v>1</v>
      </c>
    </row>
    <row r="2347" spans="1:8" x14ac:dyDescent="0.35">
      <c r="A2347">
        <v>6009709570252</v>
      </c>
      <c r="B2347" t="s">
        <v>2671</v>
      </c>
      <c r="C2347" t="s">
        <v>385</v>
      </c>
      <c r="D2347" t="s">
        <v>2672</v>
      </c>
      <c r="E2347" t="s">
        <v>22</v>
      </c>
      <c r="F2347" t="s">
        <v>2673</v>
      </c>
      <c r="G2347" t="s">
        <v>73</v>
      </c>
      <c r="H2347">
        <v>3</v>
      </c>
    </row>
    <row r="2348" spans="1:8" x14ac:dyDescent="0.35">
      <c r="A2348">
        <v>6009709822443</v>
      </c>
      <c r="B2348" t="s">
        <v>2674</v>
      </c>
      <c r="C2348" t="s">
        <v>9</v>
      </c>
      <c r="D2348" t="s">
        <v>2515</v>
      </c>
      <c r="E2348" t="s">
        <v>578</v>
      </c>
      <c r="F2348" t="s">
        <v>2217</v>
      </c>
      <c r="G2348" t="s">
        <v>34</v>
      </c>
      <c r="H2348">
        <v>6</v>
      </c>
    </row>
    <row r="2349" spans="1:8" x14ac:dyDescent="0.35">
      <c r="A2349">
        <v>6009709822443</v>
      </c>
      <c r="B2349" t="s">
        <v>2674</v>
      </c>
      <c r="C2349" t="s">
        <v>9</v>
      </c>
      <c r="D2349" t="s">
        <v>2515</v>
      </c>
      <c r="E2349" t="s">
        <v>578</v>
      </c>
      <c r="F2349" t="s">
        <v>2217</v>
      </c>
      <c r="G2349" t="s">
        <v>578</v>
      </c>
      <c r="H2349">
        <v>6</v>
      </c>
    </row>
    <row r="2350" spans="1:8" x14ac:dyDescent="0.35">
      <c r="A2350">
        <v>6009709823303</v>
      </c>
      <c r="B2350" t="s">
        <v>2675</v>
      </c>
      <c r="C2350" t="s">
        <v>2676</v>
      </c>
      <c r="D2350" t="s">
        <v>2677</v>
      </c>
      <c r="E2350" t="s">
        <v>578</v>
      </c>
      <c r="F2350" t="s">
        <v>2217</v>
      </c>
      <c r="G2350" t="s">
        <v>117</v>
      </c>
      <c r="H2350">
        <v>50</v>
      </c>
    </row>
    <row r="2351" spans="1:8" x14ac:dyDescent="0.35">
      <c r="A2351">
        <v>6009709823525</v>
      </c>
      <c r="B2351" t="s">
        <v>2678</v>
      </c>
      <c r="C2351" t="s">
        <v>2679</v>
      </c>
      <c r="D2351" t="s">
        <v>2680</v>
      </c>
      <c r="E2351" t="s">
        <v>578</v>
      </c>
      <c r="F2351" t="s">
        <v>2217</v>
      </c>
      <c r="G2351" t="s">
        <v>34</v>
      </c>
      <c r="H2351">
        <v>5</v>
      </c>
    </row>
    <row r="2352" spans="1:8" x14ac:dyDescent="0.35">
      <c r="A2352">
        <v>6009709823525</v>
      </c>
      <c r="B2352" t="s">
        <v>2678</v>
      </c>
      <c r="C2352" t="s">
        <v>2679</v>
      </c>
      <c r="D2352" t="s">
        <v>2680</v>
      </c>
      <c r="E2352" t="s">
        <v>578</v>
      </c>
      <c r="F2352" t="s">
        <v>2217</v>
      </c>
      <c r="G2352" t="s">
        <v>578</v>
      </c>
      <c r="H2352">
        <v>14</v>
      </c>
    </row>
    <row r="2353" spans="1:8" x14ac:dyDescent="0.35">
      <c r="A2353">
        <v>6009709823549</v>
      </c>
      <c r="B2353" t="s">
        <v>2681</v>
      </c>
      <c r="C2353" t="s">
        <v>2682</v>
      </c>
      <c r="D2353" t="s">
        <v>2515</v>
      </c>
      <c r="E2353" t="s">
        <v>578</v>
      </c>
      <c r="F2353" t="s">
        <v>2217</v>
      </c>
      <c r="G2353" t="s">
        <v>578</v>
      </c>
      <c r="H2353">
        <v>4</v>
      </c>
    </row>
    <row r="2354" spans="1:8" x14ac:dyDescent="0.35">
      <c r="A2354">
        <v>6009709823556</v>
      </c>
      <c r="B2354" t="s">
        <v>2683</v>
      </c>
      <c r="C2354" t="s">
        <v>2679</v>
      </c>
      <c r="D2354" t="s">
        <v>2515</v>
      </c>
      <c r="E2354" t="s">
        <v>578</v>
      </c>
      <c r="F2354" t="s">
        <v>2217</v>
      </c>
      <c r="G2354" t="s">
        <v>117</v>
      </c>
      <c r="H2354">
        <v>1</v>
      </c>
    </row>
    <row r="2355" spans="1:8" x14ac:dyDescent="0.35">
      <c r="A2355">
        <v>6009709823556</v>
      </c>
      <c r="B2355" t="s">
        <v>2683</v>
      </c>
      <c r="C2355" t="s">
        <v>2679</v>
      </c>
      <c r="D2355" t="s">
        <v>2515</v>
      </c>
      <c r="E2355" t="s">
        <v>578</v>
      </c>
      <c r="F2355" t="s">
        <v>2217</v>
      </c>
      <c r="G2355" t="s">
        <v>578</v>
      </c>
      <c r="H2355">
        <v>46</v>
      </c>
    </row>
    <row r="2356" spans="1:8" x14ac:dyDescent="0.35">
      <c r="A2356">
        <v>6009709824348</v>
      </c>
      <c r="B2356" t="s">
        <v>485</v>
      </c>
      <c r="C2356" t="s">
        <v>9</v>
      </c>
      <c r="D2356" t="s">
        <v>2684</v>
      </c>
      <c r="E2356" t="s">
        <v>578</v>
      </c>
      <c r="F2356" t="s">
        <v>2217</v>
      </c>
      <c r="G2356" t="s">
        <v>578</v>
      </c>
      <c r="H2356">
        <v>62</v>
      </c>
    </row>
    <row r="2357" spans="1:8" x14ac:dyDescent="0.35">
      <c r="A2357">
        <v>6009709824775</v>
      </c>
      <c r="B2357" t="s">
        <v>997</v>
      </c>
      <c r="C2357" t="s">
        <v>2685</v>
      </c>
      <c r="D2357" t="s">
        <v>2524</v>
      </c>
      <c r="E2357" t="s">
        <v>578</v>
      </c>
      <c r="F2357" t="s">
        <v>2217</v>
      </c>
      <c r="G2357" t="s">
        <v>117</v>
      </c>
      <c r="H2357">
        <v>2</v>
      </c>
    </row>
    <row r="2358" spans="1:8" x14ac:dyDescent="0.35">
      <c r="A2358">
        <v>6009709824775</v>
      </c>
      <c r="B2358" t="s">
        <v>997</v>
      </c>
      <c r="C2358" t="s">
        <v>2685</v>
      </c>
      <c r="D2358" t="s">
        <v>2524</v>
      </c>
      <c r="E2358" t="s">
        <v>578</v>
      </c>
      <c r="F2358" t="s">
        <v>2217</v>
      </c>
      <c r="G2358" t="s">
        <v>33</v>
      </c>
      <c r="H2358">
        <v>2</v>
      </c>
    </row>
    <row r="2359" spans="1:8" x14ac:dyDescent="0.35">
      <c r="A2359">
        <v>6009709824775</v>
      </c>
      <c r="B2359" t="s">
        <v>997</v>
      </c>
      <c r="C2359" t="s">
        <v>2685</v>
      </c>
      <c r="D2359" t="s">
        <v>2524</v>
      </c>
      <c r="E2359" t="s">
        <v>578</v>
      </c>
      <c r="F2359" t="s">
        <v>2217</v>
      </c>
      <c r="G2359" t="s">
        <v>34</v>
      </c>
      <c r="H2359">
        <v>2</v>
      </c>
    </row>
    <row r="2360" spans="1:8" x14ac:dyDescent="0.35">
      <c r="A2360">
        <v>6009709824812</v>
      </c>
      <c r="B2360" t="s">
        <v>2686</v>
      </c>
      <c r="C2360" t="s">
        <v>472</v>
      </c>
      <c r="D2360" t="s">
        <v>2686</v>
      </c>
      <c r="E2360" t="s">
        <v>578</v>
      </c>
      <c r="F2360" t="s">
        <v>2217</v>
      </c>
      <c r="G2360" t="s">
        <v>578</v>
      </c>
      <c r="H2360">
        <v>7</v>
      </c>
    </row>
    <row r="2361" spans="1:8" x14ac:dyDescent="0.35">
      <c r="A2361">
        <v>6009709825031</v>
      </c>
      <c r="B2361" t="s">
        <v>2687</v>
      </c>
      <c r="C2361" t="s">
        <v>9</v>
      </c>
      <c r="D2361" t="s">
        <v>2688</v>
      </c>
      <c r="E2361" t="s">
        <v>578</v>
      </c>
      <c r="F2361" t="s">
        <v>2217</v>
      </c>
      <c r="G2361" t="s">
        <v>578</v>
      </c>
      <c r="H2361">
        <v>1</v>
      </c>
    </row>
    <row r="2362" spans="1:8" x14ac:dyDescent="0.35">
      <c r="A2362">
        <v>6009709825215</v>
      </c>
      <c r="B2362" t="s">
        <v>485</v>
      </c>
      <c r="C2362" t="s">
        <v>326</v>
      </c>
      <c r="D2362" t="s">
        <v>2684</v>
      </c>
      <c r="E2362" t="s">
        <v>578</v>
      </c>
      <c r="F2362" t="s">
        <v>2217</v>
      </c>
      <c r="G2362" t="s">
        <v>578</v>
      </c>
      <c r="H2362">
        <v>70</v>
      </c>
    </row>
    <row r="2363" spans="1:8" x14ac:dyDescent="0.35">
      <c r="A2363">
        <v>6009709825512</v>
      </c>
      <c r="B2363" t="s">
        <v>2689</v>
      </c>
      <c r="C2363" t="s">
        <v>2679</v>
      </c>
      <c r="D2363" t="s">
        <v>2515</v>
      </c>
      <c r="E2363" t="s">
        <v>578</v>
      </c>
      <c r="F2363" t="s">
        <v>2217</v>
      </c>
      <c r="G2363" t="s">
        <v>33</v>
      </c>
      <c r="H2363">
        <v>74</v>
      </c>
    </row>
    <row r="2364" spans="1:8" x14ac:dyDescent="0.35">
      <c r="A2364">
        <v>6009709825512</v>
      </c>
      <c r="B2364" t="s">
        <v>2689</v>
      </c>
      <c r="C2364" t="s">
        <v>2679</v>
      </c>
      <c r="D2364" t="s">
        <v>2515</v>
      </c>
      <c r="E2364" t="s">
        <v>578</v>
      </c>
      <c r="F2364" t="s">
        <v>2217</v>
      </c>
      <c r="G2364" t="s">
        <v>578</v>
      </c>
      <c r="H2364">
        <v>20</v>
      </c>
    </row>
    <row r="2365" spans="1:8" x14ac:dyDescent="0.35">
      <c r="A2365">
        <v>6009709826618</v>
      </c>
      <c r="B2365" t="s">
        <v>2690</v>
      </c>
      <c r="C2365" t="s">
        <v>2682</v>
      </c>
      <c r="D2365" t="s">
        <v>2680</v>
      </c>
      <c r="E2365" t="s">
        <v>578</v>
      </c>
      <c r="F2365" t="s">
        <v>2217</v>
      </c>
      <c r="G2365" t="s">
        <v>578</v>
      </c>
      <c r="H2365">
        <v>1</v>
      </c>
    </row>
    <row r="2366" spans="1:8" x14ac:dyDescent="0.35">
      <c r="A2366">
        <v>6009709826632</v>
      </c>
      <c r="B2366" t="s">
        <v>2650</v>
      </c>
      <c r="C2366" t="s">
        <v>603</v>
      </c>
      <c r="D2366" t="s">
        <v>2515</v>
      </c>
      <c r="E2366" t="s">
        <v>578</v>
      </c>
      <c r="F2366" t="s">
        <v>2217</v>
      </c>
      <c r="G2366" t="s">
        <v>117</v>
      </c>
      <c r="H2366">
        <v>2</v>
      </c>
    </row>
    <row r="2367" spans="1:8" x14ac:dyDescent="0.35">
      <c r="A2367">
        <v>6009709826632</v>
      </c>
      <c r="B2367" t="s">
        <v>2650</v>
      </c>
      <c r="C2367" t="s">
        <v>603</v>
      </c>
      <c r="D2367" t="s">
        <v>2515</v>
      </c>
      <c r="E2367" t="s">
        <v>578</v>
      </c>
      <c r="F2367" t="s">
        <v>2217</v>
      </c>
      <c r="G2367" t="s">
        <v>33</v>
      </c>
      <c r="H2367">
        <v>1239</v>
      </c>
    </row>
    <row r="2368" spans="1:8" x14ac:dyDescent="0.35">
      <c r="A2368">
        <v>6009709826632</v>
      </c>
      <c r="B2368" t="s">
        <v>2650</v>
      </c>
      <c r="C2368" t="s">
        <v>603</v>
      </c>
      <c r="D2368" t="s">
        <v>2515</v>
      </c>
      <c r="E2368" t="s">
        <v>578</v>
      </c>
      <c r="F2368" t="s">
        <v>2217</v>
      </c>
      <c r="G2368" t="s">
        <v>61</v>
      </c>
      <c r="H2368">
        <v>8</v>
      </c>
    </row>
    <row r="2369" spans="1:8" x14ac:dyDescent="0.35">
      <c r="A2369">
        <v>6009709826632</v>
      </c>
      <c r="B2369" t="s">
        <v>2650</v>
      </c>
      <c r="C2369" t="s">
        <v>603</v>
      </c>
      <c r="D2369" t="s">
        <v>2515</v>
      </c>
      <c r="E2369" t="s">
        <v>578</v>
      </c>
      <c r="F2369" t="s">
        <v>2217</v>
      </c>
      <c r="G2369" t="s">
        <v>31</v>
      </c>
      <c r="H2369">
        <v>1</v>
      </c>
    </row>
    <row r="2370" spans="1:8" x14ac:dyDescent="0.35">
      <c r="A2370">
        <v>6009709826632</v>
      </c>
      <c r="B2370" t="s">
        <v>2650</v>
      </c>
      <c r="C2370" t="s">
        <v>603</v>
      </c>
      <c r="D2370" t="s">
        <v>2515</v>
      </c>
      <c r="E2370" t="s">
        <v>578</v>
      </c>
      <c r="F2370" t="s">
        <v>2217</v>
      </c>
      <c r="G2370" t="s">
        <v>578</v>
      </c>
      <c r="H2370">
        <v>102</v>
      </c>
    </row>
    <row r="2371" spans="1:8" x14ac:dyDescent="0.35">
      <c r="A2371">
        <v>6009709827141</v>
      </c>
      <c r="B2371" t="s">
        <v>2691</v>
      </c>
      <c r="C2371" t="s">
        <v>9</v>
      </c>
      <c r="D2371" t="s">
        <v>2426</v>
      </c>
      <c r="E2371" t="s">
        <v>578</v>
      </c>
      <c r="F2371" t="s">
        <v>2217</v>
      </c>
      <c r="G2371" t="s">
        <v>578</v>
      </c>
      <c r="H2371">
        <v>1</v>
      </c>
    </row>
    <row r="2372" spans="1:8" x14ac:dyDescent="0.35">
      <c r="A2372">
        <v>6009709827899</v>
      </c>
      <c r="B2372" t="s">
        <v>2522</v>
      </c>
      <c r="C2372" t="s">
        <v>2692</v>
      </c>
      <c r="D2372" t="s">
        <v>2693</v>
      </c>
      <c r="E2372" t="s">
        <v>578</v>
      </c>
      <c r="F2372" t="s">
        <v>2217</v>
      </c>
      <c r="G2372" t="s">
        <v>578</v>
      </c>
      <c r="H2372">
        <v>13</v>
      </c>
    </row>
    <row r="2373" spans="1:8" x14ac:dyDescent="0.35">
      <c r="A2373">
        <v>6009710390153</v>
      </c>
      <c r="B2373" t="s">
        <v>2694</v>
      </c>
      <c r="C2373" t="s">
        <v>43</v>
      </c>
      <c r="D2373" t="s">
        <v>1464</v>
      </c>
      <c r="E2373" t="s">
        <v>1201</v>
      </c>
      <c r="F2373" t="s">
        <v>1465</v>
      </c>
      <c r="G2373" t="s">
        <v>31</v>
      </c>
      <c r="H2373">
        <v>6</v>
      </c>
    </row>
    <row r="2374" spans="1:8" x14ac:dyDescent="0.35">
      <c r="A2374">
        <v>6009710390153</v>
      </c>
      <c r="B2374" t="s">
        <v>2694</v>
      </c>
      <c r="C2374" t="s">
        <v>43</v>
      </c>
      <c r="D2374" t="s">
        <v>1464</v>
      </c>
      <c r="E2374" t="s">
        <v>1201</v>
      </c>
      <c r="F2374" t="s">
        <v>1465</v>
      </c>
      <c r="G2374" t="s">
        <v>73</v>
      </c>
      <c r="H2374">
        <v>9</v>
      </c>
    </row>
    <row r="2375" spans="1:8" x14ac:dyDescent="0.35">
      <c r="A2375">
        <v>6009710720318</v>
      </c>
      <c r="B2375" t="s">
        <v>2695</v>
      </c>
      <c r="C2375" t="s">
        <v>2407</v>
      </c>
      <c r="D2375" t="s">
        <v>563</v>
      </c>
      <c r="E2375" t="s">
        <v>15</v>
      </c>
      <c r="F2375" t="s">
        <v>56</v>
      </c>
      <c r="G2375" t="s">
        <v>34</v>
      </c>
      <c r="H2375">
        <v>1</v>
      </c>
    </row>
    <row r="2376" spans="1:8" x14ac:dyDescent="0.35">
      <c r="A2376">
        <v>6009710721537</v>
      </c>
      <c r="B2376" t="s">
        <v>2696</v>
      </c>
      <c r="C2376" t="s">
        <v>2388</v>
      </c>
      <c r="D2376" t="s">
        <v>566</v>
      </c>
      <c r="E2376" t="s">
        <v>15</v>
      </c>
      <c r="F2376" t="s">
        <v>56</v>
      </c>
      <c r="G2376" t="s">
        <v>34</v>
      </c>
      <c r="H2376">
        <v>2</v>
      </c>
    </row>
    <row r="2377" spans="1:8" x14ac:dyDescent="0.35">
      <c r="A2377">
        <v>6009710723241</v>
      </c>
      <c r="B2377" t="s">
        <v>2697</v>
      </c>
      <c r="C2377" t="s">
        <v>2388</v>
      </c>
      <c r="D2377" t="s">
        <v>566</v>
      </c>
      <c r="E2377" t="s">
        <v>15</v>
      </c>
      <c r="F2377" t="s">
        <v>56</v>
      </c>
      <c r="G2377" t="s">
        <v>34</v>
      </c>
      <c r="H2377">
        <v>10</v>
      </c>
    </row>
    <row r="2378" spans="1:8" x14ac:dyDescent="0.35">
      <c r="A2378">
        <v>6009710890127</v>
      </c>
      <c r="B2378" t="s">
        <v>2698</v>
      </c>
      <c r="C2378" t="s">
        <v>2699</v>
      </c>
      <c r="D2378" t="s">
        <v>2700</v>
      </c>
      <c r="E2378" t="s">
        <v>15</v>
      </c>
      <c r="F2378" t="s">
        <v>2701</v>
      </c>
      <c r="G2378" t="s">
        <v>34</v>
      </c>
      <c r="H2378">
        <v>1</v>
      </c>
    </row>
    <row r="2379" spans="1:8" x14ac:dyDescent="0.35">
      <c r="A2379">
        <v>6009711323983</v>
      </c>
      <c r="B2379" t="s">
        <v>201</v>
      </c>
      <c r="C2379" t="s">
        <v>9</v>
      </c>
      <c r="D2379" t="s">
        <v>2702</v>
      </c>
      <c r="E2379" t="s">
        <v>578</v>
      </c>
      <c r="F2379" t="s">
        <v>2217</v>
      </c>
      <c r="G2379" t="s">
        <v>578</v>
      </c>
      <c r="H2379">
        <v>1</v>
      </c>
    </row>
    <row r="2380" spans="1:8" x14ac:dyDescent="0.35">
      <c r="A2380">
        <v>6009711324089</v>
      </c>
      <c r="B2380" t="s">
        <v>2703</v>
      </c>
      <c r="C2380" t="s">
        <v>603</v>
      </c>
      <c r="D2380" t="s">
        <v>2515</v>
      </c>
      <c r="E2380" t="s">
        <v>578</v>
      </c>
      <c r="F2380" t="s">
        <v>2217</v>
      </c>
      <c r="G2380" t="s">
        <v>33</v>
      </c>
      <c r="H2380">
        <v>68</v>
      </c>
    </row>
    <row r="2381" spans="1:8" x14ac:dyDescent="0.35">
      <c r="A2381">
        <v>6009711324416</v>
      </c>
      <c r="B2381" t="s">
        <v>2704</v>
      </c>
      <c r="C2381" t="s">
        <v>576</v>
      </c>
      <c r="D2381" t="s">
        <v>2705</v>
      </c>
      <c r="E2381" t="s">
        <v>578</v>
      </c>
      <c r="F2381" t="s">
        <v>2217</v>
      </c>
      <c r="G2381" t="s">
        <v>117</v>
      </c>
      <c r="H2381">
        <v>15</v>
      </c>
    </row>
    <row r="2382" spans="1:8" x14ac:dyDescent="0.35">
      <c r="A2382">
        <v>6009711325154</v>
      </c>
      <c r="B2382" t="s">
        <v>581</v>
      </c>
      <c r="C2382" t="s">
        <v>472</v>
      </c>
      <c r="D2382" t="s">
        <v>2706</v>
      </c>
      <c r="E2382" t="s">
        <v>578</v>
      </c>
      <c r="F2382" t="s">
        <v>2217</v>
      </c>
      <c r="G2382" t="s">
        <v>117</v>
      </c>
      <c r="H2382">
        <v>48</v>
      </c>
    </row>
    <row r="2383" spans="1:8" x14ac:dyDescent="0.35">
      <c r="A2383">
        <v>6009711325161</v>
      </c>
      <c r="B2383" t="s">
        <v>581</v>
      </c>
      <c r="C2383" t="s">
        <v>576</v>
      </c>
      <c r="D2383" t="s">
        <v>2707</v>
      </c>
      <c r="E2383" t="s">
        <v>578</v>
      </c>
      <c r="F2383" t="s">
        <v>2217</v>
      </c>
      <c r="G2383" t="s">
        <v>117</v>
      </c>
      <c r="H2383">
        <v>5</v>
      </c>
    </row>
    <row r="2384" spans="1:8" x14ac:dyDescent="0.35">
      <c r="A2384">
        <v>6009711325185</v>
      </c>
      <c r="B2384" t="s">
        <v>581</v>
      </c>
      <c r="C2384" t="s">
        <v>576</v>
      </c>
      <c r="D2384" t="s">
        <v>2708</v>
      </c>
      <c r="E2384" t="s">
        <v>578</v>
      </c>
      <c r="F2384" t="s">
        <v>2217</v>
      </c>
      <c r="G2384" t="s">
        <v>117</v>
      </c>
      <c r="H2384">
        <v>6</v>
      </c>
    </row>
    <row r="2385" spans="1:8" x14ac:dyDescent="0.35">
      <c r="A2385">
        <v>6009711325192</v>
      </c>
      <c r="B2385" t="s">
        <v>581</v>
      </c>
      <c r="C2385" t="s">
        <v>576</v>
      </c>
      <c r="D2385" t="s">
        <v>2709</v>
      </c>
      <c r="E2385" t="s">
        <v>578</v>
      </c>
      <c r="F2385" t="s">
        <v>2217</v>
      </c>
      <c r="G2385" t="s">
        <v>117</v>
      </c>
      <c r="H2385">
        <v>13</v>
      </c>
    </row>
    <row r="2386" spans="1:8" x14ac:dyDescent="0.35">
      <c r="A2386">
        <v>6009711326809</v>
      </c>
      <c r="B2386" t="s">
        <v>2710</v>
      </c>
      <c r="C2386" t="s">
        <v>9</v>
      </c>
      <c r="D2386" t="s">
        <v>2680</v>
      </c>
      <c r="E2386" t="s">
        <v>578</v>
      </c>
      <c r="F2386" t="s">
        <v>2217</v>
      </c>
      <c r="G2386" t="s">
        <v>117</v>
      </c>
      <c r="H2386">
        <v>58</v>
      </c>
    </row>
    <row r="2387" spans="1:8" x14ac:dyDescent="0.35">
      <c r="A2387">
        <v>6009711326809</v>
      </c>
      <c r="B2387" t="s">
        <v>2710</v>
      </c>
      <c r="C2387" t="s">
        <v>9</v>
      </c>
      <c r="D2387" t="s">
        <v>2680</v>
      </c>
      <c r="E2387" t="s">
        <v>578</v>
      </c>
      <c r="F2387" t="s">
        <v>2217</v>
      </c>
      <c r="G2387" t="s">
        <v>34</v>
      </c>
      <c r="H2387">
        <v>1</v>
      </c>
    </row>
    <row r="2388" spans="1:8" x14ac:dyDescent="0.35">
      <c r="A2388">
        <v>6009713101503</v>
      </c>
      <c r="B2388" t="s">
        <v>2711</v>
      </c>
      <c r="C2388" t="s">
        <v>9</v>
      </c>
      <c r="D2388" t="s">
        <v>2712</v>
      </c>
      <c r="E2388" t="s">
        <v>578</v>
      </c>
      <c r="F2388" t="s">
        <v>2217</v>
      </c>
      <c r="G2388" t="s">
        <v>117</v>
      </c>
      <c r="H2388">
        <v>4</v>
      </c>
    </row>
    <row r="2389" spans="1:8" x14ac:dyDescent="0.35">
      <c r="A2389">
        <v>6009713101510</v>
      </c>
      <c r="B2389" t="s">
        <v>2713</v>
      </c>
      <c r="C2389" t="s">
        <v>9</v>
      </c>
      <c r="D2389" t="s">
        <v>2712</v>
      </c>
      <c r="E2389" t="s">
        <v>578</v>
      </c>
      <c r="F2389" t="s">
        <v>2217</v>
      </c>
      <c r="G2389" t="s">
        <v>117</v>
      </c>
      <c r="H2389">
        <v>3</v>
      </c>
    </row>
    <row r="2390" spans="1:8" x14ac:dyDescent="0.35">
      <c r="A2390">
        <v>6009713101589</v>
      </c>
      <c r="B2390" t="s">
        <v>2714</v>
      </c>
      <c r="C2390" t="s">
        <v>9</v>
      </c>
      <c r="D2390" t="s">
        <v>2712</v>
      </c>
      <c r="E2390" t="s">
        <v>578</v>
      </c>
      <c r="F2390" t="s">
        <v>2217</v>
      </c>
      <c r="G2390" t="s">
        <v>117</v>
      </c>
      <c r="H2390">
        <v>91</v>
      </c>
    </row>
    <row r="2391" spans="1:8" x14ac:dyDescent="0.35">
      <c r="A2391">
        <v>6009713104979</v>
      </c>
      <c r="B2391" t="s">
        <v>2715</v>
      </c>
      <c r="C2391" t="s">
        <v>472</v>
      </c>
      <c r="D2391" t="s">
        <v>2524</v>
      </c>
      <c r="E2391" t="s">
        <v>578</v>
      </c>
      <c r="F2391" t="s">
        <v>2217</v>
      </c>
      <c r="G2391" t="s">
        <v>117</v>
      </c>
      <c r="H2391">
        <v>1</v>
      </c>
    </row>
    <row r="2392" spans="1:8" x14ac:dyDescent="0.35">
      <c r="A2392">
        <v>6009713105020</v>
      </c>
      <c r="B2392" t="s">
        <v>2716</v>
      </c>
      <c r="C2392" t="s">
        <v>472</v>
      </c>
      <c r="D2392" t="s">
        <v>2717</v>
      </c>
      <c r="E2392" t="s">
        <v>61</v>
      </c>
      <c r="F2392" t="s">
        <v>2718</v>
      </c>
      <c r="G2392" t="s">
        <v>117</v>
      </c>
      <c r="H2392">
        <v>4</v>
      </c>
    </row>
    <row r="2393" spans="1:8" x14ac:dyDescent="0.35">
      <c r="A2393">
        <v>60097880</v>
      </c>
      <c r="B2393" t="s">
        <v>2719</v>
      </c>
      <c r="C2393" t="s">
        <v>66</v>
      </c>
      <c r="D2393" t="s">
        <v>2720</v>
      </c>
      <c r="E2393" t="s">
        <v>22</v>
      </c>
      <c r="F2393" t="s">
        <v>361</v>
      </c>
      <c r="G2393" t="s">
        <v>33</v>
      </c>
      <c r="H2393">
        <v>100</v>
      </c>
    </row>
    <row r="2394" spans="1:8" x14ac:dyDescent="0.35">
      <c r="A2394">
        <v>60097880</v>
      </c>
      <c r="B2394" t="s">
        <v>2719</v>
      </c>
      <c r="C2394" t="s">
        <v>66</v>
      </c>
      <c r="D2394" t="s">
        <v>2720</v>
      </c>
      <c r="E2394" t="s">
        <v>22</v>
      </c>
      <c r="F2394" t="s">
        <v>361</v>
      </c>
      <c r="G2394" t="s">
        <v>73</v>
      </c>
      <c r="H2394">
        <v>1</v>
      </c>
    </row>
    <row r="2395" spans="1:8" x14ac:dyDescent="0.35">
      <c r="A2395">
        <v>6009800891232</v>
      </c>
      <c r="B2395" t="s">
        <v>2721</v>
      </c>
      <c r="C2395" t="s">
        <v>2428</v>
      </c>
      <c r="D2395" t="s">
        <v>2580</v>
      </c>
      <c r="E2395" t="s">
        <v>33</v>
      </c>
      <c r="F2395" t="s">
        <v>2581</v>
      </c>
      <c r="G2395" t="s">
        <v>33</v>
      </c>
      <c r="H2395">
        <v>21</v>
      </c>
    </row>
    <row r="2396" spans="1:8" x14ac:dyDescent="0.35">
      <c r="A2396">
        <v>6009800891393</v>
      </c>
      <c r="B2396" t="s">
        <v>2722</v>
      </c>
      <c r="C2396" t="s">
        <v>9</v>
      </c>
      <c r="D2396" t="s">
        <v>2580</v>
      </c>
      <c r="E2396" t="s">
        <v>33</v>
      </c>
      <c r="F2396" t="s">
        <v>2581</v>
      </c>
      <c r="G2396" t="s">
        <v>33</v>
      </c>
      <c r="H2396">
        <v>53</v>
      </c>
    </row>
    <row r="2397" spans="1:8" x14ac:dyDescent="0.35">
      <c r="A2397">
        <v>6009801332055</v>
      </c>
      <c r="B2397" t="s">
        <v>2723</v>
      </c>
      <c r="C2397" t="s">
        <v>75</v>
      </c>
      <c r="D2397" t="s">
        <v>2724</v>
      </c>
      <c r="E2397" t="s">
        <v>73</v>
      </c>
      <c r="F2397" t="s">
        <v>2725</v>
      </c>
      <c r="G2397" t="s">
        <v>34</v>
      </c>
      <c r="H2397">
        <v>1</v>
      </c>
    </row>
    <row r="2398" spans="1:8" x14ac:dyDescent="0.35">
      <c r="A2398">
        <v>6009801423043</v>
      </c>
      <c r="B2398" t="s">
        <v>2726</v>
      </c>
      <c r="C2398" t="s">
        <v>9</v>
      </c>
      <c r="D2398" t="s">
        <v>2727</v>
      </c>
      <c r="E2398" t="s">
        <v>578</v>
      </c>
      <c r="F2398" t="s">
        <v>2728</v>
      </c>
      <c r="G2398" t="s">
        <v>578</v>
      </c>
      <c r="H2398">
        <v>58</v>
      </c>
    </row>
    <row r="2399" spans="1:8" x14ac:dyDescent="0.35">
      <c r="A2399">
        <v>6009801423050</v>
      </c>
      <c r="B2399" t="s">
        <v>485</v>
      </c>
      <c r="C2399" t="s">
        <v>326</v>
      </c>
      <c r="D2399" t="s">
        <v>2729</v>
      </c>
      <c r="E2399" t="s">
        <v>15</v>
      </c>
      <c r="F2399" t="s">
        <v>14</v>
      </c>
      <c r="G2399" t="s">
        <v>578</v>
      </c>
      <c r="H2399">
        <v>15</v>
      </c>
    </row>
    <row r="2400" spans="1:8" x14ac:dyDescent="0.35">
      <c r="A2400">
        <v>6009801699189</v>
      </c>
      <c r="B2400" t="s">
        <v>2626</v>
      </c>
      <c r="C2400" t="s">
        <v>2730</v>
      </c>
      <c r="D2400" t="s">
        <v>2731</v>
      </c>
      <c r="E2400" t="s">
        <v>308</v>
      </c>
      <c r="F2400" t="s">
        <v>309</v>
      </c>
      <c r="G2400" t="s">
        <v>34</v>
      </c>
      <c r="H2400">
        <v>23</v>
      </c>
    </row>
    <row r="2401" spans="1:8" x14ac:dyDescent="0.35">
      <c r="A2401">
        <v>6009801699196</v>
      </c>
      <c r="B2401" t="s">
        <v>2626</v>
      </c>
      <c r="C2401" t="s">
        <v>2732</v>
      </c>
      <c r="D2401" t="s">
        <v>2731</v>
      </c>
      <c r="E2401" t="s">
        <v>308</v>
      </c>
      <c r="F2401" t="s">
        <v>309</v>
      </c>
      <c r="G2401" t="s">
        <v>34</v>
      </c>
      <c r="H2401">
        <v>5</v>
      </c>
    </row>
    <row r="2402" spans="1:8" x14ac:dyDescent="0.35">
      <c r="A2402">
        <v>6009801699295</v>
      </c>
      <c r="B2402" t="s">
        <v>2733</v>
      </c>
      <c r="C2402" t="s">
        <v>78</v>
      </c>
      <c r="D2402" t="s">
        <v>2734</v>
      </c>
      <c r="E2402" t="s">
        <v>34</v>
      </c>
      <c r="F2402" t="s">
        <v>2735</v>
      </c>
      <c r="G2402" t="s">
        <v>34</v>
      </c>
      <c r="H2402">
        <v>26</v>
      </c>
    </row>
    <row r="2403" spans="1:8" x14ac:dyDescent="0.35">
      <c r="A2403">
        <v>6009801699301</v>
      </c>
      <c r="B2403" t="s">
        <v>2733</v>
      </c>
      <c r="C2403" t="s">
        <v>472</v>
      </c>
      <c r="D2403" t="s">
        <v>2734</v>
      </c>
      <c r="E2403" t="s">
        <v>34</v>
      </c>
      <c r="F2403" t="s">
        <v>2735</v>
      </c>
      <c r="G2403" t="s">
        <v>34</v>
      </c>
      <c r="H2403">
        <v>1</v>
      </c>
    </row>
    <row r="2404" spans="1:8" x14ac:dyDescent="0.35">
      <c r="A2404">
        <v>6009802033838</v>
      </c>
      <c r="B2404" t="s">
        <v>2736</v>
      </c>
      <c r="C2404" t="s">
        <v>9</v>
      </c>
      <c r="D2404" t="s">
        <v>2737</v>
      </c>
      <c r="E2404" t="s">
        <v>308</v>
      </c>
      <c r="F2404" t="s">
        <v>309</v>
      </c>
      <c r="G2404" t="s">
        <v>34</v>
      </c>
      <c r="H2404">
        <v>5</v>
      </c>
    </row>
    <row r="2405" spans="1:8" x14ac:dyDescent="0.35">
      <c r="A2405">
        <v>600980220957</v>
      </c>
      <c r="B2405" t="s">
        <v>2565</v>
      </c>
      <c r="C2405" t="s">
        <v>2008</v>
      </c>
      <c r="D2405" t="s">
        <v>2738</v>
      </c>
      <c r="E2405" t="s">
        <v>34</v>
      </c>
      <c r="F2405" t="s">
        <v>2739</v>
      </c>
      <c r="G2405" t="s">
        <v>34</v>
      </c>
      <c r="H2405">
        <v>142</v>
      </c>
    </row>
    <row r="2406" spans="1:8" x14ac:dyDescent="0.35">
      <c r="A2406">
        <v>6009802229019</v>
      </c>
      <c r="B2406" t="s">
        <v>2740</v>
      </c>
      <c r="C2406" t="s">
        <v>9</v>
      </c>
      <c r="D2406" t="s">
        <v>2738</v>
      </c>
      <c r="E2406" t="s">
        <v>34</v>
      </c>
      <c r="F2406" t="s">
        <v>2739</v>
      </c>
      <c r="G2406" t="s">
        <v>34</v>
      </c>
      <c r="H2406">
        <v>352</v>
      </c>
    </row>
    <row r="2407" spans="1:8" x14ac:dyDescent="0.35">
      <c r="A2407">
        <v>6009802229033</v>
      </c>
      <c r="B2407" t="s">
        <v>2740</v>
      </c>
      <c r="C2407" t="s">
        <v>903</v>
      </c>
      <c r="D2407" t="s">
        <v>2738</v>
      </c>
      <c r="E2407" t="s">
        <v>34</v>
      </c>
      <c r="F2407" t="s">
        <v>2739</v>
      </c>
      <c r="G2407" t="s">
        <v>34</v>
      </c>
      <c r="H2407">
        <v>237</v>
      </c>
    </row>
    <row r="2408" spans="1:8" x14ac:dyDescent="0.35">
      <c r="A2408">
        <v>6009802229057</v>
      </c>
      <c r="B2408" t="s">
        <v>2741</v>
      </c>
      <c r="C2408" t="s">
        <v>2400</v>
      </c>
      <c r="D2408" t="s">
        <v>2738</v>
      </c>
      <c r="E2408" t="s">
        <v>34</v>
      </c>
      <c r="F2408" t="s">
        <v>2739</v>
      </c>
      <c r="G2408" t="s">
        <v>34</v>
      </c>
      <c r="H2408">
        <v>80</v>
      </c>
    </row>
    <row r="2409" spans="1:8" x14ac:dyDescent="0.35">
      <c r="A2409">
        <v>6009802229057</v>
      </c>
      <c r="B2409" t="s">
        <v>2741</v>
      </c>
      <c r="C2409" t="s">
        <v>2400</v>
      </c>
      <c r="D2409" t="s">
        <v>2738</v>
      </c>
      <c r="E2409" t="s">
        <v>34</v>
      </c>
      <c r="F2409" t="s">
        <v>2739</v>
      </c>
      <c r="G2409" t="s">
        <v>150</v>
      </c>
      <c r="H2409">
        <v>1</v>
      </c>
    </row>
    <row r="2410" spans="1:8" x14ac:dyDescent="0.35">
      <c r="A2410">
        <v>6009802341964</v>
      </c>
      <c r="B2410" t="s">
        <v>2399</v>
      </c>
      <c r="C2410" t="s">
        <v>2742</v>
      </c>
      <c r="D2410" t="s">
        <v>2743</v>
      </c>
      <c r="E2410" t="s">
        <v>34</v>
      </c>
      <c r="F2410" t="s">
        <v>2744</v>
      </c>
      <c r="G2410" t="s">
        <v>34</v>
      </c>
      <c r="H2410">
        <v>1</v>
      </c>
    </row>
    <row r="2411" spans="1:8" x14ac:dyDescent="0.35">
      <c r="A2411">
        <v>6009802341971</v>
      </c>
      <c r="B2411" t="s">
        <v>2399</v>
      </c>
      <c r="C2411" t="s">
        <v>2400</v>
      </c>
      <c r="D2411" t="s">
        <v>2743</v>
      </c>
      <c r="E2411" t="s">
        <v>34</v>
      </c>
      <c r="F2411" t="s">
        <v>2744</v>
      </c>
      <c r="G2411" t="s">
        <v>34</v>
      </c>
      <c r="H2411">
        <v>873</v>
      </c>
    </row>
    <row r="2412" spans="1:8" x14ac:dyDescent="0.35">
      <c r="A2412">
        <v>6009802341988</v>
      </c>
      <c r="B2412" t="s">
        <v>2745</v>
      </c>
      <c r="C2412" t="s">
        <v>75</v>
      </c>
      <c r="D2412" t="s">
        <v>2538</v>
      </c>
      <c r="E2412" t="s">
        <v>34</v>
      </c>
      <c r="F2412" t="s">
        <v>2539</v>
      </c>
      <c r="G2412" t="s">
        <v>34</v>
      </c>
      <c r="H2412">
        <v>1689</v>
      </c>
    </row>
    <row r="2413" spans="1:8" x14ac:dyDescent="0.35">
      <c r="A2413">
        <v>6009802341995</v>
      </c>
      <c r="B2413" t="s">
        <v>2746</v>
      </c>
      <c r="C2413" t="s">
        <v>114</v>
      </c>
      <c r="D2413" t="s">
        <v>2538</v>
      </c>
      <c r="E2413" t="s">
        <v>34</v>
      </c>
      <c r="F2413" t="s">
        <v>2539</v>
      </c>
      <c r="G2413" t="s">
        <v>34</v>
      </c>
      <c r="H2413">
        <v>335</v>
      </c>
    </row>
    <row r="2414" spans="1:8" x14ac:dyDescent="0.35">
      <c r="A2414">
        <v>6009802591154</v>
      </c>
      <c r="B2414" t="s">
        <v>2747</v>
      </c>
      <c r="C2414" t="s">
        <v>9</v>
      </c>
      <c r="D2414" t="s">
        <v>2747</v>
      </c>
      <c r="E2414" t="s">
        <v>33</v>
      </c>
      <c r="F2414" t="s">
        <v>2581</v>
      </c>
      <c r="G2414" t="s">
        <v>33</v>
      </c>
      <c r="H2414">
        <v>10</v>
      </c>
    </row>
    <row r="2415" spans="1:8" x14ac:dyDescent="0.35">
      <c r="A2415">
        <v>6009802591277</v>
      </c>
      <c r="B2415" t="s">
        <v>2748</v>
      </c>
      <c r="C2415" t="s">
        <v>576</v>
      </c>
      <c r="D2415" t="s">
        <v>2749</v>
      </c>
      <c r="E2415" t="s">
        <v>33</v>
      </c>
      <c r="F2415" t="s">
        <v>2749</v>
      </c>
      <c r="G2415" t="s">
        <v>33</v>
      </c>
      <c r="H2415">
        <v>10</v>
      </c>
    </row>
    <row r="2416" spans="1:8" x14ac:dyDescent="0.35">
      <c r="A2416">
        <v>6009802591765</v>
      </c>
      <c r="B2416" t="s">
        <v>2750</v>
      </c>
      <c r="C2416" t="s">
        <v>472</v>
      </c>
      <c r="D2416" t="s">
        <v>2751</v>
      </c>
      <c r="E2416" t="s">
        <v>33</v>
      </c>
      <c r="F2416" t="s">
        <v>2752</v>
      </c>
      <c r="G2416" t="s">
        <v>33</v>
      </c>
      <c r="H2416">
        <v>154</v>
      </c>
    </row>
    <row r="2417" spans="1:8" x14ac:dyDescent="0.35">
      <c r="A2417">
        <v>6009802591802</v>
      </c>
      <c r="B2417" t="s">
        <v>2753</v>
      </c>
      <c r="C2417" t="s">
        <v>472</v>
      </c>
      <c r="D2417" t="s">
        <v>2751</v>
      </c>
      <c r="E2417" t="s">
        <v>33</v>
      </c>
      <c r="F2417" t="s">
        <v>2752</v>
      </c>
      <c r="G2417" t="s">
        <v>33</v>
      </c>
      <c r="H2417">
        <v>117</v>
      </c>
    </row>
    <row r="2418" spans="1:8" x14ac:dyDescent="0.35">
      <c r="A2418">
        <v>6009802591918</v>
      </c>
      <c r="B2418" t="s">
        <v>2754</v>
      </c>
      <c r="C2418" t="s">
        <v>472</v>
      </c>
      <c r="D2418" t="s">
        <v>2749</v>
      </c>
      <c r="E2418" t="s">
        <v>33</v>
      </c>
      <c r="F2418" t="s">
        <v>2749</v>
      </c>
      <c r="G2418" t="s">
        <v>33</v>
      </c>
      <c r="H2418">
        <v>74</v>
      </c>
    </row>
    <row r="2419" spans="1:8" x14ac:dyDescent="0.35">
      <c r="A2419">
        <v>6009802613023</v>
      </c>
      <c r="B2419" t="s">
        <v>793</v>
      </c>
      <c r="C2419" t="s">
        <v>9</v>
      </c>
      <c r="D2419" t="s">
        <v>2755</v>
      </c>
      <c r="E2419" t="s">
        <v>34</v>
      </c>
      <c r="F2419" t="s">
        <v>2756</v>
      </c>
      <c r="G2419" t="s">
        <v>34</v>
      </c>
      <c r="H2419">
        <v>42</v>
      </c>
    </row>
    <row r="2420" spans="1:8" x14ac:dyDescent="0.35">
      <c r="A2420">
        <v>6009802613023</v>
      </c>
      <c r="B2420" t="s">
        <v>793</v>
      </c>
      <c r="C2420" t="s">
        <v>9</v>
      </c>
      <c r="D2420" t="s">
        <v>2755</v>
      </c>
      <c r="E2420" t="s">
        <v>34</v>
      </c>
      <c r="F2420" t="s">
        <v>2756</v>
      </c>
      <c r="G2420" t="s">
        <v>150</v>
      </c>
      <c r="H2420">
        <v>4</v>
      </c>
    </row>
    <row r="2421" spans="1:8" x14ac:dyDescent="0.35">
      <c r="A2421">
        <v>6009802907016</v>
      </c>
      <c r="B2421" t="s">
        <v>2757</v>
      </c>
      <c r="C2421" t="s">
        <v>81</v>
      </c>
      <c r="D2421" t="s">
        <v>2758</v>
      </c>
      <c r="E2421" t="s">
        <v>308</v>
      </c>
      <c r="F2421" t="s">
        <v>309</v>
      </c>
      <c r="G2421" t="s">
        <v>34</v>
      </c>
      <c r="H2421">
        <v>12</v>
      </c>
    </row>
    <row r="2422" spans="1:8" x14ac:dyDescent="0.35">
      <c r="A2422">
        <v>6009802913086</v>
      </c>
      <c r="B2422" t="s">
        <v>2759</v>
      </c>
      <c r="C2422" t="s">
        <v>9</v>
      </c>
      <c r="D2422" t="s">
        <v>2760</v>
      </c>
      <c r="E2422" t="s">
        <v>61</v>
      </c>
      <c r="F2422" t="s">
        <v>2296</v>
      </c>
      <c r="G2422" t="s">
        <v>34</v>
      </c>
      <c r="H2422">
        <v>35</v>
      </c>
    </row>
    <row r="2423" spans="1:8" x14ac:dyDescent="0.35">
      <c r="A2423">
        <v>6009802913086</v>
      </c>
      <c r="B2423" t="s">
        <v>2759</v>
      </c>
      <c r="C2423" t="s">
        <v>9</v>
      </c>
      <c r="D2423" t="s">
        <v>2760</v>
      </c>
      <c r="E2423" t="s">
        <v>61</v>
      </c>
      <c r="F2423" t="s">
        <v>2296</v>
      </c>
      <c r="G2423" t="s">
        <v>61</v>
      </c>
      <c r="H2423">
        <v>50</v>
      </c>
    </row>
    <row r="2424" spans="1:8" x14ac:dyDescent="0.35">
      <c r="A2424">
        <v>6009802913093</v>
      </c>
      <c r="B2424" t="s">
        <v>2761</v>
      </c>
      <c r="C2424" t="s">
        <v>192</v>
      </c>
      <c r="D2424" t="s">
        <v>2760</v>
      </c>
      <c r="E2424" t="s">
        <v>61</v>
      </c>
      <c r="F2424" t="s">
        <v>2296</v>
      </c>
      <c r="G2424" t="s">
        <v>33</v>
      </c>
      <c r="H2424">
        <v>50</v>
      </c>
    </row>
    <row r="2425" spans="1:8" x14ac:dyDescent="0.35">
      <c r="A2425">
        <v>6009802913093</v>
      </c>
      <c r="B2425" t="s">
        <v>2761</v>
      </c>
      <c r="C2425" t="s">
        <v>192</v>
      </c>
      <c r="D2425" t="s">
        <v>2760</v>
      </c>
      <c r="E2425" t="s">
        <v>61</v>
      </c>
      <c r="F2425" t="s">
        <v>2296</v>
      </c>
      <c r="G2425" t="s">
        <v>34</v>
      </c>
      <c r="H2425">
        <v>28</v>
      </c>
    </row>
    <row r="2426" spans="1:8" x14ac:dyDescent="0.35">
      <c r="A2426">
        <v>6009803227328</v>
      </c>
      <c r="B2426" t="s">
        <v>262</v>
      </c>
      <c r="C2426" t="s">
        <v>9</v>
      </c>
      <c r="D2426" t="s">
        <v>2762</v>
      </c>
      <c r="E2426" t="s">
        <v>15</v>
      </c>
      <c r="F2426" t="s">
        <v>56</v>
      </c>
      <c r="G2426" t="s">
        <v>578</v>
      </c>
      <c r="H2426">
        <v>24</v>
      </c>
    </row>
    <row r="2427" spans="1:8" x14ac:dyDescent="0.35">
      <c r="A2427">
        <v>6009803227342</v>
      </c>
      <c r="B2427" t="s">
        <v>485</v>
      </c>
      <c r="C2427" t="s">
        <v>110</v>
      </c>
      <c r="D2427" t="s">
        <v>2762</v>
      </c>
      <c r="E2427" t="s">
        <v>15</v>
      </c>
      <c r="F2427" t="s">
        <v>56</v>
      </c>
      <c r="G2427" t="s">
        <v>578</v>
      </c>
      <c r="H2427">
        <v>1</v>
      </c>
    </row>
    <row r="2428" spans="1:8" x14ac:dyDescent="0.35">
      <c r="A2428">
        <v>6009803612629</v>
      </c>
      <c r="B2428" t="s">
        <v>2763</v>
      </c>
      <c r="C2428" t="s">
        <v>36</v>
      </c>
      <c r="D2428" t="s">
        <v>2764</v>
      </c>
      <c r="E2428" t="s">
        <v>33</v>
      </c>
      <c r="F2428" t="s">
        <v>2764</v>
      </c>
      <c r="G2428" t="s">
        <v>33</v>
      </c>
      <c r="H2428">
        <v>56</v>
      </c>
    </row>
    <row r="2429" spans="1:8" x14ac:dyDescent="0.35">
      <c r="A2429">
        <v>6009803612834</v>
      </c>
      <c r="B2429" t="s">
        <v>2765</v>
      </c>
      <c r="C2429" t="s">
        <v>1123</v>
      </c>
      <c r="D2429" t="s">
        <v>2766</v>
      </c>
      <c r="E2429" t="s">
        <v>20</v>
      </c>
      <c r="F2429" t="s">
        <v>1470</v>
      </c>
      <c r="G2429" t="s">
        <v>33</v>
      </c>
      <c r="H2429">
        <v>50</v>
      </c>
    </row>
    <row r="2430" spans="1:8" x14ac:dyDescent="0.35">
      <c r="A2430">
        <v>6009803612858</v>
      </c>
      <c r="B2430" t="s">
        <v>2765</v>
      </c>
      <c r="C2430" t="s">
        <v>69</v>
      </c>
      <c r="D2430" t="s">
        <v>2766</v>
      </c>
      <c r="E2430" t="s">
        <v>20</v>
      </c>
      <c r="F2430" t="s">
        <v>1470</v>
      </c>
      <c r="G2430" t="s">
        <v>33</v>
      </c>
      <c r="H2430">
        <v>50</v>
      </c>
    </row>
    <row r="2431" spans="1:8" x14ac:dyDescent="0.35">
      <c r="A2431">
        <v>6009803612988</v>
      </c>
      <c r="B2431" t="s">
        <v>904</v>
      </c>
      <c r="C2431" t="s">
        <v>9</v>
      </c>
      <c r="D2431" t="s">
        <v>2767</v>
      </c>
      <c r="E2431" t="s">
        <v>33</v>
      </c>
      <c r="F2431" t="s">
        <v>2767</v>
      </c>
      <c r="G2431" t="s">
        <v>33</v>
      </c>
      <c r="H2431">
        <v>16</v>
      </c>
    </row>
    <row r="2432" spans="1:8" x14ac:dyDescent="0.35">
      <c r="A2432">
        <v>6009803672241</v>
      </c>
      <c r="B2432" t="s">
        <v>2768</v>
      </c>
      <c r="C2432" t="s">
        <v>603</v>
      </c>
      <c r="D2432" t="s">
        <v>273</v>
      </c>
      <c r="E2432" t="s">
        <v>15</v>
      </c>
      <c r="F2432" t="s">
        <v>56</v>
      </c>
      <c r="G2432" t="s">
        <v>34</v>
      </c>
      <c r="H2432">
        <v>1</v>
      </c>
    </row>
    <row r="2433" spans="1:8" x14ac:dyDescent="0.35">
      <c r="A2433">
        <v>6009803672500</v>
      </c>
      <c r="B2433" t="s">
        <v>2769</v>
      </c>
      <c r="C2433" t="s">
        <v>336</v>
      </c>
      <c r="D2433" t="s">
        <v>2427</v>
      </c>
      <c r="E2433" t="s">
        <v>578</v>
      </c>
      <c r="F2433" t="s">
        <v>2217</v>
      </c>
      <c r="G2433" t="s">
        <v>33</v>
      </c>
      <c r="H2433">
        <v>114</v>
      </c>
    </row>
    <row r="2434" spans="1:8" x14ac:dyDescent="0.35">
      <c r="A2434">
        <v>6009803672500</v>
      </c>
      <c r="B2434" t="s">
        <v>2769</v>
      </c>
      <c r="C2434" t="s">
        <v>336</v>
      </c>
      <c r="D2434" t="s">
        <v>2427</v>
      </c>
      <c r="E2434" t="s">
        <v>578</v>
      </c>
      <c r="F2434" t="s">
        <v>2217</v>
      </c>
      <c r="G2434" t="s">
        <v>34</v>
      </c>
      <c r="H2434">
        <v>50</v>
      </c>
    </row>
    <row r="2435" spans="1:8" x14ac:dyDescent="0.35">
      <c r="A2435">
        <v>6009803672500</v>
      </c>
      <c r="B2435" t="s">
        <v>2769</v>
      </c>
      <c r="C2435" t="s">
        <v>336</v>
      </c>
      <c r="D2435" t="s">
        <v>2427</v>
      </c>
      <c r="E2435" t="s">
        <v>578</v>
      </c>
      <c r="F2435" t="s">
        <v>2217</v>
      </c>
      <c r="G2435" t="s">
        <v>578</v>
      </c>
      <c r="H2435">
        <v>2</v>
      </c>
    </row>
    <row r="2436" spans="1:8" x14ac:dyDescent="0.35">
      <c r="A2436">
        <v>6009803726821</v>
      </c>
      <c r="B2436" t="s">
        <v>2770</v>
      </c>
      <c r="C2436" t="s">
        <v>2771</v>
      </c>
      <c r="D2436" t="s">
        <v>2772</v>
      </c>
      <c r="E2436" t="s">
        <v>2773</v>
      </c>
      <c r="F2436" t="s">
        <v>2774</v>
      </c>
      <c r="G2436" t="s">
        <v>34</v>
      </c>
      <c r="H2436">
        <v>1</v>
      </c>
    </row>
    <row r="2437" spans="1:8" x14ac:dyDescent="0.35">
      <c r="A2437">
        <v>6009804011018</v>
      </c>
      <c r="B2437" t="s">
        <v>2775</v>
      </c>
      <c r="C2437" t="s">
        <v>9</v>
      </c>
      <c r="D2437" t="s">
        <v>1044</v>
      </c>
      <c r="E2437" t="s">
        <v>15</v>
      </c>
      <c r="F2437" t="s">
        <v>56</v>
      </c>
      <c r="G2437" t="s">
        <v>117</v>
      </c>
      <c r="H2437">
        <v>13</v>
      </c>
    </row>
    <row r="2438" spans="1:8" x14ac:dyDescent="0.35">
      <c r="A2438">
        <v>6009804011056</v>
      </c>
      <c r="B2438" t="s">
        <v>2776</v>
      </c>
      <c r="C2438" t="s">
        <v>9</v>
      </c>
      <c r="D2438" t="s">
        <v>1044</v>
      </c>
      <c r="E2438" t="s">
        <v>15</v>
      </c>
      <c r="F2438" t="s">
        <v>56</v>
      </c>
      <c r="G2438" t="s">
        <v>117</v>
      </c>
      <c r="H2438">
        <v>8</v>
      </c>
    </row>
    <row r="2439" spans="1:8" x14ac:dyDescent="0.35">
      <c r="A2439">
        <v>6009804011070</v>
      </c>
      <c r="B2439" t="s">
        <v>2776</v>
      </c>
      <c r="C2439" t="s">
        <v>214</v>
      </c>
      <c r="D2439" t="s">
        <v>1044</v>
      </c>
      <c r="E2439" t="s">
        <v>15</v>
      </c>
      <c r="F2439" t="s">
        <v>56</v>
      </c>
      <c r="G2439" t="s">
        <v>117</v>
      </c>
      <c r="H2439">
        <v>1</v>
      </c>
    </row>
    <row r="2440" spans="1:8" x14ac:dyDescent="0.35">
      <c r="A2440">
        <v>6009804011100</v>
      </c>
      <c r="B2440" t="s">
        <v>2713</v>
      </c>
      <c r="C2440" t="s">
        <v>9</v>
      </c>
      <c r="D2440" t="s">
        <v>1044</v>
      </c>
      <c r="E2440" t="s">
        <v>15</v>
      </c>
      <c r="F2440" t="s">
        <v>56</v>
      </c>
      <c r="G2440" t="s">
        <v>117</v>
      </c>
      <c r="H2440">
        <v>2</v>
      </c>
    </row>
    <row r="2441" spans="1:8" x14ac:dyDescent="0.35">
      <c r="A2441">
        <v>6009804011148</v>
      </c>
      <c r="B2441" t="s">
        <v>2777</v>
      </c>
      <c r="C2441" t="s">
        <v>9</v>
      </c>
      <c r="D2441" t="s">
        <v>1044</v>
      </c>
      <c r="E2441" t="s">
        <v>15</v>
      </c>
      <c r="F2441" t="s">
        <v>56</v>
      </c>
      <c r="G2441" t="s">
        <v>117</v>
      </c>
      <c r="H2441">
        <v>1</v>
      </c>
    </row>
    <row r="2442" spans="1:8" x14ac:dyDescent="0.35">
      <c r="A2442">
        <v>6009804011186</v>
      </c>
      <c r="B2442" t="s">
        <v>2778</v>
      </c>
      <c r="C2442" t="s">
        <v>9</v>
      </c>
      <c r="D2442" t="s">
        <v>1044</v>
      </c>
      <c r="E2442" t="s">
        <v>15</v>
      </c>
      <c r="F2442" t="s">
        <v>56</v>
      </c>
      <c r="G2442" t="s">
        <v>117</v>
      </c>
      <c r="H2442">
        <v>9</v>
      </c>
    </row>
    <row r="2443" spans="1:8" x14ac:dyDescent="0.35">
      <c r="A2443">
        <v>6009804011209</v>
      </c>
      <c r="B2443" t="s">
        <v>2778</v>
      </c>
      <c r="C2443" t="s">
        <v>1397</v>
      </c>
      <c r="D2443" t="s">
        <v>1044</v>
      </c>
      <c r="E2443" t="s">
        <v>15</v>
      </c>
      <c r="F2443" t="s">
        <v>56</v>
      </c>
      <c r="G2443" t="s">
        <v>117</v>
      </c>
      <c r="H2443">
        <v>1</v>
      </c>
    </row>
    <row r="2444" spans="1:8" x14ac:dyDescent="0.35">
      <c r="A2444">
        <v>6009804011223</v>
      </c>
      <c r="B2444" t="s">
        <v>772</v>
      </c>
      <c r="C2444" t="s">
        <v>9</v>
      </c>
      <c r="D2444" t="s">
        <v>273</v>
      </c>
      <c r="E2444" t="s">
        <v>15</v>
      </c>
      <c r="F2444" t="s">
        <v>56</v>
      </c>
      <c r="G2444" t="s">
        <v>117</v>
      </c>
      <c r="H2444">
        <v>70</v>
      </c>
    </row>
    <row r="2445" spans="1:8" x14ac:dyDescent="0.35">
      <c r="A2445">
        <v>6009804011261</v>
      </c>
      <c r="B2445" t="s">
        <v>2779</v>
      </c>
      <c r="C2445" t="s">
        <v>9</v>
      </c>
      <c r="D2445" t="s">
        <v>273</v>
      </c>
      <c r="E2445" t="s">
        <v>15</v>
      </c>
      <c r="F2445" t="s">
        <v>56</v>
      </c>
      <c r="G2445" t="s">
        <v>117</v>
      </c>
      <c r="H2445">
        <v>5</v>
      </c>
    </row>
    <row r="2446" spans="1:8" x14ac:dyDescent="0.35">
      <c r="A2446">
        <v>6009804011278</v>
      </c>
      <c r="B2446" t="s">
        <v>2779</v>
      </c>
      <c r="C2446" t="s">
        <v>110</v>
      </c>
      <c r="D2446" t="s">
        <v>273</v>
      </c>
      <c r="E2446" t="s">
        <v>15</v>
      </c>
      <c r="F2446" t="s">
        <v>56</v>
      </c>
      <c r="G2446" t="s">
        <v>117</v>
      </c>
      <c r="H2446">
        <v>6</v>
      </c>
    </row>
    <row r="2447" spans="1:8" x14ac:dyDescent="0.35">
      <c r="A2447">
        <v>6009804011346</v>
      </c>
      <c r="B2447" t="s">
        <v>2780</v>
      </c>
      <c r="C2447" t="s">
        <v>9</v>
      </c>
      <c r="D2447" t="s">
        <v>24</v>
      </c>
      <c r="E2447" t="s">
        <v>15</v>
      </c>
      <c r="F2447" t="s">
        <v>25</v>
      </c>
      <c r="G2447" t="s">
        <v>117</v>
      </c>
      <c r="H2447">
        <v>8</v>
      </c>
    </row>
    <row r="2448" spans="1:8" x14ac:dyDescent="0.35">
      <c r="A2448">
        <v>6009804011353</v>
      </c>
      <c r="B2448" t="s">
        <v>2780</v>
      </c>
      <c r="C2448" t="s">
        <v>110</v>
      </c>
      <c r="D2448" t="s">
        <v>24</v>
      </c>
      <c r="E2448" t="s">
        <v>15</v>
      </c>
      <c r="F2448" t="s">
        <v>25</v>
      </c>
      <c r="G2448" t="s">
        <v>117</v>
      </c>
      <c r="H2448">
        <v>1</v>
      </c>
    </row>
    <row r="2449" spans="1:8" x14ac:dyDescent="0.35">
      <c r="A2449">
        <v>6009804011452</v>
      </c>
      <c r="B2449" t="s">
        <v>295</v>
      </c>
      <c r="C2449" t="s">
        <v>272</v>
      </c>
      <c r="D2449" t="s">
        <v>2781</v>
      </c>
      <c r="E2449" t="s">
        <v>117</v>
      </c>
      <c r="F2449" t="s">
        <v>2782</v>
      </c>
      <c r="G2449" t="s">
        <v>117</v>
      </c>
      <c r="H2449">
        <v>3</v>
      </c>
    </row>
    <row r="2450" spans="1:8" x14ac:dyDescent="0.35">
      <c r="A2450">
        <v>6009804011551</v>
      </c>
      <c r="B2450" t="s">
        <v>668</v>
      </c>
      <c r="C2450" t="s">
        <v>83</v>
      </c>
      <c r="D2450" t="s">
        <v>273</v>
      </c>
      <c r="E2450" t="s">
        <v>15</v>
      </c>
      <c r="F2450" t="s">
        <v>56</v>
      </c>
      <c r="G2450" t="s">
        <v>117</v>
      </c>
      <c r="H2450">
        <v>14</v>
      </c>
    </row>
    <row r="2451" spans="1:8" x14ac:dyDescent="0.35">
      <c r="A2451">
        <v>6009804011568</v>
      </c>
      <c r="B2451" t="s">
        <v>2779</v>
      </c>
      <c r="C2451" t="s">
        <v>83</v>
      </c>
      <c r="D2451" t="s">
        <v>273</v>
      </c>
      <c r="E2451" t="s">
        <v>15</v>
      </c>
      <c r="F2451" t="s">
        <v>56</v>
      </c>
      <c r="G2451" t="s">
        <v>117</v>
      </c>
      <c r="H2451">
        <v>10</v>
      </c>
    </row>
    <row r="2452" spans="1:8" x14ac:dyDescent="0.35">
      <c r="A2452">
        <v>6009804011575</v>
      </c>
      <c r="B2452" t="s">
        <v>2776</v>
      </c>
      <c r="C2452" t="s">
        <v>83</v>
      </c>
      <c r="D2452" t="s">
        <v>1044</v>
      </c>
      <c r="E2452" t="s">
        <v>15</v>
      </c>
      <c r="F2452" t="s">
        <v>56</v>
      </c>
      <c r="G2452" t="s">
        <v>117</v>
      </c>
      <c r="H2452">
        <v>5</v>
      </c>
    </row>
    <row r="2453" spans="1:8" x14ac:dyDescent="0.35">
      <c r="A2453">
        <v>6009804011599</v>
      </c>
      <c r="B2453" t="s">
        <v>2713</v>
      </c>
      <c r="C2453" t="s">
        <v>83</v>
      </c>
      <c r="D2453" t="s">
        <v>1044</v>
      </c>
      <c r="E2453" t="s">
        <v>15</v>
      </c>
      <c r="F2453" t="s">
        <v>56</v>
      </c>
      <c r="G2453" t="s">
        <v>117</v>
      </c>
      <c r="H2453">
        <v>7</v>
      </c>
    </row>
    <row r="2454" spans="1:8" x14ac:dyDescent="0.35">
      <c r="A2454">
        <v>6009804020072</v>
      </c>
      <c r="B2454" t="s">
        <v>2783</v>
      </c>
      <c r="C2454" t="s">
        <v>214</v>
      </c>
      <c r="D2454" t="s">
        <v>2784</v>
      </c>
      <c r="E2454" t="s">
        <v>308</v>
      </c>
      <c r="F2454" t="s">
        <v>309</v>
      </c>
      <c r="G2454" t="s">
        <v>33</v>
      </c>
      <c r="H2454">
        <v>5</v>
      </c>
    </row>
    <row r="2455" spans="1:8" x14ac:dyDescent="0.35">
      <c r="A2455">
        <v>6009804040506</v>
      </c>
      <c r="B2455" t="s">
        <v>1836</v>
      </c>
      <c r="C2455" t="s">
        <v>326</v>
      </c>
      <c r="D2455" t="s">
        <v>1837</v>
      </c>
      <c r="E2455" t="s">
        <v>34</v>
      </c>
      <c r="F2455" t="s">
        <v>1838</v>
      </c>
      <c r="G2455" t="s">
        <v>34</v>
      </c>
      <c r="H2455">
        <v>35</v>
      </c>
    </row>
    <row r="2456" spans="1:8" x14ac:dyDescent="0.35">
      <c r="A2456">
        <v>6009804040612</v>
      </c>
      <c r="B2456" t="s">
        <v>920</v>
      </c>
      <c r="C2456" t="s">
        <v>9</v>
      </c>
      <c r="D2456" t="s">
        <v>2785</v>
      </c>
      <c r="E2456" t="s">
        <v>34</v>
      </c>
      <c r="F2456" t="s">
        <v>1838</v>
      </c>
      <c r="G2456" t="s">
        <v>34</v>
      </c>
      <c r="H2456">
        <v>1507</v>
      </c>
    </row>
    <row r="2457" spans="1:8" x14ac:dyDescent="0.35">
      <c r="A2457">
        <v>6009804040629</v>
      </c>
      <c r="B2457" t="s">
        <v>920</v>
      </c>
      <c r="C2457" t="s">
        <v>192</v>
      </c>
      <c r="D2457" t="s">
        <v>2785</v>
      </c>
      <c r="E2457" t="s">
        <v>34</v>
      </c>
      <c r="F2457" t="s">
        <v>1838</v>
      </c>
      <c r="G2457" t="s">
        <v>34</v>
      </c>
      <c r="H2457">
        <v>1049</v>
      </c>
    </row>
    <row r="2458" spans="1:8" x14ac:dyDescent="0.35">
      <c r="A2458">
        <v>6009804040636</v>
      </c>
      <c r="B2458" t="s">
        <v>2786</v>
      </c>
      <c r="C2458" t="s">
        <v>2787</v>
      </c>
      <c r="D2458" t="s">
        <v>2785</v>
      </c>
      <c r="E2458" t="s">
        <v>34</v>
      </c>
      <c r="F2458" t="s">
        <v>1838</v>
      </c>
      <c r="G2458" t="s">
        <v>34</v>
      </c>
      <c r="H2458">
        <v>1</v>
      </c>
    </row>
    <row r="2459" spans="1:8" x14ac:dyDescent="0.35">
      <c r="A2459">
        <v>6009804040919</v>
      </c>
      <c r="B2459" t="s">
        <v>2788</v>
      </c>
      <c r="C2459" t="s">
        <v>681</v>
      </c>
      <c r="D2459" t="s">
        <v>2785</v>
      </c>
      <c r="E2459" t="s">
        <v>34</v>
      </c>
      <c r="F2459" t="s">
        <v>1838</v>
      </c>
      <c r="G2459" t="s">
        <v>34</v>
      </c>
      <c r="H2459">
        <v>85</v>
      </c>
    </row>
    <row r="2460" spans="1:8" x14ac:dyDescent="0.35">
      <c r="A2460">
        <v>6009804040926</v>
      </c>
      <c r="B2460" t="s">
        <v>1839</v>
      </c>
      <c r="C2460" t="s">
        <v>2400</v>
      </c>
      <c r="D2460" t="s">
        <v>2785</v>
      </c>
      <c r="E2460" t="s">
        <v>34</v>
      </c>
      <c r="F2460" t="s">
        <v>1838</v>
      </c>
      <c r="G2460" t="s">
        <v>34</v>
      </c>
      <c r="H2460">
        <v>206</v>
      </c>
    </row>
    <row r="2461" spans="1:8" x14ac:dyDescent="0.35">
      <c r="A2461">
        <v>6009804040971</v>
      </c>
      <c r="B2461" t="s">
        <v>485</v>
      </c>
      <c r="C2461" t="s">
        <v>9</v>
      </c>
      <c r="D2461" t="s">
        <v>1837</v>
      </c>
      <c r="E2461" t="s">
        <v>34</v>
      </c>
      <c r="F2461" t="s">
        <v>1838</v>
      </c>
      <c r="G2461" t="s">
        <v>34</v>
      </c>
      <c r="H2461">
        <v>3831</v>
      </c>
    </row>
    <row r="2462" spans="1:8" x14ac:dyDescent="0.35">
      <c r="A2462">
        <v>6009804040988</v>
      </c>
      <c r="B2462" t="s">
        <v>790</v>
      </c>
      <c r="C2462" t="s">
        <v>192</v>
      </c>
      <c r="D2462" t="s">
        <v>1837</v>
      </c>
      <c r="E2462" t="s">
        <v>34</v>
      </c>
      <c r="F2462" t="s">
        <v>1838</v>
      </c>
      <c r="G2462" t="s">
        <v>34</v>
      </c>
      <c r="H2462">
        <v>827</v>
      </c>
    </row>
    <row r="2463" spans="1:8" x14ac:dyDescent="0.35">
      <c r="A2463">
        <v>6009815370005</v>
      </c>
      <c r="B2463" t="s">
        <v>2789</v>
      </c>
      <c r="C2463" t="s">
        <v>2790</v>
      </c>
      <c r="D2463" t="s">
        <v>963</v>
      </c>
      <c r="E2463" t="s">
        <v>964</v>
      </c>
      <c r="F2463" t="s">
        <v>965</v>
      </c>
      <c r="G2463" t="s">
        <v>61</v>
      </c>
      <c r="H2463">
        <v>1</v>
      </c>
    </row>
    <row r="2464" spans="1:8" x14ac:dyDescent="0.35">
      <c r="A2464">
        <v>6009816450003</v>
      </c>
      <c r="B2464" t="s">
        <v>2791</v>
      </c>
      <c r="C2464" t="s">
        <v>576</v>
      </c>
      <c r="D2464" t="s">
        <v>2792</v>
      </c>
      <c r="E2464" t="s">
        <v>308</v>
      </c>
      <c r="F2464" t="s">
        <v>309</v>
      </c>
      <c r="G2464" t="s">
        <v>31</v>
      </c>
      <c r="H2464">
        <v>15</v>
      </c>
    </row>
    <row r="2465" spans="1:8" x14ac:dyDescent="0.35">
      <c r="A2465">
        <v>6009816450003</v>
      </c>
      <c r="B2465" t="s">
        <v>2791</v>
      </c>
      <c r="C2465" t="s">
        <v>576</v>
      </c>
      <c r="D2465" t="s">
        <v>2792</v>
      </c>
      <c r="E2465" t="s">
        <v>308</v>
      </c>
      <c r="F2465" t="s">
        <v>309</v>
      </c>
      <c r="G2465" t="s">
        <v>578</v>
      </c>
      <c r="H2465">
        <v>3</v>
      </c>
    </row>
    <row r="2466" spans="1:8" x14ac:dyDescent="0.35">
      <c r="A2466">
        <v>6009816450102</v>
      </c>
      <c r="B2466" t="s">
        <v>2793</v>
      </c>
      <c r="C2466" t="s">
        <v>576</v>
      </c>
      <c r="D2466" t="s">
        <v>2792</v>
      </c>
      <c r="E2466" t="s">
        <v>308</v>
      </c>
      <c r="F2466" t="s">
        <v>309</v>
      </c>
      <c r="G2466" t="s">
        <v>578</v>
      </c>
      <c r="H2466">
        <v>2</v>
      </c>
    </row>
    <row r="2467" spans="1:8" x14ac:dyDescent="0.35">
      <c r="A2467">
        <v>6009816450492</v>
      </c>
      <c r="B2467" t="s">
        <v>2794</v>
      </c>
      <c r="C2467" t="s">
        <v>576</v>
      </c>
      <c r="D2467" t="s">
        <v>2792</v>
      </c>
      <c r="E2467" t="s">
        <v>308</v>
      </c>
      <c r="F2467" t="s">
        <v>309</v>
      </c>
      <c r="G2467" t="s">
        <v>31</v>
      </c>
      <c r="H2467">
        <v>1</v>
      </c>
    </row>
    <row r="2468" spans="1:8" x14ac:dyDescent="0.35">
      <c r="A2468">
        <v>6009816450492</v>
      </c>
      <c r="B2468" t="s">
        <v>2794</v>
      </c>
      <c r="C2468" t="s">
        <v>576</v>
      </c>
      <c r="D2468" t="s">
        <v>2792</v>
      </c>
      <c r="E2468" t="s">
        <v>308</v>
      </c>
      <c r="F2468" t="s">
        <v>309</v>
      </c>
      <c r="G2468" t="s">
        <v>578</v>
      </c>
      <c r="H2468">
        <v>1</v>
      </c>
    </row>
    <row r="2469" spans="1:8" x14ac:dyDescent="0.35">
      <c r="A2469">
        <v>600981699295</v>
      </c>
      <c r="B2469" t="s">
        <v>2733</v>
      </c>
      <c r="C2469" t="s">
        <v>78</v>
      </c>
      <c r="D2469" t="s">
        <v>2734</v>
      </c>
      <c r="E2469" t="s">
        <v>34</v>
      </c>
      <c r="F2469" t="s">
        <v>2735</v>
      </c>
      <c r="G2469" t="s">
        <v>34</v>
      </c>
      <c r="H2469">
        <v>1</v>
      </c>
    </row>
    <row r="2470" spans="1:8" x14ac:dyDescent="0.35">
      <c r="A2470">
        <v>6009817150001</v>
      </c>
      <c r="B2470" t="s">
        <v>2795</v>
      </c>
      <c r="C2470" t="s">
        <v>9</v>
      </c>
      <c r="D2470" t="s">
        <v>2796</v>
      </c>
      <c r="E2470" t="s">
        <v>308</v>
      </c>
      <c r="F2470" t="s">
        <v>309</v>
      </c>
      <c r="G2470" t="s">
        <v>578</v>
      </c>
      <c r="H2470">
        <v>1</v>
      </c>
    </row>
    <row r="2471" spans="1:8" x14ac:dyDescent="0.35">
      <c r="A2471">
        <v>6009818350257</v>
      </c>
      <c r="B2471" t="s">
        <v>2797</v>
      </c>
      <c r="C2471" t="s">
        <v>78</v>
      </c>
      <c r="D2471" t="s">
        <v>2798</v>
      </c>
      <c r="E2471" t="s">
        <v>308</v>
      </c>
      <c r="F2471" t="s">
        <v>309</v>
      </c>
      <c r="G2471" t="s">
        <v>34</v>
      </c>
      <c r="H2471">
        <v>4</v>
      </c>
    </row>
    <row r="2472" spans="1:8" x14ac:dyDescent="0.35">
      <c r="A2472">
        <v>6009818350257</v>
      </c>
      <c r="B2472" t="s">
        <v>2797</v>
      </c>
      <c r="C2472" t="s">
        <v>78</v>
      </c>
      <c r="D2472" t="s">
        <v>2798</v>
      </c>
      <c r="E2472" t="s">
        <v>308</v>
      </c>
      <c r="F2472" t="s">
        <v>309</v>
      </c>
      <c r="G2472" t="s">
        <v>150</v>
      </c>
      <c r="H2472">
        <v>1</v>
      </c>
    </row>
    <row r="2473" spans="1:8" x14ac:dyDescent="0.35">
      <c r="A2473">
        <v>6009818350738</v>
      </c>
      <c r="B2473" t="s">
        <v>2799</v>
      </c>
      <c r="C2473" t="s">
        <v>1935</v>
      </c>
      <c r="D2473" t="s">
        <v>2798</v>
      </c>
      <c r="E2473" t="s">
        <v>308</v>
      </c>
      <c r="F2473" t="s">
        <v>309</v>
      </c>
      <c r="G2473" t="s">
        <v>34</v>
      </c>
      <c r="H2473">
        <v>1</v>
      </c>
    </row>
    <row r="2474" spans="1:8" x14ac:dyDescent="0.35">
      <c r="A2474">
        <v>6009822340954</v>
      </c>
      <c r="B2474" t="s">
        <v>2399</v>
      </c>
      <c r="C2474" t="s">
        <v>75</v>
      </c>
      <c r="D2474" t="s">
        <v>2800</v>
      </c>
      <c r="E2474" t="s">
        <v>34</v>
      </c>
      <c r="F2474" t="s">
        <v>2801</v>
      </c>
      <c r="G2474" t="s">
        <v>34</v>
      </c>
      <c r="H2474">
        <v>20</v>
      </c>
    </row>
    <row r="2475" spans="1:8" x14ac:dyDescent="0.35">
      <c r="A2475">
        <v>6009822340961</v>
      </c>
      <c r="B2475" t="s">
        <v>2802</v>
      </c>
      <c r="C2475" t="s">
        <v>1199</v>
      </c>
      <c r="D2475" t="s">
        <v>2800</v>
      </c>
      <c r="E2475" t="s">
        <v>34</v>
      </c>
      <c r="F2475" t="s">
        <v>2801</v>
      </c>
      <c r="G2475" t="s">
        <v>34</v>
      </c>
      <c r="H2475">
        <v>440</v>
      </c>
    </row>
    <row r="2476" spans="1:8" x14ac:dyDescent="0.35">
      <c r="A2476">
        <v>6009822340961</v>
      </c>
      <c r="B2476" t="s">
        <v>2802</v>
      </c>
      <c r="C2476" t="s">
        <v>1199</v>
      </c>
      <c r="D2476" t="s">
        <v>2800</v>
      </c>
      <c r="E2476" t="s">
        <v>34</v>
      </c>
      <c r="F2476" t="s">
        <v>2801</v>
      </c>
      <c r="G2476" t="s">
        <v>150</v>
      </c>
      <c r="H2476">
        <v>17</v>
      </c>
    </row>
    <row r="2477" spans="1:8" x14ac:dyDescent="0.35">
      <c r="A2477">
        <v>6009822340978</v>
      </c>
      <c r="B2477" t="s">
        <v>2803</v>
      </c>
      <c r="C2477" t="s">
        <v>9</v>
      </c>
      <c r="D2477" t="s">
        <v>2800</v>
      </c>
      <c r="E2477" t="s">
        <v>34</v>
      </c>
      <c r="F2477" t="s">
        <v>2801</v>
      </c>
      <c r="G2477" t="s">
        <v>34</v>
      </c>
      <c r="H2477">
        <v>837</v>
      </c>
    </row>
    <row r="2478" spans="1:8" x14ac:dyDescent="0.35">
      <c r="A2478">
        <v>6009822340985</v>
      </c>
      <c r="B2478" t="s">
        <v>793</v>
      </c>
      <c r="C2478" t="s">
        <v>192</v>
      </c>
      <c r="D2478" t="s">
        <v>2800</v>
      </c>
      <c r="E2478" t="s">
        <v>34</v>
      </c>
      <c r="F2478" t="s">
        <v>2801</v>
      </c>
      <c r="G2478" t="s">
        <v>34</v>
      </c>
      <c r="H2478">
        <v>359</v>
      </c>
    </row>
    <row r="2479" spans="1:8" x14ac:dyDescent="0.35">
      <c r="A2479">
        <v>6009824524659</v>
      </c>
      <c r="B2479" t="s">
        <v>2804</v>
      </c>
      <c r="C2479" t="s">
        <v>81</v>
      </c>
      <c r="D2479" t="s">
        <v>2767</v>
      </c>
      <c r="E2479" t="s">
        <v>33</v>
      </c>
      <c r="F2479" t="s">
        <v>2767</v>
      </c>
      <c r="G2479" t="s">
        <v>33</v>
      </c>
      <c r="H2479">
        <v>5</v>
      </c>
    </row>
    <row r="2480" spans="1:8" x14ac:dyDescent="0.35">
      <c r="A2480">
        <v>6009827410027</v>
      </c>
      <c r="B2480" t="s">
        <v>2661</v>
      </c>
      <c r="C2480" t="s">
        <v>78</v>
      </c>
      <c r="D2480" t="s">
        <v>2805</v>
      </c>
      <c r="E2480" t="s">
        <v>33</v>
      </c>
      <c r="F2480" t="s">
        <v>2806</v>
      </c>
      <c r="G2480" t="s">
        <v>33</v>
      </c>
      <c r="H2480">
        <v>124</v>
      </c>
    </row>
    <row r="2481" spans="1:8" x14ac:dyDescent="0.35">
      <c r="A2481">
        <v>6009827410027</v>
      </c>
      <c r="B2481" t="s">
        <v>2661</v>
      </c>
      <c r="C2481" t="s">
        <v>78</v>
      </c>
      <c r="D2481" t="s">
        <v>2805</v>
      </c>
      <c r="E2481" t="s">
        <v>33</v>
      </c>
      <c r="F2481" t="s">
        <v>2806</v>
      </c>
      <c r="G2481" t="s">
        <v>31</v>
      </c>
      <c r="H2481">
        <v>13</v>
      </c>
    </row>
    <row r="2482" spans="1:8" x14ac:dyDescent="0.35">
      <c r="A2482">
        <v>6009827410041</v>
      </c>
      <c r="B2482" t="s">
        <v>2661</v>
      </c>
      <c r="C2482" t="s">
        <v>272</v>
      </c>
      <c r="D2482" t="s">
        <v>2805</v>
      </c>
      <c r="E2482" t="s">
        <v>33</v>
      </c>
      <c r="F2482" t="s">
        <v>2806</v>
      </c>
      <c r="G2482" t="s">
        <v>33</v>
      </c>
      <c r="H2482">
        <v>79</v>
      </c>
    </row>
    <row r="2483" spans="1:8" x14ac:dyDescent="0.35">
      <c r="A2483">
        <v>6009827410058</v>
      </c>
      <c r="B2483" t="s">
        <v>2661</v>
      </c>
      <c r="C2483" t="s">
        <v>75</v>
      </c>
      <c r="D2483" t="s">
        <v>2805</v>
      </c>
      <c r="E2483" t="s">
        <v>33</v>
      </c>
      <c r="F2483" t="s">
        <v>2806</v>
      </c>
      <c r="G2483" t="s">
        <v>33</v>
      </c>
      <c r="H2483">
        <v>10</v>
      </c>
    </row>
    <row r="2484" spans="1:8" x14ac:dyDescent="0.35">
      <c r="A2484">
        <v>6009827410089</v>
      </c>
      <c r="B2484" t="s">
        <v>2661</v>
      </c>
      <c r="C2484" t="s">
        <v>78</v>
      </c>
      <c r="D2484" t="s">
        <v>2805</v>
      </c>
      <c r="E2484" t="s">
        <v>33</v>
      </c>
      <c r="F2484" t="s">
        <v>2806</v>
      </c>
      <c r="G2484" t="s">
        <v>33</v>
      </c>
      <c r="H2484">
        <v>23</v>
      </c>
    </row>
    <row r="2485" spans="1:8" x14ac:dyDescent="0.35">
      <c r="A2485">
        <v>600982903223</v>
      </c>
      <c r="B2485" t="s">
        <v>2668</v>
      </c>
      <c r="C2485" t="s">
        <v>9</v>
      </c>
      <c r="D2485" t="s">
        <v>2669</v>
      </c>
      <c r="E2485" t="s">
        <v>117</v>
      </c>
      <c r="F2485" t="s">
        <v>2670</v>
      </c>
      <c r="G2485" t="s">
        <v>117</v>
      </c>
      <c r="H2485">
        <v>1</v>
      </c>
    </row>
    <row r="2486" spans="1:8" x14ac:dyDescent="0.35">
      <c r="A2486">
        <v>6009832820019</v>
      </c>
      <c r="B2486" t="s">
        <v>2807</v>
      </c>
      <c r="C2486" t="s">
        <v>472</v>
      </c>
      <c r="D2486" t="s">
        <v>2808</v>
      </c>
      <c r="E2486" t="s">
        <v>34</v>
      </c>
      <c r="F2486" t="s">
        <v>2402</v>
      </c>
      <c r="G2486" t="s">
        <v>34</v>
      </c>
      <c r="H2486">
        <v>520</v>
      </c>
    </row>
    <row r="2487" spans="1:8" x14ac:dyDescent="0.35">
      <c r="A2487">
        <v>6009832820033</v>
      </c>
      <c r="B2487" t="s">
        <v>2809</v>
      </c>
      <c r="C2487" t="s">
        <v>472</v>
      </c>
      <c r="D2487" t="s">
        <v>2808</v>
      </c>
      <c r="E2487" t="s">
        <v>34</v>
      </c>
      <c r="F2487" t="s">
        <v>2402</v>
      </c>
      <c r="G2487" t="s">
        <v>34</v>
      </c>
      <c r="H2487">
        <v>1832</v>
      </c>
    </row>
    <row r="2488" spans="1:8" x14ac:dyDescent="0.35">
      <c r="A2488">
        <v>6009832820033</v>
      </c>
      <c r="B2488" t="s">
        <v>2809</v>
      </c>
      <c r="C2488" t="s">
        <v>472</v>
      </c>
      <c r="D2488" t="s">
        <v>2808</v>
      </c>
      <c r="E2488" t="s">
        <v>34</v>
      </c>
      <c r="F2488" t="s">
        <v>2402</v>
      </c>
      <c r="G2488" t="s">
        <v>61</v>
      </c>
      <c r="H2488">
        <v>6</v>
      </c>
    </row>
    <row r="2489" spans="1:8" x14ac:dyDescent="0.35">
      <c r="A2489">
        <v>6009832820033</v>
      </c>
      <c r="B2489" t="s">
        <v>2809</v>
      </c>
      <c r="C2489" t="s">
        <v>472</v>
      </c>
      <c r="D2489" t="s">
        <v>2808</v>
      </c>
      <c r="E2489" t="s">
        <v>34</v>
      </c>
      <c r="F2489" t="s">
        <v>2402</v>
      </c>
      <c r="G2489" t="s">
        <v>31</v>
      </c>
      <c r="H2489">
        <v>23</v>
      </c>
    </row>
    <row r="2490" spans="1:8" x14ac:dyDescent="0.35">
      <c r="A2490">
        <v>6009832820040</v>
      </c>
      <c r="B2490" t="s">
        <v>2810</v>
      </c>
      <c r="C2490" t="s">
        <v>472</v>
      </c>
      <c r="D2490" t="s">
        <v>2808</v>
      </c>
      <c r="E2490" t="s">
        <v>34</v>
      </c>
      <c r="F2490" t="s">
        <v>2402</v>
      </c>
      <c r="G2490" t="s">
        <v>34</v>
      </c>
      <c r="H2490">
        <v>6706</v>
      </c>
    </row>
    <row r="2491" spans="1:8" x14ac:dyDescent="0.35">
      <c r="A2491">
        <v>6009832820095</v>
      </c>
      <c r="B2491" t="s">
        <v>2808</v>
      </c>
      <c r="C2491" t="s">
        <v>472</v>
      </c>
      <c r="D2491" t="s">
        <v>2808</v>
      </c>
      <c r="E2491" t="s">
        <v>34</v>
      </c>
      <c r="F2491" t="s">
        <v>2402</v>
      </c>
      <c r="G2491" t="s">
        <v>34</v>
      </c>
      <c r="H2491">
        <v>3620</v>
      </c>
    </row>
    <row r="2492" spans="1:8" x14ac:dyDescent="0.35">
      <c r="A2492">
        <v>6009832820095</v>
      </c>
      <c r="B2492" t="s">
        <v>2808</v>
      </c>
      <c r="C2492" t="s">
        <v>472</v>
      </c>
      <c r="D2492" t="s">
        <v>2808</v>
      </c>
      <c r="E2492" t="s">
        <v>34</v>
      </c>
      <c r="F2492" t="s">
        <v>2402</v>
      </c>
      <c r="G2492" t="s">
        <v>150</v>
      </c>
      <c r="H2492">
        <v>1</v>
      </c>
    </row>
    <row r="2493" spans="1:8" x14ac:dyDescent="0.35">
      <c r="A2493">
        <v>6009832820132</v>
      </c>
      <c r="B2493" t="s">
        <v>1011</v>
      </c>
      <c r="C2493" t="s">
        <v>472</v>
      </c>
      <c r="D2493" t="s">
        <v>2808</v>
      </c>
      <c r="E2493" t="s">
        <v>34</v>
      </c>
      <c r="F2493" t="s">
        <v>2402</v>
      </c>
      <c r="G2493" t="s">
        <v>34</v>
      </c>
      <c r="H2493">
        <v>49</v>
      </c>
    </row>
    <row r="2494" spans="1:8" x14ac:dyDescent="0.35">
      <c r="A2494">
        <v>6009832820149</v>
      </c>
      <c r="B2494" t="s">
        <v>2808</v>
      </c>
      <c r="C2494" t="s">
        <v>472</v>
      </c>
      <c r="D2494" t="s">
        <v>2808</v>
      </c>
      <c r="E2494" t="s">
        <v>34</v>
      </c>
      <c r="F2494" t="s">
        <v>2402</v>
      </c>
      <c r="G2494" t="s">
        <v>34</v>
      </c>
      <c r="H2494">
        <v>18960</v>
      </c>
    </row>
    <row r="2495" spans="1:8" x14ac:dyDescent="0.35">
      <c r="A2495">
        <v>6009832820156</v>
      </c>
      <c r="B2495" t="s">
        <v>485</v>
      </c>
      <c r="C2495" t="s">
        <v>192</v>
      </c>
      <c r="D2495" t="s">
        <v>2401</v>
      </c>
      <c r="E2495" t="s">
        <v>34</v>
      </c>
      <c r="F2495" t="s">
        <v>2402</v>
      </c>
      <c r="G2495" t="s">
        <v>34</v>
      </c>
      <c r="H2495">
        <v>441</v>
      </c>
    </row>
    <row r="2496" spans="1:8" x14ac:dyDescent="0.35">
      <c r="A2496">
        <v>6009832820163</v>
      </c>
      <c r="B2496" t="s">
        <v>2808</v>
      </c>
      <c r="C2496" t="s">
        <v>472</v>
      </c>
      <c r="D2496" t="s">
        <v>2808</v>
      </c>
      <c r="E2496" t="s">
        <v>34</v>
      </c>
      <c r="F2496" t="s">
        <v>2402</v>
      </c>
      <c r="G2496" t="s">
        <v>34</v>
      </c>
      <c r="H2496">
        <v>1601</v>
      </c>
    </row>
    <row r="2497" spans="1:8" x14ac:dyDescent="0.35">
      <c r="A2497">
        <v>6009832820170</v>
      </c>
      <c r="B2497" t="s">
        <v>295</v>
      </c>
      <c r="C2497" t="s">
        <v>472</v>
      </c>
      <c r="D2497" t="s">
        <v>2808</v>
      </c>
      <c r="E2497" t="s">
        <v>34</v>
      </c>
      <c r="F2497" t="s">
        <v>2402</v>
      </c>
      <c r="G2497" t="s">
        <v>34</v>
      </c>
      <c r="H2497">
        <v>16146</v>
      </c>
    </row>
    <row r="2498" spans="1:8" x14ac:dyDescent="0.35">
      <c r="A2498">
        <v>6009832820170</v>
      </c>
      <c r="B2498" t="s">
        <v>295</v>
      </c>
      <c r="C2498" t="s">
        <v>472</v>
      </c>
      <c r="D2498" t="s">
        <v>2808</v>
      </c>
      <c r="E2498" t="s">
        <v>34</v>
      </c>
      <c r="F2498" t="s">
        <v>2402</v>
      </c>
      <c r="G2498" t="s">
        <v>150</v>
      </c>
      <c r="H2498">
        <v>150</v>
      </c>
    </row>
    <row r="2499" spans="1:8" x14ac:dyDescent="0.35">
      <c r="A2499">
        <v>6009832820170</v>
      </c>
      <c r="B2499" t="s">
        <v>295</v>
      </c>
      <c r="C2499" t="s">
        <v>472</v>
      </c>
      <c r="D2499" t="s">
        <v>2808</v>
      </c>
      <c r="E2499" t="s">
        <v>34</v>
      </c>
      <c r="F2499" t="s">
        <v>2402</v>
      </c>
      <c r="G2499" t="s">
        <v>61</v>
      </c>
      <c r="H2499">
        <v>1</v>
      </c>
    </row>
    <row r="2500" spans="1:8" x14ac:dyDescent="0.35">
      <c r="A2500">
        <v>6009832820507</v>
      </c>
      <c r="B2500" t="s">
        <v>485</v>
      </c>
      <c r="C2500" t="s">
        <v>114</v>
      </c>
      <c r="D2500" t="s">
        <v>2401</v>
      </c>
      <c r="E2500" t="s">
        <v>34</v>
      </c>
      <c r="F2500" t="s">
        <v>2402</v>
      </c>
      <c r="G2500" t="s">
        <v>11</v>
      </c>
      <c r="H2500">
        <v>1</v>
      </c>
    </row>
    <row r="2501" spans="1:8" x14ac:dyDescent="0.35">
      <c r="A2501">
        <v>6009832820507</v>
      </c>
      <c r="B2501" t="s">
        <v>485</v>
      </c>
      <c r="C2501" t="s">
        <v>114</v>
      </c>
      <c r="D2501" t="s">
        <v>2401</v>
      </c>
      <c r="E2501" t="s">
        <v>34</v>
      </c>
      <c r="F2501" t="s">
        <v>2402</v>
      </c>
      <c r="G2501" t="s">
        <v>34</v>
      </c>
      <c r="H2501">
        <v>5009</v>
      </c>
    </row>
    <row r="2502" spans="1:8" x14ac:dyDescent="0.35">
      <c r="A2502">
        <v>6009832820507</v>
      </c>
      <c r="B2502" t="s">
        <v>485</v>
      </c>
      <c r="C2502" t="s">
        <v>114</v>
      </c>
      <c r="D2502" t="s">
        <v>2401</v>
      </c>
      <c r="E2502" t="s">
        <v>34</v>
      </c>
      <c r="F2502" t="s">
        <v>2402</v>
      </c>
      <c r="G2502" t="s">
        <v>61</v>
      </c>
      <c r="H2502">
        <v>2</v>
      </c>
    </row>
    <row r="2503" spans="1:8" x14ac:dyDescent="0.35">
      <c r="A2503">
        <v>6009832820521</v>
      </c>
      <c r="B2503" t="s">
        <v>2811</v>
      </c>
      <c r="C2503" t="s">
        <v>2400</v>
      </c>
      <c r="D2503" t="s">
        <v>2401</v>
      </c>
      <c r="E2503" t="s">
        <v>34</v>
      </c>
      <c r="F2503" t="s">
        <v>2402</v>
      </c>
      <c r="G2503" t="s">
        <v>34</v>
      </c>
      <c r="H2503">
        <v>4640</v>
      </c>
    </row>
    <row r="2504" spans="1:8" x14ac:dyDescent="0.35">
      <c r="A2504">
        <v>6009832820521</v>
      </c>
      <c r="B2504" t="s">
        <v>2811</v>
      </c>
      <c r="C2504" t="s">
        <v>2400</v>
      </c>
      <c r="D2504" t="s">
        <v>2401</v>
      </c>
      <c r="E2504" t="s">
        <v>34</v>
      </c>
      <c r="F2504" t="s">
        <v>2402</v>
      </c>
      <c r="G2504" t="s">
        <v>31</v>
      </c>
      <c r="H2504">
        <v>11</v>
      </c>
    </row>
    <row r="2505" spans="1:8" x14ac:dyDescent="0.35">
      <c r="A2505">
        <v>6009832820576</v>
      </c>
      <c r="B2505" t="s">
        <v>793</v>
      </c>
      <c r="C2505" t="s">
        <v>654</v>
      </c>
      <c r="D2505" t="s">
        <v>2401</v>
      </c>
      <c r="E2505" t="s">
        <v>34</v>
      </c>
      <c r="F2505" t="s">
        <v>2402</v>
      </c>
      <c r="G2505" t="s">
        <v>34</v>
      </c>
      <c r="H2505">
        <v>2734</v>
      </c>
    </row>
    <row r="2506" spans="1:8" x14ac:dyDescent="0.35">
      <c r="A2506">
        <v>6009832820644</v>
      </c>
      <c r="B2506" t="s">
        <v>2812</v>
      </c>
      <c r="C2506" t="s">
        <v>472</v>
      </c>
      <c r="D2506" t="s">
        <v>2813</v>
      </c>
      <c r="E2506" t="s">
        <v>34</v>
      </c>
      <c r="F2506" t="s">
        <v>2402</v>
      </c>
      <c r="G2506" t="s">
        <v>34</v>
      </c>
      <c r="H2506">
        <v>92</v>
      </c>
    </row>
    <row r="2507" spans="1:8" x14ac:dyDescent="0.35">
      <c r="A2507">
        <v>6009832820651</v>
      </c>
      <c r="B2507" t="s">
        <v>2814</v>
      </c>
      <c r="C2507" t="s">
        <v>472</v>
      </c>
      <c r="D2507" t="s">
        <v>2813</v>
      </c>
      <c r="E2507" t="s">
        <v>34</v>
      </c>
      <c r="F2507" t="s">
        <v>2402</v>
      </c>
      <c r="G2507" t="s">
        <v>34</v>
      </c>
      <c r="H2507">
        <v>25</v>
      </c>
    </row>
    <row r="2508" spans="1:8" x14ac:dyDescent="0.35">
      <c r="A2508">
        <v>6009832820668</v>
      </c>
      <c r="B2508" t="s">
        <v>2815</v>
      </c>
      <c r="C2508" t="s">
        <v>472</v>
      </c>
      <c r="D2508" t="s">
        <v>2813</v>
      </c>
      <c r="E2508" t="s">
        <v>34</v>
      </c>
      <c r="F2508" t="s">
        <v>2402</v>
      </c>
      <c r="G2508" t="s">
        <v>34</v>
      </c>
      <c r="H2508">
        <v>23</v>
      </c>
    </row>
    <row r="2509" spans="1:8" x14ac:dyDescent="0.35">
      <c r="A2509">
        <v>6009832820675</v>
      </c>
      <c r="B2509" t="s">
        <v>2816</v>
      </c>
      <c r="C2509" t="s">
        <v>472</v>
      </c>
      <c r="D2509" t="s">
        <v>2813</v>
      </c>
      <c r="E2509" t="s">
        <v>34</v>
      </c>
      <c r="F2509" t="s">
        <v>2402</v>
      </c>
      <c r="G2509" t="s">
        <v>34</v>
      </c>
      <c r="H2509">
        <v>74</v>
      </c>
    </row>
    <row r="2510" spans="1:8" x14ac:dyDescent="0.35">
      <c r="A2510">
        <v>600983612858</v>
      </c>
      <c r="B2510" t="s">
        <v>2765</v>
      </c>
      <c r="C2510" t="s">
        <v>69</v>
      </c>
      <c r="D2510" t="s">
        <v>2766</v>
      </c>
      <c r="E2510" t="s">
        <v>20</v>
      </c>
      <c r="F2510" t="s">
        <v>1470</v>
      </c>
      <c r="G2510" t="s">
        <v>33</v>
      </c>
      <c r="H2510">
        <v>50</v>
      </c>
    </row>
    <row r="2511" spans="1:8" x14ac:dyDescent="0.35">
      <c r="A2511">
        <v>6009879713046</v>
      </c>
      <c r="B2511" t="s">
        <v>2817</v>
      </c>
      <c r="C2511" t="s">
        <v>472</v>
      </c>
      <c r="D2511" t="s">
        <v>2261</v>
      </c>
      <c r="E2511" t="s">
        <v>34</v>
      </c>
      <c r="F2511" t="s">
        <v>2262</v>
      </c>
      <c r="G2511" t="s">
        <v>34</v>
      </c>
      <c r="H2511">
        <v>535</v>
      </c>
    </row>
    <row r="2512" spans="1:8" x14ac:dyDescent="0.35">
      <c r="A2512">
        <v>6009879713077</v>
      </c>
      <c r="B2512" t="s">
        <v>2818</v>
      </c>
      <c r="C2512" t="s">
        <v>472</v>
      </c>
      <c r="D2512" t="s">
        <v>2261</v>
      </c>
      <c r="E2512" t="s">
        <v>34</v>
      </c>
      <c r="F2512" t="s">
        <v>2262</v>
      </c>
      <c r="G2512" t="s">
        <v>34</v>
      </c>
      <c r="H2512">
        <v>153</v>
      </c>
    </row>
    <row r="2513" spans="1:8" x14ac:dyDescent="0.35">
      <c r="A2513">
        <v>6009879713084</v>
      </c>
      <c r="B2513" t="s">
        <v>668</v>
      </c>
      <c r="C2513" t="s">
        <v>472</v>
      </c>
      <c r="D2513" t="s">
        <v>2261</v>
      </c>
      <c r="E2513" t="s">
        <v>34</v>
      </c>
      <c r="F2513" t="s">
        <v>2262</v>
      </c>
      <c r="G2513" t="s">
        <v>34</v>
      </c>
      <c r="H2513">
        <v>2</v>
      </c>
    </row>
    <row r="2514" spans="1:8" x14ac:dyDescent="0.35">
      <c r="A2514">
        <v>6009879713091</v>
      </c>
      <c r="B2514" t="s">
        <v>2261</v>
      </c>
      <c r="C2514" t="s">
        <v>78</v>
      </c>
      <c r="D2514" t="s">
        <v>2261</v>
      </c>
      <c r="E2514" t="s">
        <v>34</v>
      </c>
      <c r="F2514" t="s">
        <v>2262</v>
      </c>
      <c r="G2514" t="s">
        <v>33</v>
      </c>
      <c r="H2514">
        <v>34</v>
      </c>
    </row>
    <row r="2515" spans="1:8" x14ac:dyDescent="0.35">
      <c r="A2515">
        <v>6009879713091</v>
      </c>
      <c r="B2515" t="s">
        <v>2261</v>
      </c>
      <c r="C2515" t="s">
        <v>78</v>
      </c>
      <c r="D2515" t="s">
        <v>2261</v>
      </c>
      <c r="E2515" t="s">
        <v>34</v>
      </c>
      <c r="F2515" t="s">
        <v>2262</v>
      </c>
      <c r="G2515" t="s">
        <v>34</v>
      </c>
      <c r="H2515">
        <v>621</v>
      </c>
    </row>
    <row r="2516" spans="1:8" x14ac:dyDescent="0.35">
      <c r="A2516">
        <v>6009879713107</v>
      </c>
      <c r="B2516" t="s">
        <v>2261</v>
      </c>
      <c r="C2516" t="s">
        <v>78</v>
      </c>
      <c r="D2516" t="s">
        <v>2261</v>
      </c>
      <c r="E2516" t="s">
        <v>34</v>
      </c>
      <c r="F2516" t="s">
        <v>2262</v>
      </c>
      <c r="G2516" t="s">
        <v>34</v>
      </c>
      <c r="H2516">
        <v>264</v>
      </c>
    </row>
    <row r="2517" spans="1:8" x14ac:dyDescent="0.35">
      <c r="A2517">
        <v>6009879713121</v>
      </c>
      <c r="B2517" t="s">
        <v>2819</v>
      </c>
      <c r="C2517" t="s">
        <v>78</v>
      </c>
      <c r="D2517" t="s">
        <v>2261</v>
      </c>
      <c r="E2517" t="s">
        <v>34</v>
      </c>
      <c r="F2517" t="s">
        <v>2262</v>
      </c>
      <c r="G2517" t="s">
        <v>34</v>
      </c>
      <c r="H2517">
        <v>1</v>
      </c>
    </row>
    <row r="2518" spans="1:8" x14ac:dyDescent="0.35">
      <c r="A2518">
        <v>6009879713138</v>
      </c>
      <c r="B2518" t="s">
        <v>2820</v>
      </c>
      <c r="C2518" t="s">
        <v>78</v>
      </c>
      <c r="D2518" t="s">
        <v>2261</v>
      </c>
      <c r="E2518" t="s">
        <v>34</v>
      </c>
      <c r="F2518" t="s">
        <v>2262</v>
      </c>
      <c r="G2518" t="s">
        <v>34</v>
      </c>
      <c r="H2518">
        <v>24</v>
      </c>
    </row>
    <row r="2519" spans="1:8" x14ac:dyDescent="0.35">
      <c r="A2519">
        <v>6009879713145</v>
      </c>
      <c r="B2519" t="s">
        <v>2818</v>
      </c>
      <c r="C2519" t="s">
        <v>78</v>
      </c>
      <c r="D2519" t="s">
        <v>2261</v>
      </c>
      <c r="E2519" t="s">
        <v>34</v>
      </c>
      <c r="F2519" t="s">
        <v>2262</v>
      </c>
      <c r="G2519" t="s">
        <v>34</v>
      </c>
      <c r="H2519">
        <v>3</v>
      </c>
    </row>
    <row r="2520" spans="1:8" x14ac:dyDescent="0.35">
      <c r="A2520">
        <v>6009879713152</v>
      </c>
      <c r="B2520" t="s">
        <v>2261</v>
      </c>
      <c r="C2520" t="s">
        <v>78</v>
      </c>
      <c r="D2520" t="s">
        <v>2261</v>
      </c>
      <c r="E2520" t="s">
        <v>34</v>
      </c>
      <c r="F2520" t="s">
        <v>2262</v>
      </c>
      <c r="G2520" t="s">
        <v>34</v>
      </c>
      <c r="H2520">
        <v>56</v>
      </c>
    </row>
    <row r="2521" spans="1:8" x14ac:dyDescent="0.35">
      <c r="A2521">
        <v>6009879794236</v>
      </c>
      <c r="B2521" t="s">
        <v>380</v>
      </c>
      <c r="C2521" t="s">
        <v>326</v>
      </c>
      <c r="D2521" t="s">
        <v>2821</v>
      </c>
      <c r="E2521" t="s">
        <v>117</v>
      </c>
      <c r="F2521" t="s">
        <v>2562</v>
      </c>
      <c r="G2521" t="s">
        <v>117</v>
      </c>
      <c r="H2521">
        <v>196</v>
      </c>
    </row>
    <row r="2522" spans="1:8" x14ac:dyDescent="0.35">
      <c r="A2522">
        <v>6009879794250</v>
      </c>
      <c r="B2522" t="s">
        <v>1847</v>
      </c>
      <c r="C2522" t="s">
        <v>576</v>
      </c>
      <c r="D2522" t="s">
        <v>2822</v>
      </c>
      <c r="E2522" t="s">
        <v>117</v>
      </c>
      <c r="F2522" t="s">
        <v>2562</v>
      </c>
      <c r="G2522" t="s">
        <v>117</v>
      </c>
      <c r="H2522">
        <v>45</v>
      </c>
    </row>
    <row r="2523" spans="1:8" x14ac:dyDescent="0.35">
      <c r="A2523">
        <v>6009879794434</v>
      </c>
      <c r="B2523" t="s">
        <v>2823</v>
      </c>
      <c r="C2523" t="s">
        <v>472</v>
      </c>
      <c r="D2523" t="s">
        <v>2824</v>
      </c>
      <c r="E2523" t="s">
        <v>117</v>
      </c>
      <c r="F2523" t="s">
        <v>2562</v>
      </c>
      <c r="G2523" t="s">
        <v>117</v>
      </c>
      <c r="H2523">
        <v>212</v>
      </c>
    </row>
    <row r="2524" spans="1:8" x14ac:dyDescent="0.35">
      <c r="A2524">
        <v>6009879794441</v>
      </c>
      <c r="B2524" t="s">
        <v>2823</v>
      </c>
      <c r="C2524" t="s">
        <v>81</v>
      </c>
      <c r="D2524" t="s">
        <v>2824</v>
      </c>
      <c r="E2524" t="s">
        <v>117</v>
      </c>
      <c r="F2524" t="s">
        <v>2562</v>
      </c>
      <c r="G2524" t="s">
        <v>117</v>
      </c>
      <c r="H2524">
        <v>59</v>
      </c>
    </row>
    <row r="2525" spans="1:8" x14ac:dyDescent="0.35">
      <c r="A2525">
        <v>6009879794441</v>
      </c>
      <c r="B2525" t="s">
        <v>2823</v>
      </c>
      <c r="C2525" t="s">
        <v>81</v>
      </c>
      <c r="D2525" t="s">
        <v>2824</v>
      </c>
      <c r="E2525" t="s">
        <v>117</v>
      </c>
      <c r="F2525" t="s">
        <v>2562</v>
      </c>
      <c r="G2525" t="s">
        <v>31</v>
      </c>
      <c r="H2525">
        <v>6</v>
      </c>
    </row>
    <row r="2526" spans="1:8" x14ac:dyDescent="0.35">
      <c r="A2526">
        <v>6009879794519</v>
      </c>
      <c r="B2526" t="s">
        <v>581</v>
      </c>
      <c r="C2526" t="s">
        <v>2825</v>
      </c>
      <c r="D2526" t="s">
        <v>2826</v>
      </c>
      <c r="E2526" t="s">
        <v>117</v>
      </c>
      <c r="F2526" t="s">
        <v>2562</v>
      </c>
      <c r="G2526" t="s">
        <v>117</v>
      </c>
      <c r="H2526">
        <v>9</v>
      </c>
    </row>
    <row r="2527" spans="1:8" x14ac:dyDescent="0.35">
      <c r="A2527">
        <v>6009879794526</v>
      </c>
      <c r="B2527" t="s">
        <v>581</v>
      </c>
      <c r="C2527" t="s">
        <v>2825</v>
      </c>
      <c r="D2527" t="s">
        <v>2827</v>
      </c>
      <c r="E2527" t="s">
        <v>117</v>
      </c>
      <c r="F2527" t="s">
        <v>2562</v>
      </c>
      <c r="G2527" t="s">
        <v>117</v>
      </c>
      <c r="H2527">
        <v>12</v>
      </c>
    </row>
    <row r="2528" spans="1:8" x14ac:dyDescent="0.35">
      <c r="A2528">
        <v>6009879794533</v>
      </c>
      <c r="B2528" t="s">
        <v>581</v>
      </c>
      <c r="C2528" t="s">
        <v>2828</v>
      </c>
      <c r="D2528" t="s">
        <v>2829</v>
      </c>
      <c r="E2528" t="s">
        <v>117</v>
      </c>
      <c r="F2528" t="s">
        <v>2562</v>
      </c>
      <c r="G2528" t="s">
        <v>117</v>
      </c>
      <c r="H2528">
        <v>5</v>
      </c>
    </row>
    <row r="2529" spans="1:8" x14ac:dyDescent="0.35">
      <c r="A2529">
        <v>6009879794540</v>
      </c>
      <c r="B2529" t="s">
        <v>1857</v>
      </c>
      <c r="C2529" t="s">
        <v>2825</v>
      </c>
      <c r="D2529" t="s">
        <v>2561</v>
      </c>
      <c r="E2529" t="s">
        <v>117</v>
      </c>
      <c r="F2529" t="s">
        <v>2562</v>
      </c>
      <c r="G2529" t="s">
        <v>117</v>
      </c>
      <c r="H2529">
        <v>27</v>
      </c>
    </row>
    <row r="2530" spans="1:8" x14ac:dyDescent="0.35">
      <c r="A2530">
        <v>6009879794618</v>
      </c>
      <c r="B2530" t="s">
        <v>581</v>
      </c>
      <c r="C2530" t="s">
        <v>9</v>
      </c>
      <c r="D2530" t="s">
        <v>2826</v>
      </c>
      <c r="E2530" t="s">
        <v>117</v>
      </c>
      <c r="F2530" t="s">
        <v>2562</v>
      </c>
      <c r="G2530" t="s">
        <v>117</v>
      </c>
      <c r="H2530">
        <v>332</v>
      </c>
    </row>
    <row r="2531" spans="1:8" x14ac:dyDescent="0.35">
      <c r="A2531">
        <v>6009879794632</v>
      </c>
      <c r="B2531" t="s">
        <v>2830</v>
      </c>
      <c r="C2531" t="s">
        <v>9</v>
      </c>
      <c r="D2531" t="s">
        <v>2827</v>
      </c>
      <c r="E2531" t="s">
        <v>117</v>
      </c>
      <c r="F2531" t="s">
        <v>2562</v>
      </c>
      <c r="G2531" t="s">
        <v>117</v>
      </c>
      <c r="H2531">
        <v>662</v>
      </c>
    </row>
    <row r="2532" spans="1:8" x14ac:dyDescent="0.35">
      <c r="A2532">
        <v>6009879794649</v>
      </c>
      <c r="B2532" t="s">
        <v>581</v>
      </c>
      <c r="C2532" t="s">
        <v>9</v>
      </c>
      <c r="D2532" t="s">
        <v>2829</v>
      </c>
      <c r="E2532" t="s">
        <v>117</v>
      </c>
      <c r="F2532" t="s">
        <v>2562</v>
      </c>
      <c r="G2532" t="s">
        <v>117</v>
      </c>
      <c r="H2532">
        <v>399</v>
      </c>
    </row>
    <row r="2533" spans="1:8" x14ac:dyDescent="0.35">
      <c r="A2533">
        <v>6009879794656</v>
      </c>
      <c r="B2533" t="s">
        <v>581</v>
      </c>
      <c r="C2533" t="s">
        <v>9</v>
      </c>
      <c r="D2533" t="s">
        <v>2561</v>
      </c>
      <c r="E2533" t="s">
        <v>117</v>
      </c>
      <c r="F2533" t="s">
        <v>2562</v>
      </c>
      <c r="G2533" t="s">
        <v>117</v>
      </c>
      <c r="H2533">
        <v>503</v>
      </c>
    </row>
    <row r="2534" spans="1:8" x14ac:dyDescent="0.35">
      <c r="A2534">
        <v>6009879794663</v>
      </c>
      <c r="B2534" t="s">
        <v>581</v>
      </c>
      <c r="C2534" t="s">
        <v>9</v>
      </c>
      <c r="D2534" t="s">
        <v>2831</v>
      </c>
      <c r="E2534" t="s">
        <v>117</v>
      </c>
      <c r="F2534" t="s">
        <v>2562</v>
      </c>
      <c r="G2534" t="s">
        <v>117</v>
      </c>
      <c r="H2534">
        <v>79</v>
      </c>
    </row>
    <row r="2535" spans="1:8" x14ac:dyDescent="0.35">
      <c r="A2535">
        <v>6009879794663</v>
      </c>
      <c r="B2535" t="s">
        <v>581</v>
      </c>
      <c r="C2535" t="s">
        <v>9</v>
      </c>
      <c r="D2535" t="s">
        <v>2831</v>
      </c>
      <c r="E2535" t="s">
        <v>117</v>
      </c>
      <c r="F2535" t="s">
        <v>2562</v>
      </c>
      <c r="G2535" t="s">
        <v>776</v>
      </c>
      <c r="H2535">
        <v>2</v>
      </c>
    </row>
    <row r="2536" spans="1:8" x14ac:dyDescent="0.35">
      <c r="A2536">
        <v>6009879794670</v>
      </c>
      <c r="B2536" t="s">
        <v>2832</v>
      </c>
      <c r="C2536" t="s">
        <v>9</v>
      </c>
      <c r="D2536" t="s">
        <v>2833</v>
      </c>
      <c r="E2536" t="s">
        <v>117</v>
      </c>
      <c r="F2536" t="s">
        <v>2562</v>
      </c>
      <c r="G2536" t="s">
        <v>117</v>
      </c>
      <c r="H2536">
        <v>261</v>
      </c>
    </row>
    <row r="2537" spans="1:8" x14ac:dyDescent="0.35">
      <c r="A2537">
        <v>6009879794687</v>
      </c>
      <c r="B2537" t="s">
        <v>2823</v>
      </c>
      <c r="C2537" t="s">
        <v>9</v>
      </c>
      <c r="D2537" t="s">
        <v>2824</v>
      </c>
      <c r="E2537" t="s">
        <v>117</v>
      </c>
      <c r="F2537" t="s">
        <v>2562</v>
      </c>
      <c r="G2537" t="s">
        <v>117</v>
      </c>
      <c r="H2537">
        <v>257</v>
      </c>
    </row>
    <row r="2538" spans="1:8" x14ac:dyDescent="0.35">
      <c r="A2538">
        <v>6009879794700</v>
      </c>
      <c r="B2538" t="s">
        <v>2834</v>
      </c>
      <c r="C2538" t="s">
        <v>2825</v>
      </c>
      <c r="D2538" t="s">
        <v>2833</v>
      </c>
      <c r="E2538" t="s">
        <v>117</v>
      </c>
      <c r="F2538" t="s">
        <v>2562</v>
      </c>
      <c r="G2538" t="s">
        <v>117</v>
      </c>
      <c r="H2538">
        <v>27</v>
      </c>
    </row>
    <row r="2539" spans="1:8" x14ac:dyDescent="0.35">
      <c r="A2539">
        <v>6009880003037</v>
      </c>
      <c r="B2539" t="s">
        <v>380</v>
      </c>
      <c r="C2539" t="s">
        <v>472</v>
      </c>
      <c r="D2539" t="s">
        <v>811</v>
      </c>
      <c r="E2539" t="s">
        <v>117</v>
      </c>
      <c r="F2539" t="s">
        <v>695</v>
      </c>
      <c r="G2539" t="s">
        <v>117</v>
      </c>
      <c r="H2539">
        <v>4</v>
      </c>
    </row>
    <row r="2540" spans="1:8" x14ac:dyDescent="0.35">
      <c r="A2540">
        <v>6009880106011</v>
      </c>
      <c r="B2540" t="s">
        <v>2835</v>
      </c>
      <c r="C2540" t="s">
        <v>542</v>
      </c>
      <c r="D2540" t="s">
        <v>2836</v>
      </c>
      <c r="E2540" t="s">
        <v>34</v>
      </c>
      <c r="F2540" t="s">
        <v>2837</v>
      </c>
      <c r="G2540" t="s">
        <v>34</v>
      </c>
      <c r="H2540">
        <v>149</v>
      </c>
    </row>
    <row r="2541" spans="1:8" x14ac:dyDescent="0.35">
      <c r="A2541">
        <v>6009880106035</v>
      </c>
      <c r="B2541" t="s">
        <v>2838</v>
      </c>
      <c r="C2541" t="s">
        <v>542</v>
      </c>
      <c r="D2541" t="s">
        <v>2836</v>
      </c>
      <c r="E2541" t="s">
        <v>34</v>
      </c>
      <c r="F2541" t="s">
        <v>2837</v>
      </c>
      <c r="G2541" t="s">
        <v>34</v>
      </c>
      <c r="H2541">
        <v>1379</v>
      </c>
    </row>
    <row r="2542" spans="1:8" x14ac:dyDescent="0.35">
      <c r="A2542">
        <v>6009880106066</v>
      </c>
      <c r="B2542" t="s">
        <v>668</v>
      </c>
      <c r="C2542" t="s">
        <v>542</v>
      </c>
      <c r="D2542" t="s">
        <v>2836</v>
      </c>
      <c r="E2542" t="s">
        <v>34</v>
      </c>
      <c r="F2542" t="s">
        <v>2837</v>
      </c>
      <c r="G2542" t="s">
        <v>34</v>
      </c>
      <c r="H2542">
        <v>525</v>
      </c>
    </row>
    <row r="2543" spans="1:8" x14ac:dyDescent="0.35">
      <c r="A2543">
        <v>6009880106073</v>
      </c>
      <c r="B2543" t="s">
        <v>486</v>
      </c>
      <c r="C2543" t="s">
        <v>542</v>
      </c>
      <c r="D2543" t="s">
        <v>2836</v>
      </c>
      <c r="E2543" t="s">
        <v>34</v>
      </c>
      <c r="F2543" t="s">
        <v>2837</v>
      </c>
      <c r="G2543" t="s">
        <v>34</v>
      </c>
      <c r="H2543">
        <v>113</v>
      </c>
    </row>
    <row r="2544" spans="1:8" x14ac:dyDescent="0.35">
      <c r="A2544">
        <v>6009880106097</v>
      </c>
      <c r="B2544" t="s">
        <v>2839</v>
      </c>
      <c r="C2544" t="s">
        <v>542</v>
      </c>
      <c r="D2544" t="s">
        <v>2836</v>
      </c>
      <c r="E2544" t="s">
        <v>34</v>
      </c>
      <c r="F2544" t="s">
        <v>2837</v>
      </c>
      <c r="G2544" t="s">
        <v>34</v>
      </c>
      <c r="H2544">
        <v>873</v>
      </c>
    </row>
    <row r="2545" spans="1:8" x14ac:dyDescent="0.35">
      <c r="A2545">
        <v>6009880106110</v>
      </c>
      <c r="B2545" t="s">
        <v>2840</v>
      </c>
      <c r="C2545" t="s">
        <v>542</v>
      </c>
      <c r="D2545" t="s">
        <v>2836</v>
      </c>
      <c r="E2545" t="s">
        <v>34</v>
      </c>
      <c r="F2545" t="s">
        <v>2837</v>
      </c>
      <c r="G2545" t="s">
        <v>34</v>
      </c>
      <c r="H2545">
        <v>164</v>
      </c>
    </row>
    <row r="2546" spans="1:8" x14ac:dyDescent="0.35">
      <c r="A2546">
        <v>6009880106127</v>
      </c>
      <c r="B2546" t="s">
        <v>2841</v>
      </c>
      <c r="C2546" t="s">
        <v>814</v>
      </c>
      <c r="D2546" t="s">
        <v>2836</v>
      </c>
      <c r="E2546" t="s">
        <v>34</v>
      </c>
      <c r="F2546" t="s">
        <v>2837</v>
      </c>
      <c r="G2546" t="s">
        <v>34</v>
      </c>
      <c r="H2546">
        <v>1</v>
      </c>
    </row>
    <row r="2547" spans="1:8" x14ac:dyDescent="0.35">
      <c r="A2547">
        <v>6009880106134</v>
      </c>
      <c r="B2547" t="s">
        <v>2842</v>
      </c>
      <c r="C2547" t="s">
        <v>542</v>
      </c>
      <c r="D2547" t="s">
        <v>2836</v>
      </c>
      <c r="E2547" t="s">
        <v>34</v>
      </c>
      <c r="F2547" t="s">
        <v>2837</v>
      </c>
      <c r="G2547" t="s">
        <v>34</v>
      </c>
      <c r="H2547">
        <v>28</v>
      </c>
    </row>
    <row r="2548" spans="1:8" x14ac:dyDescent="0.35">
      <c r="A2548">
        <v>6009880106134</v>
      </c>
      <c r="B2548" t="s">
        <v>2842</v>
      </c>
      <c r="C2548" t="s">
        <v>542</v>
      </c>
      <c r="D2548" t="s">
        <v>2836</v>
      </c>
      <c r="E2548" t="s">
        <v>34</v>
      </c>
      <c r="F2548" t="s">
        <v>2837</v>
      </c>
      <c r="G2548" t="s">
        <v>150</v>
      </c>
      <c r="H2548">
        <v>20</v>
      </c>
    </row>
    <row r="2549" spans="1:8" x14ac:dyDescent="0.35">
      <c r="A2549">
        <v>6009880106158</v>
      </c>
      <c r="B2549" t="s">
        <v>2843</v>
      </c>
      <c r="C2549" t="s">
        <v>542</v>
      </c>
      <c r="D2549" t="s">
        <v>2836</v>
      </c>
      <c r="E2549" t="s">
        <v>34</v>
      </c>
      <c r="F2549" t="s">
        <v>2837</v>
      </c>
      <c r="G2549" t="s">
        <v>34</v>
      </c>
      <c r="H2549">
        <v>27</v>
      </c>
    </row>
    <row r="2550" spans="1:8" x14ac:dyDescent="0.35">
      <c r="A2550">
        <v>6009880106172</v>
      </c>
      <c r="B2550" t="s">
        <v>2844</v>
      </c>
      <c r="C2550" t="s">
        <v>603</v>
      </c>
      <c r="D2550" t="s">
        <v>2836</v>
      </c>
      <c r="E2550" t="s">
        <v>34</v>
      </c>
      <c r="F2550" t="s">
        <v>2837</v>
      </c>
      <c r="G2550" t="s">
        <v>34</v>
      </c>
      <c r="H2550">
        <v>189</v>
      </c>
    </row>
    <row r="2551" spans="1:8" x14ac:dyDescent="0.35">
      <c r="A2551">
        <v>6009880106196</v>
      </c>
      <c r="B2551" t="s">
        <v>2845</v>
      </c>
      <c r="C2551" t="s">
        <v>542</v>
      </c>
      <c r="D2551" t="s">
        <v>2836</v>
      </c>
      <c r="E2551" t="s">
        <v>34</v>
      </c>
      <c r="F2551" t="s">
        <v>2837</v>
      </c>
      <c r="G2551" t="s">
        <v>34</v>
      </c>
      <c r="H2551">
        <v>620</v>
      </c>
    </row>
    <row r="2552" spans="1:8" x14ac:dyDescent="0.35">
      <c r="A2552">
        <v>6009880106257</v>
      </c>
      <c r="B2552" t="s">
        <v>2846</v>
      </c>
      <c r="C2552" t="s">
        <v>192</v>
      </c>
      <c r="D2552" t="s">
        <v>2836</v>
      </c>
      <c r="E2552" t="s">
        <v>34</v>
      </c>
      <c r="F2552" t="s">
        <v>2837</v>
      </c>
      <c r="G2552" t="s">
        <v>34</v>
      </c>
      <c r="H2552">
        <v>3</v>
      </c>
    </row>
    <row r="2553" spans="1:8" x14ac:dyDescent="0.35">
      <c r="A2553">
        <v>6009880106295</v>
      </c>
      <c r="B2553" t="s">
        <v>406</v>
      </c>
      <c r="C2553" t="s">
        <v>542</v>
      </c>
      <c r="D2553" t="s">
        <v>2836</v>
      </c>
      <c r="E2553" t="s">
        <v>34</v>
      </c>
      <c r="F2553" t="s">
        <v>2837</v>
      </c>
      <c r="G2553" t="s">
        <v>34</v>
      </c>
      <c r="H2553">
        <v>209</v>
      </c>
    </row>
    <row r="2554" spans="1:8" x14ac:dyDescent="0.35">
      <c r="A2554">
        <v>6009880243013</v>
      </c>
      <c r="B2554" t="s">
        <v>2451</v>
      </c>
      <c r="C2554" t="s">
        <v>9</v>
      </c>
      <c r="D2554" t="s">
        <v>2847</v>
      </c>
      <c r="E2554" t="s">
        <v>73</v>
      </c>
      <c r="F2554" t="s">
        <v>2848</v>
      </c>
      <c r="G2554" t="s">
        <v>34</v>
      </c>
      <c r="H2554">
        <v>1</v>
      </c>
    </row>
    <row r="2555" spans="1:8" x14ac:dyDescent="0.35">
      <c r="A2555">
        <v>6009880243013</v>
      </c>
      <c r="B2555" t="s">
        <v>2451</v>
      </c>
      <c r="C2555" t="s">
        <v>9</v>
      </c>
      <c r="D2555" t="s">
        <v>2847</v>
      </c>
      <c r="E2555" t="s">
        <v>73</v>
      </c>
      <c r="F2555" t="s">
        <v>2848</v>
      </c>
      <c r="G2555" t="s">
        <v>73</v>
      </c>
      <c r="H2555">
        <v>1</v>
      </c>
    </row>
    <row r="2556" spans="1:8" x14ac:dyDescent="0.35">
      <c r="A2556">
        <v>6009880243075</v>
      </c>
      <c r="B2556" t="s">
        <v>212</v>
      </c>
      <c r="C2556" t="s">
        <v>603</v>
      </c>
      <c r="D2556" t="s">
        <v>2847</v>
      </c>
      <c r="E2556" t="s">
        <v>73</v>
      </c>
      <c r="F2556" t="s">
        <v>2848</v>
      </c>
      <c r="G2556" t="s">
        <v>34</v>
      </c>
      <c r="H2556">
        <v>1</v>
      </c>
    </row>
    <row r="2557" spans="1:8" x14ac:dyDescent="0.35">
      <c r="A2557">
        <v>6009880251582</v>
      </c>
      <c r="B2557" t="s">
        <v>2849</v>
      </c>
      <c r="C2557" t="s">
        <v>801</v>
      </c>
      <c r="D2557" t="s">
        <v>2207</v>
      </c>
      <c r="E2557" t="s">
        <v>73</v>
      </c>
      <c r="F2557" t="s">
        <v>2208</v>
      </c>
      <c r="G2557" t="s">
        <v>33</v>
      </c>
      <c r="H2557">
        <v>12</v>
      </c>
    </row>
    <row r="2558" spans="1:8" x14ac:dyDescent="0.35">
      <c r="A2558">
        <v>6009880251599</v>
      </c>
      <c r="B2558" t="s">
        <v>2850</v>
      </c>
      <c r="C2558" t="s">
        <v>78</v>
      </c>
      <c r="D2558" t="s">
        <v>2207</v>
      </c>
      <c r="E2558" t="s">
        <v>73</v>
      </c>
      <c r="F2558" t="s">
        <v>2208</v>
      </c>
      <c r="G2558" t="s">
        <v>33</v>
      </c>
      <c r="H2558">
        <v>1</v>
      </c>
    </row>
    <row r="2559" spans="1:8" x14ac:dyDescent="0.35">
      <c r="A2559">
        <v>6009880251599</v>
      </c>
      <c r="B2559" t="s">
        <v>2850</v>
      </c>
      <c r="C2559" t="s">
        <v>78</v>
      </c>
      <c r="D2559" t="s">
        <v>2207</v>
      </c>
      <c r="E2559" t="s">
        <v>73</v>
      </c>
      <c r="F2559" t="s">
        <v>2208</v>
      </c>
      <c r="G2559" t="s">
        <v>34</v>
      </c>
      <c r="H2559">
        <v>7</v>
      </c>
    </row>
    <row r="2560" spans="1:8" x14ac:dyDescent="0.35">
      <c r="A2560">
        <v>6009880372799</v>
      </c>
      <c r="B2560" t="s">
        <v>2851</v>
      </c>
      <c r="C2560" t="s">
        <v>431</v>
      </c>
      <c r="D2560" t="s">
        <v>2852</v>
      </c>
      <c r="E2560" t="s">
        <v>308</v>
      </c>
      <c r="F2560" t="s">
        <v>309</v>
      </c>
      <c r="G2560" t="s">
        <v>117</v>
      </c>
      <c r="H2560">
        <v>5</v>
      </c>
    </row>
    <row r="2561" spans="1:8" x14ac:dyDescent="0.35">
      <c r="A2561">
        <v>6009880412518</v>
      </c>
      <c r="B2561" t="s">
        <v>668</v>
      </c>
      <c r="C2561" t="s">
        <v>78</v>
      </c>
      <c r="D2561" t="s">
        <v>2853</v>
      </c>
      <c r="E2561" t="s">
        <v>73</v>
      </c>
      <c r="F2561" t="s">
        <v>2853</v>
      </c>
      <c r="G2561" t="s">
        <v>34</v>
      </c>
      <c r="H2561">
        <v>23</v>
      </c>
    </row>
    <row r="2562" spans="1:8" x14ac:dyDescent="0.35">
      <c r="A2562">
        <v>6009880442485</v>
      </c>
      <c r="B2562" t="s">
        <v>2602</v>
      </c>
      <c r="C2562" t="s">
        <v>472</v>
      </c>
      <c r="D2562" t="s">
        <v>2854</v>
      </c>
      <c r="E2562" t="s">
        <v>33</v>
      </c>
      <c r="F2562" t="s">
        <v>2855</v>
      </c>
      <c r="G2562" t="s">
        <v>33</v>
      </c>
      <c r="H2562">
        <v>1</v>
      </c>
    </row>
    <row r="2563" spans="1:8" x14ac:dyDescent="0.35">
      <c r="A2563">
        <v>6009880442492</v>
      </c>
      <c r="B2563" t="s">
        <v>2602</v>
      </c>
      <c r="C2563" t="s">
        <v>472</v>
      </c>
      <c r="D2563" t="s">
        <v>2854</v>
      </c>
      <c r="E2563" t="s">
        <v>33</v>
      </c>
      <c r="F2563" t="s">
        <v>2855</v>
      </c>
      <c r="G2563" t="s">
        <v>33</v>
      </c>
      <c r="H2563">
        <v>158</v>
      </c>
    </row>
    <row r="2564" spans="1:8" x14ac:dyDescent="0.35">
      <c r="A2564">
        <v>6009880442539</v>
      </c>
      <c r="B2564" t="s">
        <v>2856</v>
      </c>
      <c r="C2564" t="s">
        <v>472</v>
      </c>
      <c r="D2564" t="s">
        <v>2854</v>
      </c>
      <c r="E2564" t="s">
        <v>33</v>
      </c>
      <c r="F2564" t="s">
        <v>2855</v>
      </c>
      <c r="G2564" t="s">
        <v>33</v>
      </c>
      <c r="H2564">
        <v>79</v>
      </c>
    </row>
    <row r="2565" spans="1:8" x14ac:dyDescent="0.35">
      <c r="A2565">
        <v>6009880442607</v>
      </c>
      <c r="B2565" t="s">
        <v>1151</v>
      </c>
      <c r="C2565" t="s">
        <v>326</v>
      </c>
      <c r="D2565" t="s">
        <v>2857</v>
      </c>
      <c r="E2565" t="s">
        <v>33</v>
      </c>
      <c r="F2565" t="s">
        <v>2855</v>
      </c>
      <c r="G2565" t="s">
        <v>33</v>
      </c>
      <c r="H2565">
        <v>4</v>
      </c>
    </row>
    <row r="2566" spans="1:8" x14ac:dyDescent="0.35">
      <c r="A2566">
        <v>6009880442706</v>
      </c>
      <c r="B2566" t="s">
        <v>2858</v>
      </c>
      <c r="C2566" t="s">
        <v>472</v>
      </c>
      <c r="D2566" t="s">
        <v>2854</v>
      </c>
      <c r="E2566" t="s">
        <v>33</v>
      </c>
      <c r="F2566" t="s">
        <v>2855</v>
      </c>
      <c r="G2566" t="s">
        <v>33</v>
      </c>
      <c r="H2566">
        <v>15</v>
      </c>
    </row>
    <row r="2567" spans="1:8" x14ac:dyDescent="0.35">
      <c r="A2567">
        <v>6009880652051</v>
      </c>
      <c r="B2567" t="s">
        <v>2722</v>
      </c>
      <c r="C2567" t="s">
        <v>75</v>
      </c>
      <c r="D2567" t="s">
        <v>2580</v>
      </c>
      <c r="E2567" t="s">
        <v>33</v>
      </c>
      <c r="F2567" t="s">
        <v>2581</v>
      </c>
      <c r="G2567" t="s">
        <v>33</v>
      </c>
      <c r="H2567">
        <v>18</v>
      </c>
    </row>
    <row r="2568" spans="1:8" x14ac:dyDescent="0.35">
      <c r="A2568">
        <v>6009880652297</v>
      </c>
      <c r="B2568" t="s">
        <v>2859</v>
      </c>
      <c r="C2568" t="s">
        <v>78</v>
      </c>
      <c r="D2568" t="s">
        <v>2580</v>
      </c>
      <c r="E2568" t="s">
        <v>33</v>
      </c>
      <c r="F2568" t="s">
        <v>2581</v>
      </c>
      <c r="G2568" t="s">
        <v>33</v>
      </c>
      <c r="H2568">
        <v>106</v>
      </c>
    </row>
    <row r="2569" spans="1:8" x14ac:dyDescent="0.35">
      <c r="A2569">
        <v>6009880792108</v>
      </c>
      <c r="B2569" t="s">
        <v>2860</v>
      </c>
      <c r="C2569" t="s">
        <v>9</v>
      </c>
      <c r="D2569" t="s">
        <v>2861</v>
      </c>
      <c r="E2569" t="s">
        <v>73</v>
      </c>
      <c r="F2569" t="s">
        <v>2862</v>
      </c>
      <c r="G2569" t="s">
        <v>73</v>
      </c>
      <c r="H2569">
        <v>1</v>
      </c>
    </row>
    <row r="2570" spans="1:8" x14ac:dyDescent="0.35">
      <c r="A2570">
        <v>6009880792313</v>
      </c>
      <c r="B2570" t="s">
        <v>2863</v>
      </c>
      <c r="C2570" t="s">
        <v>1123</v>
      </c>
      <c r="D2570" t="s">
        <v>2861</v>
      </c>
      <c r="E2570" t="s">
        <v>73</v>
      </c>
      <c r="F2570" t="s">
        <v>2862</v>
      </c>
      <c r="G2570" t="s">
        <v>73</v>
      </c>
      <c r="H2570">
        <v>1</v>
      </c>
    </row>
    <row r="2571" spans="1:8" x14ac:dyDescent="0.35">
      <c r="A2571">
        <v>6009880792481</v>
      </c>
      <c r="B2571" t="s">
        <v>2864</v>
      </c>
      <c r="C2571" t="s">
        <v>1123</v>
      </c>
      <c r="D2571" t="s">
        <v>2861</v>
      </c>
      <c r="E2571" t="s">
        <v>73</v>
      </c>
      <c r="F2571" t="s">
        <v>2862</v>
      </c>
      <c r="G2571" t="s">
        <v>73</v>
      </c>
      <c r="H2571">
        <v>1</v>
      </c>
    </row>
    <row r="2572" spans="1:8" x14ac:dyDescent="0.35">
      <c r="A2572">
        <v>6009880792603</v>
      </c>
      <c r="B2572" t="s">
        <v>2865</v>
      </c>
      <c r="C2572" t="s">
        <v>9</v>
      </c>
      <c r="D2572" t="s">
        <v>2861</v>
      </c>
      <c r="E2572" t="s">
        <v>73</v>
      </c>
      <c r="F2572" t="s">
        <v>2862</v>
      </c>
      <c r="G2572" t="s">
        <v>73</v>
      </c>
      <c r="H2572">
        <v>1</v>
      </c>
    </row>
    <row r="2573" spans="1:8" x14ac:dyDescent="0.35">
      <c r="A2573">
        <v>6009880839100</v>
      </c>
      <c r="B2573" t="s">
        <v>2391</v>
      </c>
      <c r="C2573" t="s">
        <v>2866</v>
      </c>
      <c r="D2573" t="s">
        <v>2278</v>
      </c>
      <c r="E2573" t="s">
        <v>73</v>
      </c>
      <c r="F2573" t="s">
        <v>2279</v>
      </c>
      <c r="G2573" t="s">
        <v>73</v>
      </c>
      <c r="H2573">
        <v>1</v>
      </c>
    </row>
    <row r="2574" spans="1:8" x14ac:dyDescent="0.35">
      <c r="A2574">
        <v>6009880916108</v>
      </c>
      <c r="B2574" t="s">
        <v>2867</v>
      </c>
      <c r="C2574" t="s">
        <v>78</v>
      </c>
      <c r="D2574" t="s">
        <v>2868</v>
      </c>
      <c r="E2574" t="s">
        <v>33</v>
      </c>
      <c r="F2574" t="s">
        <v>2869</v>
      </c>
      <c r="G2574" t="s">
        <v>33</v>
      </c>
      <c r="H2574">
        <v>29</v>
      </c>
    </row>
    <row r="2575" spans="1:8" x14ac:dyDescent="0.35">
      <c r="A2575">
        <v>6009881099138</v>
      </c>
      <c r="B2575" t="s">
        <v>2870</v>
      </c>
      <c r="C2575" t="s">
        <v>603</v>
      </c>
      <c r="D2575" t="s">
        <v>1074</v>
      </c>
      <c r="E2575" t="s">
        <v>33</v>
      </c>
      <c r="F2575" t="s">
        <v>1075</v>
      </c>
      <c r="G2575" t="s">
        <v>117</v>
      </c>
      <c r="H2575">
        <v>1</v>
      </c>
    </row>
    <row r="2576" spans="1:8" x14ac:dyDescent="0.35">
      <c r="A2576">
        <v>6009881099138</v>
      </c>
      <c r="B2576" t="s">
        <v>2870</v>
      </c>
      <c r="C2576" t="s">
        <v>603</v>
      </c>
      <c r="D2576" t="s">
        <v>1074</v>
      </c>
      <c r="E2576" t="s">
        <v>33</v>
      </c>
      <c r="F2576" t="s">
        <v>1075</v>
      </c>
      <c r="G2576" t="s">
        <v>33</v>
      </c>
      <c r="H2576">
        <v>725</v>
      </c>
    </row>
    <row r="2577" spans="1:8" x14ac:dyDescent="0.35">
      <c r="A2577">
        <v>6009888701027</v>
      </c>
      <c r="B2577" t="s">
        <v>1291</v>
      </c>
      <c r="C2577" t="s">
        <v>9</v>
      </c>
      <c r="D2577" t="s">
        <v>273</v>
      </c>
      <c r="E2577" t="s">
        <v>15</v>
      </c>
      <c r="F2577" t="s">
        <v>56</v>
      </c>
      <c r="G2577" t="s">
        <v>578</v>
      </c>
      <c r="H2577">
        <v>1</v>
      </c>
    </row>
    <row r="2578" spans="1:8" x14ac:dyDescent="0.35">
      <c r="A2578">
        <v>6009900076607</v>
      </c>
      <c r="B2578" t="s">
        <v>1011</v>
      </c>
      <c r="C2578" t="s">
        <v>472</v>
      </c>
      <c r="D2578" t="s">
        <v>2261</v>
      </c>
      <c r="E2578" t="s">
        <v>34</v>
      </c>
      <c r="F2578" t="s">
        <v>2262</v>
      </c>
      <c r="G2578" t="s">
        <v>34</v>
      </c>
      <c r="H2578">
        <v>112</v>
      </c>
    </row>
    <row r="2579" spans="1:8" x14ac:dyDescent="0.35">
      <c r="A2579">
        <v>6009900076683</v>
      </c>
      <c r="B2579" t="s">
        <v>2871</v>
      </c>
      <c r="C2579" t="s">
        <v>576</v>
      </c>
      <c r="D2579" t="s">
        <v>2261</v>
      </c>
      <c r="E2579" t="s">
        <v>34</v>
      </c>
      <c r="F2579" t="s">
        <v>2262</v>
      </c>
      <c r="G2579" t="s">
        <v>33</v>
      </c>
      <c r="H2579">
        <v>134</v>
      </c>
    </row>
    <row r="2580" spans="1:8" x14ac:dyDescent="0.35">
      <c r="A2580">
        <v>6009900076683</v>
      </c>
      <c r="B2580" t="s">
        <v>2871</v>
      </c>
      <c r="C2580" t="s">
        <v>576</v>
      </c>
      <c r="D2580" t="s">
        <v>2261</v>
      </c>
      <c r="E2580" t="s">
        <v>34</v>
      </c>
      <c r="F2580" t="s">
        <v>2262</v>
      </c>
      <c r="G2580" t="s">
        <v>34</v>
      </c>
      <c r="H2580">
        <v>960</v>
      </c>
    </row>
    <row r="2581" spans="1:8" x14ac:dyDescent="0.35">
      <c r="A2581">
        <v>6009900076713</v>
      </c>
      <c r="B2581" t="s">
        <v>2872</v>
      </c>
      <c r="C2581" t="s">
        <v>472</v>
      </c>
      <c r="D2581" t="s">
        <v>2261</v>
      </c>
      <c r="E2581" t="s">
        <v>34</v>
      </c>
      <c r="F2581" t="s">
        <v>2262</v>
      </c>
      <c r="G2581" t="s">
        <v>33</v>
      </c>
      <c r="H2581">
        <v>123</v>
      </c>
    </row>
    <row r="2582" spans="1:8" x14ac:dyDescent="0.35">
      <c r="A2582">
        <v>6009900076713</v>
      </c>
      <c r="B2582" t="s">
        <v>2872</v>
      </c>
      <c r="C2582" t="s">
        <v>472</v>
      </c>
      <c r="D2582" t="s">
        <v>2261</v>
      </c>
      <c r="E2582" t="s">
        <v>34</v>
      </c>
      <c r="F2582" t="s">
        <v>2262</v>
      </c>
      <c r="G2582" t="s">
        <v>34</v>
      </c>
      <c r="H2582">
        <v>171</v>
      </c>
    </row>
    <row r="2583" spans="1:8" x14ac:dyDescent="0.35">
      <c r="A2583">
        <v>6009900076720</v>
      </c>
      <c r="B2583" t="s">
        <v>2873</v>
      </c>
      <c r="C2583" t="s">
        <v>472</v>
      </c>
      <c r="D2583" t="s">
        <v>2261</v>
      </c>
      <c r="E2583" t="s">
        <v>34</v>
      </c>
      <c r="F2583" t="s">
        <v>2262</v>
      </c>
      <c r="G2583" t="s">
        <v>34</v>
      </c>
      <c r="H2583">
        <v>49</v>
      </c>
    </row>
    <row r="2584" spans="1:8" x14ac:dyDescent="0.35">
      <c r="A2584">
        <v>6009900076737</v>
      </c>
      <c r="B2584" t="s">
        <v>2261</v>
      </c>
      <c r="C2584" t="s">
        <v>472</v>
      </c>
      <c r="D2584" t="s">
        <v>2261</v>
      </c>
      <c r="E2584" t="s">
        <v>34</v>
      </c>
      <c r="F2584" t="s">
        <v>2262</v>
      </c>
      <c r="G2584" t="s">
        <v>33</v>
      </c>
      <c r="H2584">
        <v>203</v>
      </c>
    </row>
    <row r="2585" spans="1:8" x14ac:dyDescent="0.35">
      <c r="A2585">
        <v>6009900076737</v>
      </c>
      <c r="B2585" t="s">
        <v>2261</v>
      </c>
      <c r="C2585" t="s">
        <v>472</v>
      </c>
      <c r="D2585" t="s">
        <v>2261</v>
      </c>
      <c r="E2585" t="s">
        <v>34</v>
      </c>
      <c r="F2585" t="s">
        <v>2262</v>
      </c>
      <c r="G2585" t="s">
        <v>34</v>
      </c>
      <c r="H2585">
        <v>7305</v>
      </c>
    </row>
    <row r="2586" spans="1:8" x14ac:dyDescent="0.35">
      <c r="A2586">
        <v>6009900076744</v>
      </c>
      <c r="B2586" t="s">
        <v>2463</v>
      </c>
      <c r="C2586" t="s">
        <v>472</v>
      </c>
      <c r="D2586" t="s">
        <v>2261</v>
      </c>
      <c r="E2586" t="s">
        <v>34</v>
      </c>
      <c r="F2586" t="s">
        <v>2262</v>
      </c>
      <c r="G2586" t="s">
        <v>33</v>
      </c>
      <c r="H2586">
        <v>303</v>
      </c>
    </row>
    <row r="2587" spans="1:8" x14ac:dyDescent="0.35">
      <c r="A2587">
        <v>6009900076744</v>
      </c>
      <c r="B2587" t="s">
        <v>2463</v>
      </c>
      <c r="C2587" t="s">
        <v>472</v>
      </c>
      <c r="D2587" t="s">
        <v>2261</v>
      </c>
      <c r="E2587" t="s">
        <v>34</v>
      </c>
      <c r="F2587" t="s">
        <v>2262</v>
      </c>
      <c r="G2587" t="s">
        <v>34</v>
      </c>
      <c r="H2587">
        <v>1703</v>
      </c>
    </row>
    <row r="2588" spans="1:8" x14ac:dyDescent="0.35">
      <c r="A2588">
        <v>6009900076768</v>
      </c>
      <c r="B2588" t="s">
        <v>2261</v>
      </c>
      <c r="C2588" t="s">
        <v>78</v>
      </c>
      <c r="D2588" t="s">
        <v>2261</v>
      </c>
      <c r="E2588" t="s">
        <v>34</v>
      </c>
      <c r="F2588" t="s">
        <v>2262</v>
      </c>
      <c r="G2588" t="s">
        <v>34</v>
      </c>
      <c r="H2588">
        <v>2</v>
      </c>
    </row>
    <row r="2589" spans="1:8" x14ac:dyDescent="0.35">
      <c r="A2589">
        <v>6009900076775</v>
      </c>
      <c r="B2589" t="s">
        <v>2874</v>
      </c>
      <c r="C2589" t="s">
        <v>472</v>
      </c>
      <c r="D2589" t="s">
        <v>2261</v>
      </c>
      <c r="E2589" t="s">
        <v>34</v>
      </c>
      <c r="F2589" t="s">
        <v>2262</v>
      </c>
      <c r="G2589" t="s">
        <v>34</v>
      </c>
      <c r="H2589">
        <v>4</v>
      </c>
    </row>
    <row r="2590" spans="1:8" x14ac:dyDescent="0.35">
      <c r="A2590">
        <v>6009900262307</v>
      </c>
      <c r="B2590" t="s">
        <v>2875</v>
      </c>
      <c r="C2590" t="s">
        <v>9</v>
      </c>
      <c r="D2590" t="s">
        <v>2857</v>
      </c>
      <c r="E2590" t="s">
        <v>33</v>
      </c>
      <c r="F2590" t="s">
        <v>2855</v>
      </c>
      <c r="G2590" t="s">
        <v>33</v>
      </c>
      <c r="H2590">
        <v>174</v>
      </c>
    </row>
    <row r="2591" spans="1:8" x14ac:dyDescent="0.35">
      <c r="A2591">
        <v>6009900262314</v>
      </c>
      <c r="B2591" t="s">
        <v>262</v>
      </c>
      <c r="C2591" t="s">
        <v>81</v>
      </c>
      <c r="D2591" t="s">
        <v>2857</v>
      </c>
      <c r="E2591" t="s">
        <v>33</v>
      </c>
      <c r="F2591" t="s">
        <v>2855</v>
      </c>
      <c r="G2591" t="s">
        <v>33</v>
      </c>
      <c r="H2591">
        <v>103</v>
      </c>
    </row>
    <row r="2592" spans="1:8" x14ac:dyDescent="0.35">
      <c r="A2592">
        <v>6009900269061</v>
      </c>
      <c r="B2592" t="s">
        <v>2876</v>
      </c>
      <c r="C2592" t="s">
        <v>603</v>
      </c>
      <c r="D2592" t="s">
        <v>2877</v>
      </c>
      <c r="E2592" t="s">
        <v>117</v>
      </c>
      <c r="F2592" t="s">
        <v>377</v>
      </c>
      <c r="G2592" t="s">
        <v>117</v>
      </c>
      <c r="H2592">
        <v>4</v>
      </c>
    </row>
    <row r="2593" spans="1:8" x14ac:dyDescent="0.35">
      <c r="A2593">
        <v>6009900270302</v>
      </c>
      <c r="B2593" t="s">
        <v>2878</v>
      </c>
      <c r="C2593" t="s">
        <v>110</v>
      </c>
      <c r="D2593" t="s">
        <v>1358</v>
      </c>
      <c r="E2593" t="s">
        <v>117</v>
      </c>
      <c r="F2593" t="s">
        <v>1359</v>
      </c>
      <c r="G2593" t="s">
        <v>117</v>
      </c>
      <c r="H2593">
        <v>5</v>
      </c>
    </row>
    <row r="2594" spans="1:8" x14ac:dyDescent="0.35">
      <c r="A2594">
        <v>6009900374314</v>
      </c>
      <c r="B2594" t="s">
        <v>446</v>
      </c>
      <c r="C2594" t="s">
        <v>545</v>
      </c>
      <c r="D2594" t="s">
        <v>2879</v>
      </c>
      <c r="E2594" t="s">
        <v>117</v>
      </c>
      <c r="F2594" t="s">
        <v>2880</v>
      </c>
      <c r="G2594" t="s">
        <v>117</v>
      </c>
      <c r="H2594">
        <v>1</v>
      </c>
    </row>
    <row r="2595" spans="1:8" x14ac:dyDescent="0.35">
      <c r="A2595">
        <v>6009900374352</v>
      </c>
      <c r="B2595" t="s">
        <v>446</v>
      </c>
      <c r="C2595" t="s">
        <v>2881</v>
      </c>
      <c r="D2595" t="s">
        <v>2879</v>
      </c>
      <c r="E2595" t="s">
        <v>117</v>
      </c>
      <c r="F2595" t="s">
        <v>2880</v>
      </c>
      <c r="G2595" t="s">
        <v>117</v>
      </c>
      <c r="H2595">
        <v>191</v>
      </c>
    </row>
    <row r="2596" spans="1:8" x14ac:dyDescent="0.35">
      <c r="A2596">
        <v>6009900502182</v>
      </c>
      <c r="B2596" t="s">
        <v>581</v>
      </c>
      <c r="C2596" t="s">
        <v>9</v>
      </c>
      <c r="D2596" t="s">
        <v>2882</v>
      </c>
      <c r="E2596" t="s">
        <v>117</v>
      </c>
      <c r="F2596" t="s">
        <v>2883</v>
      </c>
      <c r="G2596" t="s">
        <v>117</v>
      </c>
      <c r="H2596">
        <v>1</v>
      </c>
    </row>
    <row r="2597" spans="1:8" x14ac:dyDescent="0.35">
      <c r="A2597">
        <v>6009900507354</v>
      </c>
      <c r="B2597" t="s">
        <v>262</v>
      </c>
      <c r="C2597" t="s">
        <v>9</v>
      </c>
      <c r="D2597" t="s">
        <v>2884</v>
      </c>
      <c r="E2597" t="s">
        <v>308</v>
      </c>
      <c r="F2597" t="s">
        <v>309</v>
      </c>
      <c r="G2597" t="s">
        <v>578</v>
      </c>
      <c r="H2597">
        <v>4</v>
      </c>
    </row>
    <row r="2598" spans="1:8" x14ac:dyDescent="0.35">
      <c r="A2598">
        <v>6014444972902</v>
      </c>
      <c r="B2598" t="s">
        <v>2626</v>
      </c>
      <c r="C2598" t="s">
        <v>75</v>
      </c>
      <c r="D2598" t="s">
        <v>2731</v>
      </c>
      <c r="E2598" t="s">
        <v>308</v>
      </c>
      <c r="F2598" t="s">
        <v>309</v>
      </c>
      <c r="G2598" t="s">
        <v>34</v>
      </c>
      <c r="H2598">
        <v>3</v>
      </c>
    </row>
    <row r="2599" spans="1:8" x14ac:dyDescent="0.35">
      <c r="A2599">
        <v>6017610373428</v>
      </c>
      <c r="B2599" t="s">
        <v>2885</v>
      </c>
      <c r="C2599" t="s">
        <v>192</v>
      </c>
      <c r="D2599" t="s">
        <v>1064</v>
      </c>
      <c r="E2599" t="s">
        <v>130</v>
      </c>
      <c r="F2599" t="s">
        <v>220</v>
      </c>
      <c r="G2599" t="s">
        <v>22</v>
      </c>
      <c r="H2599">
        <v>1</v>
      </c>
    </row>
    <row r="2600" spans="1:8" x14ac:dyDescent="0.35">
      <c r="A2600">
        <v>6019879794617</v>
      </c>
      <c r="B2600" t="s">
        <v>2886</v>
      </c>
      <c r="C2600" t="s">
        <v>9</v>
      </c>
      <c r="D2600" t="s">
        <v>2826</v>
      </c>
      <c r="E2600" t="s">
        <v>117</v>
      </c>
      <c r="F2600" t="s">
        <v>2562</v>
      </c>
      <c r="G2600" t="s">
        <v>117</v>
      </c>
      <c r="H2600">
        <v>1</v>
      </c>
    </row>
    <row r="2601" spans="1:8" x14ac:dyDescent="0.35">
      <c r="A2601">
        <v>6030057220414</v>
      </c>
      <c r="B2601" t="s">
        <v>2887</v>
      </c>
      <c r="C2601" t="s">
        <v>94</v>
      </c>
      <c r="D2601" t="s">
        <v>2888</v>
      </c>
      <c r="E2601" t="s">
        <v>1041</v>
      </c>
      <c r="F2601" t="s">
        <v>2889</v>
      </c>
      <c r="G2601" t="s">
        <v>41</v>
      </c>
      <c r="H2601">
        <v>175</v>
      </c>
    </row>
    <row r="2602" spans="1:8" x14ac:dyDescent="0.35">
      <c r="A2602">
        <v>6030057220988</v>
      </c>
      <c r="B2602" t="s">
        <v>2887</v>
      </c>
      <c r="C2602" t="s">
        <v>919</v>
      </c>
      <c r="D2602" t="s">
        <v>2888</v>
      </c>
      <c r="E2602" t="s">
        <v>1041</v>
      </c>
      <c r="F2602" t="s">
        <v>2889</v>
      </c>
      <c r="G2602" t="s">
        <v>41</v>
      </c>
      <c r="H2602">
        <v>22</v>
      </c>
    </row>
    <row r="2603" spans="1:8" x14ac:dyDescent="0.35">
      <c r="A2603">
        <v>6030057221015</v>
      </c>
      <c r="B2603" t="s">
        <v>2887</v>
      </c>
      <c r="C2603" t="s">
        <v>2890</v>
      </c>
      <c r="D2603" t="s">
        <v>2891</v>
      </c>
      <c r="E2603" t="s">
        <v>1041</v>
      </c>
      <c r="F2603" t="s">
        <v>2892</v>
      </c>
      <c r="G2603" t="s">
        <v>41</v>
      </c>
      <c r="H2603">
        <v>50</v>
      </c>
    </row>
    <row r="2604" spans="1:8" x14ac:dyDescent="0.35">
      <c r="A2604">
        <v>6033000083159</v>
      </c>
      <c r="B2604" t="s">
        <v>2893</v>
      </c>
      <c r="C2604" t="s">
        <v>919</v>
      </c>
      <c r="D2604" t="s">
        <v>2894</v>
      </c>
      <c r="E2604" t="s">
        <v>71</v>
      </c>
      <c r="F2604" t="s">
        <v>72</v>
      </c>
      <c r="G2604" t="s">
        <v>41</v>
      </c>
      <c r="H2604">
        <v>50</v>
      </c>
    </row>
    <row r="2605" spans="1:8" x14ac:dyDescent="0.35">
      <c r="A2605">
        <v>6033000086419</v>
      </c>
      <c r="B2605" t="s">
        <v>2895</v>
      </c>
      <c r="C2605" t="s">
        <v>2335</v>
      </c>
      <c r="D2605" t="s">
        <v>70</v>
      </c>
      <c r="E2605" t="s">
        <v>71</v>
      </c>
      <c r="F2605" t="s">
        <v>72</v>
      </c>
      <c r="G2605" t="s">
        <v>41</v>
      </c>
      <c r="H2605">
        <v>128</v>
      </c>
    </row>
    <row r="2606" spans="1:8" x14ac:dyDescent="0.35">
      <c r="A2606">
        <v>603300008662</v>
      </c>
      <c r="B2606" t="s">
        <v>2896</v>
      </c>
      <c r="C2606" t="s">
        <v>1275</v>
      </c>
      <c r="D2606" t="s">
        <v>70</v>
      </c>
      <c r="E2606" t="s">
        <v>71</v>
      </c>
      <c r="F2606" t="s">
        <v>72</v>
      </c>
      <c r="G2606" t="s">
        <v>41</v>
      </c>
      <c r="H2606">
        <v>51</v>
      </c>
    </row>
    <row r="2607" spans="1:8" x14ac:dyDescent="0.35">
      <c r="A2607">
        <v>6033000086815</v>
      </c>
      <c r="B2607" t="s">
        <v>2894</v>
      </c>
      <c r="C2607" t="s">
        <v>919</v>
      </c>
      <c r="D2607" t="s">
        <v>70</v>
      </c>
      <c r="E2607" t="s">
        <v>71</v>
      </c>
      <c r="F2607" t="s">
        <v>72</v>
      </c>
      <c r="G2607" t="s">
        <v>41</v>
      </c>
      <c r="H2607">
        <v>1</v>
      </c>
    </row>
    <row r="2608" spans="1:8" x14ac:dyDescent="0.35">
      <c r="A2608">
        <v>6033000087256</v>
      </c>
      <c r="B2608" t="s">
        <v>2897</v>
      </c>
      <c r="C2608" t="s">
        <v>663</v>
      </c>
      <c r="D2608" t="s">
        <v>2898</v>
      </c>
      <c r="E2608" t="s">
        <v>71</v>
      </c>
      <c r="F2608" t="s">
        <v>72</v>
      </c>
      <c r="G2608" t="s">
        <v>41</v>
      </c>
      <c r="H2608">
        <v>18</v>
      </c>
    </row>
    <row r="2609" spans="1:8" x14ac:dyDescent="0.35">
      <c r="A2609">
        <v>6033000087300</v>
      </c>
      <c r="B2609" t="s">
        <v>2899</v>
      </c>
      <c r="C2609" t="s">
        <v>801</v>
      </c>
      <c r="D2609" t="s">
        <v>70</v>
      </c>
      <c r="E2609" t="s">
        <v>71</v>
      </c>
      <c r="F2609" t="s">
        <v>72</v>
      </c>
      <c r="G2609" t="s">
        <v>41</v>
      </c>
      <c r="H2609">
        <v>1</v>
      </c>
    </row>
    <row r="2610" spans="1:8" x14ac:dyDescent="0.35">
      <c r="A2610">
        <v>6033000087973</v>
      </c>
      <c r="B2610" t="s">
        <v>139</v>
      </c>
      <c r="C2610" t="s">
        <v>659</v>
      </c>
      <c r="D2610" t="s">
        <v>2110</v>
      </c>
      <c r="E2610" t="s">
        <v>71</v>
      </c>
      <c r="F2610" t="s">
        <v>72</v>
      </c>
      <c r="G2610" t="s">
        <v>41</v>
      </c>
      <c r="H2610">
        <v>91</v>
      </c>
    </row>
    <row r="2611" spans="1:8" x14ac:dyDescent="0.35">
      <c r="A2611">
        <v>6033000088116</v>
      </c>
      <c r="B2611" t="s">
        <v>2900</v>
      </c>
      <c r="C2611" t="s">
        <v>1275</v>
      </c>
      <c r="D2611" t="s">
        <v>70</v>
      </c>
      <c r="E2611" t="s">
        <v>71</v>
      </c>
      <c r="F2611" t="s">
        <v>72</v>
      </c>
      <c r="G2611" t="s">
        <v>41</v>
      </c>
      <c r="H2611">
        <v>49</v>
      </c>
    </row>
    <row r="2612" spans="1:8" x14ac:dyDescent="0.35">
      <c r="A2612">
        <v>6033000088246</v>
      </c>
      <c r="B2612" t="s">
        <v>2901</v>
      </c>
      <c r="C2612" t="s">
        <v>2902</v>
      </c>
      <c r="D2612" t="s">
        <v>2110</v>
      </c>
      <c r="E2612" t="s">
        <v>71</v>
      </c>
      <c r="F2612" t="s">
        <v>72</v>
      </c>
      <c r="G2612" t="s">
        <v>41</v>
      </c>
      <c r="H2612">
        <v>2</v>
      </c>
    </row>
    <row r="2613" spans="1:8" x14ac:dyDescent="0.35">
      <c r="A2613">
        <v>6033000089274</v>
      </c>
      <c r="B2613" t="s">
        <v>2903</v>
      </c>
      <c r="C2613" t="s">
        <v>2902</v>
      </c>
      <c r="D2613" t="s">
        <v>2110</v>
      </c>
      <c r="E2613" t="s">
        <v>71</v>
      </c>
      <c r="F2613" t="s">
        <v>72</v>
      </c>
      <c r="G2613" t="s">
        <v>41</v>
      </c>
      <c r="H2613">
        <v>86</v>
      </c>
    </row>
    <row r="2614" spans="1:8" x14ac:dyDescent="0.35">
      <c r="A2614">
        <v>6033000292469</v>
      </c>
      <c r="B2614" t="s">
        <v>2904</v>
      </c>
      <c r="C2614" t="s">
        <v>69</v>
      </c>
      <c r="D2614" t="s">
        <v>2905</v>
      </c>
      <c r="E2614" t="s">
        <v>22</v>
      </c>
      <c r="F2614" t="s">
        <v>361</v>
      </c>
      <c r="G2614" t="s">
        <v>41</v>
      </c>
      <c r="H2614">
        <v>150</v>
      </c>
    </row>
    <row r="2615" spans="1:8" x14ac:dyDescent="0.35">
      <c r="A2615">
        <v>6033000293961</v>
      </c>
      <c r="B2615" t="s">
        <v>2906</v>
      </c>
      <c r="C2615" t="s">
        <v>2907</v>
      </c>
      <c r="D2615" t="s">
        <v>2908</v>
      </c>
      <c r="E2615" t="s">
        <v>22</v>
      </c>
      <c r="F2615" t="s">
        <v>361</v>
      </c>
      <c r="G2615" t="s">
        <v>41</v>
      </c>
      <c r="H2615">
        <v>1</v>
      </c>
    </row>
    <row r="2616" spans="1:8" x14ac:dyDescent="0.35">
      <c r="A2616">
        <v>6033000294807</v>
      </c>
      <c r="B2616" t="s">
        <v>2909</v>
      </c>
      <c r="C2616" t="s">
        <v>2576</v>
      </c>
      <c r="D2616" t="s">
        <v>2113</v>
      </c>
      <c r="E2616" t="s">
        <v>22</v>
      </c>
      <c r="F2616" t="s">
        <v>361</v>
      </c>
      <c r="G2616" t="s">
        <v>41</v>
      </c>
      <c r="H2616">
        <v>100</v>
      </c>
    </row>
    <row r="2617" spans="1:8" x14ac:dyDescent="0.35">
      <c r="A2617">
        <v>6033000295071</v>
      </c>
      <c r="B2617" t="s">
        <v>2910</v>
      </c>
      <c r="C2617" t="s">
        <v>94</v>
      </c>
      <c r="D2617" t="s">
        <v>2911</v>
      </c>
      <c r="E2617" t="s">
        <v>22</v>
      </c>
      <c r="F2617" t="s">
        <v>361</v>
      </c>
      <c r="G2617" t="s">
        <v>41</v>
      </c>
      <c r="H2617">
        <v>100</v>
      </c>
    </row>
    <row r="2618" spans="1:8" x14ac:dyDescent="0.35">
      <c r="A2618">
        <v>6033000299246</v>
      </c>
      <c r="B2618" t="s">
        <v>2912</v>
      </c>
      <c r="C2618" t="s">
        <v>445</v>
      </c>
      <c r="D2618" t="s">
        <v>2905</v>
      </c>
      <c r="E2618" t="s">
        <v>22</v>
      </c>
      <c r="F2618" t="s">
        <v>361</v>
      </c>
      <c r="G2618" t="s">
        <v>41</v>
      </c>
      <c r="H2618">
        <v>50</v>
      </c>
    </row>
    <row r="2619" spans="1:8" x14ac:dyDescent="0.35">
      <c r="A2619">
        <v>6033000300140</v>
      </c>
      <c r="B2619" t="s">
        <v>2913</v>
      </c>
      <c r="C2619" t="s">
        <v>94</v>
      </c>
      <c r="D2619" t="s">
        <v>2914</v>
      </c>
      <c r="E2619" t="s">
        <v>2227</v>
      </c>
      <c r="F2619" t="s">
        <v>2532</v>
      </c>
      <c r="G2619" t="s">
        <v>41</v>
      </c>
      <c r="H2619">
        <v>493</v>
      </c>
    </row>
    <row r="2620" spans="1:8" x14ac:dyDescent="0.35">
      <c r="A2620">
        <v>6033000300621</v>
      </c>
      <c r="B2620" t="s">
        <v>2915</v>
      </c>
      <c r="C2620" t="s">
        <v>919</v>
      </c>
      <c r="D2620" t="s">
        <v>2916</v>
      </c>
      <c r="E2620" t="s">
        <v>2227</v>
      </c>
      <c r="F2620" t="s">
        <v>2917</v>
      </c>
      <c r="G2620" t="s">
        <v>41</v>
      </c>
      <c r="H2620">
        <v>10</v>
      </c>
    </row>
    <row r="2621" spans="1:8" x14ac:dyDescent="0.35">
      <c r="A2621">
        <v>6033000302007</v>
      </c>
      <c r="B2621" t="s">
        <v>2918</v>
      </c>
      <c r="C2621" t="s">
        <v>106</v>
      </c>
      <c r="D2621" t="s">
        <v>2919</v>
      </c>
      <c r="E2621" t="s">
        <v>2227</v>
      </c>
      <c r="F2621" t="s">
        <v>2917</v>
      </c>
      <c r="G2621" t="s">
        <v>41</v>
      </c>
      <c r="H2621">
        <v>100</v>
      </c>
    </row>
    <row r="2622" spans="1:8" x14ac:dyDescent="0.35">
      <c r="A2622">
        <v>6033000302397</v>
      </c>
      <c r="B2622" t="s">
        <v>2920</v>
      </c>
      <c r="C2622" t="s">
        <v>967</v>
      </c>
      <c r="D2622" t="s">
        <v>2921</v>
      </c>
      <c r="E2622" t="s">
        <v>2227</v>
      </c>
      <c r="F2622" t="s">
        <v>2917</v>
      </c>
      <c r="G2622" t="s">
        <v>41</v>
      </c>
      <c r="H2622">
        <v>100</v>
      </c>
    </row>
    <row r="2623" spans="1:8" x14ac:dyDescent="0.35">
      <c r="A2623">
        <v>6033000302557</v>
      </c>
      <c r="B2623" t="s">
        <v>2922</v>
      </c>
      <c r="C2623" t="s">
        <v>2923</v>
      </c>
      <c r="D2623" t="s">
        <v>2916</v>
      </c>
      <c r="E2623" t="s">
        <v>2227</v>
      </c>
      <c r="F2623" t="s">
        <v>2917</v>
      </c>
      <c r="G2623" t="s">
        <v>41</v>
      </c>
      <c r="H2623">
        <v>111</v>
      </c>
    </row>
    <row r="2624" spans="1:8" x14ac:dyDescent="0.35">
      <c r="A2624">
        <v>6033000303974</v>
      </c>
      <c r="B2624" t="s">
        <v>2924</v>
      </c>
      <c r="C2624" t="s">
        <v>94</v>
      </c>
      <c r="D2624" t="s">
        <v>2914</v>
      </c>
      <c r="E2624" t="s">
        <v>2227</v>
      </c>
      <c r="F2624" t="s">
        <v>2532</v>
      </c>
      <c r="G2624" t="s">
        <v>41</v>
      </c>
      <c r="H2624">
        <v>86</v>
      </c>
    </row>
    <row r="2625" spans="1:8" x14ac:dyDescent="0.35">
      <c r="A2625">
        <v>6033000303981</v>
      </c>
      <c r="B2625" t="s">
        <v>2924</v>
      </c>
      <c r="C2625" t="s">
        <v>2925</v>
      </c>
      <c r="D2625" t="s">
        <v>2914</v>
      </c>
      <c r="E2625" t="s">
        <v>2227</v>
      </c>
      <c r="F2625" t="s">
        <v>2532</v>
      </c>
      <c r="G2625" t="s">
        <v>41</v>
      </c>
      <c r="H2625">
        <v>191</v>
      </c>
    </row>
    <row r="2626" spans="1:8" x14ac:dyDescent="0.35">
      <c r="A2626">
        <v>6033000303998</v>
      </c>
      <c r="B2626" t="s">
        <v>2926</v>
      </c>
      <c r="C2626" t="s">
        <v>94</v>
      </c>
      <c r="D2626" t="s">
        <v>2914</v>
      </c>
      <c r="E2626" t="s">
        <v>2227</v>
      </c>
      <c r="F2626" t="s">
        <v>2532</v>
      </c>
      <c r="G2626" t="s">
        <v>41</v>
      </c>
      <c r="H2626">
        <v>94</v>
      </c>
    </row>
    <row r="2627" spans="1:8" x14ac:dyDescent="0.35">
      <c r="A2627">
        <v>6033000340085</v>
      </c>
      <c r="B2627" t="s">
        <v>1769</v>
      </c>
      <c r="C2627" t="s">
        <v>9</v>
      </c>
      <c r="D2627" t="s">
        <v>2927</v>
      </c>
      <c r="E2627" t="s">
        <v>41</v>
      </c>
      <c r="F2627" t="s">
        <v>2928</v>
      </c>
      <c r="G2627" t="s">
        <v>41</v>
      </c>
      <c r="H2627">
        <v>1680</v>
      </c>
    </row>
    <row r="2628" spans="1:8" x14ac:dyDescent="0.35">
      <c r="A2628">
        <v>6033000340351</v>
      </c>
      <c r="B2628" t="s">
        <v>2929</v>
      </c>
      <c r="C2628" t="s">
        <v>9</v>
      </c>
      <c r="D2628" t="s">
        <v>2930</v>
      </c>
      <c r="E2628" t="s">
        <v>41</v>
      </c>
      <c r="F2628" t="s">
        <v>2928</v>
      </c>
      <c r="G2628" t="s">
        <v>41</v>
      </c>
      <c r="H2628">
        <v>78</v>
      </c>
    </row>
    <row r="2629" spans="1:8" x14ac:dyDescent="0.35">
      <c r="A2629">
        <v>6033000340474</v>
      </c>
      <c r="B2629" t="s">
        <v>2931</v>
      </c>
      <c r="C2629" t="s">
        <v>9</v>
      </c>
      <c r="D2629" t="s">
        <v>2931</v>
      </c>
      <c r="E2629" t="s">
        <v>41</v>
      </c>
      <c r="F2629" t="s">
        <v>2928</v>
      </c>
      <c r="G2629" t="s">
        <v>130</v>
      </c>
      <c r="H2629">
        <v>1</v>
      </c>
    </row>
    <row r="2630" spans="1:8" x14ac:dyDescent="0.35">
      <c r="A2630">
        <v>6033000340474</v>
      </c>
      <c r="B2630" t="s">
        <v>2931</v>
      </c>
      <c r="C2630" t="s">
        <v>9</v>
      </c>
      <c r="D2630" t="s">
        <v>2931</v>
      </c>
      <c r="E2630" t="s">
        <v>41</v>
      </c>
      <c r="F2630" t="s">
        <v>2928</v>
      </c>
      <c r="G2630" t="s">
        <v>41</v>
      </c>
      <c r="H2630">
        <v>1466</v>
      </c>
    </row>
    <row r="2631" spans="1:8" x14ac:dyDescent="0.35">
      <c r="A2631">
        <v>6033000340733</v>
      </c>
      <c r="B2631" t="s">
        <v>834</v>
      </c>
      <c r="C2631" t="s">
        <v>326</v>
      </c>
      <c r="D2631" t="s">
        <v>2932</v>
      </c>
      <c r="E2631" t="s">
        <v>41</v>
      </c>
      <c r="F2631" t="s">
        <v>2928</v>
      </c>
      <c r="G2631" t="s">
        <v>41</v>
      </c>
      <c r="H2631">
        <v>1313</v>
      </c>
    </row>
    <row r="2632" spans="1:8" x14ac:dyDescent="0.35">
      <c r="A2632">
        <v>6033000341143</v>
      </c>
      <c r="B2632" t="s">
        <v>2933</v>
      </c>
      <c r="C2632" t="s">
        <v>272</v>
      </c>
      <c r="D2632" t="s">
        <v>2934</v>
      </c>
      <c r="E2632" t="s">
        <v>41</v>
      </c>
      <c r="F2632" t="s">
        <v>2928</v>
      </c>
      <c r="G2632" t="s">
        <v>41</v>
      </c>
      <c r="H2632">
        <v>25</v>
      </c>
    </row>
    <row r="2633" spans="1:8" x14ac:dyDescent="0.35">
      <c r="A2633">
        <v>6033000342010</v>
      </c>
      <c r="B2633" t="s">
        <v>2935</v>
      </c>
      <c r="C2633" t="s">
        <v>472</v>
      </c>
      <c r="D2633" t="s">
        <v>2930</v>
      </c>
      <c r="E2633" t="s">
        <v>41</v>
      </c>
      <c r="F2633" t="s">
        <v>2928</v>
      </c>
      <c r="G2633" t="s">
        <v>41</v>
      </c>
      <c r="H2633">
        <v>231</v>
      </c>
    </row>
    <row r="2634" spans="1:8" x14ac:dyDescent="0.35">
      <c r="A2634">
        <v>6033000342027</v>
      </c>
      <c r="B2634" t="s">
        <v>2936</v>
      </c>
      <c r="C2634" t="s">
        <v>472</v>
      </c>
      <c r="D2634" t="s">
        <v>2931</v>
      </c>
      <c r="E2634" t="s">
        <v>41</v>
      </c>
      <c r="F2634" t="s">
        <v>2928</v>
      </c>
      <c r="G2634" t="s">
        <v>41</v>
      </c>
      <c r="H2634">
        <v>432</v>
      </c>
    </row>
    <row r="2635" spans="1:8" x14ac:dyDescent="0.35">
      <c r="A2635">
        <v>6033000342034</v>
      </c>
      <c r="B2635" t="s">
        <v>2937</v>
      </c>
      <c r="C2635" t="s">
        <v>472</v>
      </c>
      <c r="D2635" t="s">
        <v>2927</v>
      </c>
      <c r="E2635" t="s">
        <v>41</v>
      </c>
      <c r="F2635" t="s">
        <v>2928</v>
      </c>
      <c r="G2635" t="s">
        <v>41</v>
      </c>
      <c r="H2635">
        <v>867</v>
      </c>
    </row>
    <row r="2636" spans="1:8" x14ac:dyDescent="0.35">
      <c r="A2636">
        <v>6033000342348</v>
      </c>
      <c r="B2636" t="s">
        <v>2938</v>
      </c>
      <c r="C2636" t="s">
        <v>66</v>
      </c>
      <c r="D2636" t="s">
        <v>2306</v>
      </c>
      <c r="E2636" t="s">
        <v>41</v>
      </c>
      <c r="F2636" t="s">
        <v>2928</v>
      </c>
      <c r="G2636" t="s">
        <v>41</v>
      </c>
      <c r="H2636">
        <v>45</v>
      </c>
    </row>
    <row r="2637" spans="1:8" x14ac:dyDescent="0.35">
      <c r="A2637">
        <v>6033000342362</v>
      </c>
      <c r="B2637" t="s">
        <v>2939</v>
      </c>
      <c r="C2637" t="s">
        <v>66</v>
      </c>
      <c r="D2637" t="s">
        <v>2940</v>
      </c>
      <c r="E2637" t="s">
        <v>41</v>
      </c>
      <c r="F2637" t="s">
        <v>2928</v>
      </c>
      <c r="G2637" t="s">
        <v>41</v>
      </c>
      <c r="H2637">
        <v>241</v>
      </c>
    </row>
    <row r="2638" spans="1:8" x14ac:dyDescent="0.35">
      <c r="A2638">
        <v>6033000342775</v>
      </c>
      <c r="B2638" t="s">
        <v>2941</v>
      </c>
      <c r="C2638" t="s">
        <v>472</v>
      </c>
      <c r="D2638" t="s">
        <v>2942</v>
      </c>
      <c r="E2638" t="s">
        <v>41</v>
      </c>
      <c r="F2638" t="s">
        <v>2928</v>
      </c>
      <c r="G2638" t="s">
        <v>41</v>
      </c>
      <c r="H2638">
        <v>73</v>
      </c>
    </row>
    <row r="2639" spans="1:8" x14ac:dyDescent="0.35">
      <c r="A2639">
        <v>6033000350398</v>
      </c>
      <c r="B2639" t="s">
        <v>2943</v>
      </c>
      <c r="C2639" t="s">
        <v>385</v>
      </c>
      <c r="D2639" t="s">
        <v>2944</v>
      </c>
      <c r="E2639" t="s">
        <v>41</v>
      </c>
      <c r="F2639" t="s">
        <v>2945</v>
      </c>
      <c r="G2639" t="s">
        <v>41</v>
      </c>
      <c r="H2639">
        <v>50</v>
      </c>
    </row>
    <row r="2640" spans="1:8" x14ac:dyDescent="0.35">
      <c r="A2640">
        <v>6033000380081</v>
      </c>
      <c r="B2640" t="s">
        <v>2946</v>
      </c>
      <c r="C2640" t="s">
        <v>2089</v>
      </c>
      <c r="D2640" t="s">
        <v>2946</v>
      </c>
      <c r="E2640" t="s">
        <v>2227</v>
      </c>
      <c r="F2640" t="s">
        <v>2947</v>
      </c>
      <c r="G2640" t="s">
        <v>41</v>
      </c>
      <c r="H2640">
        <v>50</v>
      </c>
    </row>
    <row r="2641" spans="1:8" x14ac:dyDescent="0.35">
      <c r="A2641">
        <v>6033000414816</v>
      </c>
      <c r="B2641" t="s">
        <v>2887</v>
      </c>
      <c r="C2641" t="s">
        <v>43</v>
      </c>
      <c r="D2641" t="s">
        <v>1040</v>
      </c>
      <c r="E2641" t="s">
        <v>1041</v>
      </c>
      <c r="F2641" t="s">
        <v>1042</v>
      </c>
      <c r="G2641" t="s">
        <v>41</v>
      </c>
      <c r="H2641">
        <v>103</v>
      </c>
    </row>
    <row r="2642" spans="1:8" x14ac:dyDescent="0.35">
      <c r="A2642">
        <v>6033000430373</v>
      </c>
      <c r="B2642" t="s">
        <v>2948</v>
      </c>
      <c r="C2642" t="s">
        <v>2949</v>
      </c>
      <c r="D2642" t="s">
        <v>2950</v>
      </c>
      <c r="E2642" t="s">
        <v>308</v>
      </c>
      <c r="F2642" t="s">
        <v>309</v>
      </c>
      <c r="G2642" t="s">
        <v>41</v>
      </c>
      <c r="H2642">
        <v>94</v>
      </c>
    </row>
    <row r="2643" spans="1:8" x14ac:dyDescent="0.35">
      <c r="A2643">
        <v>6033000430861</v>
      </c>
      <c r="B2643" t="s">
        <v>2951</v>
      </c>
      <c r="C2643" t="s">
        <v>164</v>
      </c>
      <c r="D2643" t="s">
        <v>2950</v>
      </c>
      <c r="E2643" t="s">
        <v>308</v>
      </c>
      <c r="F2643" t="s">
        <v>309</v>
      </c>
      <c r="G2643" t="s">
        <v>41</v>
      </c>
      <c r="H2643">
        <v>101</v>
      </c>
    </row>
    <row r="2644" spans="1:8" x14ac:dyDescent="0.35">
      <c r="A2644">
        <v>6033000520616</v>
      </c>
      <c r="B2644" t="s">
        <v>2952</v>
      </c>
      <c r="C2644" t="s">
        <v>967</v>
      </c>
      <c r="D2644" t="s">
        <v>455</v>
      </c>
      <c r="E2644" t="s">
        <v>41</v>
      </c>
      <c r="F2644" t="s">
        <v>456</v>
      </c>
      <c r="G2644" t="s">
        <v>41</v>
      </c>
      <c r="H2644">
        <v>1</v>
      </c>
    </row>
    <row r="2645" spans="1:8" x14ac:dyDescent="0.35">
      <c r="A2645">
        <v>6033000522146</v>
      </c>
      <c r="B2645" t="s">
        <v>2953</v>
      </c>
      <c r="C2645" t="s">
        <v>94</v>
      </c>
      <c r="D2645" t="s">
        <v>2953</v>
      </c>
      <c r="E2645" t="s">
        <v>41</v>
      </c>
      <c r="F2645" t="s">
        <v>456</v>
      </c>
      <c r="G2645" t="s">
        <v>41</v>
      </c>
      <c r="H2645">
        <v>1</v>
      </c>
    </row>
    <row r="2646" spans="1:8" x14ac:dyDescent="0.35">
      <c r="A2646">
        <v>6033000522535</v>
      </c>
      <c r="B2646" t="s">
        <v>2954</v>
      </c>
      <c r="C2646" t="s">
        <v>663</v>
      </c>
      <c r="D2646" t="s">
        <v>455</v>
      </c>
      <c r="E2646" t="s">
        <v>41</v>
      </c>
      <c r="F2646" t="s">
        <v>456</v>
      </c>
      <c r="G2646" t="s">
        <v>41</v>
      </c>
      <c r="H2646">
        <v>50</v>
      </c>
    </row>
    <row r="2647" spans="1:8" x14ac:dyDescent="0.35">
      <c r="A2647">
        <v>6033000523532</v>
      </c>
      <c r="B2647" t="s">
        <v>1334</v>
      </c>
      <c r="C2647" t="s">
        <v>472</v>
      </c>
      <c r="D2647" t="s">
        <v>998</v>
      </c>
      <c r="E2647" t="s">
        <v>15</v>
      </c>
      <c r="F2647" t="s">
        <v>901</v>
      </c>
      <c r="G2647" t="s">
        <v>41</v>
      </c>
      <c r="H2647">
        <v>21</v>
      </c>
    </row>
    <row r="2648" spans="1:8" x14ac:dyDescent="0.35">
      <c r="A2648">
        <v>6033000523648</v>
      </c>
      <c r="B2648" t="s">
        <v>2955</v>
      </c>
      <c r="C2648" t="s">
        <v>472</v>
      </c>
      <c r="D2648" t="s">
        <v>473</v>
      </c>
      <c r="E2648" t="s">
        <v>41</v>
      </c>
      <c r="F2648" t="s">
        <v>456</v>
      </c>
      <c r="G2648" t="s">
        <v>41</v>
      </c>
      <c r="H2648">
        <v>17</v>
      </c>
    </row>
    <row r="2649" spans="1:8" x14ac:dyDescent="0.35">
      <c r="A2649">
        <v>6033000523877</v>
      </c>
      <c r="B2649" t="s">
        <v>2956</v>
      </c>
      <c r="C2649" t="s">
        <v>2957</v>
      </c>
      <c r="D2649" t="s">
        <v>455</v>
      </c>
      <c r="E2649" t="s">
        <v>41</v>
      </c>
      <c r="F2649" t="s">
        <v>456</v>
      </c>
      <c r="G2649" t="s">
        <v>41</v>
      </c>
      <c r="H2649">
        <v>100</v>
      </c>
    </row>
    <row r="2650" spans="1:8" x14ac:dyDescent="0.35">
      <c r="A2650">
        <v>6033000524362</v>
      </c>
      <c r="B2650" t="s">
        <v>2958</v>
      </c>
      <c r="C2650" t="s">
        <v>2959</v>
      </c>
      <c r="D2650" t="s">
        <v>455</v>
      </c>
      <c r="E2650" t="s">
        <v>41</v>
      </c>
      <c r="F2650" t="s">
        <v>456</v>
      </c>
      <c r="G2650" t="s">
        <v>41</v>
      </c>
      <c r="H2650">
        <v>1</v>
      </c>
    </row>
    <row r="2651" spans="1:8" x14ac:dyDescent="0.35">
      <c r="A2651">
        <v>6033000524577</v>
      </c>
      <c r="B2651" t="s">
        <v>2960</v>
      </c>
      <c r="C2651" t="s">
        <v>472</v>
      </c>
      <c r="D2651" t="s">
        <v>2961</v>
      </c>
      <c r="E2651" t="s">
        <v>41</v>
      </c>
      <c r="F2651" t="s">
        <v>456</v>
      </c>
      <c r="G2651" t="s">
        <v>41</v>
      </c>
      <c r="H2651">
        <v>25</v>
      </c>
    </row>
    <row r="2652" spans="1:8" x14ac:dyDescent="0.35">
      <c r="A2652">
        <v>6033000524843</v>
      </c>
      <c r="B2652" t="s">
        <v>2962</v>
      </c>
      <c r="C2652" t="s">
        <v>43</v>
      </c>
      <c r="D2652" t="s">
        <v>455</v>
      </c>
      <c r="E2652" t="s">
        <v>41</v>
      </c>
      <c r="F2652" t="s">
        <v>456</v>
      </c>
      <c r="G2652" t="s">
        <v>41</v>
      </c>
      <c r="H2652">
        <v>101</v>
      </c>
    </row>
    <row r="2653" spans="1:8" x14ac:dyDescent="0.35">
      <c r="A2653">
        <v>6033000550231</v>
      </c>
      <c r="B2653" t="s">
        <v>2963</v>
      </c>
      <c r="C2653" t="s">
        <v>603</v>
      </c>
      <c r="D2653" t="s">
        <v>2964</v>
      </c>
      <c r="E2653" t="s">
        <v>41</v>
      </c>
      <c r="F2653" t="s">
        <v>1090</v>
      </c>
      <c r="G2653" t="s">
        <v>41</v>
      </c>
      <c r="H2653">
        <v>27</v>
      </c>
    </row>
    <row r="2654" spans="1:8" x14ac:dyDescent="0.35">
      <c r="A2654">
        <v>6033000550255</v>
      </c>
      <c r="B2654" t="s">
        <v>2965</v>
      </c>
      <c r="C2654" t="s">
        <v>472</v>
      </c>
      <c r="D2654" t="s">
        <v>2966</v>
      </c>
      <c r="E2654" t="s">
        <v>41</v>
      </c>
      <c r="F2654" t="s">
        <v>1090</v>
      </c>
      <c r="G2654" t="s">
        <v>41</v>
      </c>
      <c r="H2654">
        <v>18</v>
      </c>
    </row>
    <row r="2655" spans="1:8" x14ac:dyDescent="0.35">
      <c r="A2655">
        <v>6033000550408</v>
      </c>
      <c r="B2655" t="s">
        <v>2967</v>
      </c>
      <c r="C2655" t="s">
        <v>603</v>
      </c>
      <c r="D2655" t="s">
        <v>2968</v>
      </c>
      <c r="E2655" t="s">
        <v>41</v>
      </c>
      <c r="F2655" t="s">
        <v>1090</v>
      </c>
      <c r="G2655" t="s">
        <v>41</v>
      </c>
      <c r="H2655">
        <v>79</v>
      </c>
    </row>
    <row r="2656" spans="1:8" x14ac:dyDescent="0.35">
      <c r="A2656">
        <v>6033000570109</v>
      </c>
      <c r="B2656" t="s">
        <v>2969</v>
      </c>
      <c r="C2656" t="s">
        <v>2970</v>
      </c>
      <c r="D2656" t="s">
        <v>2969</v>
      </c>
      <c r="E2656" t="s">
        <v>2227</v>
      </c>
      <c r="F2656" t="s">
        <v>2228</v>
      </c>
      <c r="G2656" t="s">
        <v>41</v>
      </c>
      <c r="H2656">
        <v>50</v>
      </c>
    </row>
    <row r="2657" spans="1:8" x14ac:dyDescent="0.35">
      <c r="A2657">
        <v>6034000003017</v>
      </c>
      <c r="B2657" t="s">
        <v>2971</v>
      </c>
      <c r="C2657" t="s">
        <v>431</v>
      </c>
      <c r="D2657" t="s">
        <v>2972</v>
      </c>
      <c r="E2657" t="s">
        <v>308</v>
      </c>
      <c r="F2657" t="s">
        <v>309</v>
      </c>
      <c r="G2657" t="s">
        <v>41</v>
      </c>
      <c r="H2657">
        <v>12</v>
      </c>
    </row>
    <row r="2658" spans="1:8" x14ac:dyDescent="0.35">
      <c r="A2658">
        <v>6034000004021</v>
      </c>
      <c r="B2658" t="s">
        <v>2973</v>
      </c>
      <c r="C2658" t="s">
        <v>87</v>
      </c>
      <c r="D2658" t="s">
        <v>2974</v>
      </c>
      <c r="E2658" t="s">
        <v>41</v>
      </c>
      <c r="F2658" t="s">
        <v>2975</v>
      </c>
      <c r="G2658" t="s">
        <v>41</v>
      </c>
      <c r="H2658">
        <v>280</v>
      </c>
    </row>
    <row r="2659" spans="1:8" x14ac:dyDescent="0.35">
      <c r="A2659">
        <v>6034000004472</v>
      </c>
      <c r="B2659" t="s">
        <v>1011</v>
      </c>
      <c r="C2659" t="s">
        <v>9</v>
      </c>
      <c r="D2659" t="s">
        <v>2976</v>
      </c>
      <c r="E2659" t="s">
        <v>598</v>
      </c>
      <c r="F2659" t="s">
        <v>2977</v>
      </c>
      <c r="G2659" t="s">
        <v>598</v>
      </c>
      <c r="H2659">
        <v>1</v>
      </c>
    </row>
    <row r="2660" spans="1:8" x14ac:dyDescent="0.35">
      <c r="A2660">
        <v>6034000005202</v>
      </c>
      <c r="B2660" t="s">
        <v>1011</v>
      </c>
      <c r="C2660" t="s">
        <v>9</v>
      </c>
      <c r="D2660" t="s">
        <v>24</v>
      </c>
      <c r="E2660" t="s">
        <v>15</v>
      </c>
      <c r="F2660" t="s">
        <v>25</v>
      </c>
      <c r="G2660" t="s">
        <v>598</v>
      </c>
      <c r="H2660">
        <v>6</v>
      </c>
    </row>
    <row r="2661" spans="1:8" x14ac:dyDescent="0.35">
      <c r="A2661">
        <v>6034000005424</v>
      </c>
      <c r="B2661" t="s">
        <v>262</v>
      </c>
      <c r="C2661" t="s">
        <v>326</v>
      </c>
      <c r="D2661" t="s">
        <v>285</v>
      </c>
      <c r="E2661" t="s">
        <v>15</v>
      </c>
      <c r="F2661" t="s">
        <v>56</v>
      </c>
      <c r="G2661" t="s">
        <v>598</v>
      </c>
      <c r="H2661">
        <v>9</v>
      </c>
    </row>
    <row r="2662" spans="1:8" x14ac:dyDescent="0.35">
      <c r="A2662">
        <v>6034000005462</v>
      </c>
      <c r="B2662" t="s">
        <v>1884</v>
      </c>
      <c r="C2662" t="s">
        <v>9</v>
      </c>
      <c r="D2662" t="s">
        <v>2976</v>
      </c>
      <c r="E2662" t="s">
        <v>598</v>
      </c>
      <c r="F2662" t="s">
        <v>2977</v>
      </c>
      <c r="G2662" t="s">
        <v>598</v>
      </c>
      <c r="H2662">
        <v>10</v>
      </c>
    </row>
    <row r="2663" spans="1:8" x14ac:dyDescent="0.35">
      <c r="A2663">
        <v>6034000028034</v>
      </c>
      <c r="B2663" t="s">
        <v>2978</v>
      </c>
      <c r="C2663" t="s">
        <v>66</v>
      </c>
      <c r="D2663" t="s">
        <v>2979</v>
      </c>
      <c r="E2663" t="s">
        <v>22</v>
      </c>
      <c r="F2663" t="s">
        <v>2980</v>
      </c>
      <c r="G2663" t="s">
        <v>41</v>
      </c>
      <c r="H2663">
        <v>729</v>
      </c>
    </row>
    <row r="2664" spans="1:8" x14ac:dyDescent="0.35">
      <c r="A2664">
        <v>6034000028072</v>
      </c>
      <c r="B2664" t="s">
        <v>2981</v>
      </c>
      <c r="C2664" t="s">
        <v>66</v>
      </c>
      <c r="D2664" t="s">
        <v>2982</v>
      </c>
      <c r="E2664" t="s">
        <v>22</v>
      </c>
      <c r="F2664" t="s">
        <v>2980</v>
      </c>
      <c r="G2664" t="s">
        <v>41</v>
      </c>
      <c r="H2664">
        <v>773</v>
      </c>
    </row>
    <row r="2665" spans="1:8" x14ac:dyDescent="0.35">
      <c r="A2665">
        <v>6034000048001</v>
      </c>
      <c r="B2665" t="s">
        <v>1839</v>
      </c>
      <c r="C2665" t="s">
        <v>192</v>
      </c>
      <c r="D2665" t="s">
        <v>2983</v>
      </c>
      <c r="E2665" t="s">
        <v>15</v>
      </c>
      <c r="F2665" t="s">
        <v>14</v>
      </c>
      <c r="G2665" t="s">
        <v>41</v>
      </c>
      <c r="H2665">
        <v>198</v>
      </c>
    </row>
    <row r="2666" spans="1:8" x14ac:dyDescent="0.35">
      <c r="A2666">
        <v>6034000048001</v>
      </c>
      <c r="B2666" t="s">
        <v>1839</v>
      </c>
      <c r="C2666" t="s">
        <v>192</v>
      </c>
      <c r="D2666" t="s">
        <v>2983</v>
      </c>
      <c r="E2666" t="s">
        <v>15</v>
      </c>
      <c r="F2666" t="s">
        <v>14</v>
      </c>
      <c r="G2666" t="s">
        <v>2984</v>
      </c>
      <c r="H2666">
        <v>1</v>
      </c>
    </row>
    <row r="2667" spans="1:8" x14ac:dyDescent="0.35">
      <c r="A2667">
        <v>6034000048018</v>
      </c>
      <c r="B2667" t="s">
        <v>485</v>
      </c>
      <c r="C2667" t="s">
        <v>326</v>
      </c>
      <c r="D2667" t="s">
        <v>2983</v>
      </c>
      <c r="E2667" t="s">
        <v>15</v>
      </c>
      <c r="F2667" t="s">
        <v>14</v>
      </c>
      <c r="G2667" t="s">
        <v>41</v>
      </c>
      <c r="H2667">
        <v>524</v>
      </c>
    </row>
    <row r="2668" spans="1:8" x14ac:dyDescent="0.35">
      <c r="A2668">
        <v>6034000048032</v>
      </c>
      <c r="B2668" t="s">
        <v>485</v>
      </c>
      <c r="C2668" t="s">
        <v>9</v>
      </c>
      <c r="D2668" t="s">
        <v>2983</v>
      </c>
      <c r="E2668" t="s">
        <v>15</v>
      </c>
      <c r="F2668" t="s">
        <v>14</v>
      </c>
      <c r="G2668" t="s">
        <v>41</v>
      </c>
      <c r="H2668">
        <v>2873</v>
      </c>
    </row>
    <row r="2669" spans="1:8" x14ac:dyDescent="0.35">
      <c r="A2669">
        <v>60340000510744</v>
      </c>
      <c r="B2669" t="s">
        <v>2985</v>
      </c>
      <c r="C2669" t="s">
        <v>9</v>
      </c>
      <c r="D2669" t="s">
        <v>2986</v>
      </c>
      <c r="E2669" t="s">
        <v>41</v>
      </c>
      <c r="F2669" t="s">
        <v>456</v>
      </c>
      <c r="G2669" t="s">
        <v>41</v>
      </c>
      <c r="H2669">
        <v>2</v>
      </c>
    </row>
    <row r="2670" spans="1:8" x14ac:dyDescent="0.35">
      <c r="A2670">
        <v>6034000053609</v>
      </c>
      <c r="B2670" t="s">
        <v>2987</v>
      </c>
      <c r="C2670" t="s">
        <v>2988</v>
      </c>
      <c r="D2670" t="s">
        <v>2989</v>
      </c>
      <c r="E2670" t="s">
        <v>41</v>
      </c>
      <c r="F2670" t="s">
        <v>2990</v>
      </c>
      <c r="G2670" t="s">
        <v>41</v>
      </c>
      <c r="H2670">
        <v>150</v>
      </c>
    </row>
    <row r="2671" spans="1:8" x14ac:dyDescent="0.35">
      <c r="A2671">
        <v>6034000083019</v>
      </c>
      <c r="B2671" t="s">
        <v>2991</v>
      </c>
      <c r="C2671" t="s">
        <v>9</v>
      </c>
      <c r="D2671" t="s">
        <v>2991</v>
      </c>
      <c r="E2671" t="s">
        <v>41</v>
      </c>
      <c r="F2671" t="s">
        <v>2928</v>
      </c>
      <c r="G2671" t="s">
        <v>41</v>
      </c>
      <c r="H2671">
        <v>13</v>
      </c>
    </row>
    <row r="2672" spans="1:8" x14ac:dyDescent="0.35">
      <c r="A2672">
        <v>6034000083026</v>
      </c>
      <c r="B2672" t="s">
        <v>2992</v>
      </c>
      <c r="C2672" t="s">
        <v>36</v>
      </c>
      <c r="D2672" t="s">
        <v>2993</v>
      </c>
      <c r="E2672" t="s">
        <v>41</v>
      </c>
      <c r="F2672" t="s">
        <v>2928</v>
      </c>
      <c r="G2672" t="s">
        <v>41</v>
      </c>
      <c r="H2672">
        <v>61</v>
      </c>
    </row>
    <row r="2673" spans="1:8" x14ac:dyDescent="0.35">
      <c r="A2673">
        <v>6034000083026</v>
      </c>
      <c r="B2673" t="s">
        <v>2992</v>
      </c>
      <c r="C2673" t="s">
        <v>36</v>
      </c>
      <c r="D2673" t="s">
        <v>2993</v>
      </c>
      <c r="E2673" t="s">
        <v>41</v>
      </c>
      <c r="F2673" t="s">
        <v>2928</v>
      </c>
      <c r="G2673" t="s">
        <v>34</v>
      </c>
      <c r="H2673">
        <v>1</v>
      </c>
    </row>
    <row r="2674" spans="1:8" x14ac:dyDescent="0.35">
      <c r="A2674">
        <v>6034000083101</v>
      </c>
      <c r="B2674" t="s">
        <v>2994</v>
      </c>
      <c r="C2674" t="s">
        <v>2995</v>
      </c>
      <c r="D2674" t="s">
        <v>2996</v>
      </c>
      <c r="E2674" t="s">
        <v>41</v>
      </c>
      <c r="F2674" t="s">
        <v>2928</v>
      </c>
      <c r="G2674" t="s">
        <v>41</v>
      </c>
      <c r="H2674">
        <v>1221</v>
      </c>
    </row>
    <row r="2675" spans="1:8" x14ac:dyDescent="0.35">
      <c r="A2675">
        <v>6034000083545</v>
      </c>
      <c r="B2675" t="s">
        <v>834</v>
      </c>
      <c r="C2675" t="s">
        <v>9</v>
      </c>
      <c r="D2675" t="s">
        <v>2932</v>
      </c>
      <c r="E2675" t="s">
        <v>41</v>
      </c>
      <c r="F2675" t="s">
        <v>2928</v>
      </c>
      <c r="G2675" t="s">
        <v>41</v>
      </c>
      <c r="H2675">
        <v>506</v>
      </c>
    </row>
    <row r="2676" spans="1:8" x14ac:dyDescent="0.35">
      <c r="A2676">
        <v>6034000106404</v>
      </c>
      <c r="B2676" t="s">
        <v>2997</v>
      </c>
      <c r="C2676" t="s">
        <v>326</v>
      </c>
      <c r="D2676" t="s">
        <v>2997</v>
      </c>
      <c r="E2676" t="s">
        <v>22</v>
      </c>
      <c r="F2676" t="s">
        <v>328</v>
      </c>
      <c r="G2676" t="s">
        <v>41</v>
      </c>
      <c r="H2676">
        <v>27</v>
      </c>
    </row>
    <row r="2677" spans="1:8" x14ac:dyDescent="0.35">
      <c r="A2677">
        <v>6034000106893</v>
      </c>
      <c r="B2677" t="s">
        <v>1534</v>
      </c>
      <c r="C2677" t="s">
        <v>603</v>
      </c>
      <c r="D2677" t="s">
        <v>1460</v>
      </c>
      <c r="E2677" t="s">
        <v>22</v>
      </c>
      <c r="F2677" t="s">
        <v>328</v>
      </c>
      <c r="G2677" t="s">
        <v>41</v>
      </c>
      <c r="H2677">
        <v>47</v>
      </c>
    </row>
    <row r="2678" spans="1:8" x14ac:dyDescent="0.35">
      <c r="A2678">
        <v>6034000117240</v>
      </c>
      <c r="B2678" t="s">
        <v>2998</v>
      </c>
      <c r="C2678" t="s">
        <v>272</v>
      </c>
      <c r="D2678" t="s">
        <v>1238</v>
      </c>
      <c r="E2678" t="s">
        <v>61</v>
      </c>
      <c r="F2678" t="s">
        <v>1239</v>
      </c>
      <c r="G2678" t="s">
        <v>41</v>
      </c>
      <c r="H2678">
        <v>1</v>
      </c>
    </row>
    <row r="2679" spans="1:8" x14ac:dyDescent="0.35">
      <c r="A2679">
        <v>6034000118100</v>
      </c>
      <c r="B2679" t="s">
        <v>1811</v>
      </c>
      <c r="C2679" t="s">
        <v>603</v>
      </c>
      <c r="D2679" t="s">
        <v>165</v>
      </c>
      <c r="E2679" t="s">
        <v>16</v>
      </c>
      <c r="F2679" t="s">
        <v>166</v>
      </c>
      <c r="G2679" t="s">
        <v>2984</v>
      </c>
      <c r="H2679">
        <v>1</v>
      </c>
    </row>
    <row r="2680" spans="1:8" x14ac:dyDescent="0.35">
      <c r="A2680">
        <v>6034000130010</v>
      </c>
      <c r="B2680" t="s">
        <v>2999</v>
      </c>
      <c r="C2680" t="s">
        <v>9</v>
      </c>
      <c r="D2680" t="s">
        <v>1360</v>
      </c>
      <c r="E2680" t="s">
        <v>71</v>
      </c>
      <c r="F2680" t="s">
        <v>72</v>
      </c>
      <c r="G2680" t="s">
        <v>41</v>
      </c>
      <c r="H2680">
        <v>74</v>
      </c>
    </row>
    <row r="2681" spans="1:8" x14ac:dyDescent="0.35">
      <c r="A2681">
        <v>6034000130065</v>
      </c>
      <c r="B2681" t="s">
        <v>3000</v>
      </c>
      <c r="C2681" t="s">
        <v>94</v>
      </c>
      <c r="D2681" t="s">
        <v>1360</v>
      </c>
      <c r="E2681" t="s">
        <v>71</v>
      </c>
      <c r="F2681" t="s">
        <v>72</v>
      </c>
      <c r="G2681" t="s">
        <v>41</v>
      </c>
      <c r="H2681">
        <v>806</v>
      </c>
    </row>
    <row r="2682" spans="1:8" x14ac:dyDescent="0.35">
      <c r="A2682">
        <v>6034000130607</v>
      </c>
      <c r="B2682" t="s">
        <v>3001</v>
      </c>
      <c r="C2682" t="s">
        <v>272</v>
      </c>
      <c r="D2682" t="s">
        <v>1360</v>
      </c>
      <c r="E2682" t="s">
        <v>71</v>
      </c>
      <c r="F2682" t="s">
        <v>72</v>
      </c>
      <c r="G2682" t="s">
        <v>41</v>
      </c>
      <c r="H2682">
        <v>14</v>
      </c>
    </row>
    <row r="2683" spans="1:8" x14ac:dyDescent="0.35">
      <c r="A2683">
        <v>6034000130768</v>
      </c>
      <c r="B2683" t="s">
        <v>3002</v>
      </c>
      <c r="C2683" t="s">
        <v>1361</v>
      </c>
      <c r="D2683" t="s">
        <v>3002</v>
      </c>
      <c r="E2683" t="s">
        <v>71</v>
      </c>
      <c r="F2683" t="s">
        <v>72</v>
      </c>
      <c r="G2683" t="s">
        <v>41</v>
      </c>
      <c r="H2683">
        <v>1451</v>
      </c>
    </row>
    <row r="2684" spans="1:8" x14ac:dyDescent="0.35">
      <c r="A2684">
        <v>6034000130775</v>
      </c>
      <c r="B2684" t="s">
        <v>3003</v>
      </c>
      <c r="C2684" t="s">
        <v>1361</v>
      </c>
      <c r="D2684" t="s">
        <v>3004</v>
      </c>
      <c r="E2684" t="s">
        <v>130</v>
      </c>
      <c r="F2684" t="s">
        <v>220</v>
      </c>
      <c r="G2684" t="s">
        <v>41</v>
      </c>
      <c r="H2684">
        <v>959</v>
      </c>
    </row>
    <row r="2685" spans="1:8" x14ac:dyDescent="0.35">
      <c r="A2685">
        <v>6034000145953</v>
      </c>
      <c r="B2685" t="s">
        <v>2948</v>
      </c>
      <c r="C2685" t="s">
        <v>3005</v>
      </c>
      <c r="D2685" t="s">
        <v>2946</v>
      </c>
      <c r="E2685" t="s">
        <v>2227</v>
      </c>
      <c r="F2685" t="s">
        <v>2947</v>
      </c>
      <c r="G2685" t="s">
        <v>41</v>
      </c>
      <c r="H2685">
        <v>30</v>
      </c>
    </row>
    <row r="2686" spans="1:8" x14ac:dyDescent="0.35">
      <c r="A2686">
        <v>6034000170207</v>
      </c>
      <c r="B2686" t="s">
        <v>3006</v>
      </c>
      <c r="C2686" t="s">
        <v>326</v>
      </c>
      <c r="D2686" t="s">
        <v>3006</v>
      </c>
      <c r="E2686" t="s">
        <v>61</v>
      </c>
      <c r="F2686" t="s">
        <v>3007</v>
      </c>
      <c r="G2686" t="s">
        <v>41</v>
      </c>
      <c r="H2686">
        <v>73</v>
      </c>
    </row>
    <row r="2687" spans="1:8" x14ac:dyDescent="0.35">
      <c r="A2687">
        <v>6034000178340</v>
      </c>
      <c r="B2687" t="s">
        <v>3008</v>
      </c>
      <c r="C2687" t="s">
        <v>272</v>
      </c>
      <c r="D2687" t="s">
        <v>3009</v>
      </c>
      <c r="E2687" t="s">
        <v>308</v>
      </c>
      <c r="F2687" t="s">
        <v>309</v>
      </c>
      <c r="G2687" t="s">
        <v>41</v>
      </c>
      <c r="H2687">
        <v>2</v>
      </c>
    </row>
    <row r="2688" spans="1:8" x14ac:dyDescent="0.35">
      <c r="A2688">
        <v>6034000180107</v>
      </c>
      <c r="B2688" t="s">
        <v>1643</v>
      </c>
      <c r="C2688" t="s">
        <v>603</v>
      </c>
      <c r="D2688" t="s">
        <v>3010</v>
      </c>
      <c r="E2688" t="s">
        <v>816</v>
      </c>
      <c r="F2688" t="s">
        <v>817</v>
      </c>
      <c r="G2688" t="s">
        <v>41</v>
      </c>
      <c r="H2688">
        <v>2016</v>
      </c>
    </row>
    <row r="2689" spans="1:8" x14ac:dyDescent="0.35">
      <c r="A2689">
        <v>6034000181036</v>
      </c>
      <c r="B2689" t="s">
        <v>485</v>
      </c>
      <c r="C2689" t="s">
        <v>9</v>
      </c>
      <c r="D2689" t="s">
        <v>1089</v>
      </c>
      <c r="E2689" t="s">
        <v>41</v>
      </c>
      <c r="F2689" t="s">
        <v>1090</v>
      </c>
      <c r="G2689" t="s">
        <v>41</v>
      </c>
      <c r="H2689">
        <v>519</v>
      </c>
    </row>
    <row r="2690" spans="1:8" x14ac:dyDescent="0.35">
      <c r="A2690">
        <v>6034000181043</v>
      </c>
      <c r="B2690" t="s">
        <v>485</v>
      </c>
      <c r="C2690" t="s">
        <v>825</v>
      </c>
      <c r="D2690" t="s">
        <v>1089</v>
      </c>
      <c r="E2690" t="s">
        <v>41</v>
      </c>
      <c r="F2690" t="s">
        <v>1090</v>
      </c>
      <c r="G2690" t="s">
        <v>41</v>
      </c>
      <c r="H2690">
        <v>131</v>
      </c>
    </row>
    <row r="2691" spans="1:8" x14ac:dyDescent="0.35">
      <c r="A2691">
        <v>6034000181128</v>
      </c>
      <c r="B2691" t="s">
        <v>485</v>
      </c>
      <c r="C2691" t="s">
        <v>3011</v>
      </c>
      <c r="D2691" t="s">
        <v>1089</v>
      </c>
      <c r="E2691" t="s">
        <v>41</v>
      </c>
      <c r="F2691" t="s">
        <v>1090</v>
      </c>
      <c r="G2691" t="s">
        <v>41</v>
      </c>
      <c r="H2691">
        <v>31</v>
      </c>
    </row>
    <row r="2692" spans="1:8" x14ac:dyDescent="0.35">
      <c r="A2692">
        <v>6034000181142</v>
      </c>
      <c r="B2692" t="s">
        <v>485</v>
      </c>
      <c r="C2692" t="s">
        <v>326</v>
      </c>
      <c r="D2692" t="s">
        <v>1089</v>
      </c>
      <c r="E2692" t="s">
        <v>41</v>
      </c>
      <c r="F2692" t="s">
        <v>1090</v>
      </c>
      <c r="G2692" t="s">
        <v>41</v>
      </c>
      <c r="H2692">
        <v>7971</v>
      </c>
    </row>
    <row r="2693" spans="1:8" x14ac:dyDescent="0.35">
      <c r="A2693">
        <v>6034000181142</v>
      </c>
      <c r="B2693" t="s">
        <v>485</v>
      </c>
      <c r="C2693" t="s">
        <v>326</v>
      </c>
      <c r="D2693" t="s">
        <v>1089</v>
      </c>
      <c r="E2693" t="s">
        <v>41</v>
      </c>
      <c r="F2693" t="s">
        <v>1090</v>
      </c>
      <c r="G2693" t="s">
        <v>34</v>
      </c>
      <c r="H2693">
        <v>2</v>
      </c>
    </row>
    <row r="2694" spans="1:8" x14ac:dyDescent="0.35">
      <c r="A2694">
        <v>6034000181357</v>
      </c>
      <c r="B2694" t="s">
        <v>3012</v>
      </c>
      <c r="C2694" t="s">
        <v>326</v>
      </c>
      <c r="D2694" t="s">
        <v>1089</v>
      </c>
      <c r="E2694" t="s">
        <v>41</v>
      </c>
      <c r="F2694" t="s">
        <v>1090</v>
      </c>
      <c r="G2694" t="s">
        <v>41</v>
      </c>
      <c r="H2694">
        <v>20</v>
      </c>
    </row>
    <row r="2695" spans="1:8" x14ac:dyDescent="0.35">
      <c r="A2695">
        <v>6034000190434</v>
      </c>
      <c r="B2695" t="s">
        <v>3013</v>
      </c>
      <c r="C2695" t="s">
        <v>2089</v>
      </c>
      <c r="D2695" t="s">
        <v>3014</v>
      </c>
      <c r="E2695" t="s">
        <v>2227</v>
      </c>
      <c r="F2695" t="s">
        <v>2228</v>
      </c>
      <c r="G2695" t="s">
        <v>41</v>
      </c>
      <c r="H2695">
        <v>140</v>
      </c>
    </row>
    <row r="2696" spans="1:8" x14ac:dyDescent="0.35">
      <c r="A2696">
        <v>6034000190984</v>
      </c>
      <c r="B2696" t="s">
        <v>3015</v>
      </c>
      <c r="C2696" t="s">
        <v>69</v>
      </c>
      <c r="D2696" t="s">
        <v>3014</v>
      </c>
      <c r="E2696" t="s">
        <v>2227</v>
      </c>
      <c r="F2696" t="s">
        <v>2228</v>
      </c>
      <c r="G2696" t="s">
        <v>41</v>
      </c>
      <c r="H2696">
        <v>30</v>
      </c>
    </row>
    <row r="2697" spans="1:8" x14ac:dyDescent="0.35">
      <c r="A2697">
        <v>6034000210378</v>
      </c>
      <c r="B2697" t="s">
        <v>668</v>
      </c>
      <c r="C2697" t="s">
        <v>472</v>
      </c>
      <c r="D2697" t="s">
        <v>1238</v>
      </c>
      <c r="E2697" t="s">
        <v>61</v>
      </c>
      <c r="F2697" t="s">
        <v>1239</v>
      </c>
      <c r="G2697" t="s">
        <v>41</v>
      </c>
      <c r="H2697">
        <v>112</v>
      </c>
    </row>
    <row r="2698" spans="1:8" x14ac:dyDescent="0.35">
      <c r="A2698">
        <v>6034000210385</v>
      </c>
      <c r="B2698" t="s">
        <v>3016</v>
      </c>
      <c r="C2698" t="s">
        <v>472</v>
      </c>
      <c r="D2698" t="s">
        <v>1238</v>
      </c>
      <c r="E2698" t="s">
        <v>61</v>
      </c>
      <c r="F2698" t="s">
        <v>1239</v>
      </c>
      <c r="G2698" t="s">
        <v>41</v>
      </c>
      <c r="H2698">
        <v>48</v>
      </c>
    </row>
    <row r="2699" spans="1:8" x14ac:dyDescent="0.35">
      <c r="A2699">
        <v>6034000210392</v>
      </c>
      <c r="B2699" t="s">
        <v>3017</v>
      </c>
      <c r="C2699" t="s">
        <v>472</v>
      </c>
      <c r="D2699" t="s">
        <v>1238</v>
      </c>
      <c r="E2699" t="s">
        <v>61</v>
      </c>
      <c r="F2699" t="s">
        <v>1239</v>
      </c>
      <c r="G2699" t="s">
        <v>41</v>
      </c>
      <c r="H2699">
        <v>11</v>
      </c>
    </row>
    <row r="2700" spans="1:8" x14ac:dyDescent="0.35">
      <c r="A2700">
        <v>6034000210446</v>
      </c>
      <c r="B2700" t="s">
        <v>213</v>
      </c>
      <c r="C2700" t="s">
        <v>472</v>
      </c>
      <c r="D2700" t="s">
        <v>1238</v>
      </c>
      <c r="E2700" t="s">
        <v>61</v>
      </c>
      <c r="F2700" t="s">
        <v>1239</v>
      </c>
      <c r="G2700" t="s">
        <v>41</v>
      </c>
      <c r="H2700">
        <v>385</v>
      </c>
    </row>
    <row r="2701" spans="1:8" x14ac:dyDescent="0.35">
      <c r="A2701">
        <v>6034000210644</v>
      </c>
      <c r="B2701" t="s">
        <v>3018</v>
      </c>
      <c r="C2701" t="s">
        <v>241</v>
      </c>
      <c r="D2701" t="s">
        <v>1238</v>
      </c>
      <c r="E2701" t="s">
        <v>61</v>
      </c>
      <c r="F2701" t="s">
        <v>1239</v>
      </c>
      <c r="G2701" t="s">
        <v>41</v>
      </c>
      <c r="H2701">
        <v>15</v>
      </c>
    </row>
    <row r="2702" spans="1:8" x14ac:dyDescent="0.35">
      <c r="A2702">
        <v>6034000210897</v>
      </c>
      <c r="B2702" t="s">
        <v>3019</v>
      </c>
      <c r="C2702" t="s">
        <v>472</v>
      </c>
      <c r="D2702" t="s">
        <v>3020</v>
      </c>
      <c r="E2702" t="s">
        <v>308</v>
      </c>
      <c r="F2702" t="s">
        <v>309</v>
      </c>
      <c r="G2702" t="s">
        <v>41</v>
      </c>
      <c r="H2702">
        <v>7</v>
      </c>
    </row>
    <row r="2703" spans="1:8" x14ac:dyDescent="0.35">
      <c r="A2703">
        <v>6034000210903</v>
      </c>
      <c r="B2703" t="s">
        <v>1811</v>
      </c>
      <c r="C2703" t="s">
        <v>472</v>
      </c>
      <c r="D2703" t="s">
        <v>1238</v>
      </c>
      <c r="E2703" t="s">
        <v>61</v>
      </c>
      <c r="F2703" t="s">
        <v>1239</v>
      </c>
      <c r="G2703" t="s">
        <v>41</v>
      </c>
      <c r="H2703">
        <v>316</v>
      </c>
    </row>
    <row r="2704" spans="1:8" x14ac:dyDescent="0.35">
      <c r="A2704">
        <v>6034000210927</v>
      </c>
      <c r="B2704" t="s">
        <v>3021</v>
      </c>
      <c r="C2704" t="s">
        <v>3022</v>
      </c>
      <c r="D2704" t="s">
        <v>1238</v>
      </c>
      <c r="E2704" t="s">
        <v>61</v>
      </c>
      <c r="F2704" t="s">
        <v>1239</v>
      </c>
      <c r="G2704" t="s">
        <v>41</v>
      </c>
      <c r="H2704">
        <v>81</v>
      </c>
    </row>
    <row r="2705" spans="1:8" x14ac:dyDescent="0.35">
      <c r="A2705">
        <v>6034000210927</v>
      </c>
      <c r="B2705" t="s">
        <v>3021</v>
      </c>
      <c r="C2705" t="s">
        <v>3022</v>
      </c>
      <c r="D2705" t="s">
        <v>1238</v>
      </c>
      <c r="E2705" t="s">
        <v>61</v>
      </c>
      <c r="F2705" t="s">
        <v>1239</v>
      </c>
      <c r="G2705" t="s">
        <v>11</v>
      </c>
      <c r="H2705">
        <v>1</v>
      </c>
    </row>
    <row r="2706" spans="1:8" x14ac:dyDescent="0.35">
      <c r="A2706">
        <v>6034000210927</v>
      </c>
      <c r="B2706" t="s">
        <v>3021</v>
      </c>
      <c r="C2706" t="s">
        <v>3022</v>
      </c>
      <c r="D2706" t="s">
        <v>1238</v>
      </c>
      <c r="E2706" t="s">
        <v>61</v>
      </c>
      <c r="F2706" t="s">
        <v>1239</v>
      </c>
      <c r="G2706" t="s">
        <v>31</v>
      </c>
      <c r="H2706">
        <v>2</v>
      </c>
    </row>
    <row r="2707" spans="1:8" x14ac:dyDescent="0.35">
      <c r="A2707">
        <v>6034000210958</v>
      </c>
      <c r="B2707" t="s">
        <v>3023</v>
      </c>
      <c r="C2707" t="s">
        <v>2483</v>
      </c>
      <c r="D2707" t="s">
        <v>1238</v>
      </c>
      <c r="E2707" t="s">
        <v>61</v>
      </c>
      <c r="F2707" t="s">
        <v>1239</v>
      </c>
      <c r="G2707" t="s">
        <v>41</v>
      </c>
      <c r="H2707">
        <v>53</v>
      </c>
    </row>
    <row r="2708" spans="1:8" x14ac:dyDescent="0.35">
      <c r="A2708">
        <v>6034000210972</v>
      </c>
      <c r="B2708" t="s">
        <v>3024</v>
      </c>
      <c r="C2708" t="s">
        <v>9</v>
      </c>
      <c r="D2708" t="s">
        <v>1238</v>
      </c>
      <c r="E2708" t="s">
        <v>61</v>
      </c>
      <c r="F2708" t="s">
        <v>1239</v>
      </c>
      <c r="G2708" t="s">
        <v>41</v>
      </c>
      <c r="H2708">
        <v>1</v>
      </c>
    </row>
    <row r="2709" spans="1:8" x14ac:dyDescent="0.35">
      <c r="A2709">
        <v>6034000210989</v>
      </c>
      <c r="B2709" t="s">
        <v>3023</v>
      </c>
      <c r="C2709" t="s">
        <v>472</v>
      </c>
      <c r="D2709" t="s">
        <v>1238</v>
      </c>
      <c r="E2709" t="s">
        <v>61</v>
      </c>
      <c r="F2709" t="s">
        <v>1239</v>
      </c>
      <c r="G2709" t="s">
        <v>41</v>
      </c>
      <c r="H2709">
        <v>481</v>
      </c>
    </row>
    <row r="2710" spans="1:8" x14ac:dyDescent="0.35">
      <c r="A2710">
        <v>6034000245004</v>
      </c>
      <c r="B2710" t="s">
        <v>3025</v>
      </c>
      <c r="C2710" t="s">
        <v>472</v>
      </c>
      <c r="D2710" t="s">
        <v>3026</v>
      </c>
      <c r="E2710" t="s">
        <v>41</v>
      </c>
      <c r="F2710" t="s">
        <v>126</v>
      </c>
      <c r="G2710" t="s">
        <v>41</v>
      </c>
      <c r="H2710">
        <v>91</v>
      </c>
    </row>
    <row r="2711" spans="1:8" x14ac:dyDescent="0.35">
      <c r="A2711">
        <v>6034000245080</v>
      </c>
      <c r="B2711" t="s">
        <v>3027</v>
      </c>
      <c r="C2711" t="s">
        <v>472</v>
      </c>
      <c r="D2711" t="s">
        <v>3028</v>
      </c>
      <c r="E2711" t="s">
        <v>41</v>
      </c>
      <c r="F2711" t="s">
        <v>126</v>
      </c>
      <c r="G2711" t="s">
        <v>41</v>
      </c>
      <c r="H2711">
        <v>25</v>
      </c>
    </row>
    <row r="2712" spans="1:8" x14ac:dyDescent="0.35">
      <c r="A2712">
        <v>6034000245097</v>
      </c>
      <c r="B2712" t="s">
        <v>3029</v>
      </c>
      <c r="C2712" t="s">
        <v>472</v>
      </c>
      <c r="D2712" t="s">
        <v>3028</v>
      </c>
      <c r="E2712" t="s">
        <v>41</v>
      </c>
      <c r="F2712" t="s">
        <v>126</v>
      </c>
      <c r="G2712" t="s">
        <v>41</v>
      </c>
      <c r="H2712">
        <v>21</v>
      </c>
    </row>
    <row r="2713" spans="1:8" x14ac:dyDescent="0.35">
      <c r="A2713">
        <v>6034000245189</v>
      </c>
      <c r="B2713" t="s">
        <v>485</v>
      </c>
      <c r="C2713" t="s">
        <v>9</v>
      </c>
      <c r="D2713" t="s">
        <v>125</v>
      </c>
      <c r="E2713" t="s">
        <v>41</v>
      </c>
      <c r="F2713" t="s">
        <v>126</v>
      </c>
      <c r="G2713" t="s">
        <v>41</v>
      </c>
      <c r="H2713">
        <v>1597</v>
      </c>
    </row>
    <row r="2714" spans="1:8" x14ac:dyDescent="0.35">
      <c r="A2714">
        <v>6034000245264</v>
      </c>
      <c r="B2714" t="s">
        <v>3030</v>
      </c>
      <c r="C2714" t="s">
        <v>472</v>
      </c>
      <c r="D2714" t="s">
        <v>1352</v>
      </c>
      <c r="E2714" t="s">
        <v>41</v>
      </c>
      <c r="F2714" t="s">
        <v>126</v>
      </c>
      <c r="G2714" t="s">
        <v>41</v>
      </c>
      <c r="H2714">
        <v>128</v>
      </c>
    </row>
    <row r="2715" spans="1:8" x14ac:dyDescent="0.35">
      <c r="A2715">
        <v>6034000245301</v>
      </c>
      <c r="B2715" t="s">
        <v>3031</v>
      </c>
      <c r="C2715" t="s">
        <v>472</v>
      </c>
      <c r="D2715" t="s">
        <v>3026</v>
      </c>
      <c r="E2715" t="s">
        <v>41</v>
      </c>
      <c r="F2715" t="s">
        <v>126</v>
      </c>
      <c r="G2715" t="s">
        <v>41</v>
      </c>
      <c r="H2715">
        <v>31</v>
      </c>
    </row>
    <row r="2716" spans="1:8" x14ac:dyDescent="0.35">
      <c r="A2716">
        <v>6034000252002</v>
      </c>
      <c r="B2716" t="s">
        <v>1009</v>
      </c>
      <c r="C2716" t="s">
        <v>603</v>
      </c>
      <c r="D2716" t="s">
        <v>1009</v>
      </c>
      <c r="E2716" t="s">
        <v>41</v>
      </c>
      <c r="F2716" t="s">
        <v>456</v>
      </c>
      <c r="G2716" t="s">
        <v>41</v>
      </c>
      <c r="H2716">
        <v>11</v>
      </c>
    </row>
    <row r="2717" spans="1:8" x14ac:dyDescent="0.35">
      <c r="A2717">
        <v>6034000252064</v>
      </c>
      <c r="B2717" t="s">
        <v>3032</v>
      </c>
      <c r="C2717" t="s">
        <v>472</v>
      </c>
      <c r="D2717" t="s">
        <v>3033</v>
      </c>
      <c r="E2717" t="s">
        <v>41</v>
      </c>
      <c r="F2717" t="s">
        <v>456</v>
      </c>
      <c r="G2717" t="s">
        <v>41</v>
      </c>
      <c r="H2717">
        <v>193</v>
      </c>
    </row>
    <row r="2718" spans="1:8" x14ac:dyDescent="0.35">
      <c r="A2718">
        <v>6034000252125</v>
      </c>
      <c r="B2718" t="s">
        <v>3034</v>
      </c>
      <c r="C2718" t="s">
        <v>9</v>
      </c>
      <c r="D2718" t="s">
        <v>3035</v>
      </c>
      <c r="E2718" t="s">
        <v>41</v>
      </c>
      <c r="F2718" t="s">
        <v>456</v>
      </c>
      <c r="G2718" t="s">
        <v>41</v>
      </c>
      <c r="H2718">
        <v>212</v>
      </c>
    </row>
    <row r="2719" spans="1:8" x14ac:dyDescent="0.35">
      <c r="A2719">
        <v>6034000273014</v>
      </c>
      <c r="B2719" t="s">
        <v>3036</v>
      </c>
      <c r="C2719" t="s">
        <v>326</v>
      </c>
      <c r="D2719" t="s">
        <v>3037</v>
      </c>
      <c r="E2719" t="s">
        <v>41</v>
      </c>
      <c r="F2719" t="s">
        <v>3038</v>
      </c>
      <c r="G2719" t="s">
        <v>41</v>
      </c>
      <c r="H2719">
        <v>313</v>
      </c>
    </row>
    <row r="2720" spans="1:8" x14ac:dyDescent="0.35">
      <c r="A2720">
        <v>6034000307252</v>
      </c>
      <c r="B2720" t="s">
        <v>2887</v>
      </c>
      <c r="C2720" t="s">
        <v>1118</v>
      </c>
      <c r="D2720" t="s">
        <v>866</v>
      </c>
      <c r="E2720" t="s">
        <v>867</v>
      </c>
      <c r="F2720" t="s">
        <v>868</v>
      </c>
      <c r="G2720" t="s">
        <v>41</v>
      </c>
      <c r="H2720">
        <v>44</v>
      </c>
    </row>
    <row r="2721" spans="1:8" x14ac:dyDescent="0.35">
      <c r="A2721">
        <v>6034000307894</v>
      </c>
      <c r="B2721" t="s">
        <v>3039</v>
      </c>
      <c r="C2721" t="s">
        <v>1973</v>
      </c>
      <c r="D2721" t="s">
        <v>1040</v>
      </c>
      <c r="E2721" t="s">
        <v>1041</v>
      </c>
      <c r="F2721" t="s">
        <v>1042</v>
      </c>
      <c r="G2721" t="s">
        <v>41</v>
      </c>
      <c r="H2721">
        <v>5</v>
      </c>
    </row>
    <row r="2722" spans="1:8" x14ac:dyDescent="0.35">
      <c r="A2722">
        <v>6034000307894</v>
      </c>
      <c r="B2722" t="s">
        <v>3039</v>
      </c>
      <c r="C2722" t="s">
        <v>1973</v>
      </c>
      <c r="D2722" t="s">
        <v>1040</v>
      </c>
      <c r="E2722" t="s">
        <v>1041</v>
      </c>
      <c r="F2722" t="s">
        <v>1042</v>
      </c>
      <c r="G2722" t="s">
        <v>61</v>
      </c>
      <c r="H2722">
        <v>6</v>
      </c>
    </row>
    <row r="2723" spans="1:8" x14ac:dyDescent="0.35">
      <c r="A2723">
        <v>6034000339055</v>
      </c>
      <c r="B2723" t="s">
        <v>3040</v>
      </c>
      <c r="C2723" t="s">
        <v>9</v>
      </c>
      <c r="D2723" t="s">
        <v>3041</v>
      </c>
      <c r="E2723" t="s">
        <v>308</v>
      </c>
      <c r="F2723" t="s">
        <v>309</v>
      </c>
      <c r="G2723" t="s">
        <v>41</v>
      </c>
      <c r="H2723">
        <v>82</v>
      </c>
    </row>
    <row r="2724" spans="1:8" x14ac:dyDescent="0.35">
      <c r="A2724">
        <v>6034000351101</v>
      </c>
      <c r="B2724" t="s">
        <v>2487</v>
      </c>
      <c r="C2724" t="s">
        <v>472</v>
      </c>
      <c r="D2724" t="s">
        <v>3042</v>
      </c>
      <c r="E2724" t="s">
        <v>41</v>
      </c>
      <c r="F2724" t="s">
        <v>1090</v>
      </c>
      <c r="G2724" t="s">
        <v>41</v>
      </c>
      <c r="H2724">
        <v>3513</v>
      </c>
    </row>
    <row r="2725" spans="1:8" x14ac:dyDescent="0.35">
      <c r="A2725">
        <v>6034000351149</v>
      </c>
      <c r="B2725" t="s">
        <v>3043</v>
      </c>
      <c r="C2725" t="s">
        <v>472</v>
      </c>
      <c r="D2725" t="s">
        <v>3044</v>
      </c>
      <c r="E2725" t="s">
        <v>41</v>
      </c>
      <c r="F2725" t="s">
        <v>1090</v>
      </c>
      <c r="G2725" t="s">
        <v>41</v>
      </c>
      <c r="H2725">
        <v>214</v>
      </c>
    </row>
    <row r="2726" spans="1:8" x14ac:dyDescent="0.35">
      <c r="A2726">
        <v>6034000351170</v>
      </c>
      <c r="B2726" t="s">
        <v>3045</v>
      </c>
      <c r="C2726" t="s">
        <v>9</v>
      </c>
      <c r="D2726" t="s">
        <v>1089</v>
      </c>
      <c r="E2726" t="s">
        <v>41</v>
      </c>
      <c r="F2726" t="s">
        <v>1090</v>
      </c>
      <c r="G2726" t="s">
        <v>41</v>
      </c>
      <c r="H2726">
        <v>111</v>
      </c>
    </row>
    <row r="2727" spans="1:8" x14ac:dyDescent="0.35">
      <c r="A2727">
        <v>6034000351200</v>
      </c>
      <c r="B2727" t="s">
        <v>1011</v>
      </c>
      <c r="C2727" t="s">
        <v>472</v>
      </c>
      <c r="D2727" t="s">
        <v>2964</v>
      </c>
      <c r="E2727" t="s">
        <v>41</v>
      </c>
      <c r="F2727" t="s">
        <v>1090</v>
      </c>
      <c r="G2727" t="s">
        <v>41</v>
      </c>
      <c r="H2727">
        <v>1820</v>
      </c>
    </row>
    <row r="2728" spans="1:8" x14ac:dyDescent="0.35">
      <c r="A2728">
        <v>6034000351255</v>
      </c>
      <c r="B2728" t="s">
        <v>3046</v>
      </c>
      <c r="C2728" t="s">
        <v>9</v>
      </c>
      <c r="D2728" t="s">
        <v>3047</v>
      </c>
      <c r="E2728" t="s">
        <v>41</v>
      </c>
      <c r="F2728" t="s">
        <v>1090</v>
      </c>
      <c r="G2728" t="s">
        <v>41</v>
      </c>
      <c r="H2728">
        <v>792</v>
      </c>
    </row>
    <row r="2729" spans="1:8" x14ac:dyDescent="0.35">
      <c r="A2729">
        <v>6034000351286</v>
      </c>
      <c r="B2729" t="s">
        <v>3048</v>
      </c>
      <c r="C2729" t="s">
        <v>472</v>
      </c>
      <c r="D2729" t="s">
        <v>3049</v>
      </c>
      <c r="E2729" t="s">
        <v>41</v>
      </c>
      <c r="F2729" t="s">
        <v>1090</v>
      </c>
      <c r="G2729" t="s">
        <v>41</v>
      </c>
      <c r="H2729">
        <v>100</v>
      </c>
    </row>
    <row r="2730" spans="1:8" x14ac:dyDescent="0.35">
      <c r="A2730">
        <v>6034000351309</v>
      </c>
      <c r="B2730" t="s">
        <v>2966</v>
      </c>
      <c r="C2730" t="s">
        <v>472</v>
      </c>
      <c r="D2730" t="s">
        <v>2966</v>
      </c>
      <c r="E2730" t="s">
        <v>41</v>
      </c>
      <c r="F2730" t="s">
        <v>1090</v>
      </c>
      <c r="G2730" t="s">
        <v>41</v>
      </c>
      <c r="H2730">
        <v>468</v>
      </c>
    </row>
    <row r="2731" spans="1:8" x14ac:dyDescent="0.35">
      <c r="A2731">
        <v>6034000351521</v>
      </c>
      <c r="B2731" t="s">
        <v>3050</v>
      </c>
      <c r="C2731" t="s">
        <v>472</v>
      </c>
      <c r="D2731" t="s">
        <v>3050</v>
      </c>
      <c r="E2731" t="s">
        <v>41</v>
      </c>
      <c r="F2731" t="s">
        <v>1090</v>
      </c>
      <c r="G2731" t="s">
        <v>41</v>
      </c>
      <c r="H2731">
        <v>80</v>
      </c>
    </row>
    <row r="2732" spans="1:8" x14ac:dyDescent="0.35">
      <c r="A2732">
        <v>6034000351552</v>
      </c>
      <c r="B2732" t="s">
        <v>3051</v>
      </c>
      <c r="C2732" t="s">
        <v>472</v>
      </c>
      <c r="D2732" t="s">
        <v>3052</v>
      </c>
      <c r="E2732" t="s">
        <v>41</v>
      </c>
      <c r="F2732" t="s">
        <v>1090</v>
      </c>
      <c r="G2732" t="s">
        <v>41</v>
      </c>
      <c r="H2732">
        <v>12</v>
      </c>
    </row>
    <row r="2733" spans="1:8" x14ac:dyDescent="0.35">
      <c r="A2733">
        <v>6034000351682</v>
      </c>
      <c r="B2733" t="s">
        <v>3053</v>
      </c>
      <c r="C2733" t="s">
        <v>472</v>
      </c>
      <c r="D2733" t="s">
        <v>2966</v>
      </c>
      <c r="E2733" t="s">
        <v>41</v>
      </c>
      <c r="F2733" t="s">
        <v>1090</v>
      </c>
      <c r="G2733" t="s">
        <v>41</v>
      </c>
      <c r="H2733">
        <v>9</v>
      </c>
    </row>
    <row r="2734" spans="1:8" x14ac:dyDescent="0.35">
      <c r="A2734">
        <v>6034000351835</v>
      </c>
      <c r="B2734" t="s">
        <v>3054</v>
      </c>
      <c r="C2734" t="s">
        <v>603</v>
      </c>
      <c r="D2734" t="s">
        <v>3055</v>
      </c>
      <c r="E2734" t="s">
        <v>41</v>
      </c>
      <c r="F2734" t="s">
        <v>1090</v>
      </c>
      <c r="G2734" t="s">
        <v>41</v>
      </c>
      <c r="H2734">
        <v>23</v>
      </c>
    </row>
    <row r="2735" spans="1:8" x14ac:dyDescent="0.35">
      <c r="A2735">
        <v>6034000351859</v>
      </c>
      <c r="B2735" t="s">
        <v>3056</v>
      </c>
      <c r="C2735" t="s">
        <v>603</v>
      </c>
      <c r="D2735" t="s">
        <v>3055</v>
      </c>
      <c r="E2735" t="s">
        <v>41</v>
      </c>
      <c r="F2735" t="s">
        <v>1090</v>
      </c>
      <c r="G2735" t="s">
        <v>41</v>
      </c>
      <c r="H2735">
        <v>463</v>
      </c>
    </row>
    <row r="2736" spans="1:8" x14ac:dyDescent="0.35">
      <c r="A2736">
        <v>6034000351873</v>
      </c>
      <c r="B2736" t="s">
        <v>384</v>
      </c>
      <c r="C2736" t="s">
        <v>603</v>
      </c>
      <c r="D2736" t="s">
        <v>1089</v>
      </c>
      <c r="E2736" t="s">
        <v>41</v>
      </c>
      <c r="F2736" t="s">
        <v>1090</v>
      </c>
      <c r="G2736" t="s">
        <v>41</v>
      </c>
      <c r="H2736">
        <v>155</v>
      </c>
    </row>
    <row r="2737" spans="1:8" x14ac:dyDescent="0.35">
      <c r="A2737">
        <v>6034000390070</v>
      </c>
      <c r="B2737" t="s">
        <v>3057</v>
      </c>
      <c r="C2737" t="s">
        <v>1141</v>
      </c>
      <c r="D2737" t="s">
        <v>3058</v>
      </c>
      <c r="E2737" t="s">
        <v>598</v>
      </c>
      <c r="F2737" t="s">
        <v>3059</v>
      </c>
      <c r="G2737" t="s">
        <v>41</v>
      </c>
      <c r="H2737">
        <v>389</v>
      </c>
    </row>
    <row r="2738" spans="1:8" x14ac:dyDescent="0.35">
      <c r="A2738">
        <v>6034000390094</v>
      </c>
      <c r="B2738" t="s">
        <v>3060</v>
      </c>
      <c r="C2738" t="s">
        <v>1141</v>
      </c>
      <c r="D2738" t="s">
        <v>3058</v>
      </c>
      <c r="E2738" t="s">
        <v>598</v>
      </c>
      <c r="F2738" t="s">
        <v>3059</v>
      </c>
      <c r="G2738" t="s">
        <v>41</v>
      </c>
      <c r="H2738">
        <v>209</v>
      </c>
    </row>
    <row r="2739" spans="1:8" x14ac:dyDescent="0.35">
      <c r="A2739">
        <v>6034000390124</v>
      </c>
      <c r="B2739" t="s">
        <v>3061</v>
      </c>
      <c r="C2739" t="s">
        <v>2576</v>
      </c>
      <c r="D2739" t="s">
        <v>3058</v>
      </c>
      <c r="E2739" t="s">
        <v>598</v>
      </c>
      <c r="F2739" t="s">
        <v>3059</v>
      </c>
      <c r="G2739" t="s">
        <v>41</v>
      </c>
      <c r="H2739">
        <v>920</v>
      </c>
    </row>
    <row r="2740" spans="1:8" x14ac:dyDescent="0.35">
      <c r="A2740">
        <v>6034000390216</v>
      </c>
      <c r="B2740" t="s">
        <v>3061</v>
      </c>
      <c r="C2740" t="s">
        <v>443</v>
      </c>
      <c r="D2740" t="s">
        <v>3058</v>
      </c>
      <c r="E2740" t="s">
        <v>598</v>
      </c>
      <c r="F2740" t="s">
        <v>3059</v>
      </c>
      <c r="G2740" t="s">
        <v>41</v>
      </c>
      <c r="H2740">
        <v>100</v>
      </c>
    </row>
    <row r="2741" spans="1:8" x14ac:dyDescent="0.35">
      <c r="A2741">
        <v>6034000482003</v>
      </c>
      <c r="B2741" t="s">
        <v>3062</v>
      </c>
      <c r="C2741" t="s">
        <v>2957</v>
      </c>
      <c r="D2741" t="s">
        <v>3063</v>
      </c>
      <c r="E2741" t="s">
        <v>1201</v>
      </c>
      <c r="F2741" t="s">
        <v>1465</v>
      </c>
      <c r="G2741" t="s">
        <v>41</v>
      </c>
      <c r="H2741">
        <v>136</v>
      </c>
    </row>
    <row r="2742" spans="1:8" x14ac:dyDescent="0.35">
      <c r="A2742">
        <v>6034000482034</v>
      </c>
      <c r="B2742" t="s">
        <v>3064</v>
      </c>
      <c r="C2742" t="s">
        <v>1394</v>
      </c>
      <c r="D2742" t="s">
        <v>3063</v>
      </c>
      <c r="E2742" t="s">
        <v>1201</v>
      </c>
      <c r="F2742" t="s">
        <v>1465</v>
      </c>
      <c r="G2742" t="s">
        <v>41</v>
      </c>
      <c r="H2742">
        <v>3</v>
      </c>
    </row>
    <row r="2743" spans="1:8" x14ac:dyDescent="0.35">
      <c r="A2743">
        <v>6034000482539</v>
      </c>
      <c r="B2743" t="s">
        <v>3065</v>
      </c>
      <c r="C2743" t="s">
        <v>2676</v>
      </c>
      <c r="D2743" t="s">
        <v>3063</v>
      </c>
      <c r="E2743" t="s">
        <v>1201</v>
      </c>
      <c r="F2743" t="s">
        <v>1465</v>
      </c>
      <c r="G2743" t="s">
        <v>41</v>
      </c>
      <c r="H2743">
        <v>20</v>
      </c>
    </row>
    <row r="2744" spans="1:8" x14ac:dyDescent="0.35">
      <c r="A2744">
        <v>6034000493160</v>
      </c>
      <c r="B2744" t="s">
        <v>3066</v>
      </c>
      <c r="C2744" t="s">
        <v>458</v>
      </c>
      <c r="D2744" t="s">
        <v>455</v>
      </c>
      <c r="E2744" t="s">
        <v>41</v>
      </c>
      <c r="F2744" t="s">
        <v>456</v>
      </c>
      <c r="G2744" t="s">
        <v>41</v>
      </c>
      <c r="H2744">
        <v>50</v>
      </c>
    </row>
    <row r="2745" spans="1:8" x14ac:dyDescent="0.35">
      <c r="A2745">
        <v>6034000510003</v>
      </c>
      <c r="B2745" t="s">
        <v>684</v>
      </c>
      <c r="C2745" t="s">
        <v>9</v>
      </c>
      <c r="D2745" t="s">
        <v>3067</v>
      </c>
      <c r="E2745" t="s">
        <v>41</v>
      </c>
      <c r="F2745" t="s">
        <v>456</v>
      </c>
      <c r="G2745" t="s">
        <v>41</v>
      </c>
      <c r="H2745">
        <v>513</v>
      </c>
    </row>
    <row r="2746" spans="1:8" x14ac:dyDescent="0.35">
      <c r="A2746">
        <v>6034000510010</v>
      </c>
      <c r="B2746" t="s">
        <v>453</v>
      </c>
      <c r="C2746" t="s">
        <v>565</v>
      </c>
      <c r="D2746" t="s">
        <v>3068</v>
      </c>
      <c r="E2746" t="s">
        <v>41</v>
      </c>
      <c r="F2746" t="s">
        <v>456</v>
      </c>
      <c r="G2746" t="s">
        <v>41</v>
      </c>
      <c r="H2746">
        <v>100</v>
      </c>
    </row>
    <row r="2747" spans="1:8" x14ac:dyDescent="0.35">
      <c r="A2747">
        <v>6034000510034</v>
      </c>
      <c r="B2747" t="s">
        <v>453</v>
      </c>
      <c r="C2747" t="s">
        <v>454</v>
      </c>
      <c r="D2747" t="s">
        <v>3068</v>
      </c>
      <c r="E2747" t="s">
        <v>41</v>
      </c>
      <c r="F2747" t="s">
        <v>456</v>
      </c>
      <c r="G2747" t="s">
        <v>41</v>
      </c>
      <c r="H2747">
        <v>100</v>
      </c>
    </row>
    <row r="2748" spans="1:8" x14ac:dyDescent="0.35">
      <c r="A2748">
        <v>6034000510423</v>
      </c>
      <c r="B2748" t="s">
        <v>3069</v>
      </c>
      <c r="C2748" t="s">
        <v>3070</v>
      </c>
      <c r="D2748" t="s">
        <v>3035</v>
      </c>
      <c r="E2748" t="s">
        <v>41</v>
      </c>
      <c r="F2748" t="s">
        <v>456</v>
      </c>
      <c r="G2748" t="s">
        <v>41</v>
      </c>
      <c r="H2748">
        <v>3931</v>
      </c>
    </row>
    <row r="2749" spans="1:8" x14ac:dyDescent="0.35">
      <c r="A2749">
        <v>6034000510669</v>
      </c>
      <c r="B2749" t="s">
        <v>3071</v>
      </c>
      <c r="C2749" t="s">
        <v>326</v>
      </c>
      <c r="D2749" t="s">
        <v>3067</v>
      </c>
      <c r="E2749" t="s">
        <v>41</v>
      </c>
      <c r="F2749" t="s">
        <v>456</v>
      </c>
      <c r="G2749" t="s">
        <v>41</v>
      </c>
      <c r="H2749">
        <v>24</v>
      </c>
    </row>
    <row r="2750" spans="1:8" x14ac:dyDescent="0.35">
      <c r="A2750">
        <v>6034000510744</v>
      </c>
      <c r="B2750" t="s">
        <v>2985</v>
      </c>
      <c r="C2750" t="s">
        <v>9</v>
      </c>
      <c r="D2750" t="s">
        <v>2986</v>
      </c>
      <c r="E2750" t="s">
        <v>41</v>
      </c>
      <c r="F2750" t="s">
        <v>456</v>
      </c>
      <c r="G2750" t="s">
        <v>41</v>
      </c>
      <c r="H2750">
        <v>81</v>
      </c>
    </row>
    <row r="2751" spans="1:8" x14ac:dyDescent="0.35">
      <c r="A2751">
        <v>6034000510782</v>
      </c>
      <c r="B2751" t="s">
        <v>139</v>
      </c>
      <c r="C2751" t="s">
        <v>472</v>
      </c>
      <c r="D2751" t="s">
        <v>473</v>
      </c>
      <c r="E2751" t="s">
        <v>41</v>
      </c>
      <c r="F2751" t="s">
        <v>456</v>
      </c>
      <c r="G2751" t="s">
        <v>41</v>
      </c>
      <c r="H2751">
        <v>48</v>
      </c>
    </row>
    <row r="2752" spans="1:8" x14ac:dyDescent="0.35">
      <c r="A2752">
        <v>6034000552461</v>
      </c>
      <c r="B2752" t="s">
        <v>3072</v>
      </c>
      <c r="C2752" t="s">
        <v>3073</v>
      </c>
      <c r="D2752" t="s">
        <v>455</v>
      </c>
      <c r="E2752" t="s">
        <v>41</v>
      </c>
      <c r="F2752" t="s">
        <v>456</v>
      </c>
      <c r="G2752" t="s">
        <v>41</v>
      </c>
      <c r="H2752">
        <v>22</v>
      </c>
    </row>
    <row r="2753" spans="1:8" x14ac:dyDescent="0.35">
      <c r="A2753">
        <v>6034000552492</v>
      </c>
      <c r="B2753" t="s">
        <v>3074</v>
      </c>
      <c r="C2753" t="s">
        <v>967</v>
      </c>
      <c r="D2753" t="s">
        <v>455</v>
      </c>
      <c r="E2753" t="s">
        <v>41</v>
      </c>
      <c r="F2753" t="s">
        <v>456</v>
      </c>
      <c r="G2753" t="s">
        <v>41</v>
      </c>
      <c r="H2753">
        <v>77</v>
      </c>
    </row>
    <row r="2754" spans="1:8" x14ac:dyDescent="0.35">
      <c r="A2754">
        <v>6034000584011</v>
      </c>
      <c r="B2754" t="s">
        <v>3075</v>
      </c>
      <c r="C2754" t="s">
        <v>623</v>
      </c>
      <c r="D2754" t="s">
        <v>3076</v>
      </c>
      <c r="E2754" t="s">
        <v>41</v>
      </c>
      <c r="F2754" t="s">
        <v>3077</v>
      </c>
      <c r="G2754" t="s">
        <v>41</v>
      </c>
      <c r="H2754">
        <v>100</v>
      </c>
    </row>
    <row r="2755" spans="1:8" x14ac:dyDescent="0.35">
      <c r="A2755">
        <v>6034000639018</v>
      </c>
      <c r="B2755" t="s">
        <v>3078</v>
      </c>
      <c r="C2755" t="s">
        <v>2676</v>
      </c>
      <c r="D2755" t="s">
        <v>3079</v>
      </c>
      <c r="E2755" t="s">
        <v>41</v>
      </c>
      <c r="F2755" t="s">
        <v>3080</v>
      </c>
      <c r="G2755" t="s">
        <v>41</v>
      </c>
      <c r="H2755">
        <v>50</v>
      </c>
    </row>
    <row r="2756" spans="1:8" x14ac:dyDescent="0.35">
      <c r="A2756">
        <v>6034000931006</v>
      </c>
      <c r="B2756" t="s">
        <v>3081</v>
      </c>
      <c r="C2756" t="s">
        <v>472</v>
      </c>
      <c r="D2756" t="s">
        <v>3028</v>
      </c>
      <c r="E2756" t="s">
        <v>41</v>
      </c>
      <c r="F2756" t="s">
        <v>126</v>
      </c>
      <c r="G2756" t="s">
        <v>41</v>
      </c>
      <c r="H2756">
        <v>24</v>
      </c>
    </row>
    <row r="2757" spans="1:8" x14ac:dyDescent="0.35">
      <c r="A2757">
        <v>6034008822467</v>
      </c>
      <c r="B2757" t="s">
        <v>3082</v>
      </c>
      <c r="C2757" t="s">
        <v>454</v>
      </c>
      <c r="D2757" t="s">
        <v>455</v>
      </c>
      <c r="E2757" t="s">
        <v>41</v>
      </c>
      <c r="F2757" t="s">
        <v>456</v>
      </c>
      <c r="G2757" t="s">
        <v>41</v>
      </c>
      <c r="H2757">
        <v>50</v>
      </c>
    </row>
    <row r="2758" spans="1:8" x14ac:dyDescent="0.35">
      <c r="A2758">
        <v>6034082253058</v>
      </c>
      <c r="B2758" t="s">
        <v>1344</v>
      </c>
      <c r="C2758" t="s">
        <v>472</v>
      </c>
      <c r="D2758" t="s">
        <v>473</v>
      </c>
      <c r="E2758" t="s">
        <v>41</v>
      </c>
      <c r="F2758" t="s">
        <v>456</v>
      </c>
      <c r="G2758" t="s">
        <v>41</v>
      </c>
      <c r="H2758">
        <v>88</v>
      </c>
    </row>
    <row r="2759" spans="1:8" x14ac:dyDescent="0.35">
      <c r="A2759">
        <v>6034095253182</v>
      </c>
      <c r="B2759" t="s">
        <v>3083</v>
      </c>
      <c r="C2759" t="s">
        <v>472</v>
      </c>
      <c r="D2759" t="s">
        <v>473</v>
      </c>
      <c r="E2759" t="s">
        <v>41</v>
      </c>
      <c r="F2759" t="s">
        <v>456</v>
      </c>
      <c r="G2759" t="s">
        <v>41</v>
      </c>
      <c r="H2759">
        <v>422</v>
      </c>
    </row>
    <row r="2760" spans="1:8" x14ac:dyDescent="0.35">
      <c r="A2760">
        <v>6034096253198</v>
      </c>
      <c r="B2760" t="s">
        <v>473</v>
      </c>
      <c r="C2760" t="s">
        <v>472</v>
      </c>
      <c r="D2760" t="s">
        <v>473</v>
      </c>
      <c r="E2760" t="s">
        <v>41</v>
      </c>
      <c r="F2760" t="s">
        <v>456</v>
      </c>
      <c r="G2760" t="s">
        <v>41</v>
      </c>
      <c r="H2760">
        <v>113</v>
      </c>
    </row>
    <row r="2761" spans="1:8" x14ac:dyDescent="0.35">
      <c r="A2761">
        <v>6034097253203</v>
      </c>
      <c r="B2761" t="s">
        <v>3084</v>
      </c>
      <c r="C2761" t="s">
        <v>472</v>
      </c>
      <c r="D2761" t="s">
        <v>473</v>
      </c>
      <c r="E2761" t="s">
        <v>41</v>
      </c>
      <c r="F2761" t="s">
        <v>456</v>
      </c>
      <c r="G2761" t="s">
        <v>41</v>
      </c>
      <c r="H2761">
        <v>137</v>
      </c>
    </row>
    <row r="2762" spans="1:8" x14ac:dyDescent="0.35">
      <c r="A2762">
        <v>6034098253219</v>
      </c>
      <c r="B2762" t="s">
        <v>3085</v>
      </c>
      <c r="C2762" t="s">
        <v>472</v>
      </c>
      <c r="D2762" t="s">
        <v>473</v>
      </c>
      <c r="E2762" t="s">
        <v>41</v>
      </c>
      <c r="F2762" t="s">
        <v>456</v>
      </c>
      <c r="G2762" t="s">
        <v>41</v>
      </c>
      <c r="H2762">
        <v>154</v>
      </c>
    </row>
    <row r="2763" spans="1:8" x14ac:dyDescent="0.35">
      <c r="A2763">
        <v>6036000019814</v>
      </c>
      <c r="B2763" t="s">
        <v>3086</v>
      </c>
      <c r="C2763" t="s">
        <v>9</v>
      </c>
      <c r="D2763" t="s">
        <v>3087</v>
      </c>
      <c r="E2763" t="s">
        <v>41</v>
      </c>
      <c r="F2763" t="s">
        <v>3088</v>
      </c>
      <c r="G2763" t="s">
        <v>41</v>
      </c>
      <c r="H2763">
        <v>274</v>
      </c>
    </row>
    <row r="2764" spans="1:8" x14ac:dyDescent="0.35">
      <c r="A2764">
        <v>6036000020452</v>
      </c>
      <c r="B2764" t="s">
        <v>3089</v>
      </c>
      <c r="C2764" t="s">
        <v>66</v>
      </c>
      <c r="D2764" t="s">
        <v>3090</v>
      </c>
      <c r="E2764" t="s">
        <v>41</v>
      </c>
      <c r="F2764" t="s">
        <v>3091</v>
      </c>
      <c r="G2764" t="s">
        <v>41</v>
      </c>
      <c r="H2764">
        <v>87</v>
      </c>
    </row>
    <row r="2765" spans="1:8" x14ac:dyDescent="0.35">
      <c r="A2765">
        <v>6036000038921</v>
      </c>
      <c r="B2765" t="s">
        <v>3092</v>
      </c>
      <c r="C2765" t="s">
        <v>326</v>
      </c>
      <c r="D2765" t="s">
        <v>3093</v>
      </c>
      <c r="E2765" t="s">
        <v>41</v>
      </c>
      <c r="F2765" t="s">
        <v>3094</v>
      </c>
      <c r="G2765" t="s">
        <v>41</v>
      </c>
      <c r="H2765">
        <v>11</v>
      </c>
    </row>
    <row r="2766" spans="1:8" x14ac:dyDescent="0.35">
      <c r="A2766">
        <v>6036000057342</v>
      </c>
      <c r="B2766" t="s">
        <v>3095</v>
      </c>
      <c r="C2766" t="s">
        <v>66</v>
      </c>
      <c r="D2766" t="s">
        <v>1380</v>
      </c>
      <c r="E2766" t="s">
        <v>22</v>
      </c>
      <c r="F2766" t="s">
        <v>1381</v>
      </c>
      <c r="G2766" t="s">
        <v>41</v>
      </c>
      <c r="H2766">
        <v>504</v>
      </c>
    </row>
    <row r="2767" spans="1:8" x14ac:dyDescent="0.35">
      <c r="A2767">
        <v>6036000057366</v>
      </c>
      <c r="B2767" t="s">
        <v>3096</v>
      </c>
      <c r="C2767" t="s">
        <v>603</v>
      </c>
      <c r="D2767" t="s">
        <v>3097</v>
      </c>
      <c r="E2767" t="s">
        <v>22</v>
      </c>
      <c r="F2767" t="s">
        <v>1381</v>
      </c>
      <c r="G2767" t="s">
        <v>41</v>
      </c>
      <c r="H2767">
        <v>1047</v>
      </c>
    </row>
    <row r="2768" spans="1:8" x14ac:dyDescent="0.35">
      <c r="A2768">
        <v>6036000063466</v>
      </c>
      <c r="B2768" t="s">
        <v>3098</v>
      </c>
      <c r="C2768" t="s">
        <v>617</v>
      </c>
      <c r="D2768" t="s">
        <v>3099</v>
      </c>
      <c r="E2768" t="s">
        <v>41</v>
      </c>
      <c r="F2768" t="s">
        <v>3100</v>
      </c>
      <c r="G2768" t="s">
        <v>41</v>
      </c>
      <c r="H2768">
        <v>28</v>
      </c>
    </row>
    <row r="2769" spans="1:8" x14ac:dyDescent="0.35">
      <c r="A2769">
        <v>6036000063497</v>
      </c>
      <c r="B2769" t="s">
        <v>3098</v>
      </c>
      <c r="C2769" t="s">
        <v>3073</v>
      </c>
      <c r="D2769" t="s">
        <v>3099</v>
      </c>
      <c r="E2769" t="s">
        <v>41</v>
      </c>
      <c r="F2769" t="s">
        <v>3100</v>
      </c>
      <c r="G2769" t="s">
        <v>41</v>
      </c>
      <c r="H2769">
        <v>12</v>
      </c>
    </row>
    <row r="2770" spans="1:8" x14ac:dyDescent="0.35">
      <c r="A2770">
        <v>6036000086700</v>
      </c>
      <c r="B2770" t="s">
        <v>485</v>
      </c>
      <c r="C2770" t="s">
        <v>472</v>
      </c>
      <c r="D2770" t="s">
        <v>3101</v>
      </c>
      <c r="E2770" t="s">
        <v>308</v>
      </c>
      <c r="F2770" t="s">
        <v>309</v>
      </c>
      <c r="G2770" t="s">
        <v>41</v>
      </c>
      <c r="H2770">
        <v>53</v>
      </c>
    </row>
    <row r="2771" spans="1:8" x14ac:dyDescent="0.35">
      <c r="A2771">
        <v>6036000094316</v>
      </c>
      <c r="B2771" t="s">
        <v>3102</v>
      </c>
      <c r="C2771" t="s">
        <v>659</v>
      </c>
      <c r="D2771" t="s">
        <v>3103</v>
      </c>
      <c r="E2771" t="s">
        <v>308</v>
      </c>
      <c r="F2771" t="s">
        <v>309</v>
      </c>
      <c r="G2771" t="s">
        <v>41</v>
      </c>
      <c r="H2771">
        <v>18</v>
      </c>
    </row>
    <row r="2772" spans="1:8" x14ac:dyDescent="0.35">
      <c r="A2772">
        <v>6036000143069</v>
      </c>
      <c r="B2772" t="s">
        <v>3104</v>
      </c>
      <c r="C2772" t="s">
        <v>3105</v>
      </c>
      <c r="D2772" t="s">
        <v>3104</v>
      </c>
      <c r="E2772" t="s">
        <v>308</v>
      </c>
      <c r="F2772" t="s">
        <v>309</v>
      </c>
      <c r="G2772" t="s">
        <v>41</v>
      </c>
      <c r="H2772">
        <v>50</v>
      </c>
    </row>
    <row r="2773" spans="1:8" x14ac:dyDescent="0.35">
      <c r="A2773">
        <v>6036024852138</v>
      </c>
      <c r="B2773" t="s">
        <v>3106</v>
      </c>
      <c r="C2773" t="s">
        <v>617</v>
      </c>
      <c r="D2773" t="s">
        <v>3107</v>
      </c>
      <c r="E2773" t="s">
        <v>22</v>
      </c>
      <c r="F2773" t="s">
        <v>3108</v>
      </c>
      <c r="G2773" t="s">
        <v>41</v>
      </c>
      <c r="H2773">
        <v>50</v>
      </c>
    </row>
    <row r="2774" spans="1:8" x14ac:dyDescent="0.35">
      <c r="A2774">
        <v>6044000013039</v>
      </c>
      <c r="B2774" t="s">
        <v>854</v>
      </c>
      <c r="C2774" t="s">
        <v>603</v>
      </c>
      <c r="D2774" t="s">
        <v>3109</v>
      </c>
      <c r="E2774" t="s">
        <v>117</v>
      </c>
      <c r="F2774" t="s">
        <v>3110</v>
      </c>
      <c r="G2774" t="s">
        <v>117</v>
      </c>
      <c r="H2774">
        <v>1</v>
      </c>
    </row>
    <row r="2775" spans="1:8" x14ac:dyDescent="0.35">
      <c r="A2775">
        <v>6044000013121</v>
      </c>
      <c r="B2775" t="s">
        <v>295</v>
      </c>
      <c r="C2775" t="s">
        <v>603</v>
      </c>
      <c r="D2775" t="s">
        <v>3111</v>
      </c>
      <c r="E2775" t="s">
        <v>117</v>
      </c>
      <c r="F2775" t="s">
        <v>3110</v>
      </c>
      <c r="G2775" t="s">
        <v>117</v>
      </c>
      <c r="H2775">
        <v>2</v>
      </c>
    </row>
    <row r="2776" spans="1:8" x14ac:dyDescent="0.35">
      <c r="A2776">
        <v>6044000013169</v>
      </c>
      <c r="B2776" t="s">
        <v>668</v>
      </c>
      <c r="C2776" t="s">
        <v>83</v>
      </c>
      <c r="D2776" t="s">
        <v>3109</v>
      </c>
      <c r="E2776" t="s">
        <v>117</v>
      </c>
      <c r="F2776" t="s">
        <v>3110</v>
      </c>
      <c r="G2776" t="s">
        <v>117</v>
      </c>
      <c r="H2776">
        <v>2</v>
      </c>
    </row>
    <row r="2777" spans="1:8" x14ac:dyDescent="0.35">
      <c r="A2777">
        <v>6044000013176</v>
      </c>
      <c r="B2777" t="s">
        <v>581</v>
      </c>
      <c r="C2777" t="s">
        <v>806</v>
      </c>
      <c r="D2777" t="s">
        <v>3109</v>
      </c>
      <c r="E2777" t="s">
        <v>117</v>
      </c>
      <c r="F2777" t="s">
        <v>3110</v>
      </c>
      <c r="G2777" t="s">
        <v>117</v>
      </c>
      <c r="H2777">
        <v>32</v>
      </c>
    </row>
    <row r="2778" spans="1:8" x14ac:dyDescent="0.35">
      <c r="A2778">
        <v>6044000013190</v>
      </c>
      <c r="B2778" t="s">
        <v>581</v>
      </c>
      <c r="C2778" t="s">
        <v>83</v>
      </c>
      <c r="D2778" t="s">
        <v>3109</v>
      </c>
      <c r="E2778" t="s">
        <v>117</v>
      </c>
      <c r="F2778" t="s">
        <v>3110</v>
      </c>
      <c r="G2778" t="s">
        <v>117</v>
      </c>
      <c r="H2778">
        <v>17</v>
      </c>
    </row>
    <row r="2779" spans="1:8" x14ac:dyDescent="0.35">
      <c r="A2779">
        <v>6044000013206</v>
      </c>
      <c r="B2779" t="s">
        <v>3112</v>
      </c>
      <c r="C2779" t="s">
        <v>806</v>
      </c>
      <c r="D2779" t="s">
        <v>3109</v>
      </c>
      <c r="E2779" t="s">
        <v>117</v>
      </c>
      <c r="F2779" t="s">
        <v>3110</v>
      </c>
      <c r="G2779" t="s">
        <v>117</v>
      </c>
      <c r="H2779">
        <v>1</v>
      </c>
    </row>
    <row r="2780" spans="1:8" x14ac:dyDescent="0.35">
      <c r="A2780">
        <v>6044000013244</v>
      </c>
      <c r="B2780" t="s">
        <v>295</v>
      </c>
      <c r="C2780" t="s">
        <v>806</v>
      </c>
      <c r="D2780" t="s">
        <v>3111</v>
      </c>
      <c r="E2780" t="s">
        <v>117</v>
      </c>
      <c r="F2780" t="s">
        <v>3110</v>
      </c>
      <c r="G2780" t="s">
        <v>117</v>
      </c>
      <c r="H2780">
        <v>5</v>
      </c>
    </row>
    <row r="2781" spans="1:8" x14ac:dyDescent="0.35">
      <c r="A2781">
        <v>6044000013688</v>
      </c>
      <c r="B2781" t="s">
        <v>3113</v>
      </c>
      <c r="C2781" t="s">
        <v>3114</v>
      </c>
      <c r="D2781" t="s">
        <v>3115</v>
      </c>
      <c r="E2781" t="s">
        <v>117</v>
      </c>
      <c r="F2781" t="s">
        <v>3116</v>
      </c>
      <c r="G2781" t="s">
        <v>117</v>
      </c>
      <c r="H2781">
        <v>19</v>
      </c>
    </row>
    <row r="2782" spans="1:8" x14ac:dyDescent="0.35">
      <c r="A2782">
        <v>6046000006806</v>
      </c>
      <c r="B2782" t="s">
        <v>3117</v>
      </c>
      <c r="C2782" t="s">
        <v>545</v>
      </c>
      <c r="D2782" t="s">
        <v>3115</v>
      </c>
      <c r="E2782" t="s">
        <v>117</v>
      </c>
      <c r="F2782" t="s">
        <v>3116</v>
      </c>
      <c r="G2782" t="s">
        <v>117</v>
      </c>
      <c r="H2782">
        <v>7</v>
      </c>
    </row>
    <row r="2783" spans="1:8" x14ac:dyDescent="0.35">
      <c r="A2783">
        <v>6046000006868</v>
      </c>
      <c r="B2783" t="s">
        <v>1063</v>
      </c>
      <c r="C2783" t="s">
        <v>801</v>
      </c>
      <c r="D2783" t="s">
        <v>3115</v>
      </c>
      <c r="E2783" t="s">
        <v>117</v>
      </c>
      <c r="F2783" t="s">
        <v>3116</v>
      </c>
      <c r="G2783" t="s">
        <v>117</v>
      </c>
      <c r="H2783">
        <v>32</v>
      </c>
    </row>
    <row r="2784" spans="1:8" x14ac:dyDescent="0.35">
      <c r="A2784">
        <v>6046000006875</v>
      </c>
      <c r="B2784" t="s">
        <v>3118</v>
      </c>
      <c r="C2784" t="s">
        <v>38</v>
      </c>
      <c r="D2784" t="s">
        <v>3115</v>
      </c>
      <c r="E2784" t="s">
        <v>117</v>
      </c>
      <c r="F2784" t="s">
        <v>3116</v>
      </c>
      <c r="G2784" t="s">
        <v>117</v>
      </c>
      <c r="H2784">
        <v>9</v>
      </c>
    </row>
    <row r="2785" spans="1:8" x14ac:dyDescent="0.35">
      <c r="A2785">
        <v>6046000006882</v>
      </c>
      <c r="B2785" t="s">
        <v>3119</v>
      </c>
      <c r="C2785" t="s">
        <v>909</v>
      </c>
      <c r="D2785" t="s">
        <v>3115</v>
      </c>
      <c r="E2785" t="s">
        <v>117</v>
      </c>
      <c r="F2785" t="s">
        <v>3116</v>
      </c>
      <c r="G2785" t="s">
        <v>117</v>
      </c>
      <c r="H2785">
        <v>3</v>
      </c>
    </row>
    <row r="2786" spans="1:8" x14ac:dyDescent="0.35">
      <c r="A2786">
        <v>605388881243</v>
      </c>
      <c r="B2786" t="s">
        <v>212</v>
      </c>
      <c r="C2786" t="s">
        <v>9</v>
      </c>
      <c r="D2786" t="s">
        <v>573</v>
      </c>
      <c r="E2786" t="s">
        <v>15</v>
      </c>
      <c r="F2786" t="s">
        <v>574</v>
      </c>
      <c r="G2786" t="s">
        <v>16</v>
      </c>
      <c r="H2786">
        <v>38</v>
      </c>
    </row>
    <row r="2787" spans="1:8" x14ac:dyDescent="0.35">
      <c r="A2787">
        <v>606110410663</v>
      </c>
      <c r="B2787" t="s">
        <v>790</v>
      </c>
      <c r="C2787" t="s">
        <v>9</v>
      </c>
      <c r="D2787" t="s">
        <v>115</v>
      </c>
      <c r="E2787" t="s">
        <v>34</v>
      </c>
      <c r="F2787" t="s">
        <v>116</v>
      </c>
      <c r="G2787" t="s">
        <v>34</v>
      </c>
      <c r="H2787">
        <v>26</v>
      </c>
    </row>
    <row r="2788" spans="1:8" x14ac:dyDescent="0.35">
      <c r="A2788">
        <v>60820211</v>
      </c>
      <c r="B2788" t="s">
        <v>3120</v>
      </c>
      <c r="C2788" t="s">
        <v>603</v>
      </c>
      <c r="D2788" t="s">
        <v>600</v>
      </c>
      <c r="E2788" t="s">
        <v>387</v>
      </c>
      <c r="F2788" t="s">
        <v>601</v>
      </c>
      <c r="G2788" t="s">
        <v>387</v>
      </c>
      <c r="H2788">
        <v>1</v>
      </c>
    </row>
    <row r="2789" spans="1:8" x14ac:dyDescent="0.35">
      <c r="A2789">
        <v>6103011160368</v>
      </c>
      <c r="B2789" t="s">
        <v>3121</v>
      </c>
      <c r="C2789" t="s">
        <v>447</v>
      </c>
      <c r="D2789" t="s">
        <v>1069</v>
      </c>
      <c r="E2789" t="s">
        <v>61</v>
      </c>
      <c r="F2789" t="s">
        <v>1070</v>
      </c>
      <c r="G2789" t="s">
        <v>61</v>
      </c>
      <c r="H2789">
        <v>44</v>
      </c>
    </row>
    <row r="2790" spans="1:8" x14ac:dyDescent="0.35">
      <c r="A2790">
        <v>6103018220713</v>
      </c>
      <c r="B2790" t="s">
        <v>82</v>
      </c>
      <c r="C2790" t="s">
        <v>83</v>
      </c>
      <c r="D2790" t="s">
        <v>84</v>
      </c>
      <c r="E2790" t="s">
        <v>61</v>
      </c>
      <c r="F2790" t="s">
        <v>85</v>
      </c>
      <c r="G2790" t="s">
        <v>61</v>
      </c>
      <c r="H2790">
        <v>1</v>
      </c>
    </row>
    <row r="2791" spans="1:8" x14ac:dyDescent="0.35">
      <c r="A2791">
        <v>6104007216281</v>
      </c>
      <c r="B2791" t="s">
        <v>3122</v>
      </c>
      <c r="C2791" t="s">
        <v>3123</v>
      </c>
      <c r="D2791" t="s">
        <v>3124</v>
      </c>
      <c r="E2791" t="s">
        <v>308</v>
      </c>
      <c r="F2791" t="s">
        <v>309</v>
      </c>
      <c r="G2791" t="s">
        <v>31</v>
      </c>
      <c r="H2791">
        <v>5</v>
      </c>
    </row>
    <row r="2792" spans="1:8" x14ac:dyDescent="0.35">
      <c r="A2792">
        <v>6106000000911</v>
      </c>
      <c r="B2792" t="s">
        <v>581</v>
      </c>
      <c r="C2792" t="s">
        <v>192</v>
      </c>
      <c r="D2792" t="s">
        <v>3125</v>
      </c>
      <c r="E2792" t="s">
        <v>15</v>
      </c>
      <c r="F2792" t="s">
        <v>14</v>
      </c>
      <c r="G2792" t="s">
        <v>117</v>
      </c>
      <c r="H2792">
        <v>3</v>
      </c>
    </row>
    <row r="2793" spans="1:8" x14ac:dyDescent="0.35">
      <c r="A2793">
        <v>6106000000942</v>
      </c>
      <c r="B2793" t="s">
        <v>581</v>
      </c>
      <c r="C2793" t="s">
        <v>38</v>
      </c>
      <c r="D2793" t="s">
        <v>3125</v>
      </c>
      <c r="E2793" t="s">
        <v>15</v>
      </c>
      <c r="F2793" t="s">
        <v>14</v>
      </c>
      <c r="G2793" t="s">
        <v>117</v>
      </c>
      <c r="H2793">
        <v>11</v>
      </c>
    </row>
    <row r="2794" spans="1:8" x14ac:dyDescent="0.35">
      <c r="A2794">
        <v>6108145002027</v>
      </c>
      <c r="B2794" t="s">
        <v>3126</v>
      </c>
      <c r="C2794" t="s">
        <v>663</v>
      </c>
      <c r="D2794" t="s">
        <v>2324</v>
      </c>
      <c r="E2794" t="s">
        <v>41</v>
      </c>
      <c r="F2794" t="s">
        <v>2325</v>
      </c>
      <c r="G2794" t="s">
        <v>41</v>
      </c>
      <c r="H2794">
        <v>10</v>
      </c>
    </row>
    <row r="2795" spans="1:8" x14ac:dyDescent="0.35">
      <c r="A2795">
        <v>613008754761</v>
      </c>
      <c r="B2795" t="s">
        <v>3127</v>
      </c>
      <c r="C2795" t="s">
        <v>801</v>
      </c>
      <c r="D2795" t="s">
        <v>619</v>
      </c>
      <c r="E2795" t="s">
        <v>15</v>
      </c>
      <c r="F2795" t="s">
        <v>620</v>
      </c>
      <c r="G2795" t="s">
        <v>16</v>
      </c>
      <c r="H2795">
        <v>1</v>
      </c>
    </row>
    <row r="2796" spans="1:8" x14ac:dyDescent="0.35">
      <c r="A2796">
        <v>6130234001161</v>
      </c>
      <c r="B2796" t="s">
        <v>262</v>
      </c>
      <c r="C2796" t="s">
        <v>545</v>
      </c>
      <c r="D2796" t="s">
        <v>3128</v>
      </c>
      <c r="E2796" t="s">
        <v>3129</v>
      </c>
      <c r="F2796" t="s">
        <v>3130</v>
      </c>
      <c r="G2796" t="s">
        <v>3129</v>
      </c>
      <c r="H2796">
        <v>1</v>
      </c>
    </row>
    <row r="2797" spans="1:8" x14ac:dyDescent="0.35">
      <c r="A2797">
        <v>6131010523600</v>
      </c>
      <c r="B2797" t="s">
        <v>8</v>
      </c>
      <c r="C2797" t="s">
        <v>9</v>
      </c>
      <c r="D2797" t="s">
        <v>3067</v>
      </c>
      <c r="E2797" t="s">
        <v>41</v>
      </c>
      <c r="F2797" t="s">
        <v>456</v>
      </c>
      <c r="G2797" t="s">
        <v>41</v>
      </c>
      <c r="H2797">
        <v>3</v>
      </c>
    </row>
    <row r="2798" spans="1:8" x14ac:dyDescent="0.35">
      <c r="A2798">
        <v>6132173241004</v>
      </c>
      <c r="B2798" t="s">
        <v>709</v>
      </c>
      <c r="C2798" t="s">
        <v>9</v>
      </c>
      <c r="D2798" t="s">
        <v>14</v>
      </c>
      <c r="E2798" t="s">
        <v>15</v>
      </c>
      <c r="F2798" t="s">
        <v>14</v>
      </c>
      <c r="G2798" t="s">
        <v>20</v>
      </c>
      <c r="H2798">
        <v>1</v>
      </c>
    </row>
    <row r="2799" spans="1:8" x14ac:dyDescent="0.35">
      <c r="A2799">
        <v>6151100150226</v>
      </c>
      <c r="B2799" t="s">
        <v>668</v>
      </c>
      <c r="C2799" t="s">
        <v>114</v>
      </c>
      <c r="D2799" t="s">
        <v>273</v>
      </c>
      <c r="E2799" t="s">
        <v>15</v>
      </c>
      <c r="F2799" t="s">
        <v>56</v>
      </c>
      <c r="G2799" t="s">
        <v>598</v>
      </c>
      <c r="H2799">
        <v>13</v>
      </c>
    </row>
    <row r="2800" spans="1:8" x14ac:dyDescent="0.35">
      <c r="A2800">
        <v>6151100151070</v>
      </c>
      <c r="B2800" t="s">
        <v>295</v>
      </c>
      <c r="C2800" t="s">
        <v>38</v>
      </c>
      <c r="D2800" t="s">
        <v>3131</v>
      </c>
      <c r="E2800" t="s">
        <v>598</v>
      </c>
      <c r="F2800" t="s">
        <v>2977</v>
      </c>
      <c r="G2800" t="s">
        <v>598</v>
      </c>
      <c r="H2800">
        <v>2</v>
      </c>
    </row>
    <row r="2801" spans="1:8" x14ac:dyDescent="0.35">
      <c r="A2801">
        <v>6154000050078</v>
      </c>
      <c r="B2801" t="s">
        <v>3132</v>
      </c>
      <c r="C2801" t="s">
        <v>94</v>
      </c>
      <c r="D2801" t="s">
        <v>2914</v>
      </c>
      <c r="E2801" t="s">
        <v>2227</v>
      </c>
      <c r="F2801" t="s">
        <v>2532</v>
      </c>
      <c r="G2801" t="s">
        <v>41</v>
      </c>
      <c r="H2801">
        <v>50</v>
      </c>
    </row>
    <row r="2802" spans="1:8" x14ac:dyDescent="0.35">
      <c r="A2802">
        <v>6154000050115</v>
      </c>
      <c r="B2802" t="s">
        <v>3133</v>
      </c>
      <c r="C2802" t="s">
        <v>94</v>
      </c>
      <c r="D2802" t="s">
        <v>2914</v>
      </c>
      <c r="E2802" t="s">
        <v>2227</v>
      </c>
      <c r="F2802" t="s">
        <v>2532</v>
      </c>
      <c r="G2802" t="s">
        <v>41</v>
      </c>
      <c r="H2802">
        <v>100</v>
      </c>
    </row>
    <row r="2803" spans="1:8" x14ac:dyDescent="0.35">
      <c r="A2803">
        <v>6154000057268</v>
      </c>
      <c r="B2803" t="s">
        <v>3010</v>
      </c>
      <c r="C2803" t="s">
        <v>603</v>
      </c>
      <c r="D2803" t="s">
        <v>3010</v>
      </c>
      <c r="E2803" t="s">
        <v>816</v>
      </c>
      <c r="F2803" t="s">
        <v>817</v>
      </c>
      <c r="G2803" t="s">
        <v>41</v>
      </c>
      <c r="H2803">
        <v>518</v>
      </c>
    </row>
    <row r="2804" spans="1:8" x14ac:dyDescent="0.35">
      <c r="A2804">
        <v>6154000082079</v>
      </c>
      <c r="B2804" t="s">
        <v>3134</v>
      </c>
      <c r="C2804" t="s">
        <v>472</v>
      </c>
      <c r="D2804" t="s">
        <v>14</v>
      </c>
      <c r="E2804" t="s">
        <v>15</v>
      </c>
      <c r="F2804" t="s">
        <v>14</v>
      </c>
      <c r="G2804" t="s">
        <v>598</v>
      </c>
      <c r="H2804">
        <v>1</v>
      </c>
    </row>
    <row r="2805" spans="1:8" x14ac:dyDescent="0.35">
      <c r="A2805">
        <v>6156000233710</v>
      </c>
      <c r="B2805" t="s">
        <v>3135</v>
      </c>
      <c r="C2805" t="s">
        <v>1773</v>
      </c>
      <c r="D2805" t="s">
        <v>14</v>
      </c>
      <c r="E2805" t="s">
        <v>15</v>
      </c>
      <c r="F2805" t="s">
        <v>14</v>
      </c>
      <c r="G2805" t="s">
        <v>598</v>
      </c>
      <c r="H2805">
        <v>2</v>
      </c>
    </row>
    <row r="2806" spans="1:8" x14ac:dyDescent="0.35">
      <c r="A2806">
        <v>6156000233888</v>
      </c>
      <c r="B2806" t="s">
        <v>668</v>
      </c>
      <c r="C2806" t="s">
        <v>9</v>
      </c>
      <c r="D2806" t="s">
        <v>3136</v>
      </c>
      <c r="E2806" t="s">
        <v>1201</v>
      </c>
      <c r="F2806" t="s">
        <v>3137</v>
      </c>
      <c r="G2806" t="s">
        <v>598</v>
      </c>
      <c r="H2806">
        <v>1</v>
      </c>
    </row>
    <row r="2807" spans="1:8" x14ac:dyDescent="0.35">
      <c r="A2807">
        <v>6156000261812</v>
      </c>
      <c r="B2807" t="s">
        <v>3138</v>
      </c>
      <c r="C2807" t="s">
        <v>9</v>
      </c>
      <c r="D2807" t="s">
        <v>3139</v>
      </c>
      <c r="E2807" t="s">
        <v>598</v>
      </c>
      <c r="F2807" t="s">
        <v>3140</v>
      </c>
      <c r="G2807" t="s">
        <v>41</v>
      </c>
      <c r="H2807">
        <v>35</v>
      </c>
    </row>
    <row r="2808" spans="1:8" x14ac:dyDescent="0.35">
      <c r="A2808">
        <v>6156000264042</v>
      </c>
      <c r="B2808" t="s">
        <v>974</v>
      </c>
      <c r="C2808" t="s">
        <v>326</v>
      </c>
      <c r="D2808" t="s">
        <v>3141</v>
      </c>
      <c r="E2808" t="s">
        <v>598</v>
      </c>
      <c r="F2808" t="s">
        <v>3140</v>
      </c>
      <c r="G2808" t="s">
        <v>598</v>
      </c>
      <c r="H2808">
        <v>58</v>
      </c>
    </row>
    <row r="2809" spans="1:8" x14ac:dyDescent="0.35">
      <c r="A2809">
        <v>616000903014</v>
      </c>
      <c r="B2809" t="s">
        <v>852</v>
      </c>
      <c r="C2809" t="s">
        <v>81</v>
      </c>
      <c r="D2809" t="s">
        <v>3142</v>
      </c>
      <c r="E2809" t="s">
        <v>31</v>
      </c>
      <c r="F2809" t="s">
        <v>3143</v>
      </c>
      <c r="G2809" t="s">
        <v>31</v>
      </c>
      <c r="H2809">
        <v>8</v>
      </c>
    </row>
    <row r="2810" spans="1:8" x14ac:dyDescent="0.35">
      <c r="A2810">
        <v>6160212800141</v>
      </c>
      <c r="B2810" t="s">
        <v>3144</v>
      </c>
      <c r="C2810" t="s">
        <v>458</v>
      </c>
      <c r="D2810" t="s">
        <v>3145</v>
      </c>
      <c r="E2810" t="s">
        <v>308</v>
      </c>
      <c r="F2810" t="s">
        <v>309</v>
      </c>
      <c r="G2810" t="s">
        <v>41</v>
      </c>
      <c r="H2810">
        <v>40</v>
      </c>
    </row>
    <row r="2811" spans="1:8" x14ac:dyDescent="0.35">
      <c r="A2811">
        <v>6161100042216</v>
      </c>
      <c r="B2811" t="s">
        <v>3146</v>
      </c>
      <c r="C2811" t="s">
        <v>66</v>
      </c>
      <c r="D2811" t="s">
        <v>3147</v>
      </c>
      <c r="E2811" t="s">
        <v>11</v>
      </c>
      <c r="F2811" t="s">
        <v>3148</v>
      </c>
      <c r="G2811" t="s">
        <v>150</v>
      </c>
      <c r="H2811">
        <v>78</v>
      </c>
    </row>
    <row r="2812" spans="1:8" x14ac:dyDescent="0.35">
      <c r="A2812">
        <v>6161100042223</v>
      </c>
      <c r="B2812" t="s">
        <v>3149</v>
      </c>
      <c r="C2812" t="s">
        <v>431</v>
      </c>
      <c r="D2812" t="s">
        <v>3147</v>
      </c>
      <c r="E2812" t="s">
        <v>11</v>
      </c>
      <c r="F2812" t="s">
        <v>3148</v>
      </c>
      <c r="G2812" t="s">
        <v>150</v>
      </c>
      <c r="H2812">
        <v>18</v>
      </c>
    </row>
    <row r="2813" spans="1:8" x14ac:dyDescent="0.35">
      <c r="A2813">
        <v>6161100042865</v>
      </c>
      <c r="B2813" t="s">
        <v>3147</v>
      </c>
      <c r="C2813" t="s">
        <v>102</v>
      </c>
      <c r="D2813" t="s">
        <v>3147</v>
      </c>
      <c r="E2813" t="s">
        <v>11</v>
      </c>
      <c r="F2813" t="s">
        <v>3148</v>
      </c>
      <c r="G2813" t="s">
        <v>150</v>
      </c>
      <c r="H2813">
        <v>5</v>
      </c>
    </row>
    <row r="2814" spans="1:8" x14ac:dyDescent="0.35">
      <c r="A2814">
        <v>6161100043664</v>
      </c>
      <c r="B2814" t="s">
        <v>3150</v>
      </c>
      <c r="C2814" t="s">
        <v>83</v>
      </c>
      <c r="D2814" t="s">
        <v>3151</v>
      </c>
      <c r="E2814" t="s">
        <v>11</v>
      </c>
      <c r="F2814" t="s">
        <v>3148</v>
      </c>
      <c r="G2814" t="s">
        <v>150</v>
      </c>
      <c r="H2814">
        <v>4</v>
      </c>
    </row>
    <row r="2815" spans="1:8" x14ac:dyDescent="0.35">
      <c r="A2815">
        <v>6161100043671</v>
      </c>
      <c r="B2815" t="s">
        <v>3152</v>
      </c>
      <c r="C2815" t="s">
        <v>83</v>
      </c>
      <c r="D2815" t="s">
        <v>3151</v>
      </c>
      <c r="E2815" t="s">
        <v>11</v>
      </c>
      <c r="F2815" t="s">
        <v>3148</v>
      </c>
      <c r="G2815" t="s">
        <v>150</v>
      </c>
      <c r="H2815">
        <v>3</v>
      </c>
    </row>
    <row r="2816" spans="1:8" x14ac:dyDescent="0.35">
      <c r="A2816">
        <v>6161100044234</v>
      </c>
      <c r="B2816" t="s">
        <v>3153</v>
      </c>
      <c r="C2816" t="s">
        <v>758</v>
      </c>
      <c r="D2816" t="s">
        <v>3151</v>
      </c>
      <c r="E2816" t="s">
        <v>11</v>
      </c>
      <c r="F2816" t="s">
        <v>3148</v>
      </c>
      <c r="G2816" t="s">
        <v>11</v>
      </c>
      <c r="H2816">
        <v>18</v>
      </c>
    </row>
    <row r="2817" spans="1:8" x14ac:dyDescent="0.35">
      <c r="A2817">
        <v>6161100045248</v>
      </c>
      <c r="B2817" t="s">
        <v>3152</v>
      </c>
      <c r="C2817" t="s">
        <v>83</v>
      </c>
      <c r="D2817" t="s">
        <v>3151</v>
      </c>
      <c r="E2817" t="s">
        <v>11</v>
      </c>
      <c r="F2817" t="s">
        <v>3148</v>
      </c>
      <c r="G2817" t="s">
        <v>150</v>
      </c>
      <c r="H2817">
        <v>1</v>
      </c>
    </row>
    <row r="2818" spans="1:8" x14ac:dyDescent="0.35">
      <c r="A2818">
        <v>6161100047983</v>
      </c>
      <c r="B2818" t="s">
        <v>3154</v>
      </c>
      <c r="C2818" t="s">
        <v>9</v>
      </c>
      <c r="D2818" t="s">
        <v>3155</v>
      </c>
      <c r="E2818" t="s">
        <v>11</v>
      </c>
      <c r="F2818" t="s">
        <v>3148</v>
      </c>
      <c r="G2818" t="s">
        <v>150</v>
      </c>
      <c r="H2818">
        <v>45</v>
      </c>
    </row>
    <row r="2819" spans="1:8" x14ac:dyDescent="0.35">
      <c r="A2819">
        <v>6161100049314</v>
      </c>
      <c r="B2819" t="s">
        <v>3156</v>
      </c>
      <c r="C2819" t="s">
        <v>94</v>
      </c>
      <c r="D2819" t="s">
        <v>3147</v>
      </c>
      <c r="E2819" t="s">
        <v>11</v>
      </c>
      <c r="F2819" t="s">
        <v>3148</v>
      </c>
      <c r="G2819" t="s">
        <v>150</v>
      </c>
      <c r="H2819">
        <v>9</v>
      </c>
    </row>
    <row r="2820" spans="1:8" x14ac:dyDescent="0.35">
      <c r="A2820">
        <v>6161100049512</v>
      </c>
      <c r="B2820" t="s">
        <v>3157</v>
      </c>
      <c r="C2820" t="s">
        <v>9</v>
      </c>
      <c r="D2820" t="s">
        <v>3155</v>
      </c>
      <c r="E2820" t="s">
        <v>11</v>
      </c>
      <c r="F2820" t="s">
        <v>3148</v>
      </c>
      <c r="G2820" t="s">
        <v>150</v>
      </c>
      <c r="H2820">
        <v>9</v>
      </c>
    </row>
    <row r="2821" spans="1:8" x14ac:dyDescent="0.35">
      <c r="A2821">
        <v>6161100460393</v>
      </c>
      <c r="B2821" t="s">
        <v>857</v>
      </c>
      <c r="C2821" t="s">
        <v>272</v>
      </c>
      <c r="D2821" t="s">
        <v>3158</v>
      </c>
      <c r="E2821" t="s">
        <v>11</v>
      </c>
      <c r="F2821" t="s">
        <v>3159</v>
      </c>
      <c r="G2821" t="s">
        <v>11</v>
      </c>
      <c r="H2821">
        <v>3</v>
      </c>
    </row>
    <row r="2822" spans="1:8" x14ac:dyDescent="0.35">
      <c r="A2822">
        <v>6161100460768</v>
      </c>
      <c r="B2822" t="s">
        <v>857</v>
      </c>
      <c r="C2822" t="s">
        <v>9</v>
      </c>
      <c r="D2822" t="s">
        <v>3158</v>
      </c>
      <c r="E2822" t="s">
        <v>11</v>
      </c>
      <c r="F2822" t="s">
        <v>3159</v>
      </c>
      <c r="G2822" t="s">
        <v>11</v>
      </c>
      <c r="H2822">
        <v>7</v>
      </c>
    </row>
    <row r="2823" spans="1:8" x14ac:dyDescent="0.35">
      <c r="A2823">
        <v>6161100460980</v>
      </c>
      <c r="B2823" t="s">
        <v>3160</v>
      </c>
      <c r="C2823" t="s">
        <v>9</v>
      </c>
      <c r="D2823" t="s">
        <v>3161</v>
      </c>
      <c r="E2823" t="s">
        <v>11</v>
      </c>
      <c r="F2823" t="s">
        <v>3159</v>
      </c>
      <c r="G2823" t="s">
        <v>11</v>
      </c>
      <c r="H2823">
        <v>17</v>
      </c>
    </row>
    <row r="2824" spans="1:8" x14ac:dyDescent="0.35">
      <c r="A2824">
        <v>6161100461307</v>
      </c>
      <c r="B2824" t="s">
        <v>3162</v>
      </c>
      <c r="C2824" t="s">
        <v>272</v>
      </c>
      <c r="D2824" t="s">
        <v>3161</v>
      </c>
      <c r="E2824" t="s">
        <v>11</v>
      </c>
      <c r="F2824" t="s">
        <v>3159</v>
      </c>
      <c r="G2824" t="s">
        <v>11</v>
      </c>
      <c r="H2824">
        <v>37</v>
      </c>
    </row>
    <row r="2825" spans="1:8" x14ac:dyDescent="0.35">
      <c r="A2825">
        <v>6161100602267</v>
      </c>
      <c r="B2825" t="s">
        <v>3163</v>
      </c>
      <c r="C2825" t="s">
        <v>69</v>
      </c>
      <c r="D2825" t="s">
        <v>3063</v>
      </c>
      <c r="E2825" t="s">
        <v>1201</v>
      </c>
      <c r="F2825" t="s">
        <v>1465</v>
      </c>
      <c r="G2825" t="s">
        <v>150</v>
      </c>
      <c r="H2825">
        <v>31</v>
      </c>
    </row>
    <row r="2826" spans="1:8" x14ac:dyDescent="0.35">
      <c r="A2826">
        <v>6161100604063</v>
      </c>
      <c r="B2826" t="s">
        <v>3164</v>
      </c>
      <c r="C2826" t="s">
        <v>43</v>
      </c>
      <c r="D2826" t="s">
        <v>2119</v>
      </c>
      <c r="E2826" t="s">
        <v>22</v>
      </c>
      <c r="F2826" t="s">
        <v>361</v>
      </c>
      <c r="G2826" t="s">
        <v>150</v>
      </c>
      <c r="H2826">
        <v>167</v>
      </c>
    </row>
    <row r="2827" spans="1:8" x14ac:dyDescent="0.35">
      <c r="A2827">
        <v>6161100604063</v>
      </c>
      <c r="B2827" t="s">
        <v>3164</v>
      </c>
      <c r="C2827" t="s">
        <v>43</v>
      </c>
      <c r="D2827" t="s">
        <v>2119</v>
      </c>
      <c r="E2827" t="s">
        <v>22</v>
      </c>
      <c r="F2827" t="s">
        <v>361</v>
      </c>
      <c r="G2827" t="s">
        <v>61</v>
      </c>
      <c r="H2827">
        <v>2</v>
      </c>
    </row>
    <row r="2828" spans="1:8" x14ac:dyDescent="0.35">
      <c r="A2828">
        <v>6161100604155</v>
      </c>
      <c r="B2828" t="s">
        <v>3165</v>
      </c>
      <c r="C2828" t="s">
        <v>43</v>
      </c>
      <c r="D2828" t="s">
        <v>3063</v>
      </c>
      <c r="E2828" t="s">
        <v>1201</v>
      </c>
      <c r="F2828" t="s">
        <v>1465</v>
      </c>
      <c r="G2828" t="s">
        <v>150</v>
      </c>
      <c r="H2828">
        <v>11</v>
      </c>
    </row>
    <row r="2829" spans="1:8" x14ac:dyDescent="0.35">
      <c r="A2829">
        <v>6161100604162</v>
      </c>
      <c r="B2829" t="s">
        <v>3165</v>
      </c>
      <c r="C2829" t="s">
        <v>1123</v>
      </c>
      <c r="D2829" t="s">
        <v>3063</v>
      </c>
      <c r="E2829" t="s">
        <v>1201</v>
      </c>
      <c r="F2829" t="s">
        <v>1465</v>
      </c>
      <c r="G2829" t="s">
        <v>150</v>
      </c>
      <c r="H2829">
        <v>1</v>
      </c>
    </row>
    <row r="2830" spans="1:8" x14ac:dyDescent="0.35">
      <c r="A2830">
        <v>6161100605268</v>
      </c>
      <c r="B2830" t="s">
        <v>3166</v>
      </c>
      <c r="C2830" t="s">
        <v>272</v>
      </c>
      <c r="D2830" t="s">
        <v>2123</v>
      </c>
      <c r="E2830" t="s">
        <v>22</v>
      </c>
      <c r="F2830" t="s">
        <v>361</v>
      </c>
      <c r="G2830" t="s">
        <v>150</v>
      </c>
      <c r="H2830">
        <v>1</v>
      </c>
    </row>
    <row r="2831" spans="1:8" x14ac:dyDescent="0.35">
      <c r="A2831">
        <v>6161100605442</v>
      </c>
      <c r="B2831" t="s">
        <v>3167</v>
      </c>
      <c r="C2831" t="s">
        <v>419</v>
      </c>
      <c r="D2831" t="s">
        <v>3168</v>
      </c>
      <c r="E2831" t="s">
        <v>15</v>
      </c>
      <c r="F2831" t="s">
        <v>1227</v>
      </c>
      <c r="G2831" t="s">
        <v>150</v>
      </c>
      <c r="H2831">
        <v>45</v>
      </c>
    </row>
    <row r="2832" spans="1:8" x14ac:dyDescent="0.35">
      <c r="A2832">
        <v>6161100605459</v>
      </c>
      <c r="B2832" t="s">
        <v>3169</v>
      </c>
      <c r="C2832" t="s">
        <v>43</v>
      </c>
      <c r="D2832" t="s">
        <v>3168</v>
      </c>
      <c r="E2832" t="s">
        <v>15</v>
      </c>
      <c r="F2832" t="s">
        <v>1227</v>
      </c>
      <c r="G2832" t="s">
        <v>150</v>
      </c>
      <c r="H2832">
        <v>19</v>
      </c>
    </row>
    <row r="2833" spans="1:8" x14ac:dyDescent="0.35">
      <c r="A2833">
        <v>6161100661028</v>
      </c>
      <c r="B2833" t="s">
        <v>262</v>
      </c>
      <c r="C2833" t="s">
        <v>1573</v>
      </c>
      <c r="D2833" t="s">
        <v>3170</v>
      </c>
      <c r="E2833" t="s">
        <v>11</v>
      </c>
      <c r="F2833" t="s">
        <v>3171</v>
      </c>
      <c r="G2833" t="s">
        <v>11</v>
      </c>
      <c r="H2833">
        <v>12</v>
      </c>
    </row>
    <row r="2834" spans="1:8" x14ac:dyDescent="0.35">
      <c r="A2834">
        <v>6161100700017</v>
      </c>
      <c r="B2834" t="s">
        <v>3172</v>
      </c>
      <c r="C2834" t="s">
        <v>81</v>
      </c>
      <c r="D2834" t="s">
        <v>3173</v>
      </c>
      <c r="E2834" t="s">
        <v>11</v>
      </c>
      <c r="F2834" t="s">
        <v>3174</v>
      </c>
      <c r="G2834" t="s">
        <v>11</v>
      </c>
      <c r="H2834">
        <v>9</v>
      </c>
    </row>
    <row r="2835" spans="1:8" x14ac:dyDescent="0.35">
      <c r="A2835">
        <v>6161100700024</v>
      </c>
      <c r="B2835" t="s">
        <v>834</v>
      </c>
      <c r="C2835" t="s">
        <v>81</v>
      </c>
      <c r="D2835" t="s">
        <v>3173</v>
      </c>
      <c r="E2835" t="s">
        <v>11</v>
      </c>
      <c r="F2835" t="s">
        <v>3174</v>
      </c>
      <c r="G2835" t="s">
        <v>11</v>
      </c>
      <c r="H2835">
        <v>6</v>
      </c>
    </row>
    <row r="2836" spans="1:8" x14ac:dyDescent="0.35">
      <c r="A2836">
        <v>6161100700031</v>
      </c>
      <c r="B2836" t="s">
        <v>834</v>
      </c>
      <c r="C2836" t="s">
        <v>1598</v>
      </c>
      <c r="D2836" t="s">
        <v>3173</v>
      </c>
      <c r="E2836" t="s">
        <v>11</v>
      </c>
      <c r="F2836" t="s">
        <v>3174</v>
      </c>
      <c r="G2836" t="s">
        <v>11</v>
      </c>
      <c r="H2836">
        <v>1</v>
      </c>
    </row>
    <row r="2837" spans="1:8" x14ac:dyDescent="0.35">
      <c r="A2837">
        <v>6161100720015</v>
      </c>
      <c r="B2837" t="s">
        <v>485</v>
      </c>
      <c r="C2837" t="s">
        <v>192</v>
      </c>
      <c r="D2837" t="s">
        <v>3175</v>
      </c>
      <c r="E2837" t="s">
        <v>11</v>
      </c>
      <c r="F2837" t="s">
        <v>3176</v>
      </c>
      <c r="G2837" t="s">
        <v>11</v>
      </c>
      <c r="H2837">
        <v>2</v>
      </c>
    </row>
    <row r="2838" spans="1:8" x14ac:dyDescent="0.35">
      <c r="A2838">
        <v>6161100720251</v>
      </c>
      <c r="B2838" t="s">
        <v>3177</v>
      </c>
      <c r="C2838" t="s">
        <v>9</v>
      </c>
      <c r="D2838" t="s">
        <v>3175</v>
      </c>
      <c r="E2838" t="s">
        <v>11</v>
      </c>
      <c r="F2838" t="s">
        <v>3176</v>
      </c>
      <c r="G2838" t="s">
        <v>11</v>
      </c>
      <c r="H2838">
        <v>13</v>
      </c>
    </row>
    <row r="2839" spans="1:8" x14ac:dyDescent="0.35">
      <c r="A2839">
        <v>6161100720268</v>
      </c>
      <c r="B2839" t="s">
        <v>3178</v>
      </c>
      <c r="C2839" t="s">
        <v>81</v>
      </c>
      <c r="D2839" t="s">
        <v>3175</v>
      </c>
      <c r="E2839" t="s">
        <v>11</v>
      </c>
      <c r="F2839" t="s">
        <v>3176</v>
      </c>
      <c r="G2839" t="s">
        <v>11</v>
      </c>
      <c r="H2839">
        <v>14</v>
      </c>
    </row>
    <row r="2840" spans="1:8" x14ac:dyDescent="0.35">
      <c r="A2840">
        <v>6161100720268</v>
      </c>
      <c r="B2840" t="s">
        <v>3178</v>
      </c>
      <c r="C2840" t="s">
        <v>81</v>
      </c>
      <c r="D2840" t="s">
        <v>3175</v>
      </c>
      <c r="E2840" t="s">
        <v>11</v>
      </c>
      <c r="F2840" t="s">
        <v>3176</v>
      </c>
      <c r="G2840" t="s">
        <v>31</v>
      </c>
      <c r="H2840">
        <v>11</v>
      </c>
    </row>
    <row r="2841" spans="1:8" x14ac:dyDescent="0.35">
      <c r="A2841">
        <v>6161100720275</v>
      </c>
      <c r="B2841" t="s">
        <v>560</v>
      </c>
      <c r="C2841" t="s">
        <v>9</v>
      </c>
      <c r="D2841" t="s">
        <v>3175</v>
      </c>
      <c r="E2841" t="s">
        <v>11</v>
      </c>
      <c r="F2841" t="s">
        <v>3176</v>
      </c>
      <c r="G2841" t="s">
        <v>11</v>
      </c>
      <c r="H2841">
        <v>8</v>
      </c>
    </row>
    <row r="2842" spans="1:8" x14ac:dyDescent="0.35">
      <c r="A2842">
        <v>6161100720275</v>
      </c>
      <c r="B2842" t="s">
        <v>560</v>
      </c>
      <c r="C2842" t="s">
        <v>9</v>
      </c>
      <c r="D2842" t="s">
        <v>3175</v>
      </c>
      <c r="E2842" t="s">
        <v>11</v>
      </c>
      <c r="F2842" t="s">
        <v>3176</v>
      </c>
      <c r="G2842" t="s">
        <v>150</v>
      </c>
      <c r="H2842">
        <v>1</v>
      </c>
    </row>
    <row r="2843" spans="1:8" x14ac:dyDescent="0.35">
      <c r="A2843">
        <v>6161100720398</v>
      </c>
      <c r="B2843" t="s">
        <v>3179</v>
      </c>
      <c r="C2843" t="s">
        <v>9</v>
      </c>
      <c r="D2843" t="s">
        <v>3175</v>
      </c>
      <c r="E2843" t="s">
        <v>11</v>
      </c>
      <c r="F2843" t="s">
        <v>3176</v>
      </c>
      <c r="G2843" t="s">
        <v>11</v>
      </c>
      <c r="H2843">
        <v>18</v>
      </c>
    </row>
    <row r="2844" spans="1:8" x14ac:dyDescent="0.35">
      <c r="A2844">
        <v>6161100720428</v>
      </c>
      <c r="B2844" t="s">
        <v>3180</v>
      </c>
      <c r="C2844" t="s">
        <v>3181</v>
      </c>
      <c r="D2844" t="s">
        <v>3175</v>
      </c>
      <c r="E2844" t="s">
        <v>11</v>
      </c>
      <c r="F2844" t="s">
        <v>3176</v>
      </c>
      <c r="G2844" t="s">
        <v>11</v>
      </c>
      <c r="H2844">
        <v>1</v>
      </c>
    </row>
    <row r="2845" spans="1:8" x14ac:dyDescent="0.35">
      <c r="A2845">
        <v>6161100763081</v>
      </c>
      <c r="B2845" t="s">
        <v>1569</v>
      </c>
      <c r="C2845" t="s">
        <v>9</v>
      </c>
      <c r="D2845" t="s">
        <v>3182</v>
      </c>
      <c r="E2845" t="s">
        <v>11</v>
      </c>
      <c r="F2845" t="s">
        <v>3183</v>
      </c>
      <c r="G2845" t="s">
        <v>11</v>
      </c>
      <c r="H2845">
        <v>11</v>
      </c>
    </row>
    <row r="2846" spans="1:8" x14ac:dyDescent="0.35">
      <c r="A2846">
        <v>6161100810112</v>
      </c>
      <c r="B2846" t="s">
        <v>3184</v>
      </c>
      <c r="C2846" t="s">
        <v>1588</v>
      </c>
      <c r="D2846" t="s">
        <v>3028</v>
      </c>
      <c r="E2846" t="s">
        <v>41</v>
      </c>
      <c r="F2846" t="s">
        <v>126</v>
      </c>
      <c r="G2846" t="s">
        <v>11</v>
      </c>
      <c r="H2846">
        <v>50</v>
      </c>
    </row>
    <row r="2847" spans="1:8" x14ac:dyDescent="0.35">
      <c r="A2847">
        <v>6161100913394</v>
      </c>
      <c r="B2847" t="s">
        <v>3185</v>
      </c>
      <c r="C2847" t="s">
        <v>94</v>
      </c>
      <c r="D2847" t="s">
        <v>3186</v>
      </c>
      <c r="E2847" t="s">
        <v>11</v>
      </c>
      <c r="F2847" t="s">
        <v>3187</v>
      </c>
      <c r="G2847" t="s">
        <v>34</v>
      </c>
      <c r="H2847">
        <v>1</v>
      </c>
    </row>
    <row r="2848" spans="1:8" x14ac:dyDescent="0.35">
      <c r="A2848">
        <v>6161100913394</v>
      </c>
      <c r="B2848" t="s">
        <v>3185</v>
      </c>
      <c r="C2848" t="s">
        <v>94</v>
      </c>
      <c r="D2848" t="s">
        <v>3186</v>
      </c>
      <c r="E2848" t="s">
        <v>11</v>
      </c>
      <c r="F2848" t="s">
        <v>3187</v>
      </c>
      <c r="G2848" t="s">
        <v>150</v>
      </c>
      <c r="H2848">
        <v>1</v>
      </c>
    </row>
    <row r="2849" spans="1:8" x14ac:dyDescent="0.35">
      <c r="A2849">
        <v>6161100913394</v>
      </c>
      <c r="B2849" t="s">
        <v>3185</v>
      </c>
      <c r="C2849" t="s">
        <v>94</v>
      </c>
      <c r="D2849" t="s">
        <v>3186</v>
      </c>
      <c r="E2849" t="s">
        <v>11</v>
      </c>
      <c r="F2849" t="s">
        <v>3187</v>
      </c>
      <c r="G2849" t="s">
        <v>61</v>
      </c>
      <c r="H2849">
        <v>1</v>
      </c>
    </row>
    <row r="2850" spans="1:8" x14ac:dyDescent="0.35">
      <c r="A2850">
        <v>6161100913462</v>
      </c>
      <c r="B2850" t="s">
        <v>3188</v>
      </c>
      <c r="C2850" t="s">
        <v>94</v>
      </c>
      <c r="D2850" t="s">
        <v>3186</v>
      </c>
      <c r="E2850" t="s">
        <v>11</v>
      </c>
      <c r="F2850" t="s">
        <v>3187</v>
      </c>
      <c r="G2850" t="s">
        <v>150</v>
      </c>
      <c r="H2850">
        <v>4</v>
      </c>
    </row>
    <row r="2851" spans="1:8" x14ac:dyDescent="0.35">
      <c r="A2851">
        <v>6161100950047</v>
      </c>
      <c r="B2851" t="s">
        <v>3189</v>
      </c>
      <c r="C2851" t="s">
        <v>9</v>
      </c>
      <c r="D2851" t="s">
        <v>1570</v>
      </c>
      <c r="E2851" t="s">
        <v>22</v>
      </c>
      <c r="F2851" t="s">
        <v>1568</v>
      </c>
      <c r="G2851" t="s">
        <v>61</v>
      </c>
      <c r="H2851">
        <v>5</v>
      </c>
    </row>
    <row r="2852" spans="1:8" x14ac:dyDescent="0.35">
      <c r="A2852">
        <v>6161100952430</v>
      </c>
      <c r="B2852" t="s">
        <v>3190</v>
      </c>
      <c r="C2852" t="s">
        <v>9</v>
      </c>
      <c r="D2852" t="s">
        <v>3191</v>
      </c>
      <c r="E2852" t="s">
        <v>22</v>
      </c>
      <c r="F2852" t="s">
        <v>1568</v>
      </c>
      <c r="G2852" t="s">
        <v>11</v>
      </c>
      <c r="H2852">
        <v>1</v>
      </c>
    </row>
    <row r="2853" spans="1:8" x14ac:dyDescent="0.35">
      <c r="A2853">
        <v>6161101000833</v>
      </c>
      <c r="B2853" t="s">
        <v>3192</v>
      </c>
      <c r="C2853" t="s">
        <v>272</v>
      </c>
      <c r="D2853" t="s">
        <v>2469</v>
      </c>
      <c r="E2853" t="s">
        <v>11</v>
      </c>
      <c r="F2853" t="s">
        <v>2470</v>
      </c>
      <c r="G2853" t="s">
        <v>11</v>
      </c>
      <c r="H2853">
        <v>17</v>
      </c>
    </row>
    <row r="2854" spans="1:8" x14ac:dyDescent="0.35">
      <c r="A2854">
        <v>6161101060585</v>
      </c>
      <c r="B2854" t="s">
        <v>3193</v>
      </c>
      <c r="C2854" t="s">
        <v>43</v>
      </c>
      <c r="D2854" t="s">
        <v>2346</v>
      </c>
      <c r="E2854" t="s">
        <v>11</v>
      </c>
      <c r="F2854" t="s">
        <v>2347</v>
      </c>
      <c r="G2854" t="s">
        <v>11</v>
      </c>
      <c r="H2854">
        <v>12</v>
      </c>
    </row>
    <row r="2855" spans="1:8" x14ac:dyDescent="0.35">
      <c r="A2855">
        <v>616110118735</v>
      </c>
      <c r="B2855" t="s">
        <v>3194</v>
      </c>
      <c r="C2855" t="s">
        <v>912</v>
      </c>
      <c r="D2855" t="s">
        <v>3195</v>
      </c>
      <c r="E2855" t="s">
        <v>150</v>
      </c>
      <c r="F2855" t="s">
        <v>3196</v>
      </c>
      <c r="G2855" t="s">
        <v>150</v>
      </c>
      <c r="H2855">
        <v>5</v>
      </c>
    </row>
    <row r="2856" spans="1:8" x14ac:dyDescent="0.35">
      <c r="A2856">
        <v>6161101280211</v>
      </c>
      <c r="B2856" t="s">
        <v>834</v>
      </c>
      <c r="C2856" t="s">
        <v>9</v>
      </c>
      <c r="D2856" t="s">
        <v>3197</v>
      </c>
      <c r="E2856" t="s">
        <v>11</v>
      </c>
      <c r="F2856" t="s">
        <v>3198</v>
      </c>
      <c r="G2856" t="s">
        <v>11</v>
      </c>
      <c r="H2856">
        <v>58</v>
      </c>
    </row>
    <row r="2857" spans="1:8" x14ac:dyDescent="0.35">
      <c r="A2857">
        <v>6161101280228</v>
      </c>
      <c r="B2857" t="s">
        <v>834</v>
      </c>
      <c r="C2857" t="s">
        <v>192</v>
      </c>
      <c r="D2857" t="s">
        <v>3197</v>
      </c>
      <c r="E2857" t="s">
        <v>11</v>
      </c>
      <c r="F2857" t="s">
        <v>3198</v>
      </c>
      <c r="G2857" t="s">
        <v>11</v>
      </c>
      <c r="H2857">
        <v>2</v>
      </c>
    </row>
    <row r="2858" spans="1:8" x14ac:dyDescent="0.35">
      <c r="A2858">
        <v>6161101280235</v>
      </c>
      <c r="B2858" t="s">
        <v>8</v>
      </c>
      <c r="C2858" t="s">
        <v>192</v>
      </c>
      <c r="D2858" t="s">
        <v>3197</v>
      </c>
      <c r="E2858" t="s">
        <v>11</v>
      </c>
      <c r="F2858" t="s">
        <v>3198</v>
      </c>
      <c r="G2858" t="s">
        <v>11</v>
      </c>
      <c r="H2858">
        <v>3</v>
      </c>
    </row>
    <row r="2859" spans="1:8" x14ac:dyDescent="0.35">
      <c r="A2859">
        <v>6161101450591</v>
      </c>
      <c r="B2859" t="s">
        <v>295</v>
      </c>
      <c r="C2859" t="s">
        <v>472</v>
      </c>
      <c r="D2859" t="s">
        <v>2261</v>
      </c>
      <c r="E2859" t="s">
        <v>34</v>
      </c>
      <c r="F2859" t="s">
        <v>2262</v>
      </c>
      <c r="G2859" t="s">
        <v>34</v>
      </c>
      <c r="H2859">
        <v>9581</v>
      </c>
    </row>
    <row r="2860" spans="1:8" x14ac:dyDescent="0.35">
      <c r="A2860">
        <v>6161101450591</v>
      </c>
      <c r="B2860" t="s">
        <v>295</v>
      </c>
      <c r="C2860" t="s">
        <v>472</v>
      </c>
      <c r="D2860" t="s">
        <v>2261</v>
      </c>
      <c r="E2860" t="s">
        <v>34</v>
      </c>
      <c r="F2860" t="s">
        <v>2262</v>
      </c>
      <c r="G2860" t="s">
        <v>73</v>
      </c>
      <c r="H2860">
        <v>1</v>
      </c>
    </row>
    <row r="2861" spans="1:8" x14ac:dyDescent="0.35">
      <c r="A2861">
        <v>6161101571739</v>
      </c>
      <c r="B2861" t="s">
        <v>3199</v>
      </c>
      <c r="C2861" t="s">
        <v>81</v>
      </c>
      <c r="D2861" t="s">
        <v>3200</v>
      </c>
      <c r="E2861" t="s">
        <v>61</v>
      </c>
      <c r="F2861" t="s">
        <v>3201</v>
      </c>
      <c r="G2861" t="s">
        <v>61</v>
      </c>
      <c r="H2861">
        <v>2</v>
      </c>
    </row>
    <row r="2862" spans="1:8" x14ac:dyDescent="0.35">
      <c r="A2862">
        <v>6161101575669</v>
      </c>
      <c r="B2862" t="s">
        <v>3202</v>
      </c>
      <c r="C2862" t="s">
        <v>9</v>
      </c>
      <c r="D2862" t="s">
        <v>3203</v>
      </c>
      <c r="E2862" t="s">
        <v>61</v>
      </c>
      <c r="F2862" t="s">
        <v>3201</v>
      </c>
      <c r="G2862" t="s">
        <v>61</v>
      </c>
      <c r="H2862">
        <v>5</v>
      </c>
    </row>
    <row r="2863" spans="1:8" x14ac:dyDescent="0.35">
      <c r="A2863">
        <v>6161101577977</v>
      </c>
      <c r="B2863" t="s">
        <v>3204</v>
      </c>
      <c r="C2863" t="s">
        <v>627</v>
      </c>
      <c r="D2863" t="s">
        <v>3205</v>
      </c>
      <c r="E2863" t="s">
        <v>61</v>
      </c>
      <c r="F2863" t="s">
        <v>3201</v>
      </c>
      <c r="G2863" t="s">
        <v>61</v>
      </c>
      <c r="H2863">
        <v>2</v>
      </c>
    </row>
    <row r="2864" spans="1:8" x14ac:dyDescent="0.35">
      <c r="A2864">
        <v>6161101600521</v>
      </c>
      <c r="B2864" t="s">
        <v>3206</v>
      </c>
      <c r="C2864" t="s">
        <v>36</v>
      </c>
      <c r="D2864" t="s">
        <v>3207</v>
      </c>
      <c r="E2864" t="s">
        <v>31</v>
      </c>
      <c r="F2864" t="s">
        <v>3208</v>
      </c>
      <c r="G2864" t="s">
        <v>31</v>
      </c>
      <c r="H2864">
        <v>51</v>
      </c>
    </row>
    <row r="2865" spans="1:8" x14ac:dyDescent="0.35">
      <c r="A2865">
        <v>6161101606363</v>
      </c>
      <c r="B2865" t="s">
        <v>3209</v>
      </c>
      <c r="C2865" t="s">
        <v>173</v>
      </c>
      <c r="D2865" t="s">
        <v>3210</v>
      </c>
      <c r="E2865" t="s">
        <v>61</v>
      </c>
      <c r="F2865" t="s">
        <v>3211</v>
      </c>
      <c r="G2865" t="s">
        <v>61</v>
      </c>
      <c r="H2865">
        <v>8</v>
      </c>
    </row>
    <row r="2866" spans="1:8" x14ac:dyDescent="0.35">
      <c r="A2866">
        <v>6161101661843</v>
      </c>
      <c r="B2866" t="s">
        <v>3212</v>
      </c>
      <c r="C2866" t="s">
        <v>94</v>
      </c>
      <c r="D2866" t="s">
        <v>3213</v>
      </c>
      <c r="E2866" t="s">
        <v>11</v>
      </c>
      <c r="F2866" t="s">
        <v>3214</v>
      </c>
      <c r="G2866" t="s">
        <v>11</v>
      </c>
      <c r="H2866">
        <v>1</v>
      </c>
    </row>
    <row r="2867" spans="1:8" x14ac:dyDescent="0.35">
      <c r="A2867">
        <v>6161101661850</v>
      </c>
      <c r="B2867" t="s">
        <v>3215</v>
      </c>
      <c r="C2867" t="s">
        <v>36</v>
      </c>
      <c r="D2867" t="s">
        <v>3213</v>
      </c>
      <c r="E2867" t="s">
        <v>11</v>
      </c>
      <c r="F2867" t="s">
        <v>3214</v>
      </c>
      <c r="G2867" t="s">
        <v>11</v>
      </c>
      <c r="H2867">
        <v>17</v>
      </c>
    </row>
    <row r="2868" spans="1:8" x14ac:dyDescent="0.35">
      <c r="A2868">
        <v>6161101661867</v>
      </c>
      <c r="B2868" t="s">
        <v>3212</v>
      </c>
      <c r="C2868" t="s">
        <v>43</v>
      </c>
      <c r="D2868" t="s">
        <v>3213</v>
      </c>
      <c r="E2868" t="s">
        <v>11</v>
      </c>
      <c r="F2868" t="s">
        <v>3214</v>
      </c>
      <c r="G2868" t="s">
        <v>61</v>
      </c>
      <c r="H2868">
        <v>2</v>
      </c>
    </row>
    <row r="2869" spans="1:8" x14ac:dyDescent="0.35">
      <c r="A2869">
        <v>6161101661881</v>
      </c>
      <c r="B2869" t="s">
        <v>3212</v>
      </c>
      <c r="C2869" t="s">
        <v>1123</v>
      </c>
      <c r="D2869" t="s">
        <v>3213</v>
      </c>
      <c r="E2869" t="s">
        <v>11</v>
      </c>
      <c r="F2869" t="s">
        <v>3214</v>
      </c>
      <c r="G2869" t="s">
        <v>11</v>
      </c>
      <c r="H2869">
        <v>15</v>
      </c>
    </row>
    <row r="2870" spans="1:8" x14ac:dyDescent="0.35">
      <c r="A2870">
        <v>6161101663533</v>
      </c>
      <c r="B2870" t="s">
        <v>3216</v>
      </c>
      <c r="C2870" t="s">
        <v>159</v>
      </c>
      <c r="D2870" t="s">
        <v>3217</v>
      </c>
      <c r="E2870" t="s">
        <v>11</v>
      </c>
      <c r="F2870" t="s">
        <v>3214</v>
      </c>
      <c r="G2870" t="s">
        <v>11</v>
      </c>
      <c r="H2870">
        <v>1</v>
      </c>
    </row>
    <row r="2871" spans="1:8" x14ac:dyDescent="0.35">
      <c r="A2871">
        <v>6161101663557</v>
      </c>
      <c r="B2871" t="s">
        <v>3216</v>
      </c>
      <c r="C2871" t="s">
        <v>3218</v>
      </c>
      <c r="D2871" t="s">
        <v>3217</v>
      </c>
      <c r="E2871" t="s">
        <v>11</v>
      </c>
      <c r="F2871" t="s">
        <v>3214</v>
      </c>
      <c r="G2871" t="s">
        <v>11</v>
      </c>
      <c r="H2871">
        <v>1</v>
      </c>
    </row>
    <row r="2872" spans="1:8" x14ac:dyDescent="0.35">
      <c r="A2872">
        <v>6161101663564</v>
      </c>
      <c r="B2872" t="s">
        <v>3216</v>
      </c>
      <c r="C2872" t="s">
        <v>877</v>
      </c>
      <c r="D2872" t="s">
        <v>3217</v>
      </c>
      <c r="E2872" t="s">
        <v>11</v>
      </c>
      <c r="F2872" t="s">
        <v>3214</v>
      </c>
      <c r="G2872" t="s">
        <v>11</v>
      </c>
      <c r="H2872">
        <v>1</v>
      </c>
    </row>
    <row r="2873" spans="1:8" x14ac:dyDescent="0.35">
      <c r="A2873">
        <v>6161101663564</v>
      </c>
      <c r="B2873" t="s">
        <v>3216</v>
      </c>
      <c r="C2873" t="s">
        <v>877</v>
      </c>
      <c r="D2873" t="s">
        <v>3217</v>
      </c>
      <c r="E2873" t="s">
        <v>11</v>
      </c>
      <c r="F2873" t="s">
        <v>3214</v>
      </c>
      <c r="G2873" t="s">
        <v>150</v>
      </c>
      <c r="H2873">
        <v>20</v>
      </c>
    </row>
    <row r="2874" spans="1:8" x14ac:dyDescent="0.35">
      <c r="A2874">
        <v>6161101666060</v>
      </c>
      <c r="B2874" t="s">
        <v>3219</v>
      </c>
      <c r="C2874" t="s">
        <v>43</v>
      </c>
      <c r="D2874" t="s">
        <v>3213</v>
      </c>
      <c r="E2874" t="s">
        <v>11</v>
      </c>
      <c r="F2874" t="s">
        <v>3214</v>
      </c>
      <c r="G2874" t="s">
        <v>11</v>
      </c>
      <c r="H2874">
        <v>2</v>
      </c>
    </row>
    <row r="2875" spans="1:8" x14ac:dyDescent="0.35">
      <c r="A2875">
        <v>6161101666565</v>
      </c>
      <c r="B2875" t="s">
        <v>3220</v>
      </c>
      <c r="C2875" t="s">
        <v>43</v>
      </c>
      <c r="D2875" t="s">
        <v>3213</v>
      </c>
      <c r="E2875" t="s">
        <v>11</v>
      </c>
      <c r="F2875" t="s">
        <v>3214</v>
      </c>
      <c r="G2875" t="s">
        <v>11</v>
      </c>
      <c r="H2875">
        <v>23</v>
      </c>
    </row>
    <row r="2876" spans="1:8" x14ac:dyDescent="0.35">
      <c r="A2876">
        <v>6161101680417</v>
      </c>
      <c r="B2876" t="s">
        <v>2468</v>
      </c>
      <c r="C2876" t="s">
        <v>9</v>
      </c>
      <c r="D2876" t="s">
        <v>3221</v>
      </c>
      <c r="E2876" t="s">
        <v>11</v>
      </c>
      <c r="F2876" t="s">
        <v>2470</v>
      </c>
      <c r="G2876" t="s">
        <v>11</v>
      </c>
      <c r="H2876">
        <v>86</v>
      </c>
    </row>
    <row r="2877" spans="1:8" x14ac:dyDescent="0.35">
      <c r="A2877">
        <v>616110184143</v>
      </c>
      <c r="B2877" t="s">
        <v>3222</v>
      </c>
      <c r="C2877" t="s">
        <v>43</v>
      </c>
      <c r="D2877" t="s">
        <v>3195</v>
      </c>
      <c r="E2877" t="s">
        <v>150</v>
      </c>
      <c r="F2877" t="s">
        <v>3196</v>
      </c>
      <c r="G2877" t="s">
        <v>150</v>
      </c>
      <c r="H2877">
        <v>1</v>
      </c>
    </row>
    <row r="2878" spans="1:8" x14ac:dyDescent="0.35">
      <c r="A2878">
        <v>6161101870061</v>
      </c>
      <c r="B2878" t="s">
        <v>3223</v>
      </c>
      <c r="C2878" t="s">
        <v>1435</v>
      </c>
      <c r="D2878" t="s">
        <v>3195</v>
      </c>
      <c r="E2878" t="s">
        <v>150</v>
      </c>
      <c r="F2878" t="s">
        <v>3196</v>
      </c>
      <c r="G2878" t="s">
        <v>150</v>
      </c>
      <c r="H2878">
        <v>8</v>
      </c>
    </row>
    <row r="2879" spans="1:8" x14ac:dyDescent="0.35">
      <c r="A2879">
        <v>6161101870061</v>
      </c>
      <c r="B2879" t="s">
        <v>3223</v>
      </c>
      <c r="C2879" t="s">
        <v>1435</v>
      </c>
      <c r="D2879" t="s">
        <v>3195</v>
      </c>
      <c r="E2879" t="s">
        <v>150</v>
      </c>
      <c r="F2879" t="s">
        <v>3196</v>
      </c>
      <c r="G2879" t="s">
        <v>31</v>
      </c>
      <c r="H2879">
        <v>1</v>
      </c>
    </row>
    <row r="2880" spans="1:8" x14ac:dyDescent="0.35">
      <c r="A2880">
        <v>6161101870177</v>
      </c>
      <c r="B2880" t="s">
        <v>3224</v>
      </c>
      <c r="C2880" t="s">
        <v>94</v>
      </c>
      <c r="D2880" t="s">
        <v>3225</v>
      </c>
      <c r="E2880" t="s">
        <v>117</v>
      </c>
      <c r="F2880" t="s">
        <v>3226</v>
      </c>
      <c r="G2880" t="s">
        <v>117</v>
      </c>
      <c r="H2880">
        <v>3</v>
      </c>
    </row>
    <row r="2881" spans="1:8" x14ac:dyDescent="0.35">
      <c r="A2881">
        <v>6161101870467</v>
      </c>
      <c r="B2881" t="s">
        <v>380</v>
      </c>
      <c r="C2881" t="s">
        <v>192</v>
      </c>
      <c r="D2881" t="s">
        <v>3227</v>
      </c>
      <c r="E2881" t="s">
        <v>117</v>
      </c>
      <c r="F2881" t="s">
        <v>3226</v>
      </c>
      <c r="G2881" t="s">
        <v>117</v>
      </c>
      <c r="H2881">
        <v>203</v>
      </c>
    </row>
    <row r="2882" spans="1:8" x14ac:dyDescent="0.35">
      <c r="A2882">
        <v>6161101870610</v>
      </c>
      <c r="B2882" t="s">
        <v>3228</v>
      </c>
      <c r="C2882" t="s">
        <v>2219</v>
      </c>
      <c r="D2882" t="s">
        <v>3227</v>
      </c>
      <c r="E2882" t="s">
        <v>117</v>
      </c>
      <c r="F2882" t="s">
        <v>3226</v>
      </c>
      <c r="G2882" t="s">
        <v>117</v>
      </c>
      <c r="H2882">
        <v>2</v>
      </c>
    </row>
    <row r="2883" spans="1:8" x14ac:dyDescent="0.35">
      <c r="A2883">
        <v>6161101870634</v>
      </c>
      <c r="B2883" t="s">
        <v>262</v>
      </c>
      <c r="C2883" t="s">
        <v>192</v>
      </c>
      <c r="D2883" t="s">
        <v>3229</v>
      </c>
      <c r="E2883" t="s">
        <v>150</v>
      </c>
      <c r="F2883" t="s">
        <v>3196</v>
      </c>
      <c r="G2883" t="s">
        <v>150</v>
      </c>
      <c r="H2883">
        <v>410</v>
      </c>
    </row>
    <row r="2884" spans="1:8" x14ac:dyDescent="0.35">
      <c r="A2884">
        <v>6161101871143</v>
      </c>
      <c r="B2884" t="s">
        <v>3230</v>
      </c>
      <c r="C2884" t="s">
        <v>43</v>
      </c>
      <c r="D2884" t="s">
        <v>3195</v>
      </c>
      <c r="E2884" t="s">
        <v>150</v>
      </c>
      <c r="F2884" t="s">
        <v>3196</v>
      </c>
      <c r="G2884" t="s">
        <v>150</v>
      </c>
      <c r="H2884">
        <v>27</v>
      </c>
    </row>
    <row r="2885" spans="1:8" x14ac:dyDescent="0.35">
      <c r="A2885">
        <v>6161101871303</v>
      </c>
      <c r="B2885" t="s">
        <v>3231</v>
      </c>
      <c r="C2885" t="s">
        <v>75</v>
      </c>
      <c r="D2885" t="s">
        <v>3229</v>
      </c>
      <c r="E2885" t="s">
        <v>150</v>
      </c>
      <c r="F2885" t="s">
        <v>3196</v>
      </c>
      <c r="G2885" t="s">
        <v>150</v>
      </c>
      <c r="H2885">
        <v>1</v>
      </c>
    </row>
    <row r="2886" spans="1:8" x14ac:dyDescent="0.35">
      <c r="A2886">
        <v>6161101872058</v>
      </c>
      <c r="B2886" t="s">
        <v>3232</v>
      </c>
      <c r="C2886" t="s">
        <v>9</v>
      </c>
      <c r="D2886" t="s">
        <v>3229</v>
      </c>
      <c r="E2886" t="s">
        <v>150</v>
      </c>
      <c r="F2886" t="s">
        <v>3196</v>
      </c>
      <c r="G2886" t="s">
        <v>150</v>
      </c>
      <c r="H2886">
        <v>792</v>
      </c>
    </row>
    <row r="2887" spans="1:8" x14ac:dyDescent="0.35">
      <c r="A2887">
        <v>6161101872553</v>
      </c>
      <c r="B2887" t="s">
        <v>1063</v>
      </c>
      <c r="C2887" t="s">
        <v>38</v>
      </c>
      <c r="D2887" t="s">
        <v>3227</v>
      </c>
      <c r="E2887" t="s">
        <v>117</v>
      </c>
      <c r="F2887" t="s">
        <v>3226</v>
      </c>
      <c r="G2887" t="s">
        <v>117</v>
      </c>
      <c r="H2887">
        <v>20</v>
      </c>
    </row>
    <row r="2888" spans="1:8" x14ac:dyDescent="0.35">
      <c r="A2888">
        <v>6161101872829</v>
      </c>
      <c r="B2888" t="s">
        <v>581</v>
      </c>
      <c r="C2888" t="s">
        <v>192</v>
      </c>
      <c r="D2888" t="s">
        <v>3233</v>
      </c>
      <c r="E2888" t="s">
        <v>117</v>
      </c>
      <c r="F2888" t="s">
        <v>3226</v>
      </c>
      <c r="G2888" t="s">
        <v>117</v>
      </c>
      <c r="H2888">
        <v>4</v>
      </c>
    </row>
    <row r="2889" spans="1:8" x14ac:dyDescent="0.35">
      <c r="A2889">
        <v>6161101873253</v>
      </c>
      <c r="B2889" t="s">
        <v>3224</v>
      </c>
      <c r="C2889" t="s">
        <v>3234</v>
      </c>
      <c r="D2889" t="s">
        <v>3235</v>
      </c>
      <c r="E2889" t="s">
        <v>117</v>
      </c>
      <c r="F2889" t="s">
        <v>3226</v>
      </c>
      <c r="G2889" t="s">
        <v>117</v>
      </c>
      <c r="H2889">
        <v>1</v>
      </c>
    </row>
    <row r="2890" spans="1:8" x14ac:dyDescent="0.35">
      <c r="A2890">
        <v>6161101873543</v>
      </c>
      <c r="B2890" t="s">
        <v>3225</v>
      </c>
      <c r="C2890" t="s">
        <v>9</v>
      </c>
      <c r="D2890" t="s">
        <v>3195</v>
      </c>
      <c r="E2890" t="s">
        <v>150</v>
      </c>
      <c r="F2890" t="s">
        <v>3196</v>
      </c>
      <c r="G2890" t="s">
        <v>150</v>
      </c>
      <c r="H2890">
        <v>2</v>
      </c>
    </row>
    <row r="2891" spans="1:8" x14ac:dyDescent="0.35">
      <c r="A2891">
        <v>6161101873574</v>
      </c>
      <c r="B2891" t="s">
        <v>3236</v>
      </c>
      <c r="C2891" t="s">
        <v>9</v>
      </c>
      <c r="D2891" t="s">
        <v>3195</v>
      </c>
      <c r="E2891" t="s">
        <v>150</v>
      </c>
      <c r="F2891" t="s">
        <v>3196</v>
      </c>
      <c r="G2891" t="s">
        <v>150</v>
      </c>
      <c r="H2891">
        <v>8</v>
      </c>
    </row>
    <row r="2892" spans="1:8" x14ac:dyDescent="0.35">
      <c r="A2892">
        <v>6161101873598</v>
      </c>
      <c r="B2892" t="s">
        <v>3237</v>
      </c>
      <c r="C2892" t="s">
        <v>912</v>
      </c>
      <c r="D2892" t="s">
        <v>3195</v>
      </c>
      <c r="E2892" t="s">
        <v>150</v>
      </c>
      <c r="F2892" t="s">
        <v>3196</v>
      </c>
      <c r="G2892" t="s">
        <v>150</v>
      </c>
      <c r="H2892">
        <v>4</v>
      </c>
    </row>
    <row r="2893" spans="1:8" x14ac:dyDescent="0.35">
      <c r="A2893">
        <v>6161101873628</v>
      </c>
      <c r="B2893" t="s">
        <v>485</v>
      </c>
      <c r="C2893" t="s">
        <v>1296</v>
      </c>
      <c r="D2893" t="s">
        <v>3229</v>
      </c>
      <c r="E2893" t="s">
        <v>150</v>
      </c>
      <c r="F2893" t="s">
        <v>3196</v>
      </c>
      <c r="G2893" t="s">
        <v>150</v>
      </c>
      <c r="H2893">
        <v>62</v>
      </c>
    </row>
    <row r="2894" spans="1:8" x14ac:dyDescent="0.35">
      <c r="A2894">
        <v>6161101873666</v>
      </c>
      <c r="B2894" t="s">
        <v>3238</v>
      </c>
      <c r="C2894" t="s">
        <v>69</v>
      </c>
      <c r="D2894" t="s">
        <v>3195</v>
      </c>
      <c r="E2894" t="s">
        <v>150</v>
      </c>
      <c r="F2894" t="s">
        <v>3196</v>
      </c>
      <c r="G2894" t="s">
        <v>150</v>
      </c>
      <c r="H2894">
        <v>7</v>
      </c>
    </row>
    <row r="2895" spans="1:8" x14ac:dyDescent="0.35">
      <c r="A2895">
        <v>6161101873765</v>
      </c>
      <c r="B2895" t="s">
        <v>3239</v>
      </c>
      <c r="C2895" t="s">
        <v>69</v>
      </c>
      <c r="D2895" t="s">
        <v>3240</v>
      </c>
      <c r="E2895" t="s">
        <v>117</v>
      </c>
      <c r="F2895" t="s">
        <v>3226</v>
      </c>
      <c r="G2895" t="s">
        <v>150</v>
      </c>
      <c r="H2895">
        <v>10</v>
      </c>
    </row>
    <row r="2896" spans="1:8" x14ac:dyDescent="0.35">
      <c r="A2896">
        <v>6161101873802</v>
      </c>
      <c r="B2896" t="s">
        <v>3241</v>
      </c>
      <c r="C2896" t="s">
        <v>419</v>
      </c>
      <c r="D2896" t="s">
        <v>3195</v>
      </c>
      <c r="E2896" t="s">
        <v>150</v>
      </c>
      <c r="F2896" t="s">
        <v>3196</v>
      </c>
      <c r="G2896" t="s">
        <v>150</v>
      </c>
      <c r="H2896">
        <v>2</v>
      </c>
    </row>
    <row r="2897" spans="1:8" x14ac:dyDescent="0.35">
      <c r="A2897">
        <v>6161101874564</v>
      </c>
      <c r="B2897" t="s">
        <v>3242</v>
      </c>
      <c r="C2897" t="s">
        <v>576</v>
      </c>
      <c r="D2897" t="s">
        <v>3243</v>
      </c>
      <c r="E2897" t="s">
        <v>117</v>
      </c>
      <c r="F2897" t="s">
        <v>3226</v>
      </c>
      <c r="G2897" t="s">
        <v>117</v>
      </c>
      <c r="H2897">
        <v>120</v>
      </c>
    </row>
    <row r="2898" spans="1:8" x14ac:dyDescent="0.35">
      <c r="A2898">
        <v>6161101874571</v>
      </c>
      <c r="B2898" t="s">
        <v>581</v>
      </c>
      <c r="C2898" t="s">
        <v>472</v>
      </c>
      <c r="D2898" t="s">
        <v>3233</v>
      </c>
      <c r="E2898" t="s">
        <v>117</v>
      </c>
      <c r="F2898" t="s">
        <v>3226</v>
      </c>
      <c r="G2898" t="s">
        <v>117</v>
      </c>
      <c r="H2898">
        <v>100</v>
      </c>
    </row>
    <row r="2899" spans="1:8" x14ac:dyDescent="0.35">
      <c r="A2899">
        <v>6161101874588</v>
      </c>
      <c r="B2899" t="s">
        <v>3244</v>
      </c>
      <c r="C2899" t="s">
        <v>472</v>
      </c>
      <c r="D2899" t="s">
        <v>3245</v>
      </c>
      <c r="E2899" t="s">
        <v>117</v>
      </c>
      <c r="F2899" t="s">
        <v>3226</v>
      </c>
      <c r="G2899" t="s">
        <v>117</v>
      </c>
      <c r="H2899">
        <v>29</v>
      </c>
    </row>
    <row r="2900" spans="1:8" x14ac:dyDescent="0.35">
      <c r="A2900">
        <v>6161101874595</v>
      </c>
      <c r="B2900" t="s">
        <v>581</v>
      </c>
      <c r="C2900" t="s">
        <v>472</v>
      </c>
      <c r="D2900" t="s">
        <v>3246</v>
      </c>
      <c r="E2900" t="s">
        <v>117</v>
      </c>
      <c r="F2900" t="s">
        <v>3226</v>
      </c>
      <c r="G2900" t="s">
        <v>117</v>
      </c>
      <c r="H2900">
        <v>61</v>
      </c>
    </row>
    <row r="2901" spans="1:8" x14ac:dyDescent="0.35">
      <c r="A2901">
        <v>6161101874601</v>
      </c>
      <c r="B2901" t="s">
        <v>3247</v>
      </c>
      <c r="C2901" t="s">
        <v>472</v>
      </c>
      <c r="D2901" t="s">
        <v>3248</v>
      </c>
      <c r="E2901" t="s">
        <v>117</v>
      </c>
      <c r="F2901" t="s">
        <v>3226</v>
      </c>
      <c r="G2901" t="s">
        <v>117</v>
      </c>
      <c r="H2901">
        <v>117</v>
      </c>
    </row>
    <row r="2902" spans="1:8" x14ac:dyDescent="0.35">
      <c r="A2902">
        <v>6161101874618</v>
      </c>
      <c r="B2902" t="s">
        <v>3249</v>
      </c>
      <c r="C2902" t="s">
        <v>472</v>
      </c>
      <c r="D2902" t="s">
        <v>3245</v>
      </c>
      <c r="E2902" t="s">
        <v>117</v>
      </c>
      <c r="F2902" t="s">
        <v>3226</v>
      </c>
      <c r="G2902" t="s">
        <v>117</v>
      </c>
      <c r="H2902">
        <v>36</v>
      </c>
    </row>
    <row r="2903" spans="1:8" x14ac:dyDescent="0.35">
      <c r="A2903">
        <v>6161101875493</v>
      </c>
      <c r="B2903" t="s">
        <v>1063</v>
      </c>
      <c r="C2903" t="s">
        <v>326</v>
      </c>
      <c r="D2903" t="s">
        <v>3227</v>
      </c>
      <c r="E2903" t="s">
        <v>117</v>
      </c>
      <c r="F2903" t="s">
        <v>3226</v>
      </c>
      <c r="G2903" t="s">
        <v>117</v>
      </c>
      <c r="H2903">
        <v>2218</v>
      </c>
    </row>
    <row r="2904" spans="1:8" x14ac:dyDescent="0.35">
      <c r="A2904">
        <v>6161101876025</v>
      </c>
      <c r="B2904" t="s">
        <v>3250</v>
      </c>
      <c r="C2904" t="s">
        <v>83</v>
      </c>
      <c r="D2904" t="s">
        <v>3251</v>
      </c>
      <c r="E2904" t="s">
        <v>117</v>
      </c>
      <c r="F2904" t="s">
        <v>3226</v>
      </c>
      <c r="G2904" t="s">
        <v>117</v>
      </c>
      <c r="H2904">
        <v>6</v>
      </c>
    </row>
    <row r="2905" spans="1:8" x14ac:dyDescent="0.35">
      <c r="A2905">
        <v>6161101876186</v>
      </c>
      <c r="B2905" t="s">
        <v>1847</v>
      </c>
      <c r="C2905" t="s">
        <v>9</v>
      </c>
      <c r="D2905" t="s">
        <v>3252</v>
      </c>
      <c r="E2905" t="s">
        <v>117</v>
      </c>
      <c r="F2905" t="s">
        <v>3226</v>
      </c>
      <c r="G2905" t="s">
        <v>117</v>
      </c>
      <c r="H2905">
        <v>183</v>
      </c>
    </row>
    <row r="2906" spans="1:8" x14ac:dyDescent="0.35">
      <c r="A2906">
        <v>6161102006971</v>
      </c>
      <c r="B2906" t="s">
        <v>3253</v>
      </c>
      <c r="C2906" t="s">
        <v>9</v>
      </c>
      <c r="D2906" t="s">
        <v>1387</v>
      </c>
      <c r="E2906" t="s">
        <v>22</v>
      </c>
      <c r="F2906" t="s">
        <v>1388</v>
      </c>
      <c r="G2906" t="s">
        <v>11</v>
      </c>
      <c r="H2906">
        <v>8</v>
      </c>
    </row>
    <row r="2907" spans="1:8" x14ac:dyDescent="0.35">
      <c r="A2907">
        <v>6161102007718</v>
      </c>
      <c r="B2907" t="s">
        <v>3254</v>
      </c>
      <c r="C2907" t="s">
        <v>967</v>
      </c>
      <c r="D2907" t="s">
        <v>3255</v>
      </c>
      <c r="E2907" t="s">
        <v>22</v>
      </c>
      <c r="F2907" t="s">
        <v>1385</v>
      </c>
      <c r="G2907" t="s">
        <v>150</v>
      </c>
      <c r="H2907">
        <v>15</v>
      </c>
    </row>
    <row r="2908" spans="1:8" x14ac:dyDescent="0.35">
      <c r="A2908">
        <v>6161102050011</v>
      </c>
      <c r="B2908" t="s">
        <v>3256</v>
      </c>
      <c r="C2908" t="s">
        <v>9</v>
      </c>
      <c r="D2908" t="s">
        <v>3257</v>
      </c>
      <c r="E2908" t="s">
        <v>11</v>
      </c>
      <c r="F2908" t="s">
        <v>3258</v>
      </c>
      <c r="G2908" t="s">
        <v>11</v>
      </c>
      <c r="H2908">
        <v>50</v>
      </c>
    </row>
    <row r="2909" spans="1:8" x14ac:dyDescent="0.35">
      <c r="A2909">
        <v>6161102050103</v>
      </c>
      <c r="B2909" t="s">
        <v>668</v>
      </c>
      <c r="C2909" t="s">
        <v>472</v>
      </c>
      <c r="D2909" t="s">
        <v>3259</v>
      </c>
      <c r="E2909" t="s">
        <v>11</v>
      </c>
      <c r="F2909" t="s">
        <v>3258</v>
      </c>
      <c r="G2909" t="s">
        <v>11</v>
      </c>
      <c r="H2909">
        <v>88</v>
      </c>
    </row>
    <row r="2910" spans="1:8" x14ac:dyDescent="0.35">
      <c r="A2910">
        <v>6161102050110</v>
      </c>
      <c r="B2910" t="s">
        <v>3260</v>
      </c>
      <c r="C2910" t="s">
        <v>472</v>
      </c>
      <c r="D2910" t="s">
        <v>3259</v>
      </c>
      <c r="E2910" t="s">
        <v>11</v>
      </c>
      <c r="F2910" t="s">
        <v>3258</v>
      </c>
      <c r="G2910" t="s">
        <v>11</v>
      </c>
      <c r="H2910">
        <v>133</v>
      </c>
    </row>
    <row r="2911" spans="1:8" x14ac:dyDescent="0.35">
      <c r="A2911">
        <v>6161102050127</v>
      </c>
      <c r="B2911" t="s">
        <v>703</v>
      </c>
      <c r="C2911" t="s">
        <v>472</v>
      </c>
      <c r="D2911" t="s">
        <v>3259</v>
      </c>
      <c r="E2911" t="s">
        <v>11</v>
      </c>
      <c r="F2911" t="s">
        <v>3258</v>
      </c>
      <c r="G2911" t="s">
        <v>11</v>
      </c>
      <c r="H2911">
        <v>116</v>
      </c>
    </row>
    <row r="2912" spans="1:8" x14ac:dyDescent="0.35">
      <c r="A2912">
        <v>6161102050127</v>
      </c>
      <c r="B2912" t="s">
        <v>703</v>
      </c>
      <c r="C2912" t="s">
        <v>472</v>
      </c>
      <c r="D2912" t="s">
        <v>3259</v>
      </c>
      <c r="E2912" t="s">
        <v>11</v>
      </c>
      <c r="F2912" t="s">
        <v>3258</v>
      </c>
      <c r="G2912" t="s">
        <v>150</v>
      </c>
      <c r="H2912">
        <v>2</v>
      </c>
    </row>
    <row r="2913" spans="1:8" x14ac:dyDescent="0.35">
      <c r="A2913">
        <v>6161102050387</v>
      </c>
      <c r="B2913" t="s">
        <v>509</v>
      </c>
      <c r="C2913" t="s">
        <v>78</v>
      </c>
      <c r="D2913" t="s">
        <v>3259</v>
      </c>
      <c r="E2913" t="s">
        <v>11</v>
      </c>
      <c r="F2913" t="s">
        <v>3258</v>
      </c>
      <c r="G2913" t="s">
        <v>11</v>
      </c>
      <c r="H2913">
        <v>2</v>
      </c>
    </row>
    <row r="2914" spans="1:8" x14ac:dyDescent="0.35">
      <c r="A2914">
        <v>6161102050417</v>
      </c>
      <c r="B2914" t="s">
        <v>3261</v>
      </c>
      <c r="C2914" t="s">
        <v>472</v>
      </c>
      <c r="D2914" t="s">
        <v>3259</v>
      </c>
      <c r="E2914" t="s">
        <v>11</v>
      </c>
      <c r="F2914" t="s">
        <v>3258</v>
      </c>
      <c r="G2914" t="s">
        <v>11</v>
      </c>
      <c r="H2914">
        <v>98</v>
      </c>
    </row>
    <row r="2915" spans="1:8" x14ac:dyDescent="0.35">
      <c r="A2915">
        <v>6161102050424</v>
      </c>
      <c r="B2915" t="s">
        <v>3262</v>
      </c>
      <c r="C2915" t="s">
        <v>576</v>
      </c>
      <c r="D2915" t="s">
        <v>3259</v>
      </c>
      <c r="E2915" t="s">
        <v>11</v>
      </c>
      <c r="F2915" t="s">
        <v>3258</v>
      </c>
      <c r="G2915" t="s">
        <v>11</v>
      </c>
      <c r="H2915">
        <v>13</v>
      </c>
    </row>
    <row r="2916" spans="1:8" x14ac:dyDescent="0.35">
      <c r="A2916">
        <v>6161102050462</v>
      </c>
      <c r="B2916" t="s">
        <v>3263</v>
      </c>
      <c r="C2916" t="s">
        <v>814</v>
      </c>
      <c r="D2916" t="s">
        <v>3259</v>
      </c>
      <c r="E2916" t="s">
        <v>11</v>
      </c>
      <c r="F2916" t="s">
        <v>3258</v>
      </c>
      <c r="G2916" t="s">
        <v>11</v>
      </c>
      <c r="H2916">
        <v>3</v>
      </c>
    </row>
    <row r="2917" spans="1:8" x14ac:dyDescent="0.35">
      <c r="A2917">
        <v>6161102050868</v>
      </c>
      <c r="B2917" t="s">
        <v>295</v>
      </c>
      <c r="C2917" t="s">
        <v>9</v>
      </c>
      <c r="D2917" t="s">
        <v>3264</v>
      </c>
      <c r="E2917" t="s">
        <v>11</v>
      </c>
      <c r="F2917" t="s">
        <v>3258</v>
      </c>
      <c r="G2917" t="s">
        <v>11</v>
      </c>
      <c r="H2917">
        <v>20</v>
      </c>
    </row>
    <row r="2918" spans="1:8" x14ac:dyDescent="0.35">
      <c r="A2918">
        <v>6161102051162</v>
      </c>
      <c r="B2918" t="s">
        <v>2302</v>
      </c>
      <c r="C2918" t="s">
        <v>3265</v>
      </c>
      <c r="D2918" t="s">
        <v>3257</v>
      </c>
      <c r="E2918" t="s">
        <v>11</v>
      </c>
      <c r="F2918" t="s">
        <v>3258</v>
      </c>
      <c r="G2918" t="s">
        <v>11</v>
      </c>
      <c r="H2918">
        <v>1</v>
      </c>
    </row>
    <row r="2919" spans="1:8" x14ac:dyDescent="0.35">
      <c r="A2919">
        <v>6161102061192</v>
      </c>
      <c r="B2919" t="s">
        <v>3266</v>
      </c>
      <c r="C2919" t="s">
        <v>801</v>
      </c>
      <c r="D2919" t="s">
        <v>2148</v>
      </c>
      <c r="E2919" t="s">
        <v>73</v>
      </c>
      <c r="F2919" t="s">
        <v>2149</v>
      </c>
      <c r="G2919" t="s">
        <v>11</v>
      </c>
      <c r="H2919">
        <v>12</v>
      </c>
    </row>
    <row r="2920" spans="1:8" x14ac:dyDescent="0.35">
      <c r="A2920">
        <v>6161102062250</v>
      </c>
      <c r="B2920" t="s">
        <v>3267</v>
      </c>
      <c r="C2920" t="s">
        <v>9</v>
      </c>
      <c r="D2920" t="s">
        <v>3268</v>
      </c>
      <c r="E2920" t="s">
        <v>11</v>
      </c>
      <c r="F2920" t="s">
        <v>3269</v>
      </c>
      <c r="G2920" t="s">
        <v>11</v>
      </c>
      <c r="H2920">
        <v>7</v>
      </c>
    </row>
    <row r="2921" spans="1:8" x14ac:dyDescent="0.35">
      <c r="A2921">
        <v>6161102062250</v>
      </c>
      <c r="B2921" t="s">
        <v>3267</v>
      </c>
      <c r="C2921" t="s">
        <v>9</v>
      </c>
      <c r="D2921" t="s">
        <v>3268</v>
      </c>
      <c r="E2921" t="s">
        <v>11</v>
      </c>
      <c r="F2921" t="s">
        <v>3269</v>
      </c>
      <c r="G2921" t="s">
        <v>31</v>
      </c>
      <c r="H2921">
        <v>5</v>
      </c>
    </row>
    <row r="2922" spans="1:8" x14ac:dyDescent="0.35">
      <c r="A2922">
        <v>6161103120270</v>
      </c>
      <c r="B2922" t="s">
        <v>2207</v>
      </c>
      <c r="C2922" t="s">
        <v>75</v>
      </c>
      <c r="D2922" t="s">
        <v>3270</v>
      </c>
      <c r="E2922" t="s">
        <v>31</v>
      </c>
      <c r="F2922" t="s">
        <v>3271</v>
      </c>
      <c r="G2922" t="s">
        <v>150</v>
      </c>
      <c r="H2922">
        <v>4</v>
      </c>
    </row>
    <row r="2923" spans="1:8" x14ac:dyDescent="0.35">
      <c r="A2923">
        <v>6161103120270</v>
      </c>
      <c r="B2923" t="s">
        <v>2207</v>
      </c>
      <c r="C2923" t="s">
        <v>75</v>
      </c>
      <c r="D2923" t="s">
        <v>3270</v>
      </c>
      <c r="E2923" t="s">
        <v>31</v>
      </c>
      <c r="F2923" t="s">
        <v>3271</v>
      </c>
      <c r="G2923" t="s">
        <v>31</v>
      </c>
      <c r="H2923">
        <v>8</v>
      </c>
    </row>
    <row r="2924" spans="1:8" x14ac:dyDescent="0.35">
      <c r="A2924">
        <v>6161103120287</v>
      </c>
      <c r="B2924" t="s">
        <v>3272</v>
      </c>
      <c r="C2924" t="s">
        <v>801</v>
      </c>
      <c r="D2924" t="s">
        <v>3273</v>
      </c>
      <c r="E2924" t="s">
        <v>31</v>
      </c>
      <c r="F2924" t="s">
        <v>3274</v>
      </c>
      <c r="G2924" t="s">
        <v>33</v>
      </c>
      <c r="H2924">
        <v>50</v>
      </c>
    </row>
    <row r="2925" spans="1:8" x14ac:dyDescent="0.35">
      <c r="A2925">
        <v>6161103120287</v>
      </c>
      <c r="B2925" t="s">
        <v>3272</v>
      </c>
      <c r="C2925" t="s">
        <v>801</v>
      </c>
      <c r="D2925" t="s">
        <v>3273</v>
      </c>
      <c r="E2925" t="s">
        <v>31</v>
      </c>
      <c r="F2925" t="s">
        <v>3274</v>
      </c>
      <c r="G2925" t="s">
        <v>150</v>
      </c>
      <c r="H2925">
        <v>6</v>
      </c>
    </row>
    <row r="2926" spans="1:8" x14ac:dyDescent="0.35">
      <c r="A2926">
        <v>6161103120287</v>
      </c>
      <c r="B2926" t="s">
        <v>3272</v>
      </c>
      <c r="C2926" t="s">
        <v>801</v>
      </c>
      <c r="D2926" t="s">
        <v>3273</v>
      </c>
      <c r="E2926" t="s">
        <v>31</v>
      </c>
      <c r="F2926" t="s">
        <v>3274</v>
      </c>
      <c r="G2926" t="s">
        <v>31</v>
      </c>
      <c r="H2926">
        <v>21</v>
      </c>
    </row>
    <row r="2927" spans="1:8" x14ac:dyDescent="0.35">
      <c r="A2927">
        <v>6161103120805</v>
      </c>
      <c r="B2927" t="s">
        <v>3275</v>
      </c>
      <c r="C2927" t="s">
        <v>78</v>
      </c>
      <c r="D2927" t="s">
        <v>2207</v>
      </c>
      <c r="E2927" t="s">
        <v>73</v>
      </c>
      <c r="F2927" t="s">
        <v>2208</v>
      </c>
      <c r="G2927" t="s">
        <v>34</v>
      </c>
      <c r="H2927">
        <v>70</v>
      </c>
    </row>
    <row r="2928" spans="1:8" x14ac:dyDescent="0.35">
      <c r="A2928">
        <v>6161103120805</v>
      </c>
      <c r="B2928" t="s">
        <v>3275</v>
      </c>
      <c r="C2928" t="s">
        <v>78</v>
      </c>
      <c r="D2928" t="s">
        <v>2207</v>
      </c>
      <c r="E2928" t="s">
        <v>73</v>
      </c>
      <c r="F2928" t="s">
        <v>2208</v>
      </c>
      <c r="G2928" t="s">
        <v>31</v>
      </c>
      <c r="H2928">
        <v>4</v>
      </c>
    </row>
    <row r="2929" spans="1:8" x14ac:dyDescent="0.35">
      <c r="A2929">
        <v>6161103121659</v>
      </c>
      <c r="B2929" t="s">
        <v>852</v>
      </c>
      <c r="C2929" t="s">
        <v>192</v>
      </c>
      <c r="D2929" t="s">
        <v>3276</v>
      </c>
      <c r="E2929" t="s">
        <v>31</v>
      </c>
      <c r="F2929" t="s">
        <v>3271</v>
      </c>
      <c r="G2929" t="s">
        <v>150</v>
      </c>
      <c r="H2929">
        <v>9</v>
      </c>
    </row>
    <row r="2930" spans="1:8" x14ac:dyDescent="0.35">
      <c r="A2930">
        <v>6161103121659</v>
      </c>
      <c r="B2930" t="s">
        <v>852</v>
      </c>
      <c r="C2930" t="s">
        <v>192</v>
      </c>
      <c r="D2930" t="s">
        <v>3276</v>
      </c>
      <c r="E2930" t="s">
        <v>31</v>
      </c>
      <c r="F2930" t="s">
        <v>3271</v>
      </c>
      <c r="G2930" t="s">
        <v>31</v>
      </c>
      <c r="H2930">
        <v>16</v>
      </c>
    </row>
    <row r="2931" spans="1:8" x14ac:dyDescent="0.35">
      <c r="A2931">
        <v>6161103121673</v>
      </c>
      <c r="B2931" t="s">
        <v>3277</v>
      </c>
      <c r="C2931" t="s">
        <v>9</v>
      </c>
      <c r="D2931" t="s">
        <v>3276</v>
      </c>
      <c r="E2931" t="s">
        <v>31</v>
      </c>
      <c r="F2931" t="s">
        <v>3271</v>
      </c>
      <c r="G2931" t="s">
        <v>31</v>
      </c>
      <c r="H2931">
        <v>208</v>
      </c>
    </row>
    <row r="2932" spans="1:8" x14ac:dyDescent="0.35">
      <c r="A2932">
        <v>6161103122731</v>
      </c>
      <c r="B2932" t="s">
        <v>3278</v>
      </c>
      <c r="C2932" t="s">
        <v>110</v>
      </c>
      <c r="D2932" t="s">
        <v>3276</v>
      </c>
      <c r="E2932" t="s">
        <v>31</v>
      </c>
      <c r="F2932" t="s">
        <v>3271</v>
      </c>
      <c r="G2932" t="s">
        <v>31</v>
      </c>
      <c r="H2932">
        <v>4</v>
      </c>
    </row>
    <row r="2933" spans="1:8" x14ac:dyDescent="0.35">
      <c r="A2933">
        <v>6161103376042</v>
      </c>
      <c r="B2933" t="s">
        <v>3279</v>
      </c>
      <c r="C2933" t="s">
        <v>568</v>
      </c>
      <c r="D2933" t="s">
        <v>3280</v>
      </c>
      <c r="E2933" t="s">
        <v>11</v>
      </c>
      <c r="F2933" t="s">
        <v>3281</v>
      </c>
      <c r="G2933" t="s">
        <v>61</v>
      </c>
      <c r="H2933">
        <v>1</v>
      </c>
    </row>
    <row r="2934" spans="1:8" x14ac:dyDescent="0.35">
      <c r="A2934">
        <v>6161104216019</v>
      </c>
      <c r="B2934" t="s">
        <v>852</v>
      </c>
      <c r="C2934" t="s">
        <v>9</v>
      </c>
      <c r="D2934" t="s">
        <v>3282</v>
      </c>
      <c r="E2934" t="s">
        <v>11</v>
      </c>
      <c r="F2934" t="s">
        <v>3283</v>
      </c>
      <c r="G2934" t="s">
        <v>11</v>
      </c>
      <c r="H2934">
        <v>2</v>
      </c>
    </row>
    <row r="2935" spans="1:8" x14ac:dyDescent="0.35">
      <c r="A2935">
        <v>6161104216019</v>
      </c>
      <c r="B2935" t="s">
        <v>852</v>
      </c>
      <c r="C2935" t="s">
        <v>9</v>
      </c>
      <c r="D2935" t="s">
        <v>3282</v>
      </c>
      <c r="E2935" t="s">
        <v>11</v>
      </c>
      <c r="F2935" t="s">
        <v>3283</v>
      </c>
      <c r="G2935" t="s">
        <v>61</v>
      </c>
      <c r="H2935">
        <v>100</v>
      </c>
    </row>
    <row r="2936" spans="1:8" x14ac:dyDescent="0.35">
      <c r="A2936">
        <v>6161104216026</v>
      </c>
      <c r="B2936" t="s">
        <v>3284</v>
      </c>
      <c r="C2936" t="s">
        <v>1573</v>
      </c>
      <c r="D2936" t="s">
        <v>3282</v>
      </c>
      <c r="E2936" t="s">
        <v>11</v>
      </c>
      <c r="F2936" t="s">
        <v>3283</v>
      </c>
      <c r="G2936" t="s">
        <v>11</v>
      </c>
      <c r="H2936">
        <v>16</v>
      </c>
    </row>
    <row r="2937" spans="1:8" x14ac:dyDescent="0.35">
      <c r="A2937">
        <v>6161104340127</v>
      </c>
      <c r="B2937" t="s">
        <v>2298</v>
      </c>
      <c r="C2937" t="s">
        <v>1805</v>
      </c>
      <c r="D2937" t="s">
        <v>3285</v>
      </c>
      <c r="E2937" t="s">
        <v>308</v>
      </c>
      <c r="F2937" t="s">
        <v>309</v>
      </c>
      <c r="G2937" t="s">
        <v>150</v>
      </c>
      <c r="H2937">
        <v>8</v>
      </c>
    </row>
    <row r="2938" spans="1:8" x14ac:dyDescent="0.35">
      <c r="A2938">
        <v>6161104401132</v>
      </c>
      <c r="B2938" t="s">
        <v>3286</v>
      </c>
      <c r="C2938" t="s">
        <v>9</v>
      </c>
      <c r="D2938" t="s">
        <v>2464</v>
      </c>
      <c r="E2938" t="s">
        <v>11</v>
      </c>
      <c r="F2938" t="s">
        <v>2465</v>
      </c>
      <c r="G2938" t="s">
        <v>61</v>
      </c>
      <c r="H2938">
        <v>3</v>
      </c>
    </row>
    <row r="2939" spans="1:8" x14ac:dyDescent="0.35">
      <c r="A2939">
        <v>6161104401545</v>
      </c>
      <c r="B2939" t="s">
        <v>3287</v>
      </c>
      <c r="C2939" t="s">
        <v>385</v>
      </c>
      <c r="D2939" t="s">
        <v>2464</v>
      </c>
      <c r="E2939" t="s">
        <v>11</v>
      </c>
      <c r="F2939" t="s">
        <v>2465</v>
      </c>
      <c r="G2939" t="s">
        <v>11</v>
      </c>
      <c r="H2939">
        <v>41</v>
      </c>
    </row>
    <row r="2940" spans="1:8" x14ac:dyDescent="0.35">
      <c r="A2940">
        <v>6161104401828</v>
      </c>
      <c r="B2940" t="s">
        <v>3288</v>
      </c>
      <c r="C2940" t="s">
        <v>9</v>
      </c>
      <c r="D2940" t="s">
        <v>2464</v>
      </c>
      <c r="E2940" t="s">
        <v>11</v>
      </c>
      <c r="F2940" t="s">
        <v>2465</v>
      </c>
      <c r="G2940" t="s">
        <v>11</v>
      </c>
      <c r="H2940">
        <v>302</v>
      </c>
    </row>
    <row r="2941" spans="1:8" x14ac:dyDescent="0.35">
      <c r="A2941">
        <v>6161104401835</v>
      </c>
      <c r="B2941" t="s">
        <v>3289</v>
      </c>
      <c r="C2941" t="s">
        <v>81</v>
      </c>
      <c r="D2941" t="s">
        <v>2464</v>
      </c>
      <c r="E2941" t="s">
        <v>11</v>
      </c>
      <c r="F2941" t="s">
        <v>2465</v>
      </c>
      <c r="G2941" t="s">
        <v>11</v>
      </c>
      <c r="H2941">
        <v>56</v>
      </c>
    </row>
    <row r="2942" spans="1:8" x14ac:dyDescent="0.35">
      <c r="A2942">
        <v>6161104401842</v>
      </c>
      <c r="B2942" t="s">
        <v>3288</v>
      </c>
      <c r="C2942" t="s">
        <v>192</v>
      </c>
      <c r="D2942" t="s">
        <v>2464</v>
      </c>
      <c r="E2942" t="s">
        <v>11</v>
      </c>
      <c r="F2942" t="s">
        <v>2465</v>
      </c>
      <c r="G2942" t="s">
        <v>11</v>
      </c>
      <c r="H2942">
        <v>3</v>
      </c>
    </row>
    <row r="2943" spans="1:8" x14ac:dyDescent="0.35">
      <c r="A2943">
        <v>6161104401859</v>
      </c>
      <c r="B2943" t="s">
        <v>3288</v>
      </c>
      <c r="C2943" t="s">
        <v>75</v>
      </c>
      <c r="D2943" t="s">
        <v>2464</v>
      </c>
      <c r="E2943" t="s">
        <v>11</v>
      </c>
      <c r="F2943" t="s">
        <v>2465</v>
      </c>
      <c r="G2943" t="s">
        <v>11</v>
      </c>
      <c r="H2943">
        <v>2</v>
      </c>
    </row>
    <row r="2944" spans="1:8" x14ac:dyDescent="0.35">
      <c r="A2944">
        <v>6161104402061</v>
      </c>
      <c r="B2944" t="s">
        <v>1320</v>
      </c>
      <c r="C2944" t="s">
        <v>1296</v>
      </c>
      <c r="D2944" t="s">
        <v>2464</v>
      </c>
      <c r="E2944" t="s">
        <v>11</v>
      </c>
      <c r="F2944" t="s">
        <v>2465</v>
      </c>
      <c r="G2944" t="s">
        <v>11</v>
      </c>
      <c r="H2944">
        <v>22</v>
      </c>
    </row>
    <row r="2945" spans="1:8" x14ac:dyDescent="0.35">
      <c r="A2945">
        <v>6161104402528</v>
      </c>
      <c r="B2945" t="s">
        <v>3290</v>
      </c>
      <c r="C2945" t="s">
        <v>3291</v>
      </c>
      <c r="D2945" t="s">
        <v>2464</v>
      </c>
      <c r="E2945" t="s">
        <v>11</v>
      </c>
      <c r="F2945" t="s">
        <v>2465</v>
      </c>
      <c r="G2945" t="s">
        <v>11</v>
      </c>
      <c r="H2945">
        <v>7</v>
      </c>
    </row>
    <row r="2946" spans="1:8" x14ac:dyDescent="0.35">
      <c r="A2946">
        <v>6161104940068</v>
      </c>
      <c r="B2946" t="s">
        <v>3292</v>
      </c>
      <c r="C2946" t="s">
        <v>43</v>
      </c>
      <c r="D2946" t="s">
        <v>3293</v>
      </c>
      <c r="E2946" t="s">
        <v>11</v>
      </c>
      <c r="F2946" t="s">
        <v>3293</v>
      </c>
      <c r="G2946" t="s">
        <v>61</v>
      </c>
      <c r="H2946">
        <v>5</v>
      </c>
    </row>
    <row r="2947" spans="1:8" x14ac:dyDescent="0.35">
      <c r="A2947">
        <v>6161105296690</v>
      </c>
      <c r="B2947" t="s">
        <v>3294</v>
      </c>
      <c r="C2947" t="s">
        <v>1341</v>
      </c>
      <c r="D2947" t="s">
        <v>414</v>
      </c>
      <c r="E2947" t="s">
        <v>61</v>
      </c>
      <c r="F2947" t="s">
        <v>85</v>
      </c>
      <c r="G2947" t="s">
        <v>61</v>
      </c>
      <c r="H2947">
        <v>2</v>
      </c>
    </row>
    <row r="2948" spans="1:8" x14ac:dyDescent="0.35">
      <c r="A2948">
        <v>6161105297703</v>
      </c>
      <c r="B2948" t="s">
        <v>3295</v>
      </c>
      <c r="C2948" t="s">
        <v>1341</v>
      </c>
      <c r="D2948" t="s">
        <v>414</v>
      </c>
      <c r="E2948" t="s">
        <v>61</v>
      </c>
      <c r="F2948" t="s">
        <v>85</v>
      </c>
      <c r="G2948" t="s">
        <v>150</v>
      </c>
      <c r="H2948">
        <v>15</v>
      </c>
    </row>
    <row r="2949" spans="1:8" x14ac:dyDescent="0.35">
      <c r="A2949">
        <v>6161105299455</v>
      </c>
      <c r="B2949" t="s">
        <v>3296</v>
      </c>
      <c r="C2949" t="s">
        <v>38</v>
      </c>
      <c r="D2949" t="s">
        <v>3297</v>
      </c>
      <c r="E2949" t="s">
        <v>61</v>
      </c>
      <c r="F2949" t="s">
        <v>85</v>
      </c>
      <c r="G2949" t="s">
        <v>61</v>
      </c>
      <c r="H2949">
        <v>47</v>
      </c>
    </row>
    <row r="2950" spans="1:8" x14ac:dyDescent="0.35">
      <c r="A2950">
        <v>6161105381099</v>
      </c>
      <c r="B2950" t="s">
        <v>834</v>
      </c>
      <c r="C2950" t="s">
        <v>9</v>
      </c>
      <c r="D2950" t="s">
        <v>2762</v>
      </c>
      <c r="E2950" t="s">
        <v>15</v>
      </c>
      <c r="F2950" t="s">
        <v>56</v>
      </c>
      <c r="G2950" t="s">
        <v>11</v>
      </c>
      <c r="H2950">
        <v>107</v>
      </c>
    </row>
    <row r="2951" spans="1:8" x14ac:dyDescent="0.35">
      <c r="A2951">
        <v>6161105381105</v>
      </c>
      <c r="B2951" t="s">
        <v>834</v>
      </c>
      <c r="C2951" t="s">
        <v>81</v>
      </c>
      <c r="D2951" t="s">
        <v>2762</v>
      </c>
      <c r="E2951" t="s">
        <v>15</v>
      </c>
      <c r="F2951" t="s">
        <v>56</v>
      </c>
      <c r="G2951" t="s">
        <v>11</v>
      </c>
      <c r="H2951">
        <v>21</v>
      </c>
    </row>
    <row r="2952" spans="1:8" x14ac:dyDescent="0.35">
      <c r="A2952">
        <v>6161105381112</v>
      </c>
      <c r="B2952" t="s">
        <v>834</v>
      </c>
      <c r="C2952" t="s">
        <v>192</v>
      </c>
      <c r="D2952" t="s">
        <v>2762</v>
      </c>
      <c r="E2952" t="s">
        <v>15</v>
      </c>
      <c r="F2952" t="s">
        <v>56</v>
      </c>
      <c r="G2952" t="s">
        <v>11</v>
      </c>
      <c r="H2952">
        <v>4</v>
      </c>
    </row>
    <row r="2953" spans="1:8" x14ac:dyDescent="0.35">
      <c r="A2953">
        <v>6161105381112</v>
      </c>
      <c r="B2953" t="s">
        <v>834</v>
      </c>
      <c r="C2953" t="s">
        <v>192</v>
      </c>
      <c r="D2953" t="s">
        <v>2762</v>
      </c>
      <c r="E2953" t="s">
        <v>15</v>
      </c>
      <c r="F2953" t="s">
        <v>56</v>
      </c>
      <c r="G2953" t="s">
        <v>34</v>
      </c>
      <c r="H2953">
        <v>1</v>
      </c>
    </row>
    <row r="2954" spans="1:8" x14ac:dyDescent="0.35">
      <c r="A2954">
        <v>6161105450030</v>
      </c>
      <c r="B2954" t="s">
        <v>295</v>
      </c>
      <c r="C2954" t="s">
        <v>1154</v>
      </c>
      <c r="D2954" t="s">
        <v>3298</v>
      </c>
      <c r="E2954" t="s">
        <v>31</v>
      </c>
      <c r="F2954" t="s">
        <v>1086</v>
      </c>
      <c r="G2954" t="s">
        <v>150</v>
      </c>
      <c r="H2954">
        <v>2</v>
      </c>
    </row>
    <row r="2955" spans="1:8" x14ac:dyDescent="0.35">
      <c r="A2955">
        <v>6161105450160</v>
      </c>
      <c r="B2955" t="s">
        <v>3299</v>
      </c>
      <c r="C2955" t="s">
        <v>825</v>
      </c>
      <c r="D2955" t="s">
        <v>1085</v>
      </c>
      <c r="E2955" t="s">
        <v>31</v>
      </c>
      <c r="F2955" t="s">
        <v>1086</v>
      </c>
      <c r="G2955" t="s">
        <v>31</v>
      </c>
      <c r="H2955">
        <v>23</v>
      </c>
    </row>
    <row r="2956" spans="1:8" x14ac:dyDescent="0.35">
      <c r="A2956">
        <v>6161105450283</v>
      </c>
      <c r="B2956" t="s">
        <v>1419</v>
      </c>
      <c r="C2956" t="s">
        <v>114</v>
      </c>
      <c r="D2956" t="s">
        <v>1085</v>
      </c>
      <c r="E2956" t="s">
        <v>31</v>
      </c>
      <c r="F2956" t="s">
        <v>1086</v>
      </c>
      <c r="G2956" t="s">
        <v>31</v>
      </c>
      <c r="H2956">
        <v>52</v>
      </c>
    </row>
    <row r="2957" spans="1:8" x14ac:dyDescent="0.35">
      <c r="A2957">
        <v>6161105450597</v>
      </c>
      <c r="B2957" t="s">
        <v>295</v>
      </c>
      <c r="C2957" t="s">
        <v>472</v>
      </c>
      <c r="D2957" t="s">
        <v>2261</v>
      </c>
      <c r="E2957" t="s">
        <v>34</v>
      </c>
      <c r="F2957" t="s">
        <v>2262</v>
      </c>
      <c r="G2957" t="s">
        <v>33</v>
      </c>
      <c r="H2957">
        <v>25</v>
      </c>
    </row>
    <row r="2958" spans="1:8" x14ac:dyDescent="0.35">
      <c r="A2958">
        <v>6161105450597</v>
      </c>
      <c r="B2958" t="s">
        <v>295</v>
      </c>
      <c r="C2958" t="s">
        <v>472</v>
      </c>
      <c r="D2958" t="s">
        <v>2261</v>
      </c>
      <c r="E2958" t="s">
        <v>34</v>
      </c>
      <c r="F2958" t="s">
        <v>2262</v>
      </c>
      <c r="G2958" t="s">
        <v>34</v>
      </c>
      <c r="H2958">
        <v>2311</v>
      </c>
    </row>
    <row r="2959" spans="1:8" x14ac:dyDescent="0.35">
      <c r="A2959">
        <v>6161105450597</v>
      </c>
      <c r="B2959" t="s">
        <v>295</v>
      </c>
      <c r="C2959" t="s">
        <v>472</v>
      </c>
      <c r="D2959" t="s">
        <v>2261</v>
      </c>
      <c r="E2959" t="s">
        <v>34</v>
      </c>
      <c r="F2959" t="s">
        <v>2262</v>
      </c>
      <c r="G2959" t="s">
        <v>150</v>
      </c>
      <c r="H2959">
        <v>16</v>
      </c>
    </row>
    <row r="2960" spans="1:8" x14ac:dyDescent="0.35">
      <c r="A2960">
        <v>6161105450597</v>
      </c>
      <c r="B2960" t="s">
        <v>295</v>
      </c>
      <c r="C2960" t="s">
        <v>472</v>
      </c>
      <c r="D2960" t="s">
        <v>2261</v>
      </c>
      <c r="E2960" t="s">
        <v>34</v>
      </c>
      <c r="F2960" t="s">
        <v>2262</v>
      </c>
      <c r="G2960" t="s">
        <v>31</v>
      </c>
      <c r="H2960">
        <v>109</v>
      </c>
    </row>
    <row r="2961" spans="1:8" x14ac:dyDescent="0.35">
      <c r="A2961">
        <v>6161105451266</v>
      </c>
      <c r="B2961" t="s">
        <v>346</v>
      </c>
      <c r="C2961" t="s">
        <v>9</v>
      </c>
      <c r="D2961" t="s">
        <v>3300</v>
      </c>
      <c r="E2961" t="s">
        <v>31</v>
      </c>
      <c r="F2961" t="s">
        <v>1086</v>
      </c>
      <c r="G2961" t="s">
        <v>31</v>
      </c>
      <c r="H2961">
        <v>48</v>
      </c>
    </row>
    <row r="2962" spans="1:8" x14ac:dyDescent="0.35">
      <c r="A2962">
        <v>6161105451273</v>
      </c>
      <c r="B2962" t="s">
        <v>3301</v>
      </c>
      <c r="C2962" t="s">
        <v>9</v>
      </c>
      <c r="D2962" t="s">
        <v>3300</v>
      </c>
      <c r="E2962" t="s">
        <v>31</v>
      </c>
      <c r="F2962" t="s">
        <v>1086</v>
      </c>
      <c r="G2962" t="s">
        <v>31</v>
      </c>
      <c r="H2962">
        <v>55</v>
      </c>
    </row>
    <row r="2963" spans="1:8" x14ac:dyDescent="0.35">
      <c r="A2963">
        <v>6161105451365</v>
      </c>
      <c r="B2963" t="s">
        <v>3302</v>
      </c>
      <c r="C2963" t="s">
        <v>1154</v>
      </c>
      <c r="D2963" t="s">
        <v>1085</v>
      </c>
      <c r="E2963" t="s">
        <v>31</v>
      </c>
      <c r="F2963" t="s">
        <v>1086</v>
      </c>
      <c r="G2963" t="s">
        <v>150</v>
      </c>
      <c r="H2963">
        <v>2</v>
      </c>
    </row>
    <row r="2964" spans="1:8" x14ac:dyDescent="0.35">
      <c r="A2964">
        <v>6161105451365</v>
      </c>
      <c r="B2964" t="s">
        <v>3302</v>
      </c>
      <c r="C2964" t="s">
        <v>1154</v>
      </c>
      <c r="D2964" t="s">
        <v>1085</v>
      </c>
      <c r="E2964" t="s">
        <v>31</v>
      </c>
      <c r="F2964" t="s">
        <v>1086</v>
      </c>
      <c r="G2964" t="s">
        <v>31</v>
      </c>
      <c r="H2964">
        <v>17</v>
      </c>
    </row>
    <row r="2965" spans="1:8" x14ac:dyDescent="0.35">
      <c r="A2965">
        <v>6161105451549</v>
      </c>
      <c r="B2965" t="s">
        <v>3303</v>
      </c>
      <c r="C2965" t="s">
        <v>1154</v>
      </c>
      <c r="D2965" t="s">
        <v>1085</v>
      </c>
      <c r="E2965" t="s">
        <v>31</v>
      </c>
      <c r="F2965" t="s">
        <v>1086</v>
      </c>
      <c r="G2965" t="s">
        <v>31</v>
      </c>
      <c r="H2965">
        <v>116</v>
      </c>
    </row>
    <row r="2966" spans="1:8" x14ac:dyDescent="0.35">
      <c r="A2966">
        <v>6161105451587</v>
      </c>
      <c r="B2966" t="s">
        <v>1815</v>
      </c>
      <c r="C2966" t="s">
        <v>1154</v>
      </c>
      <c r="D2966" t="s">
        <v>1085</v>
      </c>
      <c r="E2966" t="s">
        <v>31</v>
      </c>
      <c r="F2966" t="s">
        <v>1086</v>
      </c>
      <c r="G2966" t="s">
        <v>31</v>
      </c>
      <c r="H2966">
        <v>54</v>
      </c>
    </row>
    <row r="2967" spans="1:8" x14ac:dyDescent="0.35">
      <c r="A2967">
        <v>6161105453550</v>
      </c>
      <c r="B2967" t="s">
        <v>3304</v>
      </c>
      <c r="C2967" t="s">
        <v>9</v>
      </c>
      <c r="D2967" t="s">
        <v>3300</v>
      </c>
      <c r="E2967" t="s">
        <v>31</v>
      </c>
      <c r="F2967" t="s">
        <v>1086</v>
      </c>
      <c r="G2967" t="s">
        <v>31</v>
      </c>
      <c r="H2967">
        <v>1</v>
      </c>
    </row>
    <row r="2968" spans="1:8" x14ac:dyDescent="0.35">
      <c r="A2968">
        <v>6161105453567</v>
      </c>
      <c r="B2968" t="s">
        <v>1419</v>
      </c>
      <c r="C2968" t="s">
        <v>9</v>
      </c>
      <c r="D2968" t="s">
        <v>3305</v>
      </c>
      <c r="E2968" t="s">
        <v>31</v>
      </c>
      <c r="F2968" t="s">
        <v>1086</v>
      </c>
      <c r="G2968" t="s">
        <v>150</v>
      </c>
      <c r="H2968">
        <v>1</v>
      </c>
    </row>
    <row r="2969" spans="1:8" x14ac:dyDescent="0.35">
      <c r="A2969">
        <v>6161105453567</v>
      </c>
      <c r="B2969" t="s">
        <v>1419</v>
      </c>
      <c r="C2969" t="s">
        <v>9</v>
      </c>
      <c r="D2969" t="s">
        <v>3305</v>
      </c>
      <c r="E2969" t="s">
        <v>31</v>
      </c>
      <c r="F2969" t="s">
        <v>1086</v>
      </c>
      <c r="G2969" t="s">
        <v>31</v>
      </c>
      <c r="H2969">
        <v>38</v>
      </c>
    </row>
    <row r="2970" spans="1:8" x14ac:dyDescent="0.35">
      <c r="A2970">
        <v>6161105453680</v>
      </c>
      <c r="B2970" t="s">
        <v>384</v>
      </c>
      <c r="C2970" t="s">
        <v>1154</v>
      </c>
      <c r="D2970" t="s">
        <v>1085</v>
      </c>
      <c r="E2970" t="s">
        <v>31</v>
      </c>
      <c r="F2970" t="s">
        <v>1086</v>
      </c>
      <c r="G2970" t="s">
        <v>31</v>
      </c>
      <c r="H2970">
        <v>6</v>
      </c>
    </row>
    <row r="2971" spans="1:8" x14ac:dyDescent="0.35">
      <c r="A2971">
        <v>6161105454182</v>
      </c>
      <c r="B2971" t="s">
        <v>3306</v>
      </c>
      <c r="C2971" t="s">
        <v>1084</v>
      </c>
      <c r="D2971" t="s">
        <v>1085</v>
      </c>
      <c r="E2971" t="s">
        <v>31</v>
      </c>
      <c r="F2971" t="s">
        <v>1086</v>
      </c>
      <c r="G2971" t="s">
        <v>31</v>
      </c>
      <c r="H2971">
        <v>34</v>
      </c>
    </row>
    <row r="2972" spans="1:8" x14ac:dyDescent="0.35">
      <c r="A2972">
        <v>6161105454441</v>
      </c>
      <c r="B2972" t="s">
        <v>3307</v>
      </c>
      <c r="C2972" t="s">
        <v>38</v>
      </c>
      <c r="D2972" t="s">
        <v>3308</v>
      </c>
      <c r="E2972" t="s">
        <v>308</v>
      </c>
      <c r="F2972" t="s">
        <v>309</v>
      </c>
      <c r="G2972" t="s">
        <v>31</v>
      </c>
      <c r="H2972">
        <v>6</v>
      </c>
    </row>
    <row r="2973" spans="1:8" x14ac:dyDescent="0.35">
      <c r="A2973">
        <v>6161105770008</v>
      </c>
      <c r="B2973" t="s">
        <v>8</v>
      </c>
      <c r="C2973" t="s">
        <v>9</v>
      </c>
      <c r="D2973" t="s">
        <v>3309</v>
      </c>
      <c r="E2973" t="s">
        <v>11</v>
      </c>
      <c r="F2973" t="s">
        <v>3310</v>
      </c>
      <c r="G2973" t="s">
        <v>11</v>
      </c>
      <c r="H2973">
        <v>54</v>
      </c>
    </row>
    <row r="2974" spans="1:8" x14ac:dyDescent="0.35">
      <c r="A2974">
        <v>6161105770008</v>
      </c>
      <c r="B2974" t="s">
        <v>8</v>
      </c>
      <c r="C2974" t="s">
        <v>9</v>
      </c>
      <c r="D2974" t="s">
        <v>3309</v>
      </c>
      <c r="E2974" t="s">
        <v>11</v>
      </c>
      <c r="F2974" t="s">
        <v>3310</v>
      </c>
      <c r="G2974" t="s">
        <v>31</v>
      </c>
      <c r="H2974">
        <v>1</v>
      </c>
    </row>
    <row r="2975" spans="1:8" x14ac:dyDescent="0.35">
      <c r="A2975">
        <v>6161105770022</v>
      </c>
      <c r="B2975" t="s">
        <v>2795</v>
      </c>
      <c r="C2975" t="s">
        <v>192</v>
      </c>
      <c r="D2975" t="s">
        <v>3309</v>
      </c>
      <c r="E2975" t="s">
        <v>11</v>
      </c>
      <c r="F2975" t="s">
        <v>3310</v>
      </c>
      <c r="G2975" t="s">
        <v>11</v>
      </c>
      <c r="H2975">
        <v>3</v>
      </c>
    </row>
    <row r="2976" spans="1:8" x14ac:dyDescent="0.35">
      <c r="A2976">
        <v>6161105770022</v>
      </c>
      <c r="B2976" t="s">
        <v>2795</v>
      </c>
      <c r="C2976" t="s">
        <v>192</v>
      </c>
      <c r="D2976" t="s">
        <v>3309</v>
      </c>
      <c r="E2976" t="s">
        <v>11</v>
      </c>
      <c r="F2976" t="s">
        <v>3310</v>
      </c>
      <c r="G2976" t="s">
        <v>61</v>
      </c>
      <c r="H2976">
        <v>20</v>
      </c>
    </row>
    <row r="2977" spans="1:8" x14ac:dyDescent="0.35">
      <c r="A2977">
        <v>6161105770022</v>
      </c>
      <c r="B2977" t="s">
        <v>2795</v>
      </c>
      <c r="C2977" t="s">
        <v>192</v>
      </c>
      <c r="D2977" t="s">
        <v>3309</v>
      </c>
      <c r="E2977" t="s">
        <v>11</v>
      </c>
      <c r="F2977" t="s">
        <v>3310</v>
      </c>
      <c r="G2977" t="s">
        <v>31</v>
      </c>
      <c r="H2977">
        <v>1</v>
      </c>
    </row>
    <row r="2978" spans="1:8" x14ac:dyDescent="0.35">
      <c r="A2978">
        <v>6161106380121</v>
      </c>
      <c r="B2978" t="s">
        <v>262</v>
      </c>
      <c r="C2978" t="s">
        <v>9</v>
      </c>
      <c r="D2978" t="s">
        <v>3311</v>
      </c>
      <c r="E2978" t="s">
        <v>150</v>
      </c>
      <c r="F2978" t="s">
        <v>3312</v>
      </c>
      <c r="G2978" t="s">
        <v>150</v>
      </c>
      <c r="H2978">
        <v>23</v>
      </c>
    </row>
    <row r="2979" spans="1:8" x14ac:dyDescent="0.35">
      <c r="A2979">
        <v>6161106380121</v>
      </c>
      <c r="B2979" t="s">
        <v>262</v>
      </c>
      <c r="C2979" t="s">
        <v>9</v>
      </c>
      <c r="D2979" t="s">
        <v>3311</v>
      </c>
      <c r="E2979" t="s">
        <v>150</v>
      </c>
      <c r="F2979" t="s">
        <v>3312</v>
      </c>
      <c r="G2979" t="s">
        <v>31</v>
      </c>
      <c r="H2979">
        <v>1</v>
      </c>
    </row>
    <row r="2980" spans="1:8" x14ac:dyDescent="0.35">
      <c r="A2980">
        <v>6161106380138</v>
      </c>
      <c r="B2980" t="s">
        <v>3313</v>
      </c>
      <c r="C2980" t="s">
        <v>81</v>
      </c>
      <c r="D2980" t="s">
        <v>3311</v>
      </c>
      <c r="E2980" t="s">
        <v>150</v>
      </c>
      <c r="F2980" t="s">
        <v>3312</v>
      </c>
      <c r="G2980" t="s">
        <v>150</v>
      </c>
      <c r="H2980">
        <v>3</v>
      </c>
    </row>
    <row r="2981" spans="1:8" x14ac:dyDescent="0.35">
      <c r="A2981">
        <v>6161106380343</v>
      </c>
      <c r="B2981" t="s">
        <v>3314</v>
      </c>
      <c r="C2981" t="s">
        <v>69</v>
      </c>
      <c r="D2981" t="s">
        <v>3311</v>
      </c>
      <c r="E2981" t="s">
        <v>150</v>
      </c>
      <c r="F2981" t="s">
        <v>3312</v>
      </c>
      <c r="G2981" t="s">
        <v>150</v>
      </c>
      <c r="H2981">
        <v>5</v>
      </c>
    </row>
    <row r="2982" spans="1:8" x14ac:dyDescent="0.35">
      <c r="A2982">
        <v>6161106380350</v>
      </c>
      <c r="B2982" t="s">
        <v>1109</v>
      </c>
      <c r="C2982" t="s">
        <v>69</v>
      </c>
      <c r="D2982" t="s">
        <v>3311</v>
      </c>
      <c r="E2982" t="s">
        <v>150</v>
      </c>
      <c r="F2982" t="s">
        <v>3312</v>
      </c>
      <c r="G2982" t="s">
        <v>150</v>
      </c>
      <c r="H2982">
        <v>1</v>
      </c>
    </row>
    <row r="2983" spans="1:8" x14ac:dyDescent="0.35">
      <c r="A2983">
        <v>6161106380459</v>
      </c>
      <c r="B2983" t="s">
        <v>3315</v>
      </c>
      <c r="C2983" t="s">
        <v>9</v>
      </c>
      <c r="D2983" t="s">
        <v>3311</v>
      </c>
      <c r="E2983" t="s">
        <v>150</v>
      </c>
      <c r="F2983" t="s">
        <v>3312</v>
      </c>
      <c r="G2983" t="s">
        <v>150</v>
      </c>
      <c r="H2983">
        <v>83</v>
      </c>
    </row>
    <row r="2984" spans="1:8" x14ac:dyDescent="0.35">
      <c r="A2984">
        <v>6161106380473</v>
      </c>
      <c r="B2984" t="s">
        <v>346</v>
      </c>
      <c r="C2984" t="s">
        <v>9</v>
      </c>
      <c r="D2984" t="s">
        <v>3311</v>
      </c>
      <c r="E2984" t="s">
        <v>150</v>
      </c>
      <c r="F2984" t="s">
        <v>3312</v>
      </c>
      <c r="G2984" t="s">
        <v>150</v>
      </c>
      <c r="H2984">
        <v>109</v>
      </c>
    </row>
    <row r="2985" spans="1:8" x14ac:dyDescent="0.35">
      <c r="A2985">
        <v>6161106380602</v>
      </c>
      <c r="B2985" t="s">
        <v>262</v>
      </c>
      <c r="C2985" t="s">
        <v>9</v>
      </c>
      <c r="D2985" t="s">
        <v>3311</v>
      </c>
      <c r="E2985" t="s">
        <v>150</v>
      </c>
      <c r="F2985" t="s">
        <v>3312</v>
      </c>
      <c r="G2985" t="s">
        <v>150</v>
      </c>
      <c r="H2985">
        <v>203</v>
      </c>
    </row>
    <row r="2986" spans="1:8" x14ac:dyDescent="0.35">
      <c r="A2986">
        <v>6161106380619</v>
      </c>
      <c r="B2986" t="s">
        <v>1151</v>
      </c>
      <c r="C2986" t="s">
        <v>81</v>
      </c>
      <c r="D2986" t="s">
        <v>3311</v>
      </c>
      <c r="E2986" t="s">
        <v>150</v>
      </c>
      <c r="F2986" t="s">
        <v>3312</v>
      </c>
      <c r="G2986" t="s">
        <v>150</v>
      </c>
      <c r="H2986">
        <v>138</v>
      </c>
    </row>
    <row r="2987" spans="1:8" x14ac:dyDescent="0.35">
      <c r="A2987">
        <v>6161106380732</v>
      </c>
      <c r="B2987" t="s">
        <v>2311</v>
      </c>
      <c r="C2987" t="s">
        <v>431</v>
      </c>
      <c r="D2987" t="s">
        <v>3311</v>
      </c>
      <c r="E2987" t="s">
        <v>150</v>
      </c>
      <c r="F2987" t="s">
        <v>3312</v>
      </c>
      <c r="G2987" t="s">
        <v>150</v>
      </c>
      <c r="H2987">
        <v>18</v>
      </c>
    </row>
    <row r="2988" spans="1:8" x14ac:dyDescent="0.35">
      <c r="A2988">
        <v>6161106880003</v>
      </c>
      <c r="B2988" t="s">
        <v>3316</v>
      </c>
      <c r="C2988" t="s">
        <v>9</v>
      </c>
      <c r="D2988" t="s">
        <v>3317</v>
      </c>
      <c r="E2988" t="s">
        <v>150</v>
      </c>
      <c r="F2988" t="s">
        <v>3318</v>
      </c>
      <c r="G2988" t="s">
        <v>150</v>
      </c>
      <c r="H2988">
        <v>6</v>
      </c>
    </row>
    <row r="2989" spans="1:8" x14ac:dyDescent="0.35">
      <c r="A2989">
        <v>6161106880027</v>
      </c>
      <c r="B2989" t="s">
        <v>3319</v>
      </c>
      <c r="C2989" t="s">
        <v>9</v>
      </c>
      <c r="D2989" t="s">
        <v>3317</v>
      </c>
      <c r="E2989" t="s">
        <v>150</v>
      </c>
      <c r="F2989" t="s">
        <v>3318</v>
      </c>
      <c r="G2989" t="s">
        <v>150</v>
      </c>
      <c r="H2989">
        <v>2</v>
      </c>
    </row>
    <row r="2990" spans="1:8" x14ac:dyDescent="0.35">
      <c r="A2990">
        <v>6161106888450</v>
      </c>
      <c r="B2990" t="s">
        <v>3320</v>
      </c>
      <c r="C2990" t="s">
        <v>83</v>
      </c>
      <c r="D2990" t="s">
        <v>3317</v>
      </c>
      <c r="E2990" t="s">
        <v>150</v>
      </c>
      <c r="F2990" t="s">
        <v>3318</v>
      </c>
      <c r="G2990" t="s">
        <v>150</v>
      </c>
      <c r="H2990">
        <v>4</v>
      </c>
    </row>
    <row r="2991" spans="1:8" x14ac:dyDescent="0.35">
      <c r="A2991">
        <v>6161106962181</v>
      </c>
      <c r="B2991" t="s">
        <v>2894</v>
      </c>
      <c r="C2991" t="s">
        <v>919</v>
      </c>
      <c r="D2991" t="s">
        <v>70</v>
      </c>
      <c r="E2991" t="s">
        <v>71</v>
      </c>
      <c r="F2991" t="s">
        <v>72</v>
      </c>
      <c r="G2991" t="s">
        <v>61</v>
      </c>
      <c r="H2991">
        <v>1</v>
      </c>
    </row>
    <row r="2992" spans="1:8" x14ac:dyDescent="0.35">
      <c r="A2992">
        <v>6161107150709</v>
      </c>
      <c r="B2992" t="s">
        <v>3321</v>
      </c>
      <c r="C2992" t="s">
        <v>43</v>
      </c>
      <c r="D2992" t="s">
        <v>3322</v>
      </c>
      <c r="E2992" t="s">
        <v>11</v>
      </c>
      <c r="F2992" t="s">
        <v>2470</v>
      </c>
      <c r="G2992" t="s">
        <v>11</v>
      </c>
      <c r="H2992">
        <v>8</v>
      </c>
    </row>
    <row r="2993" spans="1:8" x14ac:dyDescent="0.35">
      <c r="A2993">
        <v>6161107150730</v>
      </c>
      <c r="B2993" t="s">
        <v>3323</v>
      </c>
      <c r="C2993" t="s">
        <v>9</v>
      </c>
      <c r="D2993" t="s">
        <v>3322</v>
      </c>
      <c r="E2993" t="s">
        <v>11</v>
      </c>
      <c r="F2993" t="s">
        <v>2470</v>
      </c>
      <c r="G2993" t="s">
        <v>11</v>
      </c>
      <c r="H2993">
        <v>109</v>
      </c>
    </row>
    <row r="2994" spans="1:8" x14ac:dyDescent="0.35">
      <c r="A2994">
        <v>6161107151027</v>
      </c>
      <c r="B2994" t="s">
        <v>3324</v>
      </c>
      <c r="C2994" t="s">
        <v>3325</v>
      </c>
      <c r="D2994" t="s">
        <v>2469</v>
      </c>
      <c r="E2994" t="s">
        <v>11</v>
      </c>
      <c r="F2994" t="s">
        <v>2470</v>
      </c>
      <c r="G2994" t="s">
        <v>11</v>
      </c>
      <c r="H2994">
        <v>1</v>
      </c>
    </row>
    <row r="2995" spans="1:8" x14ac:dyDescent="0.35">
      <c r="A2995">
        <v>6161107151720</v>
      </c>
      <c r="B2995" t="s">
        <v>897</v>
      </c>
      <c r="C2995" t="s">
        <v>431</v>
      </c>
      <c r="D2995" t="s">
        <v>3221</v>
      </c>
      <c r="E2995" t="s">
        <v>11</v>
      </c>
      <c r="F2995" t="s">
        <v>2470</v>
      </c>
      <c r="G2995" t="s">
        <v>11</v>
      </c>
      <c r="H2995">
        <v>8</v>
      </c>
    </row>
    <row r="2996" spans="1:8" x14ac:dyDescent="0.35">
      <c r="A2996">
        <v>6161107151737</v>
      </c>
      <c r="B2996" t="s">
        <v>626</v>
      </c>
      <c r="C2996" t="s">
        <v>83</v>
      </c>
      <c r="D2996" t="s">
        <v>3221</v>
      </c>
      <c r="E2996" t="s">
        <v>11</v>
      </c>
      <c r="F2996" t="s">
        <v>2470</v>
      </c>
      <c r="G2996" t="s">
        <v>11</v>
      </c>
      <c r="H2996">
        <v>1</v>
      </c>
    </row>
    <row r="2997" spans="1:8" x14ac:dyDescent="0.35">
      <c r="A2997">
        <v>6161107151775</v>
      </c>
      <c r="B2997" t="s">
        <v>2468</v>
      </c>
      <c r="C2997" t="s">
        <v>1123</v>
      </c>
      <c r="D2997" t="s">
        <v>3322</v>
      </c>
      <c r="E2997" t="s">
        <v>11</v>
      </c>
      <c r="F2997" t="s">
        <v>2470</v>
      </c>
      <c r="G2997" t="s">
        <v>11</v>
      </c>
      <c r="H2997">
        <v>8</v>
      </c>
    </row>
    <row r="2998" spans="1:8" x14ac:dyDescent="0.35">
      <c r="A2998">
        <v>6161107151782</v>
      </c>
      <c r="B2998" t="s">
        <v>3326</v>
      </c>
      <c r="C2998" t="s">
        <v>1123</v>
      </c>
      <c r="D2998" t="s">
        <v>3322</v>
      </c>
      <c r="E2998" t="s">
        <v>11</v>
      </c>
      <c r="F2998" t="s">
        <v>2470</v>
      </c>
      <c r="G2998" t="s">
        <v>11</v>
      </c>
      <c r="H2998">
        <v>43</v>
      </c>
    </row>
    <row r="2999" spans="1:8" x14ac:dyDescent="0.35">
      <c r="A2999">
        <v>6161107220648</v>
      </c>
      <c r="B2999" t="s">
        <v>3327</v>
      </c>
      <c r="C2999" t="s">
        <v>2481</v>
      </c>
      <c r="D2999" t="s">
        <v>3328</v>
      </c>
      <c r="E2999" t="s">
        <v>31</v>
      </c>
      <c r="F2999" t="s">
        <v>3329</v>
      </c>
      <c r="G2999" t="s">
        <v>150</v>
      </c>
      <c r="H2999">
        <v>5</v>
      </c>
    </row>
    <row r="3000" spans="1:8" x14ac:dyDescent="0.35">
      <c r="A3000">
        <v>6161107220648</v>
      </c>
      <c r="B3000" t="s">
        <v>3327</v>
      </c>
      <c r="C3000" t="s">
        <v>2481</v>
      </c>
      <c r="D3000" t="s">
        <v>3328</v>
      </c>
      <c r="E3000" t="s">
        <v>31</v>
      </c>
      <c r="F3000" t="s">
        <v>3329</v>
      </c>
      <c r="G3000" t="s">
        <v>61</v>
      </c>
      <c r="H3000">
        <v>2</v>
      </c>
    </row>
    <row r="3001" spans="1:8" x14ac:dyDescent="0.35">
      <c r="A3001">
        <v>6161107222666</v>
      </c>
      <c r="B3001" t="s">
        <v>3330</v>
      </c>
      <c r="C3001" t="s">
        <v>3331</v>
      </c>
      <c r="D3001" t="s">
        <v>3332</v>
      </c>
      <c r="E3001" t="s">
        <v>31</v>
      </c>
      <c r="F3001" t="s">
        <v>3329</v>
      </c>
      <c r="G3001" t="s">
        <v>150</v>
      </c>
      <c r="H3001">
        <v>1</v>
      </c>
    </row>
    <row r="3002" spans="1:8" x14ac:dyDescent="0.35">
      <c r="A3002">
        <v>6161107471279</v>
      </c>
      <c r="B3002" t="s">
        <v>834</v>
      </c>
      <c r="C3002" t="s">
        <v>192</v>
      </c>
      <c r="D3002" t="s">
        <v>3333</v>
      </c>
      <c r="E3002" t="s">
        <v>11</v>
      </c>
      <c r="F3002" t="s">
        <v>3334</v>
      </c>
      <c r="G3002" t="s">
        <v>11</v>
      </c>
      <c r="H3002">
        <v>21</v>
      </c>
    </row>
    <row r="3003" spans="1:8" x14ac:dyDescent="0.35">
      <c r="A3003">
        <v>6161107520083</v>
      </c>
      <c r="B3003" t="s">
        <v>384</v>
      </c>
      <c r="C3003" t="s">
        <v>9</v>
      </c>
      <c r="D3003" t="s">
        <v>885</v>
      </c>
      <c r="E3003" t="s">
        <v>117</v>
      </c>
      <c r="F3003" t="s">
        <v>886</v>
      </c>
      <c r="G3003" t="s">
        <v>150</v>
      </c>
      <c r="H3003">
        <v>5</v>
      </c>
    </row>
    <row r="3004" spans="1:8" x14ac:dyDescent="0.35">
      <c r="A3004">
        <v>6161107770266</v>
      </c>
      <c r="B3004" t="s">
        <v>3335</v>
      </c>
      <c r="C3004" t="s">
        <v>1296</v>
      </c>
      <c r="D3004" t="s">
        <v>3336</v>
      </c>
      <c r="E3004" t="s">
        <v>11</v>
      </c>
      <c r="F3004" t="s">
        <v>3337</v>
      </c>
      <c r="G3004" t="s">
        <v>11</v>
      </c>
      <c r="H3004">
        <v>8</v>
      </c>
    </row>
    <row r="3005" spans="1:8" x14ac:dyDescent="0.35">
      <c r="A3005">
        <v>6161107770266</v>
      </c>
      <c r="B3005" t="s">
        <v>3335</v>
      </c>
      <c r="C3005" t="s">
        <v>1296</v>
      </c>
      <c r="D3005" t="s">
        <v>3336</v>
      </c>
      <c r="E3005" t="s">
        <v>11</v>
      </c>
      <c r="F3005" t="s">
        <v>3337</v>
      </c>
      <c r="G3005" t="s">
        <v>150</v>
      </c>
      <c r="H3005">
        <v>1</v>
      </c>
    </row>
    <row r="3006" spans="1:8" x14ac:dyDescent="0.35">
      <c r="A3006">
        <v>6161107775087</v>
      </c>
      <c r="B3006" t="s">
        <v>3338</v>
      </c>
      <c r="C3006" t="s">
        <v>75</v>
      </c>
      <c r="D3006" t="s">
        <v>3339</v>
      </c>
      <c r="E3006" t="s">
        <v>11</v>
      </c>
      <c r="F3006" t="s">
        <v>3337</v>
      </c>
      <c r="G3006" t="s">
        <v>11</v>
      </c>
      <c r="H3006">
        <v>3</v>
      </c>
    </row>
    <row r="3007" spans="1:8" x14ac:dyDescent="0.35">
      <c r="A3007">
        <v>6161107775087</v>
      </c>
      <c r="B3007" t="s">
        <v>3338</v>
      </c>
      <c r="C3007" t="s">
        <v>75</v>
      </c>
      <c r="D3007" t="s">
        <v>3339</v>
      </c>
      <c r="E3007" t="s">
        <v>11</v>
      </c>
      <c r="F3007" t="s">
        <v>3337</v>
      </c>
      <c r="G3007" t="s">
        <v>34</v>
      </c>
      <c r="H3007">
        <v>15</v>
      </c>
    </row>
    <row r="3008" spans="1:8" x14ac:dyDescent="0.35">
      <c r="A3008">
        <v>6161107775087</v>
      </c>
      <c r="B3008" t="s">
        <v>3338</v>
      </c>
      <c r="C3008" t="s">
        <v>75</v>
      </c>
      <c r="D3008" t="s">
        <v>3339</v>
      </c>
      <c r="E3008" t="s">
        <v>11</v>
      </c>
      <c r="F3008" t="s">
        <v>3337</v>
      </c>
      <c r="G3008" t="s">
        <v>150</v>
      </c>
      <c r="H3008">
        <v>10</v>
      </c>
    </row>
    <row r="3009" spans="1:8" x14ac:dyDescent="0.35">
      <c r="A3009">
        <v>6161108006029</v>
      </c>
      <c r="B3009" t="s">
        <v>3340</v>
      </c>
      <c r="C3009" t="s">
        <v>78</v>
      </c>
      <c r="D3009" t="s">
        <v>3341</v>
      </c>
      <c r="E3009" t="s">
        <v>11</v>
      </c>
      <c r="F3009" t="s">
        <v>3342</v>
      </c>
      <c r="G3009" t="s">
        <v>11</v>
      </c>
      <c r="H3009">
        <v>16</v>
      </c>
    </row>
    <row r="3010" spans="1:8" x14ac:dyDescent="0.35">
      <c r="A3010">
        <v>6161108920561</v>
      </c>
      <c r="B3010" t="s">
        <v>485</v>
      </c>
      <c r="C3010" t="s">
        <v>9</v>
      </c>
      <c r="D3010" t="s">
        <v>3175</v>
      </c>
      <c r="E3010" t="s">
        <v>11</v>
      </c>
      <c r="F3010" t="s">
        <v>3176</v>
      </c>
      <c r="G3010" t="s">
        <v>11</v>
      </c>
      <c r="H3010">
        <v>23</v>
      </c>
    </row>
    <row r="3011" spans="1:8" x14ac:dyDescent="0.35">
      <c r="A3011">
        <v>6161108920578</v>
      </c>
      <c r="B3011" t="s">
        <v>485</v>
      </c>
      <c r="C3011" t="s">
        <v>81</v>
      </c>
      <c r="D3011" t="s">
        <v>3175</v>
      </c>
      <c r="E3011" t="s">
        <v>11</v>
      </c>
      <c r="F3011" t="s">
        <v>3176</v>
      </c>
      <c r="G3011" t="s">
        <v>11</v>
      </c>
      <c r="H3011">
        <v>4</v>
      </c>
    </row>
    <row r="3012" spans="1:8" x14ac:dyDescent="0.35">
      <c r="A3012">
        <v>6161109311047</v>
      </c>
      <c r="B3012" t="s">
        <v>3343</v>
      </c>
      <c r="C3012" t="s">
        <v>2335</v>
      </c>
      <c r="D3012" t="s">
        <v>2895</v>
      </c>
      <c r="E3012" t="s">
        <v>71</v>
      </c>
      <c r="F3012" t="s">
        <v>72</v>
      </c>
      <c r="G3012" t="s">
        <v>117</v>
      </c>
      <c r="H3012">
        <v>27</v>
      </c>
    </row>
    <row r="3013" spans="1:8" x14ac:dyDescent="0.35">
      <c r="A3013">
        <v>6161109650207</v>
      </c>
      <c r="B3013" t="s">
        <v>3344</v>
      </c>
      <c r="C3013" t="s">
        <v>38</v>
      </c>
      <c r="D3013" t="s">
        <v>3345</v>
      </c>
      <c r="E3013" t="s">
        <v>31</v>
      </c>
      <c r="F3013" t="s">
        <v>3346</v>
      </c>
      <c r="G3013" t="s">
        <v>31</v>
      </c>
      <c r="H3013">
        <v>96</v>
      </c>
    </row>
    <row r="3014" spans="1:8" x14ac:dyDescent="0.35">
      <c r="A3014">
        <v>6161109780003</v>
      </c>
      <c r="B3014" t="s">
        <v>668</v>
      </c>
      <c r="C3014" t="s">
        <v>472</v>
      </c>
      <c r="D3014" t="s">
        <v>3347</v>
      </c>
      <c r="E3014" t="s">
        <v>117</v>
      </c>
      <c r="F3014" t="s">
        <v>3348</v>
      </c>
      <c r="G3014" t="s">
        <v>117</v>
      </c>
      <c r="H3014">
        <v>9</v>
      </c>
    </row>
    <row r="3015" spans="1:8" x14ac:dyDescent="0.35">
      <c r="A3015">
        <v>6161109780027</v>
      </c>
      <c r="B3015" t="s">
        <v>3349</v>
      </c>
      <c r="C3015" t="s">
        <v>825</v>
      </c>
      <c r="D3015" t="s">
        <v>3350</v>
      </c>
      <c r="E3015" t="s">
        <v>117</v>
      </c>
      <c r="F3015" t="s">
        <v>3348</v>
      </c>
      <c r="G3015" t="s">
        <v>117</v>
      </c>
      <c r="H3015">
        <v>10</v>
      </c>
    </row>
    <row r="3016" spans="1:8" x14ac:dyDescent="0.35">
      <c r="A3016">
        <v>6161109780072</v>
      </c>
      <c r="B3016" t="s">
        <v>3351</v>
      </c>
      <c r="C3016" t="s">
        <v>36</v>
      </c>
      <c r="D3016" t="s">
        <v>3352</v>
      </c>
      <c r="E3016" t="s">
        <v>578</v>
      </c>
      <c r="F3016" t="s">
        <v>3353</v>
      </c>
      <c r="G3016" t="s">
        <v>117</v>
      </c>
      <c r="H3016">
        <v>2</v>
      </c>
    </row>
    <row r="3017" spans="1:8" x14ac:dyDescent="0.35">
      <c r="A3017">
        <v>6161109780072</v>
      </c>
      <c r="B3017" t="s">
        <v>3351</v>
      </c>
      <c r="C3017" t="s">
        <v>36</v>
      </c>
      <c r="D3017" t="s">
        <v>3352</v>
      </c>
      <c r="E3017" t="s">
        <v>578</v>
      </c>
      <c r="F3017" t="s">
        <v>3353</v>
      </c>
      <c r="G3017" t="s">
        <v>578</v>
      </c>
      <c r="H3017">
        <v>6</v>
      </c>
    </row>
    <row r="3018" spans="1:8" x14ac:dyDescent="0.35">
      <c r="A3018">
        <v>6161109780416</v>
      </c>
      <c r="B3018" t="s">
        <v>3354</v>
      </c>
      <c r="C3018" t="s">
        <v>1115</v>
      </c>
      <c r="D3018" t="s">
        <v>3353</v>
      </c>
      <c r="E3018" t="s">
        <v>578</v>
      </c>
      <c r="F3018" t="s">
        <v>3353</v>
      </c>
      <c r="G3018" t="s">
        <v>117</v>
      </c>
      <c r="H3018">
        <v>6</v>
      </c>
    </row>
    <row r="3019" spans="1:8" x14ac:dyDescent="0.35">
      <c r="A3019">
        <v>6161109780416</v>
      </c>
      <c r="B3019" t="s">
        <v>3354</v>
      </c>
      <c r="C3019" t="s">
        <v>1115</v>
      </c>
      <c r="D3019" t="s">
        <v>3353</v>
      </c>
      <c r="E3019" t="s">
        <v>578</v>
      </c>
      <c r="F3019" t="s">
        <v>3353</v>
      </c>
      <c r="G3019" t="s">
        <v>34</v>
      </c>
      <c r="H3019">
        <v>2</v>
      </c>
    </row>
    <row r="3020" spans="1:8" x14ac:dyDescent="0.35">
      <c r="A3020">
        <v>6161109780416</v>
      </c>
      <c r="B3020" t="s">
        <v>3354</v>
      </c>
      <c r="C3020" t="s">
        <v>1115</v>
      </c>
      <c r="D3020" t="s">
        <v>3353</v>
      </c>
      <c r="E3020" t="s">
        <v>578</v>
      </c>
      <c r="F3020" t="s">
        <v>3353</v>
      </c>
      <c r="G3020" t="s">
        <v>150</v>
      </c>
      <c r="H3020">
        <v>1</v>
      </c>
    </row>
    <row r="3021" spans="1:8" x14ac:dyDescent="0.35">
      <c r="A3021">
        <v>6161109780416</v>
      </c>
      <c r="B3021" t="s">
        <v>3354</v>
      </c>
      <c r="C3021" t="s">
        <v>1115</v>
      </c>
      <c r="D3021" t="s">
        <v>3353</v>
      </c>
      <c r="E3021" t="s">
        <v>578</v>
      </c>
      <c r="F3021" t="s">
        <v>3353</v>
      </c>
      <c r="G3021" t="s">
        <v>578</v>
      </c>
      <c r="H3021">
        <v>20</v>
      </c>
    </row>
    <row r="3022" spans="1:8" x14ac:dyDescent="0.35">
      <c r="A3022">
        <v>6161109780669</v>
      </c>
      <c r="B3022" t="s">
        <v>446</v>
      </c>
      <c r="C3022" t="s">
        <v>447</v>
      </c>
      <c r="D3022" t="s">
        <v>3350</v>
      </c>
      <c r="E3022" t="s">
        <v>117</v>
      </c>
      <c r="F3022" t="s">
        <v>3348</v>
      </c>
      <c r="G3022" t="s">
        <v>117</v>
      </c>
      <c r="H3022">
        <v>192</v>
      </c>
    </row>
    <row r="3023" spans="1:8" x14ac:dyDescent="0.35">
      <c r="A3023">
        <v>6161109780676</v>
      </c>
      <c r="B3023" t="s">
        <v>446</v>
      </c>
      <c r="C3023" t="s">
        <v>472</v>
      </c>
      <c r="D3023" t="s">
        <v>3350</v>
      </c>
      <c r="E3023" t="s">
        <v>117</v>
      </c>
      <c r="F3023" t="s">
        <v>3348</v>
      </c>
      <c r="G3023" t="s">
        <v>117</v>
      </c>
      <c r="H3023">
        <v>2</v>
      </c>
    </row>
    <row r="3024" spans="1:8" x14ac:dyDescent="0.35">
      <c r="A3024">
        <v>6161109780867</v>
      </c>
      <c r="B3024" t="s">
        <v>3355</v>
      </c>
      <c r="C3024" t="s">
        <v>3356</v>
      </c>
      <c r="D3024" t="s">
        <v>3357</v>
      </c>
      <c r="E3024" t="s">
        <v>308</v>
      </c>
      <c r="F3024" t="s">
        <v>309</v>
      </c>
      <c r="G3024" t="s">
        <v>117</v>
      </c>
      <c r="H3024">
        <v>6</v>
      </c>
    </row>
    <row r="3025" spans="1:8" x14ac:dyDescent="0.35">
      <c r="A3025">
        <v>6161109780867</v>
      </c>
      <c r="B3025" t="s">
        <v>3355</v>
      </c>
      <c r="C3025" t="s">
        <v>3356</v>
      </c>
      <c r="D3025" t="s">
        <v>3357</v>
      </c>
      <c r="E3025" t="s">
        <v>308</v>
      </c>
      <c r="F3025" t="s">
        <v>309</v>
      </c>
      <c r="G3025" t="s">
        <v>61</v>
      </c>
      <c r="H3025">
        <v>1</v>
      </c>
    </row>
    <row r="3026" spans="1:8" x14ac:dyDescent="0.35">
      <c r="A3026">
        <v>6161109781079</v>
      </c>
      <c r="B3026" t="s">
        <v>3358</v>
      </c>
      <c r="C3026" t="s">
        <v>83</v>
      </c>
      <c r="D3026" t="s">
        <v>3359</v>
      </c>
      <c r="E3026" t="s">
        <v>117</v>
      </c>
      <c r="F3026" t="s">
        <v>3360</v>
      </c>
      <c r="G3026" t="s">
        <v>117</v>
      </c>
      <c r="H3026">
        <v>3</v>
      </c>
    </row>
    <row r="3027" spans="1:8" x14ac:dyDescent="0.35">
      <c r="A3027">
        <v>6161109781345</v>
      </c>
      <c r="B3027" t="s">
        <v>295</v>
      </c>
      <c r="C3027" t="s">
        <v>806</v>
      </c>
      <c r="D3027" t="s">
        <v>3361</v>
      </c>
      <c r="E3027" t="s">
        <v>578</v>
      </c>
      <c r="F3027" t="s">
        <v>3353</v>
      </c>
      <c r="G3027" t="s">
        <v>33</v>
      </c>
      <c r="H3027">
        <v>18</v>
      </c>
    </row>
    <row r="3028" spans="1:8" x14ac:dyDescent="0.35">
      <c r="A3028">
        <v>6161109781345</v>
      </c>
      <c r="B3028" t="s">
        <v>295</v>
      </c>
      <c r="C3028" t="s">
        <v>806</v>
      </c>
      <c r="D3028" t="s">
        <v>3361</v>
      </c>
      <c r="E3028" t="s">
        <v>578</v>
      </c>
      <c r="F3028" t="s">
        <v>3353</v>
      </c>
      <c r="G3028" t="s">
        <v>61</v>
      </c>
      <c r="H3028">
        <v>20</v>
      </c>
    </row>
    <row r="3029" spans="1:8" x14ac:dyDescent="0.35">
      <c r="A3029">
        <v>6161109781345</v>
      </c>
      <c r="B3029" t="s">
        <v>295</v>
      </c>
      <c r="C3029" t="s">
        <v>806</v>
      </c>
      <c r="D3029" t="s">
        <v>3361</v>
      </c>
      <c r="E3029" t="s">
        <v>578</v>
      </c>
      <c r="F3029" t="s">
        <v>3353</v>
      </c>
      <c r="G3029" t="s">
        <v>578</v>
      </c>
      <c r="H3029">
        <v>1</v>
      </c>
    </row>
    <row r="3030" spans="1:8" x14ac:dyDescent="0.35">
      <c r="A3030">
        <v>6161109781482</v>
      </c>
      <c r="B3030" t="s">
        <v>581</v>
      </c>
      <c r="C3030" t="s">
        <v>806</v>
      </c>
      <c r="D3030" t="s">
        <v>3362</v>
      </c>
      <c r="E3030" t="s">
        <v>117</v>
      </c>
      <c r="F3030" t="s">
        <v>3348</v>
      </c>
      <c r="G3030" t="s">
        <v>117</v>
      </c>
      <c r="H3030">
        <v>1</v>
      </c>
    </row>
    <row r="3031" spans="1:8" x14ac:dyDescent="0.35">
      <c r="A3031">
        <v>6161109781505</v>
      </c>
      <c r="B3031" t="s">
        <v>581</v>
      </c>
      <c r="C3031" t="s">
        <v>806</v>
      </c>
      <c r="D3031" t="s">
        <v>3363</v>
      </c>
      <c r="E3031" t="s">
        <v>117</v>
      </c>
      <c r="F3031" t="s">
        <v>3348</v>
      </c>
      <c r="G3031" t="s">
        <v>117</v>
      </c>
      <c r="H3031">
        <v>1</v>
      </c>
    </row>
    <row r="3032" spans="1:8" x14ac:dyDescent="0.35">
      <c r="A3032">
        <v>6161109781512</v>
      </c>
      <c r="B3032" t="s">
        <v>581</v>
      </c>
      <c r="C3032" t="s">
        <v>806</v>
      </c>
      <c r="D3032" t="s">
        <v>3364</v>
      </c>
      <c r="E3032" t="s">
        <v>117</v>
      </c>
      <c r="F3032" t="s">
        <v>3348</v>
      </c>
      <c r="G3032" t="s">
        <v>117</v>
      </c>
      <c r="H3032">
        <v>3</v>
      </c>
    </row>
    <row r="3033" spans="1:8" x14ac:dyDescent="0.35">
      <c r="A3033">
        <v>6161109782540</v>
      </c>
      <c r="B3033" t="s">
        <v>2832</v>
      </c>
      <c r="C3033" t="s">
        <v>83</v>
      </c>
      <c r="D3033" t="s">
        <v>3365</v>
      </c>
      <c r="E3033" t="s">
        <v>117</v>
      </c>
      <c r="F3033" t="s">
        <v>3360</v>
      </c>
      <c r="G3033" t="s">
        <v>117</v>
      </c>
      <c r="H3033">
        <v>6</v>
      </c>
    </row>
    <row r="3034" spans="1:8" x14ac:dyDescent="0.35">
      <c r="A3034">
        <v>6161109783158</v>
      </c>
      <c r="B3034" t="s">
        <v>167</v>
      </c>
      <c r="C3034" t="s">
        <v>472</v>
      </c>
      <c r="D3034" t="s">
        <v>3366</v>
      </c>
      <c r="E3034" t="s">
        <v>578</v>
      </c>
      <c r="F3034" t="s">
        <v>3367</v>
      </c>
      <c r="G3034" t="s">
        <v>117</v>
      </c>
      <c r="H3034">
        <v>2</v>
      </c>
    </row>
    <row r="3035" spans="1:8" x14ac:dyDescent="0.35">
      <c r="A3035">
        <v>6161109783172</v>
      </c>
      <c r="B3035" t="s">
        <v>675</v>
      </c>
      <c r="C3035" t="s">
        <v>472</v>
      </c>
      <c r="D3035" t="s">
        <v>3366</v>
      </c>
      <c r="E3035" t="s">
        <v>578</v>
      </c>
      <c r="F3035" t="s">
        <v>3367</v>
      </c>
      <c r="G3035" t="s">
        <v>117</v>
      </c>
      <c r="H3035">
        <v>1</v>
      </c>
    </row>
    <row r="3036" spans="1:8" x14ac:dyDescent="0.35">
      <c r="A3036">
        <v>6161109783875</v>
      </c>
      <c r="B3036" t="s">
        <v>581</v>
      </c>
      <c r="C3036" t="s">
        <v>472</v>
      </c>
      <c r="D3036" t="s">
        <v>3362</v>
      </c>
      <c r="E3036" t="s">
        <v>117</v>
      </c>
      <c r="F3036" t="s">
        <v>3348</v>
      </c>
      <c r="G3036" t="s">
        <v>117</v>
      </c>
      <c r="H3036">
        <v>18</v>
      </c>
    </row>
    <row r="3037" spans="1:8" x14ac:dyDescent="0.35">
      <c r="A3037">
        <v>6161109783882</v>
      </c>
      <c r="B3037" t="s">
        <v>3368</v>
      </c>
      <c r="C3037" t="s">
        <v>576</v>
      </c>
      <c r="D3037" t="s">
        <v>3347</v>
      </c>
      <c r="E3037" t="s">
        <v>117</v>
      </c>
      <c r="F3037" t="s">
        <v>3348</v>
      </c>
      <c r="G3037" t="s">
        <v>117</v>
      </c>
      <c r="H3037">
        <v>5</v>
      </c>
    </row>
    <row r="3038" spans="1:8" x14ac:dyDescent="0.35">
      <c r="A3038">
        <v>6161109783899</v>
      </c>
      <c r="B3038" t="s">
        <v>581</v>
      </c>
      <c r="C3038" t="s">
        <v>576</v>
      </c>
      <c r="D3038" t="s">
        <v>3363</v>
      </c>
      <c r="E3038" t="s">
        <v>117</v>
      </c>
      <c r="F3038" t="s">
        <v>3348</v>
      </c>
      <c r="G3038" t="s">
        <v>117</v>
      </c>
      <c r="H3038">
        <v>3</v>
      </c>
    </row>
    <row r="3039" spans="1:8" x14ac:dyDescent="0.35">
      <c r="A3039">
        <v>6161109783905</v>
      </c>
      <c r="B3039" t="s">
        <v>581</v>
      </c>
      <c r="C3039" t="s">
        <v>472</v>
      </c>
      <c r="D3039" t="s">
        <v>3364</v>
      </c>
      <c r="E3039" t="s">
        <v>117</v>
      </c>
      <c r="F3039" t="s">
        <v>3348</v>
      </c>
      <c r="G3039" t="s">
        <v>117</v>
      </c>
      <c r="H3039">
        <v>4</v>
      </c>
    </row>
    <row r="3040" spans="1:8" x14ac:dyDescent="0.35">
      <c r="A3040">
        <v>6161109783912</v>
      </c>
      <c r="B3040" t="s">
        <v>3242</v>
      </c>
      <c r="C3040" t="s">
        <v>472</v>
      </c>
      <c r="D3040" t="s">
        <v>3369</v>
      </c>
      <c r="E3040" t="s">
        <v>776</v>
      </c>
      <c r="F3040" t="s">
        <v>3370</v>
      </c>
      <c r="G3040" t="s">
        <v>117</v>
      </c>
      <c r="H3040">
        <v>9</v>
      </c>
    </row>
    <row r="3041" spans="1:8" x14ac:dyDescent="0.35">
      <c r="A3041">
        <v>6161109783929</v>
      </c>
      <c r="B3041" t="s">
        <v>3371</v>
      </c>
      <c r="C3041" t="s">
        <v>472</v>
      </c>
      <c r="D3041" t="s">
        <v>3347</v>
      </c>
      <c r="E3041" t="s">
        <v>117</v>
      </c>
      <c r="F3041" t="s">
        <v>3348</v>
      </c>
      <c r="G3041" t="s">
        <v>117</v>
      </c>
      <c r="H3041">
        <v>14</v>
      </c>
    </row>
    <row r="3042" spans="1:8" x14ac:dyDescent="0.35">
      <c r="A3042">
        <v>6161109784070</v>
      </c>
      <c r="B3042" t="s">
        <v>3372</v>
      </c>
      <c r="C3042" t="s">
        <v>472</v>
      </c>
      <c r="D3042" t="s">
        <v>3347</v>
      </c>
      <c r="E3042" t="s">
        <v>117</v>
      </c>
      <c r="F3042" t="s">
        <v>3348</v>
      </c>
      <c r="G3042" t="s">
        <v>117</v>
      </c>
      <c r="H3042">
        <v>5</v>
      </c>
    </row>
    <row r="3043" spans="1:8" x14ac:dyDescent="0.35">
      <c r="A3043">
        <v>6161109784636</v>
      </c>
      <c r="B3043" t="s">
        <v>3373</v>
      </c>
      <c r="C3043" t="s">
        <v>326</v>
      </c>
      <c r="D3043" t="s">
        <v>3350</v>
      </c>
      <c r="E3043" t="s">
        <v>117</v>
      </c>
      <c r="F3043" t="s">
        <v>3348</v>
      </c>
      <c r="G3043" t="s">
        <v>117</v>
      </c>
      <c r="H3043">
        <v>7</v>
      </c>
    </row>
    <row r="3044" spans="1:8" x14ac:dyDescent="0.35">
      <c r="A3044">
        <v>6161109981714</v>
      </c>
      <c r="B3044" t="s">
        <v>834</v>
      </c>
      <c r="C3044" t="s">
        <v>9</v>
      </c>
      <c r="D3044" t="s">
        <v>3374</v>
      </c>
      <c r="E3044" t="s">
        <v>11</v>
      </c>
      <c r="F3044" t="s">
        <v>3375</v>
      </c>
      <c r="G3044" t="s">
        <v>11</v>
      </c>
      <c r="H3044">
        <v>13</v>
      </c>
    </row>
    <row r="3045" spans="1:8" x14ac:dyDescent="0.35">
      <c r="A3045">
        <v>6161109981721</v>
      </c>
      <c r="B3045" t="s">
        <v>834</v>
      </c>
      <c r="C3045" t="s">
        <v>9</v>
      </c>
      <c r="D3045" t="s">
        <v>3374</v>
      </c>
      <c r="E3045" t="s">
        <v>11</v>
      </c>
      <c r="F3045" t="s">
        <v>3375</v>
      </c>
      <c r="G3045" t="s">
        <v>11</v>
      </c>
      <c r="H3045">
        <v>9</v>
      </c>
    </row>
    <row r="3046" spans="1:8" x14ac:dyDescent="0.35">
      <c r="A3046">
        <v>61611108</v>
      </c>
      <c r="B3046" t="s">
        <v>167</v>
      </c>
      <c r="C3046" t="s">
        <v>9</v>
      </c>
      <c r="D3046" t="s">
        <v>2337</v>
      </c>
      <c r="E3046" t="s">
        <v>11</v>
      </c>
      <c r="F3046" t="s">
        <v>2338</v>
      </c>
      <c r="G3046" t="s">
        <v>11</v>
      </c>
      <c r="H3046">
        <v>6</v>
      </c>
    </row>
    <row r="3047" spans="1:8" x14ac:dyDescent="0.35">
      <c r="A3047">
        <v>61611108</v>
      </c>
      <c r="B3047" t="s">
        <v>167</v>
      </c>
      <c r="C3047" t="s">
        <v>9</v>
      </c>
      <c r="D3047" t="s">
        <v>2337</v>
      </c>
      <c r="E3047" t="s">
        <v>11</v>
      </c>
      <c r="F3047" t="s">
        <v>2338</v>
      </c>
      <c r="G3047" t="s">
        <v>61</v>
      </c>
      <c r="H3047">
        <v>1</v>
      </c>
    </row>
    <row r="3048" spans="1:8" x14ac:dyDescent="0.35">
      <c r="A3048">
        <v>6161110810713</v>
      </c>
      <c r="B3048" t="s">
        <v>3376</v>
      </c>
      <c r="C3048" t="s">
        <v>326</v>
      </c>
      <c r="D3048" t="s">
        <v>2337</v>
      </c>
      <c r="E3048" t="s">
        <v>11</v>
      </c>
      <c r="F3048" t="s">
        <v>2338</v>
      </c>
      <c r="G3048" t="s">
        <v>11</v>
      </c>
      <c r="H3048">
        <v>2</v>
      </c>
    </row>
    <row r="3049" spans="1:8" x14ac:dyDescent="0.35">
      <c r="A3049">
        <v>6161111480267</v>
      </c>
      <c r="B3049" t="s">
        <v>3377</v>
      </c>
      <c r="C3049" t="s">
        <v>81</v>
      </c>
      <c r="D3049" t="s">
        <v>3378</v>
      </c>
      <c r="E3049" t="s">
        <v>11</v>
      </c>
      <c r="F3049" t="s">
        <v>3379</v>
      </c>
      <c r="G3049" t="s">
        <v>11</v>
      </c>
      <c r="H3049">
        <v>26</v>
      </c>
    </row>
    <row r="3050" spans="1:8" x14ac:dyDescent="0.35">
      <c r="A3050">
        <v>6161111480328</v>
      </c>
      <c r="B3050" t="s">
        <v>3380</v>
      </c>
      <c r="C3050" t="s">
        <v>9</v>
      </c>
      <c r="D3050" t="s">
        <v>1057</v>
      </c>
      <c r="E3050" t="s">
        <v>318</v>
      </c>
      <c r="F3050" t="s">
        <v>319</v>
      </c>
      <c r="G3050" t="s">
        <v>11</v>
      </c>
      <c r="H3050">
        <v>8</v>
      </c>
    </row>
    <row r="3051" spans="1:8" x14ac:dyDescent="0.35">
      <c r="A3051">
        <v>6161111480434</v>
      </c>
      <c r="B3051" t="s">
        <v>834</v>
      </c>
      <c r="C3051" t="s">
        <v>81</v>
      </c>
      <c r="D3051" t="s">
        <v>3378</v>
      </c>
      <c r="E3051" t="s">
        <v>11</v>
      </c>
      <c r="F3051" t="s">
        <v>3379</v>
      </c>
      <c r="G3051" t="s">
        <v>11</v>
      </c>
      <c r="H3051">
        <v>11</v>
      </c>
    </row>
    <row r="3052" spans="1:8" x14ac:dyDescent="0.35">
      <c r="A3052">
        <v>6161111910160</v>
      </c>
      <c r="B3052" t="s">
        <v>3381</v>
      </c>
      <c r="C3052" t="s">
        <v>1199</v>
      </c>
      <c r="D3052" t="s">
        <v>3382</v>
      </c>
      <c r="E3052" t="s">
        <v>578</v>
      </c>
      <c r="F3052" t="s">
        <v>3383</v>
      </c>
      <c r="G3052" t="s">
        <v>33</v>
      </c>
      <c r="H3052">
        <v>28</v>
      </c>
    </row>
    <row r="3053" spans="1:8" x14ac:dyDescent="0.35">
      <c r="A3053">
        <v>6161111910160</v>
      </c>
      <c r="B3053" t="s">
        <v>3381</v>
      </c>
      <c r="C3053" t="s">
        <v>1199</v>
      </c>
      <c r="D3053" t="s">
        <v>3382</v>
      </c>
      <c r="E3053" t="s">
        <v>578</v>
      </c>
      <c r="F3053" t="s">
        <v>3383</v>
      </c>
      <c r="G3053" t="s">
        <v>34</v>
      </c>
      <c r="H3053">
        <v>468</v>
      </c>
    </row>
    <row r="3054" spans="1:8" x14ac:dyDescent="0.35">
      <c r="A3054">
        <v>6161111910160</v>
      </c>
      <c r="B3054" t="s">
        <v>3381</v>
      </c>
      <c r="C3054" t="s">
        <v>1199</v>
      </c>
      <c r="D3054" t="s">
        <v>3382</v>
      </c>
      <c r="E3054" t="s">
        <v>578</v>
      </c>
      <c r="F3054" t="s">
        <v>3383</v>
      </c>
      <c r="G3054" t="s">
        <v>31</v>
      </c>
      <c r="H3054">
        <v>10</v>
      </c>
    </row>
    <row r="3055" spans="1:8" x14ac:dyDescent="0.35">
      <c r="A3055">
        <v>6161111910160</v>
      </c>
      <c r="B3055" t="s">
        <v>3381</v>
      </c>
      <c r="C3055" t="s">
        <v>1199</v>
      </c>
      <c r="D3055" t="s">
        <v>3382</v>
      </c>
      <c r="E3055" t="s">
        <v>578</v>
      </c>
      <c r="F3055" t="s">
        <v>3383</v>
      </c>
      <c r="G3055" t="s">
        <v>578</v>
      </c>
      <c r="H3055">
        <v>52</v>
      </c>
    </row>
    <row r="3056" spans="1:8" x14ac:dyDescent="0.35">
      <c r="A3056">
        <v>6161112462736</v>
      </c>
      <c r="B3056" t="s">
        <v>3384</v>
      </c>
      <c r="C3056" t="s">
        <v>94</v>
      </c>
      <c r="D3056" t="s">
        <v>3385</v>
      </c>
      <c r="E3056" t="s">
        <v>34</v>
      </c>
      <c r="F3056" t="s">
        <v>3386</v>
      </c>
      <c r="G3056" t="s">
        <v>150</v>
      </c>
      <c r="H3056">
        <v>2</v>
      </c>
    </row>
    <row r="3057" spans="1:8" x14ac:dyDescent="0.35">
      <c r="A3057">
        <v>6161112462743</v>
      </c>
      <c r="B3057" t="s">
        <v>3384</v>
      </c>
      <c r="C3057" t="s">
        <v>419</v>
      </c>
      <c r="D3057" t="s">
        <v>3385</v>
      </c>
      <c r="E3057" t="s">
        <v>34</v>
      </c>
      <c r="F3057" t="s">
        <v>3386</v>
      </c>
      <c r="G3057" t="s">
        <v>150</v>
      </c>
      <c r="H3057">
        <v>13</v>
      </c>
    </row>
    <row r="3058" spans="1:8" x14ac:dyDescent="0.35">
      <c r="A3058">
        <v>6161112464198</v>
      </c>
      <c r="B3058" t="s">
        <v>904</v>
      </c>
      <c r="C3058" t="s">
        <v>9</v>
      </c>
      <c r="D3058" t="s">
        <v>860</v>
      </c>
      <c r="E3058" t="s">
        <v>11</v>
      </c>
      <c r="F3058" t="s">
        <v>861</v>
      </c>
      <c r="G3058" t="s">
        <v>11</v>
      </c>
      <c r="H3058">
        <v>45</v>
      </c>
    </row>
    <row r="3059" spans="1:8" x14ac:dyDescent="0.35">
      <c r="A3059">
        <v>6161112464198</v>
      </c>
      <c r="B3059" t="s">
        <v>904</v>
      </c>
      <c r="C3059" t="s">
        <v>9</v>
      </c>
      <c r="D3059" t="s">
        <v>860</v>
      </c>
      <c r="E3059" t="s">
        <v>11</v>
      </c>
      <c r="F3059" t="s">
        <v>861</v>
      </c>
      <c r="G3059" t="s">
        <v>34</v>
      </c>
      <c r="H3059">
        <v>1</v>
      </c>
    </row>
    <row r="3060" spans="1:8" x14ac:dyDescent="0.35">
      <c r="A3060">
        <v>6161112464198</v>
      </c>
      <c r="B3060" t="s">
        <v>904</v>
      </c>
      <c r="C3060" t="s">
        <v>9</v>
      </c>
      <c r="D3060" t="s">
        <v>860</v>
      </c>
      <c r="E3060" t="s">
        <v>11</v>
      </c>
      <c r="F3060" t="s">
        <v>861</v>
      </c>
      <c r="G3060" t="s">
        <v>61</v>
      </c>
      <c r="H3060">
        <v>15</v>
      </c>
    </row>
    <row r="3061" spans="1:8" x14ac:dyDescent="0.35">
      <c r="A3061">
        <v>6161112464204</v>
      </c>
      <c r="B3061" t="s">
        <v>3387</v>
      </c>
      <c r="C3061" t="s">
        <v>1573</v>
      </c>
      <c r="D3061" t="s">
        <v>860</v>
      </c>
      <c r="E3061" t="s">
        <v>11</v>
      </c>
      <c r="F3061" t="s">
        <v>861</v>
      </c>
      <c r="G3061" t="s">
        <v>11</v>
      </c>
      <c r="H3061">
        <v>32</v>
      </c>
    </row>
    <row r="3062" spans="1:8" x14ac:dyDescent="0.35">
      <c r="A3062">
        <v>6161112464204</v>
      </c>
      <c r="B3062" t="s">
        <v>3387</v>
      </c>
      <c r="C3062" t="s">
        <v>1573</v>
      </c>
      <c r="D3062" t="s">
        <v>860</v>
      </c>
      <c r="E3062" t="s">
        <v>11</v>
      </c>
      <c r="F3062" t="s">
        <v>861</v>
      </c>
      <c r="G3062" t="s">
        <v>34</v>
      </c>
      <c r="H3062">
        <v>1</v>
      </c>
    </row>
    <row r="3063" spans="1:8" x14ac:dyDescent="0.35">
      <c r="A3063">
        <v>6161112464204</v>
      </c>
      <c r="B3063" t="s">
        <v>3387</v>
      </c>
      <c r="C3063" t="s">
        <v>1573</v>
      </c>
      <c r="D3063" t="s">
        <v>860</v>
      </c>
      <c r="E3063" t="s">
        <v>11</v>
      </c>
      <c r="F3063" t="s">
        <v>861</v>
      </c>
      <c r="G3063" t="s">
        <v>61</v>
      </c>
      <c r="H3063">
        <v>3</v>
      </c>
    </row>
    <row r="3064" spans="1:8" x14ac:dyDescent="0.35">
      <c r="A3064">
        <v>6161112464242</v>
      </c>
      <c r="B3064" t="s">
        <v>295</v>
      </c>
      <c r="C3064" t="s">
        <v>83</v>
      </c>
      <c r="D3064" t="s">
        <v>3388</v>
      </c>
      <c r="E3064" t="s">
        <v>34</v>
      </c>
      <c r="F3064" t="s">
        <v>3386</v>
      </c>
      <c r="G3064" t="s">
        <v>11</v>
      </c>
      <c r="H3064">
        <v>59</v>
      </c>
    </row>
    <row r="3065" spans="1:8" x14ac:dyDescent="0.35">
      <c r="A3065">
        <v>616111246499</v>
      </c>
      <c r="B3065" t="s">
        <v>904</v>
      </c>
      <c r="C3065" t="s">
        <v>9</v>
      </c>
      <c r="D3065" t="s">
        <v>860</v>
      </c>
      <c r="E3065" t="s">
        <v>11</v>
      </c>
      <c r="F3065" t="s">
        <v>861</v>
      </c>
      <c r="G3065" t="s">
        <v>11</v>
      </c>
      <c r="H3065">
        <v>8</v>
      </c>
    </row>
    <row r="3066" spans="1:8" x14ac:dyDescent="0.35">
      <c r="A3066">
        <v>616111246499</v>
      </c>
      <c r="B3066" t="s">
        <v>904</v>
      </c>
      <c r="C3066" t="s">
        <v>9</v>
      </c>
      <c r="D3066" t="s">
        <v>860</v>
      </c>
      <c r="E3066" t="s">
        <v>11</v>
      </c>
      <c r="F3066" t="s">
        <v>861</v>
      </c>
      <c r="G3066" t="s">
        <v>61</v>
      </c>
      <c r="H3066">
        <v>1</v>
      </c>
    </row>
    <row r="3067" spans="1:8" x14ac:dyDescent="0.35">
      <c r="A3067">
        <v>6161112465065</v>
      </c>
      <c r="B3067" t="s">
        <v>3389</v>
      </c>
      <c r="C3067" t="s">
        <v>83</v>
      </c>
      <c r="D3067" t="s">
        <v>3390</v>
      </c>
      <c r="E3067" t="s">
        <v>308</v>
      </c>
      <c r="F3067" t="s">
        <v>309</v>
      </c>
      <c r="G3067" t="s">
        <v>11</v>
      </c>
      <c r="H3067">
        <v>2</v>
      </c>
    </row>
    <row r="3068" spans="1:8" x14ac:dyDescent="0.35">
      <c r="A3068">
        <v>6161112465065</v>
      </c>
      <c r="B3068" t="s">
        <v>3389</v>
      </c>
      <c r="C3068" t="s">
        <v>83</v>
      </c>
      <c r="D3068" t="s">
        <v>3390</v>
      </c>
      <c r="E3068" t="s">
        <v>308</v>
      </c>
      <c r="F3068" t="s">
        <v>309</v>
      </c>
      <c r="G3068" t="s">
        <v>34</v>
      </c>
      <c r="H3068">
        <v>10</v>
      </c>
    </row>
    <row r="3069" spans="1:8" x14ac:dyDescent="0.35">
      <c r="A3069">
        <v>6161112465157</v>
      </c>
      <c r="B3069" t="s">
        <v>295</v>
      </c>
      <c r="C3069" t="s">
        <v>38</v>
      </c>
      <c r="D3069" t="s">
        <v>3388</v>
      </c>
      <c r="E3069" t="s">
        <v>34</v>
      </c>
      <c r="F3069" t="s">
        <v>3386</v>
      </c>
      <c r="G3069" t="s">
        <v>11</v>
      </c>
      <c r="H3069">
        <v>42</v>
      </c>
    </row>
    <row r="3070" spans="1:8" x14ac:dyDescent="0.35">
      <c r="A3070">
        <v>6161113670000</v>
      </c>
      <c r="B3070" t="s">
        <v>3021</v>
      </c>
      <c r="C3070" t="s">
        <v>9</v>
      </c>
      <c r="D3070" t="s">
        <v>1688</v>
      </c>
      <c r="E3070" t="s">
        <v>318</v>
      </c>
      <c r="F3070" t="s">
        <v>319</v>
      </c>
      <c r="G3070" t="s">
        <v>11</v>
      </c>
      <c r="H3070">
        <v>3</v>
      </c>
    </row>
    <row r="3071" spans="1:8" x14ac:dyDescent="0.35">
      <c r="A3071">
        <v>6161113791996</v>
      </c>
      <c r="B3071" t="s">
        <v>3391</v>
      </c>
      <c r="C3071" t="s">
        <v>9</v>
      </c>
      <c r="D3071" t="s">
        <v>3392</v>
      </c>
      <c r="E3071" t="s">
        <v>11</v>
      </c>
      <c r="F3071" t="s">
        <v>3393</v>
      </c>
      <c r="G3071" t="s">
        <v>11</v>
      </c>
      <c r="H3071">
        <v>12</v>
      </c>
    </row>
    <row r="3072" spans="1:8" x14ac:dyDescent="0.35">
      <c r="A3072">
        <v>61611177</v>
      </c>
      <c r="B3072" t="s">
        <v>3394</v>
      </c>
      <c r="C3072" t="s">
        <v>909</v>
      </c>
      <c r="D3072" t="s">
        <v>3395</v>
      </c>
      <c r="E3072" t="s">
        <v>308</v>
      </c>
      <c r="F3072" t="s">
        <v>309</v>
      </c>
      <c r="G3072" t="s">
        <v>11</v>
      </c>
      <c r="H3072">
        <v>3</v>
      </c>
    </row>
    <row r="3073" spans="1:8" x14ac:dyDescent="0.35">
      <c r="A3073">
        <v>6161117770065</v>
      </c>
      <c r="B3073" t="s">
        <v>3396</v>
      </c>
      <c r="C3073" t="s">
        <v>38</v>
      </c>
      <c r="D3073" t="s">
        <v>998</v>
      </c>
      <c r="E3073" t="s">
        <v>15</v>
      </c>
      <c r="F3073" t="s">
        <v>901</v>
      </c>
      <c r="G3073" t="s">
        <v>11</v>
      </c>
      <c r="H3073">
        <v>1</v>
      </c>
    </row>
    <row r="3074" spans="1:8" x14ac:dyDescent="0.35">
      <c r="A3074">
        <v>6161117770065</v>
      </c>
      <c r="B3074" t="s">
        <v>3396</v>
      </c>
      <c r="C3074" t="s">
        <v>38</v>
      </c>
      <c r="D3074" t="s">
        <v>998</v>
      </c>
      <c r="E3074" t="s">
        <v>15</v>
      </c>
      <c r="F3074" t="s">
        <v>901</v>
      </c>
      <c r="G3074" t="s">
        <v>34</v>
      </c>
      <c r="H3074">
        <v>5</v>
      </c>
    </row>
    <row r="3075" spans="1:8" x14ac:dyDescent="0.35">
      <c r="A3075">
        <v>6161117770225</v>
      </c>
      <c r="B3075" t="s">
        <v>3397</v>
      </c>
      <c r="C3075" t="s">
        <v>9</v>
      </c>
      <c r="D3075" t="s">
        <v>998</v>
      </c>
      <c r="E3075" t="s">
        <v>15</v>
      </c>
      <c r="F3075" t="s">
        <v>901</v>
      </c>
      <c r="G3075" t="s">
        <v>117</v>
      </c>
      <c r="H3075">
        <v>3</v>
      </c>
    </row>
    <row r="3076" spans="1:8" x14ac:dyDescent="0.35">
      <c r="A3076">
        <v>6161117770225</v>
      </c>
      <c r="B3076" t="s">
        <v>3397</v>
      </c>
      <c r="C3076" t="s">
        <v>9</v>
      </c>
      <c r="D3076" t="s">
        <v>998</v>
      </c>
      <c r="E3076" t="s">
        <v>15</v>
      </c>
      <c r="F3076" t="s">
        <v>901</v>
      </c>
      <c r="G3076" t="s">
        <v>11</v>
      </c>
      <c r="H3076">
        <v>28</v>
      </c>
    </row>
    <row r="3077" spans="1:8" x14ac:dyDescent="0.35">
      <c r="A3077">
        <v>6161117770294</v>
      </c>
      <c r="B3077" t="s">
        <v>3398</v>
      </c>
      <c r="C3077" t="s">
        <v>38</v>
      </c>
      <c r="D3077" t="s">
        <v>995</v>
      </c>
      <c r="E3077" t="s">
        <v>130</v>
      </c>
      <c r="F3077" t="s">
        <v>996</v>
      </c>
      <c r="G3077" t="s">
        <v>11</v>
      </c>
      <c r="H3077">
        <v>6</v>
      </c>
    </row>
    <row r="3078" spans="1:8" x14ac:dyDescent="0.35">
      <c r="A3078">
        <v>6161117770294</v>
      </c>
      <c r="B3078" t="s">
        <v>3398</v>
      </c>
      <c r="C3078" t="s">
        <v>38</v>
      </c>
      <c r="D3078" t="s">
        <v>995</v>
      </c>
      <c r="E3078" t="s">
        <v>130</v>
      </c>
      <c r="F3078" t="s">
        <v>996</v>
      </c>
      <c r="G3078" t="s">
        <v>150</v>
      </c>
      <c r="H3078">
        <v>56</v>
      </c>
    </row>
    <row r="3079" spans="1:8" x14ac:dyDescent="0.35">
      <c r="A3079">
        <v>6161117770560</v>
      </c>
      <c r="B3079" t="s">
        <v>346</v>
      </c>
      <c r="C3079" t="s">
        <v>192</v>
      </c>
      <c r="D3079" t="s">
        <v>3395</v>
      </c>
      <c r="E3079" t="s">
        <v>308</v>
      </c>
      <c r="F3079" t="s">
        <v>309</v>
      </c>
      <c r="G3079" t="s">
        <v>11</v>
      </c>
      <c r="H3079">
        <v>1</v>
      </c>
    </row>
    <row r="3080" spans="1:8" x14ac:dyDescent="0.35">
      <c r="A3080">
        <v>6161235458920</v>
      </c>
      <c r="B3080" t="s">
        <v>446</v>
      </c>
      <c r="C3080" t="s">
        <v>114</v>
      </c>
      <c r="D3080" t="s">
        <v>3399</v>
      </c>
      <c r="E3080" t="s">
        <v>117</v>
      </c>
      <c r="F3080" t="s">
        <v>3400</v>
      </c>
      <c r="G3080" t="s">
        <v>117</v>
      </c>
      <c r="H3080">
        <v>12</v>
      </c>
    </row>
    <row r="3081" spans="1:8" x14ac:dyDescent="0.35">
      <c r="A3081">
        <v>6161235458937</v>
      </c>
      <c r="B3081" t="s">
        <v>446</v>
      </c>
      <c r="C3081" t="s">
        <v>192</v>
      </c>
      <c r="D3081" t="s">
        <v>3399</v>
      </c>
      <c r="E3081" t="s">
        <v>117</v>
      </c>
      <c r="F3081" t="s">
        <v>3400</v>
      </c>
      <c r="G3081" t="s">
        <v>117</v>
      </c>
      <c r="H3081">
        <v>3</v>
      </c>
    </row>
    <row r="3082" spans="1:8" x14ac:dyDescent="0.35">
      <c r="A3082">
        <v>61614000</v>
      </c>
      <c r="B3082" t="s">
        <v>3165</v>
      </c>
      <c r="C3082" t="s">
        <v>94</v>
      </c>
      <c r="D3082" t="s">
        <v>3063</v>
      </c>
      <c r="E3082" t="s">
        <v>1201</v>
      </c>
      <c r="F3082" t="s">
        <v>1465</v>
      </c>
      <c r="G3082" t="s">
        <v>150</v>
      </c>
      <c r="H3082">
        <v>2</v>
      </c>
    </row>
    <row r="3083" spans="1:8" x14ac:dyDescent="0.35">
      <c r="A3083">
        <v>61614000</v>
      </c>
      <c r="B3083" t="s">
        <v>3165</v>
      </c>
      <c r="C3083" t="s">
        <v>94</v>
      </c>
      <c r="D3083" t="s">
        <v>3063</v>
      </c>
      <c r="E3083" t="s">
        <v>1201</v>
      </c>
      <c r="F3083" t="s">
        <v>1465</v>
      </c>
      <c r="G3083" t="s">
        <v>61</v>
      </c>
      <c r="H3083">
        <v>3</v>
      </c>
    </row>
    <row r="3084" spans="1:8" x14ac:dyDescent="0.35">
      <c r="A3084">
        <v>6162000020014</v>
      </c>
      <c r="B3084" t="s">
        <v>3401</v>
      </c>
      <c r="C3084" t="s">
        <v>3402</v>
      </c>
      <c r="D3084" t="s">
        <v>3403</v>
      </c>
      <c r="E3084" t="s">
        <v>11</v>
      </c>
      <c r="F3084" t="s">
        <v>3404</v>
      </c>
      <c r="G3084" t="s">
        <v>11</v>
      </c>
      <c r="H3084">
        <v>1</v>
      </c>
    </row>
    <row r="3085" spans="1:8" x14ac:dyDescent="0.35">
      <c r="A3085">
        <v>6162000048698</v>
      </c>
      <c r="B3085" t="s">
        <v>1107</v>
      </c>
      <c r="C3085" t="s">
        <v>445</v>
      </c>
      <c r="D3085" t="s">
        <v>3403</v>
      </c>
      <c r="E3085" t="s">
        <v>11</v>
      </c>
      <c r="F3085" t="s">
        <v>3404</v>
      </c>
      <c r="G3085" t="s">
        <v>11</v>
      </c>
      <c r="H3085">
        <v>23</v>
      </c>
    </row>
    <row r="3086" spans="1:8" x14ac:dyDescent="0.35">
      <c r="A3086">
        <v>6162006601170</v>
      </c>
      <c r="B3086" t="s">
        <v>1091</v>
      </c>
      <c r="C3086" t="s">
        <v>83</v>
      </c>
      <c r="D3086" t="s">
        <v>2911</v>
      </c>
      <c r="E3086" t="s">
        <v>22</v>
      </c>
      <c r="F3086" t="s">
        <v>361</v>
      </c>
      <c r="G3086" t="s">
        <v>150</v>
      </c>
      <c r="H3086">
        <v>1</v>
      </c>
    </row>
    <row r="3087" spans="1:8" x14ac:dyDescent="0.35">
      <c r="A3087">
        <v>6162006605772</v>
      </c>
      <c r="B3087" t="s">
        <v>3166</v>
      </c>
      <c r="C3087" t="s">
        <v>272</v>
      </c>
      <c r="D3087" t="s">
        <v>2123</v>
      </c>
      <c r="E3087" t="s">
        <v>22</v>
      </c>
      <c r="F3087" t="s">
        <v>361</v>
      </c>
      <c r="G3087" t="s">
        <v>150</v>
      </c>
      <c r="H3087">
        <v>1</v>
      </c>
    </row>
    <row r="3088" spans="1:8" x14ac:dyDescent="0.35">
      <c r="A3088">
        <v>6162006608681</v>
      </c>
      <c r="B3088" t="s">
        <v>3405</v>
      </c>
      <c r="C3088" t="s">
        <v>83</v>
      </c>
      <c r="D3088" t="s">
        <v>2123</v>
      </c>
      <c r="E3088" t="s">
        <v>22</v>
      </c>
      <c r="F3088" t="s">
        <v>361</v>
      </c>
      <c r="G3088" t="s">
        <v>150</v>
      </c>
      <c r="H3088">
        <v>7</v>
      </c>
    </row>
    <row r="3089" spans="1:8" x14ac:dyDescent="0.35">
      <c r="A3089">
        <v>6162400124190</v>
      </c>
      <c r="B3089" t="s">
        <v>3406</v>
      </c>
      <c r="C3089" t="s">
        <v>2497</v>
      </c>
      <c r="D3089" t="s">
        <v>3328</v>
      </c>
      <c r="E3089" t="s">
        <v>31</v>
      </c>
      <c r="F3089" t="s">
        <v>3329</v>
      </c>
      <c r="G3089" t="s">
        <v>61</v>
      </c>
      <c r="H3089">
        <v>1</v>
      </c>
    </row>
    <row r="3090" spans="1:8" x14ac:dyDescent="0.35">
      <c r="A3090">
        <v>6162567777772</v>
      </c>
      <c r="B3090" t="s">
        <v>3407</v>
      </c>
      <c r="C3090" t="s">
        <v>36</v>
      </c>
      <c r="D3090" t="s">
        <v>3408</v>
      </c>
      <c r="E3090" t="s">
        <v>31</v>
      </c>
      <c r="F3090" t="s">
        <v>3409</v>
      </c>
      <c r="G3090" t="s">
        <v>31</v>
      </c>
      <c r="H3090">
        <v>2</v>
      </c>
    </row>
    <row r="3091" spans="1:8" x14ac:dyDescent="0.35">
      <c r="A3091">
        <v>6163411216881</v>
      </c>
      <c r="B3091" t="s">
        <v>3410</v>
      </c>
      <c r="C3091" t="s">
        <v>9</v>
      </c>
      <c r="D3091" t="s">
        <v>420</v>
      </c>
      <c r="E3091" t="s">
        <v>61</v>
      </c>
      <c r="F3091" t="s">
        <v>421</v>
      </c>
      <c r="G3091" t="s">
        <v>31</v>
      </c>
      <c r="H3091">
        <v>24</v>
      </c>
    </row>
    <row r="3092" spans="1:8" x14ac:dyDescent="0.35">
      <c r="A3092">
        <v>6164000012440</v>
      </c>
      <c r="B3092" t="s">
        <v>2341</v>
      </c>
      <c r="C3092" t="s">
        <v>825</v>
      </c>
      <c r="D3092" t="s">
        <v>2337</v>
      </c>
      <c r="E3092" t="s">
        <v>11</v>
      </c>
      <c r="F3092" t="s">
        <v>2338</v>
      </c>
      <c r="G3092" t="s">
        <v>11</v>
      </c>
      <c r="H3092">
        <v>22</v>
      </c>
    </row>
    <row r="3093" spans="1:8" x14ac:dyDescent="0.35">
      <c r="A3093">
        <v>6164000015601</v>
      </c>
      <c r="B3093" t="s">
        <v>3411</v>
      </c>
      <c r="C3093" t="s">
        <v>9</v>
      </c>
      <c r="D3093" t="s">
        <v>3412</v>
      </c>
      <c r="E3093" t="s">
        <v>11</v>
      </c>
      <c r="F3093" t="s">
        <v>3413</v>
      </c>
      <c r="G3093" t="s">
        <v>11</v>
      </c>
      <c r="H3093">
        <v>15</v>
      </c>
    </row>
    <row r="3094" spans="1:8" x14ac:dyDescent="0.35">
      <c r="A3094">
        <v>6164000046001</v>
      </c>
      <c r="B3094" t="s">
        <v>834</v>
      </c>
      <c r="C3094" t="s">
        <v>9</v>
      </c>
      <c r="D3094" t="s">
        <v>2441</v>
      </c>
      <c r="E3094" t="s">
        <v>73</v>
      </c>
      <c r="F3094" t="s">
        <v>2442</v>
      </c>
      <c r="G3094" t="s">
        <v>11</v>
      </c>
      <c r="H3094">
        <v>1</v>
      </c>
    </row>
    <row r="3095" spans="1:8" x14ac:dyDescent="0.35">
      <c r="A3095">
        <v>6164000046001</v>
      </c>
      <c r="B3095" t="s">
        <v>834</v>
      </c>
      <c r="C3095" t="s">
        <v>9</v>
      </c>
      <c r="D3095" t="s">
        <v>2441</v>
      </c>
      <c r="E3095" t="s">
        <v>73</v>
      </c>
      <c r="F3095" t="s">
        <v>2442</v>
      </c>
      <c r="G3095" t="s">
        <v>33</v>
      </c>
      <c r="H3095">
        <v>38</v>
      </c>
    </row>
    <row r="3096" spans="1:8" x14ac:dyDescent="0.35">
      <c r="A3096">
        <v>6164000046001</v>
      </c>
      <c r="B3096" t="s">
        <v>834</v>
      </c>
      <c r="C3096" t="s">
        <v>9</v>
      </c>
      <c r="D3096" t="s">
        <v>2441</v>
      </c>
      <c r="E3096" t="s">
        <v>73</v>
      </c>
      <c r="F3096" t="s">
        <v>2442</v>
      </c>
      <c r="G3096" t="s">
        <v>34</v>
      </c>
      <c r="H3096">
        <v>99</v>
      </c>
    </row>
    <row r="3097" spans="1:8" x14ac:dyDescent="0.35">
      <c r="A3097">
        <v>6164000049125</v>
      </c>
      <c r="B3097" t="s">
        <v>3414</v>
      </c>
      <c r="C3097" t="s">
        <v>81</v>
      </c>
      <c r="D3097" t="s">
        <v>3415</v>
      </c>
      <c r="E3097" t="s">
        <v>11</v>
      </c>
      <c r="F3097" t="s">
        <v>3416</v>
      </c>
      <c r="G3097" t="s">
        <v>11</v>
      </c>
      <c r="H3097">
        <v>21</v>
      </c>
    </row>
    <row r="3098" spans="1:8" x14ac:dyDescent="0.35">
      <c r="A3098">
        <v>6164000049545</v>
      </c>
      <c r="B3098" t="s">
        <v>262</v>
      </c>
      <c r="C3098" t="s">
        <v>9</v>
      </c>
      <c r="D3098" t="s">
        <v>3415</v>
      </c>
      <c r="E3098" t="s">
        <v>11</v>
      </c>
      <c r="F3098" t="s">
        <v>3416</v>
      </c>
      <c r="G3098" t="s">
        <v>11</v>
      </c>
      <c r="H3098">
        <v>42</v>
      </c>
    </row>
    <row r="3099" spans="1:8" x14ac:dyDescent="0.35">
      <c r="A3099">
        <v>6164000116308</v>
      </c>
      <c r="B3099" t="s">
        <v>3417</v>
      </c>
      <c r="C3099" t="s">
        <v>9</v>
      </c>
      <c r="D3099" t="s">
        <v>3418</v>
      </c>
      <c r="E3099" t="s">
        <v>11</v>
      </c>
      <c r="F3099" t="s">
        <v>3419</v>
      </c>
      <c r="G3099" t="s">
        <v>11</v>
      </c>
      <c r="H3099">
        <v>1</v>
      </c>
    </row>
    <row r="3100" spans="1:8" x14ac:dyDescent="0.35">
      <c r="A3100">
        <v>6164000116308</v>
      </c>
      <c r="B3100" t="s">
        <v>3417</v>
      </c>
      <c r="C3100" t="s">
        <v>9</v>
      </c>
      <c r="D3100" t="s">
        <v>3418</v>
      </c>
      <c r="E3100" t="s">
        <v>11</v>
      </c>
      <c r="F3100" t="s">
        <v>3419</v>
      </c>
      <c r="G3100" t="s">
        <v>31</v>
      </c>
      <c r="H3100">
        <v>12</v>
      </c>
    </row>
    <row r="3101" spans="1:8" x14ac:dyDescent="0.35">
      <c r="A3101">
        <v>6164000250064</v>
      </c>
      <c r="B3101" t="s">
        <v>8</v>
      </c>
      <c r="C3101" t="s">
        <v>9</v>
      </c>
      <c r="D3101" t="s">
        <v>3420</v>
      </c>
      <c r="E3101" t="s">
        <v>11</v>
      </c>
      <c r="F3101" t="s">
        <v>3421</v>
      </c>
      <c r="G3101" t="s">
        <v>11</v>
      </c>
      <c r="H3101">
        <v>16</v>
      </c>
    </row>
    <row r="3102" spans="1:8" x14ac:dyDescent="0.35">
      <c r="A3102">
        <v>6164000436703</v>
      </c>
      <c r="B3102" t="s">
        <v>485</v>
      </c>
      <c r="C3102" t="s">
        <v>909</v>
      </c>
      <c r="D3102" t="s">
        <v>3422</v>
      </c>
      <c r="E3102" t="s">
        <v>31</v>
      </c>
      <c r="F3102" t="s">
        <v>3423</v>
      </c>
      <c r="G3102" t="s">
        <v>31</v>
      </c>
      <c r="H3102">
        <v>1</v>
      </c>
    </row>
    <row r="3103" spans="1:8" x14ac:dyDescent="0.35">
      <c r="A3103">
        <v>6164000436710</v>
      </c>
      <c r="B3103" t="s">
        <v>485</v>
      </c>
      <c r="C3103" t="s">
        <v>9</v>
      </c>
      <c r="D3103" t="s">
        <v>3422</v>
      </c>
      <c r="E3103" t="s">
        <v>31</v>
      </c>
      <c r="F3103" t="s">
        <v>3423</v>
      </c>
      <c r="G3103" t="s">
        <v>31</v>
      </c>
      <c r="H3103">
        <v>3</v>
      </c>
    </row>
    <row r="3104" spans="1:8" x14ac:dyDescent="0.35">
      <c r="A3104">
        <v>6164000436734</v>
      </c>
      <c r="B3104" t="s">
        <v>1419</v>
      </c>
      <c r="C3104" t="s">
        <v>447</v>
      </c>
      <c r="D3104" t="s">
        <v>3422</v>
      </c>
      <c r="E3104" t="s">
        <v>31</v>
      </c>
      <c r="F3104" t="s">
        <v>3423</v>
      </c>
      <c r="G3104" t="s">
        <v>31</v>
      </c>
      <c r="H3104">
        <v>3</v>
      </c>
    </row>
    <row r="3105" spans="1:8" x14ac:dyDescent="0.35">
      <c r="A3105">
        <v>6164000451201</v>
      </c>
      <c r="B3105" t="s">
        <v>3424</v>
      </c>
      <c r="C3105" t="s">
        <v>66</v>
      </c>
      <c r="D3105" t="s">
        <v>3425</v>
      </c>
      <c r="E3105" t="s">
        <v>41</v>
      </c>
      <c r="F3105" t="s">
        <v>3426</v>
      </c>
      <c r="G3105" t="s">
        <v>41</v>
      </c>
      <c r="H3105">
        <v>446</v>
      </c>
    </row>
    <row r="3106" spans="1:8" x14ac:dyDescent="0.35">
      <c r="A3106">
        <v>6164000472022</v>
      </c>
      <c r="B3106" t="s">
        <v>3427</v>
      </c>
      <c r="C3106" t="s">
        <v>81</v>
      </c>
      <c r="D3106" t="s">
        <v>3428</v>
      </c>
      <c r="E3106" t="s">
        <v>150</v>
      </c>
      <c r="F3106" t="s">
        <v>3429</v>
      </c>
      <c r="G3106" t="s">
        <v>150</v>
      </c>
      <c r="H3106">
        <v>3</v>
      </c>
    </row>
    <row r="3107" spans="1:8" x14ac:dyDescent="0.35">
      <c r="A3107">
        <v>6164000472039</v>
      </c>
      <c r="B3107" t="s">
        <v>3430</v>
      </c>
      <c r="C3107" t="s">
        <v>81</v>
      </c>
      <c r="D3107" t="s">
        <v>3428</v>
      </c>
      <c r="E3107" t="s">
        <v>150</v>
      </c>
      <c r="F3107" t="s">
        <v>3429</v>
      </c>
      <c r="G3107" t="s">
        <v>150</v>
      </c>
      <c r="H3107">
        <v>11</v>
      </c>
    </row>
    <row r="3108" spans="1:8" x14ac:dyDescent="0.35">
      <c r="A3108">
        <v>6164000472077</v>
      </c>
      <c r="B3108" t="s">
        <v>3431</v>
      </c>
      <c r="C3108" t="s">
        <v>9</v>
      </c>
      <c r="D3108" t="s">
        <v>3428</v>
      </c>
      <c r="E3108" t="s">
        <v>150</v>
      </c>
      <c r="F3108" t="s">
        <v>3429</v>
      </c>
      <c r="G3108" t="s">
        <v>150</v>
      </c>
      <c r="H3108">
        <v>2</v>
      </c>
    </row>
    <row r="3109" spans="1:8" x14ac:dyDescent="0.35">
      <c r="A3109">
        <v>6164000472107</v>
      </c>
      <c r="B3109" t="s">
        <v>3432</v>
      </c>
      <c r="C3109" t="s">
        <v>9</v>
      </c>
      <c r="D3109" t="s">
        <v>3428</v>
      </c>
      <c r="E3109" t="s">
        <v>150</v>
      </c>
      <c r="F3109" t="s">
        <v>3429</v>
      </c>
      <c r="G3109" t="s">
        <v>150</v>
      </c>
      <c r="H3109">
        <v>86</v>
      </c>
    </row>
    <row r="3110" spans="1:8" x14ac:dyDescent="0.35">
      <c r="A3110">
        <v>6164000472404</v>
      </c>
      <c r="B3110" t="s">
        <v>3433</v>
      </c>
      <c r="C3110" t="s">
        <v>9</v>
      </c>
      <c r="D3110" t="s">
        <v>3428</v>
      </c>
      <c r="E3110" t="s">
        <v>150</v>
      </c>
      <c r="F3110" t="s">
        <v>3429</v>
      </c>
      <c r="G3110" t="s">
        <v>150</v>
      </c>
      <c r="H3110">
        <v>124</v>
      </c>
    </row>
    <row r="3111" spans="1:8" x14ac:dyDescent="0.35">
      <c r="A3111">
        <v>6164000472411</v>
      </c>
      <c r="B3111" t="s">
        <v>3433</v>
      </c>
      <c r="C3111" t="s">
        <v>9</v>
      </c>
      <c r="D3111" t="s">
        <v>3428</v>
      </c>
      <c r="E3111" t="s">
        <v>150</v>
      </c>
      <c r="F3111" t="s">
        <v>3429</v>
      </c>
      <c r="G3111" t="s">
        <v>150</v>
      </c>
      <c r="H3111">
        <v>20</v>
      </c>
    </row>
    <row r="3112" spans="1:8" x14ac:dyDescent="0.35">
      <c r="A3112">
        <v>6164000472930</v>
      </c>
      <c r="B3112" t="s">
        <v>1151</v>
      </c>
      <c r="C3112" t="s">
        <v>192</v>
      </c>
      <c r="D3112" t="s">
        <v>3434</v>
      </c>
      <c r="E3112" t="s">
        <v>150</v>
      </c>
      <c r="F3112" t="s">
        <v>3429</v>
      </c>
      <c r="G3112" t="s">
        <v>150</v>
      </c>
      <c r="H3112">
        <v>53</v>
      </c>
    </row>
    <row r="3113" spans="1:8" x14ac:dyDescent="0.35">
      <c r="A3113">
        <v>6164000472954</v>
      </c>
      <c r="B3113" t="s">
        <v>3435</v>
      </c>
      <c r="C3113" t="s">
        <v>9</v>
      </c>
      <c r="D3113" t="s">
        <v>3428</v>
      </c>
      <c r="E3113" t="s">
        <v>150</v>
      </c>
      <c r="F3113" t="s">
        <v>3429</v>
      </c>
      <c r="G3113" t="s">
        <v>150</v>
      </c>
      <c r="H3113">
        <v>117</v>
      </c>
    </row>
    <row r="3114" spans="1:8" x14ac:dyDescent="0.35">
      <c r="A3114">
        <v>6164000505287</v>
      </c>
      <c r="B3114" t="s">
        <v>2336</v>
      </c>
      <c r="C3114" t="s">
        <v>272</v>
      </c>
      <c r="D3114" t="s">
        <v>3436</v>
      </c>
      <c r="E3114" t="s">
        <v>150</v>
      </c>
      <c r="F3114" t="s">
        <v>3437</v>
      </c>
      <c r="G3114" t="s">
        <v>150</v>
      </c>
      <c r="H3114">
        <v>16</v>
      </c>
    </row>
    <row r="3115" spans="1:8" x14ac:dyDescent="0.35">
      <c r="A3115">
        <v>6164000505331</v>
      </c>
      <c r="B3115" t="s">
        <v>2336</v>
      </c>
      <c r="C3115" t="s">
        <v>603</v>
      </c>
      <c r="D3115" t="s">
        <v>3436</v>
      </c>
      <c r="E3115" t="s">
        <v>150</v>
      </c>
      <c r="F3115" t="s">
        <v>3437</v>
      </c>
      <c r="G3115" t="s">
        <v>150</v>
      </c>
      <c r="H3115">
        <v>22</v>
      </c>
    </row>
    <row r="3116" spans="1:8" x14ac:dyDescent="0.35">
      <c r="A3116">
        <v>6164000505348</v>
      </c>
      <c r="B3116" t="s">
        <v>3438</v>
      </c>
      <c r="C3116" t="s">
        <v>603</v>
      </c>
      <c r="D3116" t="s">
        <v>3436</v>
      </c>
      <c r="E3116" t="s">
        <v>150</v>
      </c>
      <c r="F3116" t="s">
        <v>3437</v>
      </c>
      <c r="G3116" t="s">
        <v>150</v>
      </c>
      <c r="H3116">
        <v>5</v>
      </c>
    </row>
    <row r="3117" spans="1:8" x14ac:dyDescent="0.35">
      <c r="A3117">
        <v>6164000505379</v>
      </c>
      <c r="B3117" t="s">
        <v>3439</v>
      </c>
      <c r="C3117" t="s">
        <v>272</v>
      </c>
      <c r="D3117" t="s">
        <v>3436</v>
      </c>
      <c r="E3117" t="s">
        <v>150</v>
      </c>
      <c r="F3117" t="s">
        <v>3437</v>
      </c>
      <c r="G3117" t="s">
        <v>150</v>
      </c>
      <c r="H3117">
        <v>20</v>
      </c>
    </row>
    <row r="3118" spans="1:8" x14ac:dyDescent="0.35">
      <c r="A3118">
        <v>6164000552069</v>
      </c>
      <c r="B3118" t="s">
        <v>857</v>
      </c>
      <c r="C3118" t="s">
        <v>272</v>
      </c>
      <c r="D3118" t="s">
        <v>3374</v>
      </c>
      <c r="E3118" t="s">
        <v>11</v>
      </c>
      <c r="F3118" t="s">
        <v>3375</v>
      </c>
      <c r="G3118" t="s">
        <v>11</v>
      </c>
      <c r="H3118">
        <v>1</v>
      </c>
    </row>
    <row r="3119" spans="1:8" x14ac:dyDescent="0.35">
      <c r="A3119">
        <v>6164000552717</v>
      </c>
      <c r="B3119" t="s">
        <v>3440</v>
      </c>
      <c r="C3119" t="s">
        <v>81</v>
      </c>
      <c r="D3119" t="s">
        <v>3374</v>
      </c>
      <c r="E3119" t="s">
        <v>11</v>
      </c>
      <c r="F3119" t="s">
        <v>3375</v>
      </c>
      <c r="G3119" t="s">
        <v>11</v>
      </c>
      <c r="H3119">
        <v>5</v>
      </c>
    </row>
    <row r="3120" spans="1:8" x14ac:dyDescent="0.35">
      <c r="A3120">
        <v>6164000613050</v>
      </c>
      <c r="B3120" t="s">
        <v>3441</v>
      </c>
      <c r="C3120" t="s">
        <v>69</v>
      </c>
      <c r="D3120" t="s">
        <v>3332</v>
      </c>
      <c r="E3120" t="s">
        <v>31</v>
      </c>
      <c r="F3120" t="s">
        <v>3329</v>
      </c>
      <c r="G3120" t="s">
        <v>150</v>
      </c>
      <c r="H3120">
        <v>40</v>
      </c>
    </row>
    <row r="3121" spans="1:8" x14ac:dyDescent="0.35">
      <c r="A3121">
        <v>6164000613401</v>
      </c>
      <c r="B3121" t="s">
        <v>3442</v>
      </c>
      <c r="C3121" t="s">
        <v>3443</v>
      </c>
      <c r="D3121" t="s">
        <v>3328</v>
      </c>
      <c r="E3121" t="s">
        <v>31</v>
      </c>
      <c r="F3121" t="s">
        <v>3329</v>
      </c>
      <c r="G3121" t="s">
        <v>61</v>
      </c>
      <c r="H3121">
        <v>1</v>
      </c>
    </row>
    <row r="3122" spans="1:8" x14ac:dyDescent="0.35">
      <c r="A3122">
        <v>6164000613685</v>
      </c>
      <c r="B3122" t="s">
        <v>3444</v>
      </c>
      <c r="C3122" t="s">
        <v>1175</v>
      </c>
      <c r="D3122" t="s">
        <v>3332</v>
      </c>
      <c r="E3122" t="s">
        <v>31</v>
      </c>
      <c r="F3122" t="s">
        <v>3329</v>
      </c>
      <c r="G3122" t="s">
        <v>150</v>
      </c>
      <c r="H3122">
        <v>28</v>
      </c>
    </row>
    <row r="3123" spans="1:8" x14ac:dyDescent="0.35">
      <c r="A3123">
        <v>6164000613708</v>
      </c>
      <c r="B3123" t="s">
        <v>3332</v>
      </c>
      <c r="C3123" t="s">
        <v>1175</v>
      </c>
      <c r="D3123" t="s">
        <v>3332</v>
      </c>
      <c r="E3123" t="s">
        <v>31</v>
      </c>
      <c r="F3123" t="s">
        <v>3329</v>
      </c>
      <c r="G3123" t="s">
        <v>150</v>
      </c>
      <c r="H3123">
        <v>15</v>
      </c>
    </row>
    <row r="3124" spans="1:8" x14ac:dyDescent="0.35">
      <c r="A3124">
        <v>6164000613845</v>
      </c>
      <c r="B3124" t="s">
        <v>3445</v>
      </c>
      <c r="C3124" t="s">
        <v>69</v>
      </c>
      <c r="D3124" t="s">
        <v>3332</v>
      </c>
      <c r="E3124" t="s">
        <v>31</v>
      </c>
      <c r="F3124" t="s">
        <v>3329</v>
      </c>
      <c r="G3124" t="s">
        <v>150</v>
      </c>
      <c r="H3124">
        <v>6</v>
      </c>
    </row>
    <row r="3125" spans="1:8" x14ac:dyDescent="0.35">
      <c r="A3125">
        <v>6164000624117</v>
      </c>
      <c r="B3125" t="s">
        <v>2271</v>
      </c>
      <c r="C3125" t="s">
        <v>2062</v>
      </c>
      <c r="D3125" t="s">
        <v>3446</v>
      </c>
      <c r="E3125" t="s">
        <v>61</v>
      </c>
      <c r="F3125" t="s">
        <v>3447</v>
      </c>
      <c r="G3125" t="s">
        <v>61</v>
      </c>
      <c r="H3125">
        <v>1</v>
      </c>
    </row>
    <row r="3126" spans="1:8" x14ac:dyDescent="0.35">
      <c r="A3126">
        <v>6164000815706</v>
      </c>
      <c r="B3126" t="s">
        <v>3448</v>
      </c>
      <c r="C3126" t="s">
        <v>43</v>
      </c>
      <c r="D3126" t="s">
        <v>3449</v>
      </c>
      <c r="E3126" t="s">
        <v>61</v>
      </c>
      <c r="F3126" t="s">
        <v>3450</v>
      </c>
      <c r="G3126" t="s">
        <v>61</v>
      </c>
      <c r="H3126">
        <v>26</v>
      </c>
    </row>
    <row r="3127" spans="1:8" x14ac:dyDescent="0.35">
      <c r="A3127">
        <v>6164000817045</v>
      </c>
      <c r="B3127" t="s">
        <v>3451</v>
      </c>
      <c r="C3127" t="s">
        <v>419</v>
      </c>
      <c r="D3127" t="s">
        <v>3452</v>
      </c>
      <c r="E3127" t="s">
        <v>3453</v>
      </c>
      <c r="F3127" t="s">
        <v>3454</v>
      </c>
      <c r="G3127" t="s">
        <v>61</v>
      </c>
      <c r="H3127">
        <v>32</v>
      </c>
    </row>
    <row r="3128" spans="1:8" x14ac:dyDescent="0.35">
      <c r="A3128">
        <v>6164000903014</v>
      </c>
      <c r="B3128" t="s">
        <v>1151</v>
      </c>
      <c r="C3128" t="s">
        <v>192</v>
      </c>
      <c r="D3128" t="s">
        <v>3142</v>
      </c>
      <c r="E3128" t="s">
        <v>31</v>
      </c>
      <c r="F3128" t="s">
        <v>3143</v>
      </c>
      <c r="G3128" t="s">
        <v>31</v>
      </c>
      <c r="H3128">
        <v>149</v>
      </c>
    </row>
    <row r="3129" spans="1:8" x14ac:dyDescent="0.35">
      <c r="A3129">
        <v>6164000903137</v>
      </c>
      <c r="B3129" t="s">
        <v>485</v>
      </c>
      <c r="C3129" t="s">
        <v>1738</v>
      </c>
      <c r="D3129" t="s">
        <v>3142</v>
      </c>
      <c r="E3129" t="s">
        <v>31</v>
      </c>
      <c r="F3129" t="s">
        <v>3143</v>
      </c>
      <c r="G3129" t="s">
        <v>31</v>
      </c>
      <c r="H3129">
        <v>77</v>
      </c>
    </row>
    <row r="3130" spans="1:8" x14ac:dyDescent="0.35">
      <c r="A3130">
        <v>6164000903649</v>
      </c>
      <c r="B3130" t="s">
        <v>3455</v>
      </c>
      <c r="C3130" t="s">
        <v>603</v>
      </c>
      <c r="D3130" t="s">
        <v>3456</v>
      </c>
      <c r="E3130" t="s">
        <v>33</v>
      </c>
      <c r="F3130" t="s">
        <v>3457</v>
      </c>
      <c r="G3130" t="s">
        <v>33</v>
      </c>
      <c r="H3130">
        <v>198</v>
      </c>
    </row>
    <row r="3131" spans="1:8" x14ac:dyDescent="0.35">
      <c r="A3131">
        <v>6164000903694</v>
      </c>
      <c r="B3131" t="s">
        <v>3458</v>
      </c>
      <c r="C3131" t="s">
        <v>38</v>
      </c>
      <c r="D3131" t="s">
        <v>3459</v>
      </c>
      <c r="E3131" t="s">
        <v>31</v>
      </c>
      <c r="F3131" t="s">
        <v>3460</v>
      </c>
      <c r="G3131" t="s">
        <v>31</v>
      </c>
      <c r="H3131">
        <v>6</v>
      </c>
    </row>
    <row r="3132" spans="1:8" x14ac:dyDescent="0.35">
      <c r="A3132">
        <v>6164001011053</v>
      </c>
      <c r="B3132" t="s">
        <v>1304</v>
      </c>
      <c r="C3132" t="s">
        <v>603</v>
      </c>
      <c r="D3132" t="s">
        <v>273</v>
      </c>
      <c r="E3132" t="s">
        <v>15</v>
      </c>
      <c r="F3132" t="s">
        <v>56</v>
      </c>
      <c r="G3132" t="s">
        <v>31</v>
      </c>
      <c r="H3132">
        <v>17</v>
      </c>
    </row>
    <row r="3133" spans="1:8" x14ac:dyDescent="0.35">
      <c r="A3133">
        <v>6164001011183</v>
      </c>
      <c r="B3133" t="s">
        <v>1011</v>
      </c>
      <c r="C3133" t="s">
        <v>78</v>
      </c>
      <c r="D3133" t="s">
        <v>273</v>
      </c>
      <c r="E3133" t="s">
        <v>15</v>
      </c>
      <c r="F3133" t="s">
        <v>56</v>
      </c>
      <c r="G3133" t="s">
        <v>31</v>
      </c>
      <c r="H3133">
        <v>29</v>
      </c>
    </row>
    <row r="3134" spans="1:8" x14ac:dyDescent="0.35">
      <c r="A3134">
        <v>6164001011190</v>
      </c>
      <c r="B3134" t="s">
        <v>3461</v>
      </c>
      <c r="C3134" t="s">
        <v>9</v>
      </c>
      <c r="D3134" t="s">
        <v>283</v>
      </c>
      <c r="E3134" t="s">
        <v>15</v>
      </c>
      <c r="F3134" t="s">
        <v>56</v>
      </c>
      <c r="G3134" t="s">
        <v>150</v>
      </c>
      <c r="H3134">
        <v>7</v>
      </c>
    </row>
    <row r="3135" spans="1:8" x14ac:dyDescent="0.35">
      <c r="A3135">
        <v>6164001011190</v>
      </c>
      <c r="B3135" t="s">
        <v>3461</v>
      </c>
      <c r="C3135" t="s">
        <v>9</v>
      </c>
      <c r="D3135" t="s">
        <v>283</v>
      </c>
      <c r="E3135" t="s">
        <v>15</v>
      </c>
      <c r="F3135" t="s">
        <v>56</v>
      </c>
      <c r="G3135" t="s">
        <v>31</v>
      </c>
      <c r="H3135">
        <v>28</v>
      </c>
    </row>
    <row r="3136" spans="1:8" x14ac:dyDescent="0.35">
      <c r="A3136">
        <v>6164001011206</v>
      </c>
      <c r="B3136" t="s">
        <v>1011</v>
      </c>
      <c r="C3136" t="s">
        <v>78</v>
      </c>
      <c r="D3136" t="s">
        <v>283</v>
      </c>
      <c r="E3136" t="s">
        <v>15</v>
      </c>
      <c r="F3136" t="s">
        <v>56</v>
      </c>
      <c r="G3136" t="s">
        <v>31</v>
      </c>
      <c r="H3136">
        <v>34</v>
      </c>
    </row>
    <row r="3137" spans="1:8" x14ac:dyDescent="0.35">
      <c r="A3137">
        <v>6164001011213</v>
      </c>
      <c r="B3137" t="s">
        <v>3462</v>
      </c>
      <c r="C3137" t="s">
        <v>9</v>
      </c>
      <c r="D3137" t="s">
        <v>1044</v>
      </c>
      <c r="E3137" t="s">
        <v>15</v>
      </c>
      <c r="F3137" t="s">
        <v>56</v>
      </c>
      <c r="G3137" t="s">
        <v>31</v>
      </c>
      <c r="H3137">
        <v>35</v>
      </c>
    </row>
    <row r="3138" spans="1:8" x14ac:dyDescent="0.35">
      <c r="A3138">
        <v>6164001011220</v>
      </c>
      <c r="B3138" t="s">
        <v>3463</v>
      </c>
      <c r="C3138" t="s">
        <v>78</v>
      </c>
      <c r="D3138" t="s">
        <v>1044</v>
      </c>
      <c r="E3138" t="s">
        <v>15</v>
      </c>
      <c r="F3138" t="s">
        <v>56</v>
      </c>
      <c r="G3138" t="s">
        <v>31</v>
      </c>
      <c r="H3138">
        <v>55</v>
      </c>
    </row>
    <row r="3139" spans="1:8" x14ac:dyDescent="0.35">
      <c r="A3139">
        <v>6164001011251</v>
      </c>
      <c r="B3139" t="s">
        <v>3464</v>
      </c>
      <c r="C3139" t="s">
        <v>9</v>
      </c>
      <c r="D3139" t="s">
        <v>1044</v>
      </c>
      <c r="E3139" t="s">
        <v>15</v>
      </c>
      <c r="F3139" t="s">
        <v>56</v>
      </c>
      <c r="G3139" t="s">
        <v>31</v>
      </c>
      <c r="H3139">
        <v>1</v>
      </c>
    </row>
    <row r="3140" spans="1:8" x14ac:dyDescent="0.35">
      <c r="A3140">
        <v>6164001011268</v>
      </c>
      <c r="B3140" t="s">
        <v>3465</v>
      </c>
      <c r="C3140" t="s">
        <v>1397</v>
      </c>
      <c r="D3140" t="s">
        <v>3466</v>
      </c>
      <c r="E3140" t="s">
        <v>15</v>
      </c>
      <c r="F3140" t="s">
        <v>56</v>
      </c>
      <c r="G3140" t="s">
        <v>31</v>
      </c>
      <c r="H3140">
        <v>26</v>
      </c>
    </row>
    <row r="3141" spans="1:8" x14ac:dyDescent="0.35">
      <c r="A3141">
        <v>6164001011305</v>
      </c>
      <c r="B3141" t="s">
        <v>1151</v>
      </c>
      <c r="C3141" t="s">
        <v>9</v>
      </c>
      <c r="D3141" t="s">
        <v>3467</v>
      </c>
      <c r="E3141" t="s">
        <v>15</v>
      </c>
      <c r="F3141" t="s">
        <v>56</v>
      </c>
      <c r="G3141" t="s">
        <v>31</v>
      </c>
      <c r="H3141">
        <v>80</v>
      </c>
    </row>
    <row r="3142" spans="1:8" x14ac:dyDescent="0.35">
      <c r="A3142">
        <v>6164001011350</v>
      </c>
      <c r="B3142" t="s">
        <v>3468</v>
      </c>
      <c r="C3142" t="s">
        <v>9</v>
      </c>
      <c r="D3142" t="s">
        <v>1044</v>
      </c>
      <c r="E3142" t="s">
        <v>15</v>
      </c>
      <c r="F3142" t="s">
        <v>56</v>
      </c>
      <c r="G3142" t="s">
        <v>31</v>
      </c>
      <c r="H3142">
        <v>9</v>
      </c>
    </row>
    <row r="3143" spans="1:8" x14ac:dyDescent="0.35">
      <c r="A3143">
        <v>6164001011367</v>
      </c>
      <c r="B3143" t="s">
        <v>3469</v>
      </c>
      <c r="C3143" t="s">
        <v>78</v>
      </c>
      <c r="D3143" t="s">
        <v>1044</v>
      </c>
      <c r="E3143" t="s">
        <v>15</v>
      </c>
      <c r="F3143" t="s">
        <v>56</v>
      </c>
      <c r="G3143" t="s">
        <v>31</v>
      </c>
      <c r="H3143">
        <v>25</v>
      </c>
    </row>
    <row r="3144" spans="1:8" x14ac:dyDescent="0.35">
      <c r="A3144">
        <v>6164001011398</v>
      </c>
      <c r="B3144" t="s">
        <v>3462</v>
      </c>
      <c r="C3144" t="s">
        <v>9</v>
      </c>
      <c r="D3144" t="s">
        <v>273</v>
      </c>
      <c r="E3144" t="s">
        <v>15</v>
      </c>
      <c r="F3144" t="s">
        <v>56</v>
      </c>
      <c r="G3144" t="s">
        <v>31</v>
      </c>
      <c r="H3144">
        <v>21</v>
      </c>
    </row>
    <row r="3145" spans="1:8" x14ac:dyDescent="0.35">
      <c r="A3145">
        <v>6164001011534</v>
      </c>
      <c r="B3145" t="s">
        <v>273</v>
      </c>
      <c r="C3145" t="s">
        <v>603</v>
      </c>
      <c r="D3145" t="s">
        <v>273</v>
      </c>
      <c r="E3145" t="s">
        <v>15</v>
      </c>
      <c r="F3145" t="s">
        <v>56</v>
      </c>
      <c r="G3145" t="s">
        <v>31</v>
      </c>
      <c r="H3145">
        <v>246</v>
      </c>
    </row>
    <row r="3146" spans="1:8" x14ac:dyDescent="0.35">
      <c r="A3146">
        <v>6164001011541</v>
      </c>
      <c r="B3146" t="s">
        <v>3470</v>
      </c>
      <c r="C3146" t="s">
        <v>603</v>
      </c>
      <c r="D3146" t="s">
        <v>283</v>
      </c>
      <c r="E3146" t="s">
        <v>15</v>
      </c>
      <c r="F3146" t="s">
        <v>56</v>
      </c>
      <c r="G3146" t="s">
        <v>31</v>
      </c>
      <c r="H3146">
        <v>262</v>
      </c>
    </row>
    <row r="3147" spans="1:8" x14ac:dyDescent="0.35">
      <c r="A3147">
        <v>6164001011558</v>
      </c>
      <c r="B3147" t="s">
        <v>1011</v>
      </c>
      <c r="C3147" t="s">
        <v>603</v>
      </c>
      <c r="D3147" t="s">
        <v>1044</v>
      </c>
      <c r="E3147" t="s">
        <v>15</v>
      </c>
      <c r="F3147" t="s">
        <v>56</v>
      </c>
      <c r="G3147" t="s">
        <v>150</v>
      </c>
      <c r="H3147">
        <v>1</v>
      </c>
    </row>
    <row r="3148" spans="1:8" x14ac:dyDescent="0.35">
      <c r="A3148">
        <v>6164001011558</v>
      </c>
      <c r="B3148" t="s">
        <v>1011</v>
      </c>
      <c r="C3148" t="s">
        <v>603</v>
      </c>
      <c r="D3148" t="s">
        <v>1044</v>
      </c>
      <c r="E3148" t="s">
        <v>15</v>
      </c>
      <c r="F3148" t="s">
        <v>56</v>
      </c>
      <c r="G3148" t="s">
        <v>31</v>
      </c>
      <c r="H3148">
        <v>443</v>
      </c>
    </row>
    <row r="3149" spans="1:8" x14ac:dyDescent="0.35">
      <c r="A3149">
        <v>6164001011565</v>
      </c>
      <c r="B3149" t="s">
        <v>3471</v>
      </c>
      <c r="C3149" t="s">
        <v>603</v>
      </c>
      <c r="D3149" t="s">
        <v>1044</v>
      </c>
      <c r="E3149" t="s">
        <v>15</v>
      </c>
      <c r="F3149" t="s">
        <v>56</v>
      </c>
      <c r="G3149" t="s">
        <v>31</v>
      </c>
      <c r="H3149">
        <v>39</v>
      </c>
    </row>
    <row r="3150" spans="1:8" x14ac:dyDescent="0.35">
      <c r="A3150">
        <v>6164001011572</v>
      </c>
      <c r="B3150" t="s">
        <v>3472</v>
      </c>
      <c r="C3150" t="s">
        <v>603</v>
      </c>
      <c r="D3150" t="s">
        <v>1044</v>
      </c>
      <c r="E3150" t="s">
        <v>15</v>
      </c>
      <c r="F3150" t="s">
        <v>56</v>
      </c>
      <c r="G3150" t="s">
        <v>31</v>
      </c>
      <c r="H3150">
        <v>10</v>
      </c>
    </row>
    <row r="3151" spans="1:8" x14ac:dyDescent="0.35">
      <c r="A3151">
        <v>6164001011589</v>
      </c>
      <c r="B3151" t="s">
        <v>3473</v>
      </c>
      <c r="C3151" t="s">
        <v>603</v>
      </c>
      <c r="D3151" t="s">
        <v>1044</v>
      </c>
      <c r="E3151" t="s">
        <v>15</v>
      </c>
      <c r="F3151" t="s">
        <v>56</v>
      </c>
      <c r="G3151" t="s">
        <v>31</v>
      </c>
      <c r="H3151">
        <v>154</v>
      </c>
    </row>
    <row r="3152" spans="1:8" x14ac:dyDescent="0.35">
      <c r="A3152">
        <v>6164001011626</v>
      </c>
      <c r="B3152" t="s">
        <v>3474</v>
      </c>
      <c r="C3152" t="s">
        <v>603</v>
      </c>
      <c r="D3152" t="s">
        <v>273</v>
      </c>
      <c r="E3152" t="s">
        <v>15</v>
      </c>
      <c r="F3152" t="s">
        <v>56</v>
      </c>
      <c r="G3152" t="s">
        <v>31</v>
      </c>
      <c r="H3152">
        <v>1</v>
      </c>
    </row>
    <row r="3153" spans="1:8" x14ac:dyDescent="0.35">
      <c r="A3153">
        <v>6164001011633</v>
      </c>
      <c r="B3153" t="s">
        <v>295</v>
      </c>
      <c r="C3153" t="s">
        <v>1199</v>
      </c>
      <c r="D3153" t="s">
        <v>3475</v>
      </c>
      <c r="E3153" t="s">
        <v>15</v>
      </c>
      <c r="F3153" t="s">
        <v>56</v>
      </c>
      <c r="G3153" t="s">
        <v>31</v>
      </c>
      <c r="H3153">
        <v>83</v>
      </c>
    </row>
    <row r="3154" spans="1:8" x14ac:dyDescent="0.35">
      <c r="A3154">
        <v>6164001199010</v>
      </c>
      <c r="B3154" t="s">
        <v>3476</v>
      </c>
      <c r="C3154" t="s">
        <v>81</v>
      </c>
      <c r="D3154" t="s">
        <v>3477</v>
      </c>
      <c r="E3154" t="s">
        <v>11</v>
      </c>
      <c r="F3154" t="s">
        <v>3478</v>
      </c>
      <c r="G3154" t="s">
        <v>11</v>
      </c>
      <c r="H3154">
        <v>49</v>
      </c>
    </row>
    <row r="3155" spans="1:8" x14ac:dyDescent="0.35">
      <c r="A3155">
        <v>6164001199034</v>
      </c>
      <c r="B3155" t="s">
        <v>834</v>
      </c>
      <c r="C3155" t="s">
        <v>9</v>
      </c>
      <c r="D3155" t="s">
        <v>3477</v>
      </c>
      <c r="E3155" t="s">
        <v>11</v>
      </c>
      <c r="F3155" t="s">
        <v>3478</v>
      </c>
      <c r="G3155" t="s">
        <v>11</v>
      </c>
      <c r="H3155">
        <v>298</v>
      </c>
    </row>
    <row r="3156" spans="1:8" x14ac:dyDescent="0.35">
      <c r="A3156">
        <v>6164001199331</v>
      </c>
      <c r="B3156" t="s">
        <v>201</v>
      </c>
      <c r="C3156" t="s">
        <v>38</v>
      </c>
      <c r="D3156" t="s">
        <v>2081</v>
      </c>
      <c r="E3156" t="s">
        <v>816</v>
      </c>
      <c r="F3156" t="s">
        <v>817</v>
      </c>
      <c r="G3156" t="s">
        <v>11</v>
      </c>
      <c r="H3156">
        <v>98</v>
      </c>
    </row>
    <row r="3157" spans="1:8" x14ac:dyDescent="0.35">
      <c r="A3157">
        <v>6164001280336</v>
      </c>
      <c r="B3157" t="s">
        <v>3479</v>
      </c>
      <c r="C3157" t="s">
        <v>36</v>
      </c>
      <c r="D3157" t="s">
        <v>3480</v>
      </c>
      <c r="E3157" t="s">
        <v>31</v>
      </c>
      <c r="F3157" t="s">
        <v>3481</v>
      </c>
      <c r="G3157" t="s">
        <v>31</v>
      </c>
      <c r="H3157">
        <v>38</v>
      </c>
    </row>
    <row r="3158" spans="1:8" x14ac:dyDescent="0.35">
      <c r="A3158">
        <v>6164001315182</v>
      </c>
      <c r="B3158" t="s">
        <v>626</v>
      </c>
      <c r="C3158" t="s">
        <v>9</v>
      </c>
      <c r="D3158" t="s">
        <v>3482</v>
      </c>
      <c r="E3158" t="s">
        <v>308</v>
      </c>
      <c r="F3158" t="s">
        <v>309</v>
      </c>
      <c r="G3158" t="s">
        <v>11</v>
      </c>
      <c r="H3158">
        <v>49</v>
      </c>
    </row>
    <row r="3159" spans="1:8" x14ac:dyDescent="0.35">
      <c r="A3159">
        <v>6164001315243</v>
      </c>
      <c r="B3159" t="s">
        <v>3483</v>
      </c>
      <c r="C3159" t="s">
        <v>9</v>
      </c>
      <c r="D3159" t="s">
        <v>3482</v>
      </c>
      <c r="E3159" t="s">
        <v>308</v>
      </c>
      <c r="F3159" t="s">
        <v>309</v>
      </c>
      <c r="G3159" t="s">
        <v>11</v>
      </c>
      <c r="H3159">
        <v>23</v>
      </c>
    </row>
    <row r="3160" spans="1:8" x14ac:dyDescent="0.35">
      <c r="A3160">
        <v>6164001384072</v>
      </c>
      <c r="B3160" t="s">
        <v>3284</v>
      </c>
      <c r="C3160" t="s">
        <v>9</v>
      </c>
      <c r="D3160" t="s">
        <v>3484</v>
      </c>
      <c r="E3160" t="s">
        <v>31</v>
      </c>
      <c r="F3160" t="s">
        <v>3484</v>
      </c>
      <c r="G3160" t="s">
        <v>31</v>
      </c>
      <c r="H3160">
        <v>14</v>
      </c>
    </row>
    <row r="3161" spans="1:8" x14ac:dyDescent="0.35">
      <c r="A3161">
        <v>6164001496072</v>
      </c>
      <c r="B3161" t="s">
        <v>942</v>
      </c>
      <c r="C3161" t="s">
        <v>801</v>
      </c>
      <c r="D3161" t="s">
        <v>3477</v>
      </c>
      <c r="E3161" t="s">
        <v>11</v>
      </c>
      <c r="F3161" t="s">
        <v>3478</v>
      </c>
      <c r="G3161" t="s">
        <v>11</v>
      </c>
      <c r="H3161">
        <v>4</v>
      </c>
    </row>
    <row r="3162" spans="1:8" x14ac:dyDescent="0.35">
      <c r="A3162">
        <v>6164001496072</v>
      </c>
      <c r="B3162" t="s">
        <v>942</v>
      </c>
      <c r="C3162" t="s">
        <v>801</v>
      </c>
      <c r="D3162" t="s">
        <v>3477</v>
      </c>
      <c r="E3162" t="s">
        <v>11</v>
      </c>
      <c r="F3162" t="s">
        <v>3478</v>
      </c>
      <c r="G3162" t="s">
        <v>150</v>
      </c>
      <c r="H3162">
        <v>41</v>
      </c>
    </row>
    <row r="3163" spans="1:8" x14ac:dyDescent="0.35">
      <c r="A3163">
        <v>6164001514004</v>
      </c>
      <c r="B3163" t="s">
        <v>262</v>
      </c>
      <c r="C3163" t="s">
        <v>9</v>
      </c>
      <c r="D3163" t="s">
        <v>3485</v>
      </c>
      <c r="E3163" t="s">
        <v>61</v>
      </c>
      <c r="F3163" t="s">
        <v>3486</v>
      </c>
      <c r="G3163" t="s">
        <v>11</v>
      </c>
      <c r="H3163">
        <v>77</v>
      </c>
    </row>
    <row r="3164" spans="1:8" x14ac:dyDescent="0.35">
      <c r="A3164">
        <v>61640016</v>
      </c>
      <c r="B3164" t="s">
        <v>626</v>
      </c>
      <c r="C3164" t="s">
        <v>758</v>
      </c>
      <c r="D3164" t="s">
        <v>3487</v>
      </c>
      <c r="E3164" t="s">
        <v>11</v>
      </c>
      <c r="F3164" t="s">
        <v>3488</v>
      </c>
      <c r="G3164" t="s">
        <v>11</v>
      </c>
      <c r="H3164">
        <v>4</v>
      </c>
    </row>
    <row r="3165" spans="1:8" x14ac:dyDescent="0.35">
      <c r="A3165">
        <v>6164001638021</v>
      </c>
      <c r="B3165" t="s">
        <v>3489</v>
      </c>
      <c r="C3165" t="s">
        <v>472</v>
      </c>
      <c r="D3165" t="s">
        <v>3490</v>
      </c>
      <c r="E3165" t="s">
        <v>31</v>
      </c>
      <c r="F3165" t="s">
        <v>3490</v>
      </c>
      <c r="G3165" t="s">
        <v>31</v>
      </c>
      <c r="H3165">
        <v>2</v>
      </c>
    </row>
    <row r="3166" spans="1:8" x14ac:dyDescent="0.35">
      <c r="A3166">
        <v>6164001638038</v>
      </c>
      <c r="B3166" t="s">
        <v>3491</v>
      </c>
      <c r="C3166" t="s">
        <v>1341</v>
      </c>
      <c r="D3166" t="s">
        <v>3490</v>
      </c>
      <c r="E3166" t="s">
        <v>31</v>
      </c>
      <c r="F3166" t="s">
        <v>3490</v>
      </c>
      <c r="G3166" t="s">
        <v>31</v>
      </c>
      <c r="H3166">
        <v>26</v>
      </c>
    </row>
    <row r="3167" spans="1:8" x14ac:dyDescent="0.35">
      <c r="A3167">
        <v>6164001638052</v>
      </c>
      <c r="B3167" t="s">
        <v>139</v>
      </c>
      <c r="C3167" t="s">
        <v>472</v>
      </c>
      <c r="D3167" t="s">
        <v>3490</v>
      </c>
      <c r="E3167" t="s">
        <v>31</v>
      </c>
      <c r="F3167" t="s">
        <v>3490</v>
      </c>
      <c r="G3167" t="s">
        <v>31</v>
      </c>
      <c r="H3167">
        <v>6</v>
      </c>
    </row>
    <row r="3168" spans="1:8" x14ac:dyDescent="0.35">
      <c r="A3168">
        <v>6164001665331</v>
      </c>
      <c r="B3168" t="s">
        <v>3492</v>
      </c>
      <c r="C3168" t="s">
        <v>9</v>
      </c>
      <c r="D3168" t="s">
        <v>3493</v>
      </c>
      <c r="E3168" t="s">
        <v>11</v>
      </c>
      <c r="F3168" t="s">
        <v>3494</v>
      </c>
      <c r="G3168" t="s">
        <v>31</v>
      </c>
      <c r="H3168">
        <v>13</v>
      </c>
    </row>
    <row r="3169" spans="1:8" x14ac:dyDescent="0.35">
      <c r="A3169">
        <v>6164001689016</v>
      </c>
      <c r="B3169" t="s">
        <v>262</v>
      </c>
      <c r="C3169" t="s">
        <v>9</v>
      </c>
      <c r="D3169" t="s">
        <v>3495</v>
      </c>
      <c r="E3169" t="s">
        <v>11</v>
      </c>
      <c r="F3169" t="s">
        <v>3496</v>
      </c>
      <c r="G3169" t="s">
        <v>11</v>
      </c>
      <c r="H3169">
        <v>59</v>
      </c>
    </row>
    <row r="3170" spans="1:8" x14ac:dyDescent="0.35">
      <c r="A3170">
        <v>6164001689023</v>
      </c>
      <c r="B3170" t="s">
        <v>3284</v>
      </c>
      <c r="C3170" t="s">
        <v>81</v>
      </c>
      <c r="D3170" t="s">
        <v>3495</v>
      </c>
      <c r="E3170" t="s">
        <v>11</v>
      </c>
      <c r="F3170" t="s">
        <v>3496</v>
      </c>
      <c r="G3170" t="s">
        <v>11</v>
      </c>
      <c r="H3170">
        <v>32</v>
      </c>
    </row>
    <row r="3171" spans="1:8" x14ac:dyDescent="0.35">
      <c r="A3171">
        <v>6164001861764</v>
      </c>
      <c r="B3171" t="s">
        <v>406</v>
      </c>
      <c r="C3171" t="s">
        <v>385</v>
      </c>
      <c r="D3171" t="s">
        <v>3487</v>
      </c>
      <c r="E3171" t="s">
        <v>11</v>
      </c>
      <c r="F3171" t="s">
        <v>3488</v>
      </c>
      <c r="G3171" t="s">
        <v>11</v>
      </c>
      <c r="H3171">
        <v>7</v>
      </c>
    </row>
    <row r="3172" spans="1:8" x14ac:dyDescent="0.35">
      <c r="A3172">
        <v>6164001868008</v>
      </c>
      <c r="B3172" t="s">
        <v>406</v>
      </c>
      <c r="C3172" t="s">
        <v>758</v>
      </c>
      <c r="D3172" t="s">
        <v>3487</v>
      </c>
      <c r="E3172" t="s">
        <v>11</v>
      </c>
      <c r="F3172" t="s">
        <v>3488</v>
      </c>
      <c r="G3172" t="s">
        <v>11</v>
      </c>
      <c r="H3172">
        <v>3</v>
      </c>
    </row>
    <row r="3173" spans="1:8" x14ac:dyDescent="0.35">
      <c r="A3173">
        <v>6164001868121</v>
      </c>
      <c r="B3173" t="s">
        <v>406</v>
      </c>
      <c r="C3173" t="s">
        <v>272</v>
      </c>
      <c r="D3173" t="s">
        <v>3487</v>
      </c>
      <c r="E3173" t="s">
        <v>11</v>
      </c>
      <c r="F3173" t="s">
        <v>3488</v>
      </c>
      <c r="G3173" t="s">
        <v>11</v>
      </c>
      <c r="H3173">
        <v>1</v>
      </c>
    </row>
    <row r="3174" spans="1:8" x14ac:dyDescent="0.35">
      <c r="A3174">
        <v>6164001868145</v>
      </c>
      <c r="B3174" t="s">
        <v>406</v>
      </c>
      <c r="C3174" t="s">
        <v>9</v>
      </c>
      <c r="D3174" t="s">
        <v>3487</v>
      </c>
      <c r="E3174" t="s">
        <v>11</v>
      </c>
      <c r="F3174" t="s">
        <v>3488</v>
      </c>
      <c r="G3174" t="s">
        <v>11</v>
      </c>
      <c r="H3174">
        <v>10</v>
      </c>
    </row>
    <row r="3175" spans="1:8" x14ac:dyDescent="0.35">
      <c r="A3175">
        <v>6164001871121</v>
      </c>
      <c r="B3175" t="s">
        <v>8</v>
      </c>
      <c r="C3175" t="s">
        <v>9</v>
      </c>
      <c r="D3175" t="s">
        <v>3497</v>
      </c>
      <c r="E3175" t="s">
        <v>11</v>
      </c>
      <c r="F3175" t="s">
        <v>3498</v>
      </c>
      <c r="G3175" t="s">
        <v>11</v>
      </c>
      <c r="H3175">
        <v>18</v>
      </c>
    </row>
    <row r="3176" spans="1:8" x14ac:dyDescent="0.35">
      <c r="A3176">
        <v>6164001871145</v>
      </c>
      <c r="B3176" t="s">
        <v>8</v>
      </c>
      <c r="C3176" t="s">
        <v>3499</v>
      </c>
      <c r="D3176" t="s">
        <v>3497</v>
      </c>
      <c r="E3176" t="s">
        <v>11</v>
      </c>
      <c r="F3176" t="s">
        <v>3498</v>
      </c>
      <c r="G3176" t="s">
        <v>11</v>
      </c>
      <c r="H3176">
        <v>5</v>
      </c>
    </row>
    <row r="3177" spans="1:8" x14ac:dyDescent="0.35">
      <c r="A3177">
        <v>6164002049000</v>
      </c>
      <c r="B3177" t="s">
        <v>3500</v>
      </c>
      <c r="C3177" t="s">
        <v>9</v>
      </c>
      <c r="D3177" t="s">
        <v>852</v>
      </c>
      <c r="E3177" t="s">
        <v>308</v>
      </c>
      <c r="F3177" t="s">
        <v>309</v>
      </c>
      <c r="G3177" t="s">
        <v>11</v>
      </c>
      <c r="H3177">
        <v>1</v>
      </c>
    </row>
    <row r="3178" spans="1:8" x14ac:dyDescent="0.35">
      <c r="A3178">
        <v>6164002081017</v>
      </c>
      <c r="B3178" t="s">
        <v>834</v>
      </c>
      <c r="C3178" t="s">
        <v>9</v>
      </c>
      <c r="D3178" t="s">
        <v>3501</v>
      </c>
      <c r="E3178" t="s">
        <v>308</v>
      </c>
      <c r="F3178" t="s">
        <v>309</v>
      </c>
      <c r="G3178" t="s">
        <v>11</v>
      </c>
      <c r="H3178">
        <v>1</v>
      </c>
    </row>
    <row r="3179" spans="1:8" x14ac:dyDescent="0.35">
      <c r="A3179">
        <v>6164002081017</v>
      </c>
      <c r="B3179" t="s">
        <v>834</v>
      </c>
      <c r="C3179" t="s">
        <v>9</v>
      </c>
      <c r="D3179" t="s">
        <v>3501</v>
      </c>
      <c r="E3179" t="s">
        <v>308</v>
      </c>
      <c r="F3179" t="s">
        <v>309</v>
      </c>
      <c r="G3179" t="s">
        <v>34</v>
      </c>
      <c r="H3179">
        <v>5</v>
      </c>
    </row>
    <row r="3180" spans="1:8" x14ac:dyDescent="0.35">
      <c r="A3180">
        <v>6164002081017</v>
      </c>
      <c r="B3180" t="s">
        <v>834</v>
      </c>
      <c r="C3180" t="s">
        <v>9</v>
      </c>
      <c r="D3180" t="s">
        <v>3501</v>
      </c>
      <c r="E3180" t="s">
        <v>308</v>
      </c>
      <c r="F3180" t="s">
        <v>309</v>
      </c>
      <c r="G3180" t="s">
        <v>31</v>
      </c>
      <c r="H3180">
        <v>1</v>
      </c>
    </row>
    <row r="3181" spans="1:8" x14ac:dyDescent="0.35">
      <c r="A3181">
        <v>6164002088016</v>
      </c>
      <c r="B3181" t="s">
        <v>262</v>
      </c>
      <c r="C3181" t="s">
        <v>9</v>
      </c>
      <c r="D3181" t="s">
        <v>3502</v>
      </c>
      <c r="E3181" t="s">
        <v>11</v>
      </c>
      <c r="F3181" t="s">
        <v>3503</v>
      </c>
      <c r="G3181" t="s">
        <v>11</v>
      </c>
      <c r="H3181">
        <v>60</v>
      </c>
    </row>
    <row r="3182" spans="1:8" x14ac:dyDescent="0.35">
      <c r="A3182">
        <v>6164002099012</v>
      </c>
      <c r="B3182" t="s">
        <v>942</v>
      </c>
      <c r="C3182" t="s">
        <v>9</v>
      </c>
      <c r="D3182" t="s">
        <v>3297</v>
      </c>
      <c r="E3182" t="s">
        <v>61</v>
      </c>
      <c r="F3182" t="s">
        <v>85</v>
      </c>
      <c r="G3182" t="s">
        <v>11</v>
      </c>
      <c r="H3182">
        <v>9</v>
      </c>
    </row>
    <row r="3183" spans="1:8" x14ac:dyDescent="0.35">
      <c r="A3183">
        <v>6164002440005</v>
      </c>
      <c r="B3183" t="s">
        <v>3504</v>
      </c>
      <c r="C3183" t="s">
        <v>9</v>
      </c>
      <c r="D3183" t="s">
        <v>3505</v>
      </c>
      <c r="E3183" t="s">
        <v>308</v>
      </c>
      <c r="F3183" t="s">
        <v>309</v>
      </c>
      <c r="G3183" t="s">
        <v>11</v>
      </c>
      <c r="H3183">
        <v>2</v>
      </c>
    </row>
    <row r="3184" spans="1:8" x14ac:dyDescent="0.35">
      <c r="A3184">
        <v>6164002465008</v>
      </c>
      <c r="B3184" t="s">
        <v>262</v>
      </c>
      <c r="C3184" t="s">
        <v>9</v>
      </c>
      <c r="D3184" t="s">
        <v>927</v>
      </c>
      <c r="E3184" t="s">
        <v>11</v>
      </c>
      <c r="F3184" t="s">
        <v>928</v>
      </c>
      <c r="G3184" t="s">
        <v>11</v>
      </c>
      <c r="H3184">
        <v>50</v>
      </c>
    </row>
    <row r="3185" spans="1:8" x14ac:dyDescent="0.35">
      <c r="A3185">
        <v>6164002465015</v>
      </c>
      <c r="B3185" t="s">
        <v>262</v>
      </c>
      <c r="C3185" t="s">
        <v>81</v>
      </c>
      <c r="D3185" t="s">
        <v>927</v>
      </c>
      <c r="E3185" t="s">
        <v>11</v>
      </c>
      <c r="F3185" t="s">
        <v>928</v>
      </c>
      <c r="G3185" t="s">
        <v>11</v>
      </c>
      <c r="H3185">
        <v>29</v>
      </c>
    </row>
    <row r="3186" spans="1:8" x14ac:dyDescent="0.35">
      <c r="A3186">
        <v>6164002465053</v>
      </c>
      <c r="B3186" t="s">
        <v>852</v>
      </c>
      <c r="C3186" t="s">
        <v>909</v>
      </c>
      <c r="D3186" t="s">
        <v>927</v>
      </c>
      <c r="E3186" t="s">
        <v>11</v>
      </c>
      <c r="F3186" t="s">
        <v>928</v>
      </c>
      <c r="G3186" t="s">
        <v>11</v>
      </c>
      <c r="H3186">
        <v>2</v>
      </c>
    </row>
    <row r="3187" spans="1:8" x14ac:dyDescent="0.35">
      <c r="A3187">
        <v>6164002583054</v>
      </c>
      <c r="B3187" t="s">
        <v>3314</v>
      </c>
      <c r="C3187" t="s">
        <v>36</v>
      </c>
      <c r="D3187" t="s">
        <v>3506</v>
      </c>
      <c r="E3187" t="s">
        <v>150</v>
      </c>
      <c r="F3187" t="s">
        <v>3507</v>
      </c>
      <c r="G3187" t="s">
        <v>150</v>
      </c>
      <c r="H3187">
        <v>13</v>
      </c>
    </row>
    <row r="3188" spans="1:8" x14ac:dyDescent="0.35">
      <c r="A3188">
        <v>6164002583108</v>
      </c>
      <c r="B3188" t="s">
        <v>3508</v>
      </c>
      <c r="C3188" t="s">
        <v>9</v>
      </c>
      <c r="D3188" t="s">
        <v>3506</v>
      </c>
      <c r="E3188" t="s">
        <v>150</v>
      </c>
      <c r="F3188" t="s">
        <v>3507</v>
      </c>
      <c r="G3188" t="s">
        <v>150</v>
      </c>
      <c r="H3188">
        <v>78</v>
      </c>
    </row>
    <row r="3189" spans="1:8" x14ac:dyDescent="0.35">
      <c r="A3189">
        <v>6164002583115</v>
      </c>
      <c r="B3189" t="s">
        <v>857</v>
      </c>
      <c r="C3189" t="s">
        <v>9</v>
      </c>
      <c r="D3189" t="s">
        <v>3506</v>
      </c>
      <c r="E3189" t="s">
        <v>150</v>
      </c>
      <c r="F3189" t="s">
        <v>3507</v>
      </c>
      <c r="G3189" t="s">
        <v>150</v>
      </c>
      <c r="H3189">
        <v>35</v>
      </c>
    </row>
    <row r="3190" spans="1:8" x14ac:dyDescent="0.35">
      <c r="A3190">
        <v>6164002583191</v>
      </c>
      <c r="B3190" t="s">
        <v>3509</v>
      </c>
      <c r="C3190" t="s">
        <v>2481</v>
      </c>
      <c r="D3190" t="s">
        <v>3506</v>
      </c>
      <c r="E3190" t="s">
        <v>150</v>
      </c>
      <c r="F3190" t="s">
        <v>3507</v>
      </c>
      <c r="G3190" t="s">
        <v>150</v>
      </c>
      <c r="H3190">
        <v>1</v>
      </c>
    </row>
    <row r="3191" spans="1:8" x14ac:dyDescent="0.35">
      <c r="A3191">
        <v>6164002583207</v>
      </c>
      <c r="B3191" t="s">
        <v>3510</v>
      </c>
      <c r="C3191" t="s">
        <v>2481</v>
      </c>
      <c r="D3191" t="s">
        <v>3506</v>
      </c>
      <c r="E3191" t="s">
        <v>150</v>
      </c>
      <c r="F3191" t="s">
        <v>3507</v>
      </c>
      <c r="G3191" t="s">
        <v>150</v>
      </c>
      <c r="H3191">
        <v>5</v>
      </c>
    </row>
    <row r="3192" spans="1:8" x14ac:dyDescent="0.35">
      <c r="A3192">
        <v>6164002614017</v>
      </c>
      <c r="B3192" t="s">
        <v>544</v>
      </c>
      <c r="C3192" t="s">
        <v>3511</v>
      </c>
      <c r="D3192" t="s">
        <v>3512</v>
      </c>
      <c r="E3192" t="s">
        <v>61</v>
      </c>
      <c r="F3192" t="s">
        <v>3513</v>
      </c>
      <c r="G3192" t="s">
        <v>11</v>
      </c>
      <c r="H3192">
        <v>5</v>
      </c>
    </row>
    <row r="3193" spans="1:8" x14ac:dyDescent="0.35">
      <c r="A3193">
        <v>6164002614024</v>
      </c>
      <c r="B3193" t="s">
        <v>544</v>
      </c>
      <c r="C3193" t="s">
        <v>9</v>
      </c>
      <c r="D3193" t="s">
        <v>3512</v>
      </c>
      <c r="E3193" t="s">
        <v>61</v>
      </c>
      <c r="F3193" t="s">
        <v>3513</v>
      </c>
      <c r="G3193" t="s">
        <v>11</v>
      </c>
      <c r="H3193">
        <v>14</v>
      </c>
    </row>
    <row r="3194" spans="1:8" x14ac:dyDescent="0.35">
      <c r="A3194">
        <v>6164002650152</v>
      </c>
      <c r="B3194" t="s">
        <v>262</v>
      </c>
      <c r="C3194" t="s">
        <v>1573</v>
      </c>
      <c r="D3194" t="s">
        <v>927</v>
      </c>
      <c r="E3194" t="s">
        <v>11</v>
      </c>
      <c r="F3194" t="s">
        <v>928</v>
      </c>
      <c r="G3194" t="s">
        <v>11</v>
      </c>
      <c r="H3194">
        <v>1</v>
      </c>
    </row>
    <row r="3195" spans="1:8" x14ac:dyDescent="0.35">
      <c r="A3195">
        <v>6164002669024</v>
      </c>
      <c r="B3195" t="s">
        <v>3514</v>
      </c>
      <c r="C3195" t="s">
        <v>272</v>
      </c>
      <c r="D3195" t="s">
        <v>3515</v>
      </c>
      <c r="E3195" t="s">
        <v>150</v>
      </c>
      <c r="F3195" t="s">
        <v>3516</v>
      </c>
      <c r="G3195" t="s">
        <v>150</v>
      </c>
      <c r="H3195">
        <v>60</v>
      </c>
    </row>
    <row r="3196" spans="1:8" x14ac:dyDescent="0.35">
      <c r="A3196">
        <v>6164002669031</v>
      </c>
      <c r="B3196" t="s">
        <v>3517</v>
      </c>
      <c r="C3196" t="s">
        <v>9</v>
      </c>
      <c r="D3196" t="s">
        <v>3515</v>
      </c>
      <c r="E3196" t="s">
        <v>150</v>
      </c>
      <c r="F3196" t="s">
        <v>3516</v>
      </c>
      <c r="G3196" t="s">
        <v>150</v>
      </c>
      <c r="H3196">
        <v>7</v>
      </c>
    </row>
    <row r="3197" spans="1:8" x14ac:dyDescent="0.35">
      <c r="A3197">
        <v>6164002669062</v>
      </c>
      <c r="B3197" t="s">
        <v>3518</v>
      </c>
      <c r="C3197" t="s">
        <v>9</v>
      </c>
      <c r="D3197" t="s">
        <v>3515</v>
      </c>
      <c r="E3197" t="s">
        <v>150</v>
      </c>
      <c r="F3197" t="s">
        <v>3516</v>
      </c>
      <c r="G3197" t="s">
        <v>150</v>
      </c>
      <c r="H3197">
        <v>10</v>
      </c>
    </row>
    <row r="3198" spans="1:8" x14ac:dyDescent="0.35">
      <c r="A3198">
        <v>6164002669178</v>
      </c>
      <c r="B3198" t="s">
        <v>3519</v>
      </c>
      <c r="C3198" t="s">
        <v>43</v>
      </c>
      <c r="D3198" t="s">
        <v>3515</v>
      </c>
      <c r="E3198" t="s">
        <v>150</v>
      </c>
      <c r="F3198" t="s">
        <v>3516</v>
      </c>
      <c r="G3198" t="s">
        <v>150</v>
      </c>
      <c r="H3198">
        <v>5</v>
      </c>
    </row>
    <row r="3199" spans="1:8" x14ac:dyDescent="0.35">
      <c r="A3199">
        <v>6164002669222</v>
      </c>
      <c r="B3199" t="s">
        <v>1122</v>
      </c>
      <c r="C3199" t="s">
        <v>36</v>
      </c>
      <c r="D3199" t="s">
        <v>3515</v>
      </c>
      <c r="E3199" t="s">
        <v>150</v>
      </c>
      <c r="F3199" t="s">
        <v>3516</v>
      </c>
      <c r="G3199" t="s">
        <v>150</v>
      </c>
      <c r="H3199">
        <v>28</v>
      </c>
    </row>
    <row r="3200" spans="1:8" x14ac:dyDescent="0.35">
      <c r="A3200">
        <v>6164002881020</v>
      </c>
      <c r="B3200" t="s">
        <v>834</v>
      </c>
      <c r="C3200" t="s">
        <v>9</v>
      </c>
      <c r="D3200" t="s">
        <v>3520</v>
      </c>
      <c r="E3200" t="s">
        <v>11</v>
      </c>
      <c r="F3200" t="s">
        <v>3521</v>
      </c>
      <c r="G3200" t="s">
        <v>11</v>
      </c>
      <c r="H3200">
        <v>55</v>
      </c>
    </row>
    <row r="3201" spans="1:8" x14ac:dyDescent="0.35">
      <c r="A3201">
        <v>6164002881044</v>
      </c>
      <c r="B3201" t="s">
        <v>834</v>
      </c>
      <c r="C3201" t="s">
        <v>825</v>
      </c>
      <c r="D3201" t="s">
        <v>3520</v>
      </c>
      <c r="E3201" t="s">
        <v>11</v>
      </c>
      <c r="F3201" t="s">
        <v>3521</v>
      </c>
      <c r="G3201" t="s">
        <v>117</v>
      </c>
      <c r="H3201">
        <v>2</v>
      </c>
    </row>
    <row r="3202" spans="1:8" x14ac:dyDescent="0.35">
      <c r="A3202">
        <v>6164002881044</v>
      </c>
      <c r="B3202" t="s">
        <v>834</v>
      </c>
      <c r="C3202" t="s">
        <v>825</v>
      </c>
      <c r="D3202" t="s">
        <v>3520</v>
      </c>
      <c r="E3202" t="s">
        <v>11</v>
      </c>
      <c r="F3202" t="s">
        <v>3521</v>
      </c>
      <c r="G3202" t="s">
        <v>11</v>
      </c>
      <c r="H3202">
        <v>17</v>
      </c>
    </row>
    <row r="3203" spans="1:8" x14ac:dyDescent="0.35">
      <c r="A3203">
        <v>6164003104012</v>
      </c>
      <c r="B3203" t="s">
        <v>857</v>
      </c>
      <c r="C3203" t="s">
        <v>758</v>
      </c>
      <c r="D3203" t="s">
        <v>3522</v>
      </c>
      <c r="E3203" t="s">
        <v>11</v>
      </c>
      <c r="F3203" t="s">
        <v>3523</v>
      </c>
      <c r="G3203" t="s">
        <v>11</v>
      </c>
      <c r="H3203">
        <v>5</v>
      </c>
    </row>
    <row r="3204" spans="1:8" x14ac:dyDescent="0.35">
      <c r="A3204">
        <v>6164003104029</v>
      </c>
      <c r="B3204" t="s">
        <v>897</v>
      </c>
      <c r="C3204" t="s">
        <v>758</v>
      </c>
      <c r="D3204" t="s">
        <v>3522</v>
      </c>
      <c r="E3204" t="s">
        <v>11</v>
      </c>
      <c r="F3204" t="s">
        <v>3523</v>
      </c>
      <c r="G3204" t="s">
        <v>11</v>
      </c>
      <c r="H3204">
        <v>5</v>
      </c>
    </row>
    <row r="3205" spans="1:8" x14ac:dyDescent="0.35">
      <c r="A3205">
        <v>6164003255165</v>
      </c>
      <c r="B3205" t="s">
        <v>3524</v>
      </c>
      <c r="C3205" t="s">
        <v>9</v>
      </c>
      <c r="D3205" t="s">
        <v>852</v>
      </c>
      <c r="E3205" t="s">
        <v>308</v>
      </c>
      <c r="F3205" t="s">
        <v>309</v>
      </c>
      <c r="G3205" t="s">
        <v>11</v>
      </c>
      <c r="H3205">
        <v>1</v>
      </c>
    </row>
    <row r="3206" spans="1:8" x14ac:dyDescent="0.35">
      <c r="A3206">
        <v>6164003477390</v>
      </c>
      <c r="B3206" t="s">
        <v>295</v>
      </c>
      <c r="C3206" t="s">
        <v>38</v>
      </c>
      <c r="D3206" t="s">
        <v>1057</v>
      </c>
      <c r="E3206" t="s">
        <v>318</v>
      </c>
      <c r="F3206" t="s">
        <v>319</v>
      </c>
      <c r="G3206" t="s">
        <v>22</v>
      </c>
      <c r="H3206">
        <v>1</v>
      </c>
    </row>
    <row r="3207" spans="1:8" x14ac:dyDescent="0.35">
      <c r="A3207">
        <v>6164003477390</v>
      </c>
      <c r="B3207" t="s">
        <v>295</v>
      </c>
      <c r="C3207" t="s">
        <v>38</v>
      </c>
      <c r="D3207" t="s">
        <v>1057</v>
      </c>
      <c r="E3207" t="s">
        <v>318</v>
      </c>
      <c r="F3207" t="s">
        <v>319</v>
      </c>
      <c r="G3207" t="s">
        <v>61</v>
      </c>
      <c r="H3207">
        <v>1</v>
      </c>
    </row>
    <row r="3208" spans="1:8" x14ac:dyDescent="0.35">
      <c r="A3208">
        <v>6164003477772</v>
      </c>
      <c r="B3208" t="s">
        <v>3525</v>
      </c>
      <c r="C3208" t="s">
        <v>272</v>
      </c>
      <c r="D3208" t="s">
        <v>1057</v>
      </c>
      <c r="E3208" t="s">
        <v>318</v>
      </c>
      <c r="F3208" t="s">
        <v>319</v>
      </c>
      <c r="G3208" t="s">
        <v>11</v>
      </c>
      <c r="H3208">
        <v>2</v>
      </c>
    </row>
    <row r="3209" spans="1:8" x14ac:dyDescent="0.35">
      <c r="A3209">
        <v>6164003477772</v>
      </c>
      <c r="B3209" t="s">
        <v>3525</v>
      </c>
      <c r="C3209" t="s">
        <v>272</v>
      </c>
      <c r="D3209" t="s">
        <v>1057</v>
      </c>
      <c r="E3209" t="s">
        <v>318</v>
      </c>
      <c r="F3209" t="s">
        <v>319</v>
      </c>
      <c r="G3209" t="s">
        <v>34</v>
      </c>
      <c r="H3209">
        <v>1</v>
      </c>
    </row>
    <row r="3210" spans="1:8" x14ac:dyDescent="0.35">
      <c r="A3210">
        <v>6164003477789</v>
      </c>
      <c r="B3210" t="s">
        <v>3526</v>
      </c>
      <c r="C3210" t="s">
        <v>81</v>
      </c>
      <c r="D3210" t="s">
        <v>3378</v>
      </c>
      <c r="E3210" t="s">
        <v>11</v>
      </c>
      <c r="F3210" t="s">
        <v>3379</v>
      </c>
      <c r="G3210" t="s">
        <v>11</v>
      </c>
      <c r="H3210">
        <v>27</v>
      </c>
    </row>
    <row r="3211" spans="1:8" x14ac:dyDescent="0.35">
      <c r="A3211">
        <v>6164003477994</v>
      </c>
      <c r="B3211" t="s">
        <v>3021</v>
      </c>
      <c r="C3211" t="s">
        <v>272</v>
      </c>
      <c r="D3211" t="s">
        <v>1688</v>
      </c>
      <c r="E3211" t="s">
        <v>318</v>
      </c>
      <c r="F3211" t="s">
        <v>319</v>
      </c>
      <c r="G3211" t="s">
        <v>11</v>
      </c>
      <c r="H3211">
        <v>18</v>
      </c>
    </row>
    <row r="3212" spans="1:8" x14ac:dyDescent="0.35">
      <c r="A3212">
        <v>6164003555050</v>
      </c>
      <c r="B3212" t="s">
        <v>8</v>
      </c>
      <c r="C3212" t="s">
        <v>9</v>
      </c>
      <c r="D3212" t="s">
        <v>3527</v>
      </c>
      <c r="E3212" t="s">
        <v>11</v>
      </c>
      <c r="F3212" t="s">
        <v>3528</v>
      </c>
      <c r="G3212" t="s">
        <v>11</v>
      </c>
      <c r="H3212">
        <v>18</v>
      </c>
    </row>
    <row r="3213" spans="1:8" x14ac:dyDescent="0.35">
      <c r="A3213">
        <v>6164003591034</v>
      </c>
      <c r="B3213" t="s">
        <v>834</v>
      </c>
      <c r="C3213" t="s">
        <v>9</v>
      </c>
      <c r="D3213" t="s">
        <v>3529</v>
      </c>
      <c r="E3213" t="s">
        <v>11</v>
      </c>
      <c r="F3213" t="s">
        <v>3530</v>
      </c>
      <c r="G3213" t="s">
        <v>11</v>
      </c>
      <c r="H3213">
        <v>135</v>
      </c>
    </row>
    <row r="3214" spans="1:8" x14ac:dyDescent="0.35">
      <c r="A3214">
        <v>6164003591041</v>
      </c>
      <c r="B3214" t="s">
        <v>384</v>
      </c>
      <c r="C3214" t="s">
        <v>3499</v>
      </c>
      <c r="D3214" t="s">
        <v>3529</v>
      </c>
      <c r="E3214" t="s">
        <v>11</v>
      </c>
      <c r="F3214" t="s">
        <v>3530</v>
      </c>
      <c r="G3214" t="s">
        <v>11</v>
      </c>
      <c r="H3214">
        <v>5</v>
      </c>
    </row>
    <row r="3215" spans="1:8" x14ac:dyDescent="0.35">
      <c r="A3215">
        <v>616400363029</v>
      </c>
      <c r="B3215" t="s">
        <v>8</v>
      </c>
      <c r="C3215" t="s">
        <v>9</v>
      </c>
      <c r="D3215" t="s">
        <v>959</v>
      </c>
      <c r="E3215" t="s">
        <v>11</v>
      </c>
      <c r="F3215" t="s">
        <v>960</v>
      </c>
      <c r="G3215" t="s">
        <v>11</v>
      </c>
      <c r="H3215">
        <v>12</v>
      </c>
    </row>
    <row r="3216" spans="1:8" x14ac:dyDescent="0.35">
      <c r="A3216">
        <v>6164003751018</v>
      </c>
      <c r="B3216" t="s">
        <v>3531</v>
      </c>
      <c r="C3216" t="s">
        <v>272</v>
      </c>
      <c r="D3216" t="s">
        <v>408</v>
      </c>
      <c r="E3216" t="s">
        <v>150</v>
      </c>
      <c r="F3216" t="s">
        <v>409</v>
      </c>
      <c r="G3216" t="s">
        <v>150</v>
      </c>
      <c r="H3216">
        <v>39</v>
      </c>
    </row>
    <row r="3217" spans="1:8" x14ac:dyDescent="0.35">
      <c r="A3217">
        <v>6164003751025</v>
      </c>
      <c r="B3217" t="s">
        <v>407</v>
      </c>
      <c r="C3217" t="s">
        <v>9</v>
      </c>
      <c r="D3217" t="s">
        <v>408</v>
      </c>
      <c r="E3217" t="s">
        <v>150</v>
      </c>
      <c r="F3217" t="s">
        <v>409</v>
      </c>
      <c r="G3217" t="s">
        <v>150</v>
      </c>
      <c r="H3217">
        <v>14</v>
      </c>
    </row>
    <row r="3218" spans="1:8" x14ac:dyDescent="0.35">
      <c r="A3218">
        <v>6164003751070</v>
      </c>
      <c r="B3218" t="s">
        <v>3532</v>
      </c>
      <c r="C3218" t="s">
        <v>66</v>
      </c>
      <c r="D3218" t="s">
        <v>408</v>
      </c>
      <c r="E3218" t="s">
        <v>150</v>
      </c>
      <c r="F3218" t="s">
        <v>409</v>
      </c>
      <c r="G3218" t="s">
        <v>150</v>
      </c>
      <c r="H3218">
        <v>8</v>
      </c>
    </row>
    <row r="3219" spans="1:8" x14ac:dyDescent="0.35">
      <c r="A3219">
        <v>6164003751094</v>
      </c>
      <c r="B3219" t="s">
        <v>3531</v>
      </c>
      <c r="C3219" t="s">
        <v>36</v>
      </c>
      <c r="D3219" t="s">
        <v>408</v>
      </c>
      <c r="E3219" t="s">
        <v>150</v>
      </c>
      <c r="F3219" t="s">
        <v>409</v>
      </c>
      <c r="G3219" t="s">
        <v>150</v>
      </c>
      <c r="H3219">
        <v>42</v>
      </c>
    </row>
    <row r="3220" spans="1:8" x14ac:dyDescent="0.35">
      <c r="A3220">
        <v>616400391602</v>
      </c>
      <c r="B3220" t="s">
        <v>406</v>
      </c>
      <c r="C3220" t="s">
        <v>1115</v>
      </c>
      <c r="D3220" t="s">
        <v>3533</v>
      </c>
      <c r="E3220" t="s">
        <v>11</v>
      </c>
      <c r="F3220" t="s">
        <v>3534</v>
      </c>
      <c r="G3220" t="s">
        <v>11</v>
      </c>
      <c r="H3220">
        <v>3</v>
      </c>
    </row>
    <row r="3221" spans="1:8" x14ac:dyDescent="0.35">
      <c r="A3221">
        <v>6164003916059</v>
      </c>
      <c r="B3221" t="s">
        <v>857</v>
      </c>
      <c r="C3221" t="s">
        <v>385</v>
      </c>
      <c r="D3221" t="s">
        <v>3533</v>
      </c>
      <c r="E3221" t="s">
        <v>11</v>
      </c>
      <c r="F3221" t="s">
        <v>3534</v>
      </c>
      <c r="G3221" t="s">
        <v>11</v>
      </c>
      <c r="H3221">
        <v>19</v>
      </c>
    </row>
    <row r="3222" spans="1:8" x14ac:dyDescent="0.35">
      <c r="A3222">
        <v>6164003916073</v>
      </c>
      <c r="B3222" t="s">
        <v>626</v>
      </c>
      <c r="C3222" t="s">
        <v>9</v>
      </c>
      <c r="D3222" t="s">
        <v>3533</v>
      </c>
      <c r="E3222" t="s">
        <v>11</v>
      </c>
      <c r="F3222" t="s">
        <v>3534</v>
      </c>
      <c r="G3222" t="s">
        <v>11</v>
      </c>
      <c r="H3222">
        <v>1</v>
      </c>
    </row>
    <row r="3223" spans="1:8" x14ac:dyDescent="0.35">
      <c r="A3223">
        <v>6164003916325</v>
      </c>
      <c r="B3223" t="s">
        <v>406</v>
      </c>
      <c r="C3223" t="s">
        <v>173</v>
      </c>
      <c r="D3223" t="s">
        <v>3533</v>
      </c>
      <c r="E3223" t="s">
        <v>11</v>
      </c>
      <c r="F3223" t="s">
        <v>3534</v>
      </c>
      <c r="G3223" t="s">
        <v>11</v>
      </c>
      <c r="H3223">
        <v>1</v>
      </c>
    </row>
    <row r="3224" spans="1:8" x14ac:dyDescent="0.35">
      <c r="A3224">
        <v>6164004075076</v>
      </c>
      <c r="B3224" t="s">
        <v>3535</v>
      </c>
      <c r="C3224" t="s">
        <v>909</v>
      </c>
      <c r="D3224" t="s">
        <v>3536</v>
      </c>
      <c r="E3224" t="s">
        <v>11</v>
      </c>
      <c r="F3224" t="s">
        <v>3537</v>
      </c>
      <c r="G3224" t="s">
        <v>11</v>
      </c>
      <c r="H3224">
        <v>1</v>
      </c>
    </row>
    <row r="3225" spans="1:8" x14ac:dyDescent="0.35">
      <c r="A3225">
        <v>6164004075090</v>
      </c>
      <c r="B3225" t="s">
        <v>3538</v>
      </c>
      <c r="C3225" t="s">
        <v>909</v>
      </c>
      <c r="D3225" t="s">
        <v>3536</v>
      </c>
      <c r="E3225" t="s">
        <v>11</v>
      </c>
      <c r="F3225" t="s">
        <v>3537</v>
      </c>
      <c r="G3225" t="s">
        <v>11</v>
      </c>
      <c r="H3225">
        <v>1</v>
      </c>
    </row>
    <row r="3226" spans="1:8" x14ac:dyDescent="0.35">
      <c r="A3226">
        <v>6164004075120</v>
      </c>
      <c r="B3226" t="s">
        <v>3539</v>
      </c>
      <c r="C3226" t="s">
        <v>909</v>
      </c>
      <c r="D3226" t="s">
        <v>3536</v>
      </c>
      <c r="E3226" t="s">
        <v>11</v>
      </c>
      <c r="F3226" t="s">
        <v>3537</v>
      </c>
      <c r="G3226" t="s">
        <v>11</v>
      </c>
      <c r="H3226">
        <v>1</v>
      </c>
    </row>
    <row r="3227" spans="1:8" x14ac:dyDescent="0.35">
      <c r="A3227">
        <v>6164004075199</v>
      </c>
      <c r="B3227" t="s">
        <v>3540</v>
      </c>
      <c r="C3227" t="s">
        <v>81</v>
      </c>
      <c r="D3227" t="s">
        <v>3536</v>
      </c>
      <c r="E3227" t="s">
        <v>11</v>
      </c>
      <c r="F3227" t="s">
        <v>3537</v>
      </c>
      <c r="G3227" t="s">
        <v>11</v>
      </c>
      <c r="H3227">
        <v>13</v>
      </c>
    </row>
    <row r="3228" spans="1:8" x14ac:dyDescent="0.35">
      <c r="A3228">
        <v>6164004075212</v>
      </c>
      <c r="B3228" t="s">
        <v>3541</v>
      </c>
      <c r="C3228" t="s">
        <v>9</v>
      </c>
      <c r="D3228" t="s">
        <v>3536</v>
      </c>
      <c r="E3228" t="s">
        <v>11</v>
      </c>
      <c r="F3228" t="s">
        <v>3537</v>
      </c>
      <c r="G3228" t="s">
        <v>11</v>
      </c>
      <c r="H3228">
        <v>1</v>
      </c>
    </row>
    <row r="3229" spans="1:8" x14ac:dyDescent="0.35">
      <c r="A3229">
        <v>6164004075274</v>
      </c>
      <c r="B3229" t="s">
        <v>3542</v>
      </c>
      <c r="C3229" t="s">
        <v>38</v>
      </c>
      <c r="D3229" t="s">
        <v>3536</v>
      </c>
      <c r="E3229" t="s">
        <v>11</v>
      </c>
      <c r="F3229" t="s">
        <v>3537</v>
      </c>
      <c r="G3229" t="s">
        <v>11</v>
      </c>
      <c r="H3229">
        <v>21</v>
      </c>
    </row>
    <row r="3230" spans="1:8" x14ac:dyDescent="0.35">
      <c r="A3230">
        <v>6164004242027</v>
      </c>
      <c r="B3230" t="s">
        <v>8</v>
      </c>
      <c r="C3230" t="s">
        <v>9</v>
      </c>
      <c r="D3230" t="s">
        <v>956</v>
      </c>
      <c r="E3230" t="s">
        <v>11</v>
      </c>
      <c r="F3230" t="s">
        <v>957</v>
      </c>
      <c r="G3230" t="s">
        <v>11</v>
      </c>
      <c r="H3230">
        <v>1419</v>
      </c>
    </row>
    <row r="3231" spans="1:8" x14ac:dyDescent="0.35">
      <c r="A3231">
        <v>6164004242034</v>
      </c>
      <c r="B3231" t="s">
        <v>942</v>
      </c>
      <c r="C3231" t="s">
        <v>9</v>
      </c>
      <c r="D3231" t="s">
        <v>956</v>
      </c>
      <c r="E3231" t="s">
        <v>11</v>
      </c>
      <c r="F3231" t="s">
        <v>957</v>
      </c>
      <c r="G3231" t="s">
        <v>11</v>
      </c>
      <c r="H3231">
        <v>50</v>
      </c>
    </row>
    <row r="3232" spans="1:8" x14ac:dyDescent="0.35">
      <c r="A3232">
        <v>6164004242041</v>
      </c>
      <c r="B3232" t="s">
        <v>942</v>
      </c>
      <c r="C3232" t="s">
        <v>192</v>
      </c>
      <c r="D3232" t="s">
        <v>956</v>
      </c>
      <c r="E3232" t="s">
        <v>11</v>
      </c>
      <c r="F3232" t="s">
        <v>957</v>
      </c>
      <c r="G3232" t="s">
        <v>11</v>
      </c>
      <c r="H3232">
        <v>40</v>
      </c>
    </row>
    <row r="3233" spans="1:8" x14ac:dyDescent="0.35">
      <c r="A3233">
        <v>6164004243024</v>
      </c>
      <c r="B3233" t="s">
        <v>942</v>
      </c>
      <c r="C3233" t="s">
        <v>9</v>
      </c>
      <c r="D3233" t="s">
        <v>3543</v>
      </c>
      <c r="E3233" t="s">
        <v>1761</v>
      </c>
      <c r="F3233" t="s">
        <v>3544</v>
      </c>
      <c r="G3233" t="s">
        <v>11</v>
      </c>
      <c r="H3233">
        <v>26</v>
      </c>
    </row>
    <row r="3234" spans="1:8" x14ac:dyDescent="0.35">
      <c r="A3234">
        <v>6164004243048</v>
      </c>
      <c r="B3234" t="s">
        <v>8</v>
      </c>
      <c r="C3234" t="s">
        <v>192</v>
      </c>
      <c r="D3234" t="s">
        <v>3543</v>
      </c>
      <c r="E3234" t="s">
        <v>1761</v>
      </c>
      <c r="F3234" t="s">
        <v>3544</v>
      </c>
      <c r="G3234" t="s">
        <v>11</v>
      </c>
      <c r="H3234">
        <v>8</v>
      </c>
    </row>
    <row r="3235" spans="1:8" x14ac:dyDescent="0.35">
      <c r="A3235">
        <v>6164004363029</v>
      </c>
      <c r="B3235" t="s">
        <v>8</v>
      </c>
      <c r="C3235" t="s">
        <v>9</v>
      </c>
      <c r="D3235" t="s">
        <v>3545</v>
      </c>
      <c r="E3235" t="s">
        <v>11</v>
      </c>
      <c r="F3235" t="s">
        <v>960</v>
      </c>
      <c r="G3235" t="s">
        <v>11</v>
      </c>
      <c r="H3235">
        <v>80</v>
      </c>
    </row>
    <row r="3236" spans="1:8" x14ac:dyDescent="0.35">
      <c r="A3236">
        <v>6164004363043</v>
      </c>
      <c r="B3236" t="s">
        <v>834</v>
      </c>
      <c r="C3236" t="s">
        <v>192</v>
      </c>
      <c r="D3236" t="s">
        <v>959</v>
      </c>
      <c r="E3236" t="s">
        <v>11</v>
      </c>
      <c r="F3236" t="s">
        <v>960</v>
      </c>
      <c r="G3236" t="s">
        <v>11</v>
      </c>
      <c r="H3236">
        <v>27</v>
      </c>
    </row>
    <row r="3237" spans="1:8" x14ac:dyDescent="0.35">
      <c r="A3237">
        <v>6164004509014</v>
      </c>
      <c r="B3237" t="s">
        <v>8</v>
      </c>
      <c r="C3237" t="s">
        <v>9</v>
      </c>
      <c r="D3237" t="s">
        <v>3546</v>
      </c>
      <c r="E3237" t="s">
        <v>11</v>
      </c>
      <c r="F3237" t="s">
        <v>3547</v>
      </c>
      <c r="G3237" t="s">
        <v>11</v>
      </c>
      <c r="H3237">
        <v>17</v>
      </c>
    </row>
    <row r="3238" spans="1:8" x14ac:dyDescent="0.35">
      <c r="A3238">
        <v>6164004509038</v>
      </c>
      <c r="B3238" t="s">
        <v>942</v>
      </c>
      <c r="C3238" t="s">
        <v>1598</v>
      </c>
      <c r="D3238" t="s">
        <v>3546</v>
      </c>
      <c r="E3238" t="s">
        <v>11</v>
      </c>
      <c r="F3238" t="s">
        <v>3547</v>
      </c>
      <c r="G3238" t="s">
        <v>11</v>
      </c>
      <c r="H3238">
        <v>3</v>
      </c>
    </row>
    <row r="3239" spans="1:8" x14ac:dyDescent="0.35">
      <c r="A3239">
        <v>6164004579994</v>
      </c>
      <c r="B3239" t="s">
        <v>3277</v>
      </c>
      <c r="C3239" t="s">
        <v>9</v>
      </c>
      <c r="D3239" t="s">
        <v>3548</v>
      </c>
      <c r="E3239" t="s">
        <v>31</v>
      </c>
      <c r="F3239" t="s">
        <v>3549</v>
      </c>
      <c r="G3239" t="s">
        <v>31</v>
      </c>
      <c r="H3239">
        <v>20</v>
      </c>
    </row>
    <row r="3240" spans="1:8" x14ac:dyDescent="0.35">
      <c r="A3240">
        <v>6164004625325</v>
      </c>
      <c r="B3240" t="s">
        <v>3550</v>
      </c>
      <c r="C3240" t="s">
        <v>83</v>
      </c>
      <c r="D3240" t="s">
        <v>2911</v>
      </c>
      <c r="E3240" t="s">
        <v>22</v>
      </c>
      <c r="F3240" t="s">
        <v>361</v>
      </c>
      <c r="G3240" t="s">
        <v>150</v>
      </c>
      <c r="H3240">
        <v>1</v>
      </c>
    </row>
    <row r="3241" spans="1:8" x14ac:dyDescent="0.35">
      <c r="A3241">
        <v>6164004675177</v>
      </c>
      <c r="B3241" t="s">
        <v>3551</v>
      </c>
      <c r="C3241" t="s">
        <v>9</v>
      </c>
      <c r="D3241" t="s">
        <v>2113</v>
      </c>
      <c r="E3241" t="s">
        <v>22</v>
      </c>
      <c r="F3241" t="s">
        <v>361</v>
      </c>
      <c r="G3241" t="s">
        <v>150</v>
      </c>
      <c r="H3241">
        <v>31</v>
      </c>
    </row>
    <row r="3242" spans="1:8" x14ac:dyDescent="0.35">
      <c r="A3242">
        <v>6164004675177</v>
      </c>
      <c r="B3242" t="s">
        <v>3551</v>
      </c>
      <c r="C3242" t="s">
        <v>9</v>
      </c>
      <c r="D3242" t="s">
        <v>2113</v>
      </c>
      <c r="E3242" t="s">
        <v>22</v>
      </c>
      <c r="F3242" t="s">
        <v>361</v>
      </c>
      <c r="G3242" t="s">
        <v>31</v>
      </c>
      <c r="H3242">
        <v>1</v>
      </c>
    </row>
    <row r="3243" spans="1:8" x14ac:dyDescent="0.35">
      <c r="A3243">
        <v>6164004675597</v>
      </c>
      <c r="B3243" t="s">
        <v>1254</v>
      </c>
      <c r="C3243" t="s">
        <v>83</v>
      </c>
      <c r="D3243" t="s">
        <v>2123</v>
      </c>
      <c r="E3243" t="s">
        <v>22</v>
      </c>
      <c r="F3243" t="s">
        <v>361</v>
      </c>
      <c r="G3243" t="s">
        <v>150</v>
      </c>
      <c r="H3243">
        <v>6</v>
      </c>
    </row>
    <row r="3244" spans="1:8" x14ac:dyDescent="0.35">
      <c r="A3244">
        <v>6164004676068</v>
      </c>
      <c r="B3244" t="s">
        <v>1107</v>
      </c>
      <c r="C3244" t="s">
        <v>431</v>
      </c>
      <c r="D3244" t="s">
        <v>3063</v>
      </c>
      <c r="E3244" t="s">
        <v>1201</v>
      </c>
      <c r="F3244" t="s">
        <v>1465</v>
      </c>
      <c r="G3244" t="s">
        <v>11</v>
      </c>
      <c r="H3244">
        <v>24</v>
      </c>
    </row>
    <row r="3245" spans="1:8" x14ac:dyDescent="0.35">
      <c r="A3245">
        <v>6164004676068</v>
      </c>
      <c r="B3245" t="s">
        <v>1107</v>
      </c>
      <c r="C3245" t="s">
        <v>431</v>
      </c>
      <c r="D3245" t="s">
        <v>3063</v>
      </c>
      <c r="E3245" t="s">
        <v>1201</v>
      </c>
      <c r="F3245" t="s">
        <v>1465</v>
      </c>
      <c r="G3245" t="s">
        <v>150</v>
      </c>
      <c r="H3245">
        <v>2</v>
      </c>
    </row>
    <row r="3246" spans="1:8" x14ac:dyDescent="0.35">
      <c r="A3246">
        <v>6164004676068</v>
      </c>
      <c r="B3246" t="s">
        <v>1107</v>
      </c>
      <c r="C3246" t="s">
        <v>431</v>
      </c>
      <c r="D3246" t="s">
        <v>3063</v>
      </c>
      <c r="E3246" t="s">
        <v>1201</v>
      </c>
      <c r="F3246" t="s">
        <v>1465</v>
      </c>
      <c r="G3246" t="s">
        <v>73</v>
      </c>
      <c r="H3246">
        <v>1</v>
      </c>
    </row>
    <row r="3247" spans="1:8" x14ac:dyDescent="0.35">
      <c r="A3247">
        <v>6164004676211</v>
      </c>
      <c r="B3247" t="s">
        <v>3165</v>
      </c>
      <c r="C3247" t="s">
        <v>1123</v>
      </c>
      <c r="D3247" t="s">
        <v>3063</v>
      </c>
      <c r="E3247" t="s">
        <v>1201</v>
      </c>
      <c r="F3247" t="s">
        <v>1465</v>
      </c>
      <c r="G3247" t="s">
        <v>33</v>
      </c>
      <c r="H3247">
        <v>1</v>
      </c>
    </row>
    <row r="3248" spans="1:8" x14ac:dyDescent="0.35">
      <c r="A3248">
        <v>6164004676211</v>
      </c>
      <c r="B3248" t="s">
        <v>3165</v>
      </c>
      <c r="C3248" t="s">
        <v>1123</v>
      </c>
      <c r="D3248" t="s">
        <v>3063</v>
      </c>
      <c r="E3248" t="s">
        <v>1201</v>
      </c>
      <c r="F3248" t="s">
        <v>1465</v>
      </c>
      <c r="G3248" t="s">
        <v>150</v>
      </c>
      <c r="H3248">
        <v>47</v>
      </c>
    </row>
    <row r="3249" spans="1:8" x14ac:dyDescent="0.35">
      <c r="A3249">
        <v>6164004676211</v>
      </c>
      <c r="B3249" t="s">
        <v>3165</v>
      </c>
      <c r="C3249" t="s">
        <v>1123</v>
      </c>
      <c r="D3249" t="s">
        <v>3063</v>
      </c>
      <c r="E3249" t="s">
        <v>1201</v>
      </c>
      <c r="F3249" t="s">
        <v>1465</v>
      </c>
      <c r="G3249" t="s">
        <v>61</v>
      </c>
      <c r="H3249">
        <v>2</v>
      </c>
    </row>
    <row r="3250" spans="1:8" x14ac:dyDescent="0.35">
      <c r="A3250">
        <v>6164004676228</v>
      </c>
      <c r="B3250" t="s">
        <v>3165</v>
      </c>
      <c r="C3250" t="s">
        <v>43</v>
      </c>
      <c r="D3250" t="s">
        <v>3063</v>
      </c>
      <c r="E3250" t="s">
        <v>1201</v>
      </c>
      <c r="F3250" t="s">
        <v>1465</v>
      </c>
      <c r="G3250" t="s">
        <v>150</v>
      </c>
      <c r="H3250">
        <v>15</v>
      </c>
    </row>
    <row r="3251" spans="1:8" x14ac:dyDescent="0.35">
      <c r="A3251">
        <v>6164004676235</v>
      </c>
      <c r="B3251" t="s">
        <v>3552</v>
      </c>
      <c r="C3251" t="s">
        <v>69</v>
      </c>
      <c r="D3251" t="s">
        <v>3063</v>
      </c>
      <c r="E3251" t="s">
        <v>1201</v>
      </c>
      <c r="F3251" t="s">
        <v>1465</v>
      </c>
      <c r="G3251" t="s">
        <v>150</v>
      </c>
      <c r="H3251">
        <v>36</v>
      </c>
    </row>
    <row r="3252" spans="1:8" x14ac:dyDescent="0.35">
      <c r="A3252">
        <v>6164004676235</v>
      </c>
      <c r="B3252" t="s">
        <v>3552</v>
      </c>
      <c r="C3252" t="s">
        <v>69</v>
      </c>
      <c r="D3252" t="s">
        <v>3063</v>
      </c>
      <c r="E3252" t="s">
        <v>1201</v>
      </c>
      <c r="F3252" t="s">
        <v>1465</v>
      </c>
      <c r="G3252" t="s">
        <v>61</v>
      </c>
      <c r="H3252">
        <v>2</v>
      </c>
    </row>
    <row r="3253" spans="1:8" x14ac:dyDescent="0.35">
      <c r="A3253">
        <v>6164004676471</v>
      </c>
      <c r="B3253" t="s">
        <v>3165</v>
      </c>
      <c r="C3253" t="s">
        <v>1394</v>
      </c>
      <c r="D3253" t="s">
        <v>3063</v>
      </c>
      <c r="E3253" t="s">
        <v>1201</v>
      </c>
      <c r="F3253" t="s">
        <v>1465</v>
      </c>
      <c r="G3253" t="s">
        <v>117</v>
      </c>
      <c r="H3253">
        <v>3</v>
      </c>
    </row>
    <row r="3254" spans="1:8" x14ac:dyDescent="0.35">
      <c r="A3254">
        <v>6164004676488</v>
      </c>
      <c r="B3254" t="s">
        <v>3165</v>
      </c>
      <c r="C3254" t="s">
        <v>164</v>
      </c>
      <c r="D3254" t="s">
        <v>3063</v>
      </c>
      <c r="E3254" t="s">
        <v>1201</v>
      </c>
      <c r="F3254" t="s">
        <v>1465</v>
      </c>
      <c r="G3254" t="s">
        <v>117</v>
      </c>
      <c r="H3254">
        <v>78</v>
      </c>
    </row>
    <row r="3255" spans="1:8" x14ac:dyDescent="0.35">
      <c r="A3255">
        <v>6164004679090</v>
      </c>
      <c r="B3255" t="s">
        <v>3553</v>
      </c>
      <c r="C3255" t="s">
        <v>173</v>
      </c>
      <c r="D3255" t="s">
        <v>3554</v>
      </c>
      <c r="E3255" t="s">
        <v>31</v>
      </c>
      <c r="F3255" t="s">
        <v>3555</v>
      </c>
      <c r="G3255" t="s">
        <v>31</v>
      </c>
      <c r="H3255">
        <v>38</v>
      </c>
    </row>
    <row r="3256" spans="1:8" x14ac:dyDescent="0.35">
      <c r="A3256">
        <v>616400475777</v>
      </c>
      <c r="B3256" t="s">
        <v>3284</v>
      </c>
      <c r="C3256" t="s">
        <v>472</v>
      </c>
      <c r="D3256" t="s">
        <v>2524</v>
      </c>
      <c r="E3256" t="s">
        <v>578</v>
      </c>
      <c r="F3256" t="s">
        <v>2217</v>
      </c>
      <c r="G3256" t="s">
        <v>31</v>
      </c>
      <c r="H3256">
        <v>4</v>
      </c>
    </row>
    <row r="3257" spans="1:8" x14ac:dyDescent="0.35">
      <c r="A3257">
        <v>6164004801668</v>
      </c>
      <c r="B3257" t="s">
        <v>2511</v>
      </c>
      <c r="C3257" t="s">
        <v>326</v>
      </c>
      <c r="D3257" t="s">
        <v>2113</v>
      </c>
      <c r="E3257" t="s">
        <v>22</v>
      </c>
      <c r="F3257" t="s">
        <v>361</v>
      </c>
      <c r="G3257" t="s">
        <v>34</v>
      </c>
      <c r="H3257">
        <v>3</v>
      </c>
    </row>
    <row r="3258" spans="1:8" x14ac:dyDescent="0.35">
      <c r="A3258">
        <v>6164004801668</v>
      </c>
      <c r="B3258" t="s">
        <v>2511</v>
      </c>
      <c r="C3258" t="s">
        <v>326</v>
      </c>
      <c r="D3258" t="s">
        <v>2113</v>
      </c>
      <c r="E3258" t="s">
        <v>22</v>
      </c>
      <c r="F3258" t="s">
        <v>361</v>
      </c>
      <c r="G3258" t="s">
        <v>31</v>
      </c>
      <c r="H3258">
        <v>1</v>
      </c>
    </row>
    <row r="3259" spans="1:8" x14ac:dyDescent="0.35">
      <c r="A3259">
        <v>6164004887013</v>
      </c>
      <c r="B3259" t="s">
        <v>8</v>
      </c>
      <c r="C3259" t="s">
        <v>9</v>
      </c>
      <c r="D3259" t="s">
        <v>3501</v>
      </c>
      <c r="E3259" t="s">
        <v>308</v>
      </c>
      <c r="F3259" t="s">
        <v>309</v>
      </c>
      <c r="G3259" t="s">
        <v>11</v>
      </c>
      <c r="H3259">
        <v>48</v>
      </c>
    </row>
    <row r="3260" spans="1:8" x14ac:dyDescent="0.35">
      <c r="A3260">
        <v>6164081011585</v>
      </c>
      <c r="B3260" t="s">
        <v>2601</v>
      </c>
      <c r="C3260" t="s">
        <v>603</v>
      </c>
      <c r="D3260" t="s">
        <v>1044</v>
      </c>
      <c r="E3260" t="s">
        <v>15</v>
      </c>
      <c r="F3260" t="s">
        <v>56</v>
      </c>
      <c r="G3260" t="s">
        <v>31</v>
      </c>
      <c r="H3260">
        <v>4</v>
      </c>
    </row>
    <row r="3261" spans="1:8" x14ac:dyDescent="0.35">
      <c r="A3261">
        <v>6164607415835</v>
      </c>
      <c r="B3261" t="s">
        <v>3556</v>
      </c>
      <c r="C3261" t="s">
        <v>36</v>
      </c>
      <c r="D3261" t="s">
        <v>3115</v>
      </c>
      <c r="E3261" t="s">
        <v>117</v>
      </c>
      <c r="F3261" t="s">
        <v>3116</v>
      </c>
      <c r="G3261" t="s">
        <v>31</v>
      </c>
      <c r="H3261">
        <v>4</v>
      </c>
    </row>
    <row r="3262" spans="1:8" x14ac:dyDescent="0.35">
      <c r="A3262">
        <v>6165118812960</v>
      </c>
      <c r="B3262" t="s">
        <v>1922</v>
      </c>
      <c r="C3262" t="s">
        <v>472</v>
      </c>
      <c r="D3262" t="s">
        <v>3557</v>
      </c>
      <c r="E3262" t="s">
        <v>31</v>
      </c>
      <c r="F3262" t="s">
        <v>3558</v>
      </c>
      <c r="G3262" t="s">
        <v>31</v>
      </c>
      <c r="H3262">
        <v>33</v>
      </c>
    </row>
    <row r="3263" spans="1:8" x14ac:dyDescent="0.35">
      <c r="A3263">
        <v>6165443276130</v>
      </c>
      <c r="B3263" t="s">
        <v>3559</v>
      </c>
      <c r="C3263" t="s">
        <v>114</v>
      </c>
      <c r="D3263" t="s">
        <v>3560</v>
      </c>
      <c r="E3263" t="s">
        <v>3561</v>
      </c>
      <c r="F3263" t="s">
        <v>3562</v>
      </c>
      <c r="G3263" t="s">
        <v>31</v>
      </c>
      <c r="H3263">
        <v>26</v>
      </c>
    </row>
    <row r="3264" spans="1:8" x14ac:dyDescent="0.35">
      <c r="A3264">
        <v>6166000017623</v>
      </c>
      <c r="B3264" t="s">
        <v>1151</v>
      </c>
      <c r="C3264" t="s">
        <v>9</v>
      </c>
      <c r="D3264" t="s">
        <v>3563</v>
      </c>
      <c r="E3264" t="s">
        <v>31</v>
      </c>
      <c r="F3264" t="s">
        <v>3564</v>
      </c>
      <c r="G3264" t="s">
        <v>31</v>
      </c>
      <c r="H3264">
        <v>16</v>
      </c>
    </row>
    <row r="3265" spans="1:8" x14ac:dyDescent="0.35">
      <c r="A3265">
        <v>6166000030332</v>
      </c>
      <c r="B3265" t="s">
        <v>3565</v>
      </c>
      <c r="C3265" t="s">
        <v>9</v>
      </c>
      <c r="D3265" t="s">
        <v>3566</v>
      </c>
      <c r="E3265" t="s">
        <v>308</v>
      </c>
      <c r="F3265" t="s">
        <v>309</v>
      </c>
      <c r="G3265" t="s">
        <v>11</v>
      </c>
      <c r="H3265">
        <v>1</v>
      </c>
    </row>
    <row r="3266" spans="1:8" x14ac:dyDescent="0.35">
      <c r="A3266">
        <v>6166000095324</v>
      </c>
      <c r="B3266" t="s">
        <v>544</v>
      </c>
      <c r="C3266" t="s">
        <v>81</v>
      </c>
      <c r="D3266" t="s">
        <v>3567</v>
      </c>
      <c r="E3266" t="s">
        <v>308</v>
      </c>
      <c r="F3266" t="s">
        <v>309</v>
      </c>
      <c r="G3266" t="s">
        <v>11</v>
      </c>
      <c r="H3266">
        <v>2</v>
      </c>
    </row>
    <row r="3267" spans="1:8" x14ac:dyDescent="0.35">
      <c r="A3267">
        <v>6166000108024</v>
      </c>
      <c r="B3267" t="s">
        <v>3568</v>
      </c>
      <c r="C3267" t="s">
        <v>454</v>
      </c>
      <c r="D3267" t="s">
        <v>2116</v>
      </c>
      <c r="E3267" t="s">
        <v>22</v>
      </c>
      <c r="F3267" t="s">
        <v>361</v>
      </c>
      <c r="G3267" t="s">
        <v>61</v>
      </c>
      <c r="H3267">
        <v>4</v>
      </c>
    </row>
    <row r="3268" spans="1:8" x14ac:dyDescent="0.35">
      <c r="A3268">
        <v>6166000111215</v>
      </c>
      <c r="B3268" t="s">
        <v>834</v>
      </c>
      <c r="C3268" t="s">
        <v>9</v>
      </c>
      <c r="D3268" t="s">
        <v>3569</v>
      </c>
      <c r="E3268" t="s">
        <v>308</v>
      </c>
      <c r="F3268" t="s">
        <v>309</v>
      </c>
      <c r="G3268" t="s">
        <v>11</v>
      </c>
      <c r="H3268">
        <v>8</v>
      </c>
    </row>
    <row r="3269" spans="1:8" x14ac:dyDescent="0.35">
      <c r="A3269">
        <v>6166000111222</v>
      </c>
      <c r="B3269" t="s">
        <v>3559</v>
      </c>
      <c r="C3269" t="s">
        <v>1580</v>
      </c>
      <c r="D3269" t="s">
        <v>3569</v>
      </c>
      <c r="E3269" t="s">
        <v>308</v>
      </c>
      <c r="F3269" t="s">
        <v>309</v>
      </c>
      <c r="G3269" t="s">
        <v>11</v>
      </c>
      <c r="H3269">
        <v>2</v>
      </c>
    </row>
    <row r="3270" spans="1:8" x14ac:dyDescent="0.35">
      <c r="A3270">
        <v>6166000141212</v>
      </c>
      <c r="B3270" t="s">
        <v>3570</v>
      </c>
      <c r="C3270" t="s">
        <v>3571</v>
      </c>
      <c r="D3270" t="s">
        <v>3572</v>
      </c>
      <c r="E3270" t="s">
        <v>22</v>
      </c>
      <c r="F3270" t="s">
        <v>3573</v>
      </c>
      <c r="G3270" t="s">
        <v>11</v>
      </c>
      <c r="H3270">
        <v>11</v>
      </c>
    </row>
    <row r="3271" spans="1:8" x14ac:dyDescent="0.35">
      <c r="A3271">
        <v>6166000141663</v>
      </c>
      <c r="B3271" t="s">
        <v>3574</v>
      </c>
      <c r="C3271" t="s">
        <v>9</v>
      </c>
      <c r="D3271" t="s">
        <v>2911</v>
      </c>
      <c r="E3271" t="s">
        <v>22</v>
      </c>
      <c r="F3271" t="s">
        <v>361</v>
      </c>
      <c r="G3271" t="s">
        <v>11</v>
      </c>
      <c r="H3271">
        <v>12</v>
      </c>
    </row>
    <row r="3272" spans="1:8" x14ac:dyDescent="0.35">
      <c r="A3272">
        <v>6171100130028</v>
      </c>
      <c r="B3272" t="s">
        <v>109</v>
      </c>
      <c r="C3272" t="s">
        <v>110</v>
      </c>
      <c r="D3272" t="s">
        <v>417</v>
      </c>
      <c r="E3272" t="s">
        <v>387</v>
      </c>
      <c r="F3272" t="s">
        <v>3575</v>
      </c>
      <c r="G3272" t="s">
        <v>387</v>
      </c>
      <c r="H3272">
        <v>20</v>
      </c>
    </row>
    <row r="3273" spans="1:8" x14ac:dyDescent="0.35">
      <c r="A3273">
        <v>6174000001207</v>
      </c>
      <c r="B3273" t="s">
        <v>1061</v>
      </c>
      <c r="C3273" t="s">
        <v>472</v>
      </c>
      <c r="D3273" t="s">
        <v>1062</v>
      </c>
      <c r="E3273" t="s">
        <v>130</v>
      </c>
      <c r="F3273" t="s">
        <v>424</v>
      </c>
      <c r="G3273" t="s">
        <v>387</v>
      </c>
      <c r="H3273">
        <v>3</v>
      </c>
    </row>
    <row r="3274" spans="1:8" x14ac:dyDescent="0.35">
      <c r="A3274">
        <v>6174000001214</v>
      </c>
      <c r="B3274" t="s">
        <v>696</v>
      </c>
      <c r="C3274" t="s">
        <v>472</v>
      </c>
      <c r="D3274" t="s">
        <v>1062</v>
      </c>
      <c r="E3274" t="s">
        <v>130</v>
      </c>
      <c r="F3274" t="s">
        <v>424</v>
      </c>
      <c r="G3274" t="s">
        <v>387</v>
      </c>
      <c r="H3274">
        <v>1</v>
      </c>
    </row>
    <row r="3275" spans="1:8" x14ac:dyDescent="0.35">
      <c r="A3275">
        <v>6174000001320</v>
      </c>
      <c r="B3275" t="s">
        <v>167</v>
      </c>
      <c r="C3275" t="s">
        <v>472</v>
      </c>
      <c r="D3275" t="s">
        <v>1062</v>
      </c>
      <c r="E3275" t="s">
        <v>130</v>
      </c>
      <c r="F3275" t="s">
        <v>424</v>
      </c>
      <c r="G3275" t="s">
        <v>387</v>
      </c>
      <c r="H3275">
        <v>2</v>
      </c>
    </row>
    <row r="3276" spans="1:8" x14ac:dyDescent="0.35">
      <c r="A3276">
        <v>6174000001559</v>
      </c>
      <c r="B3276" t="s">
        <v>3576</v>
      </c>
      <c r="C3276" t="s">
        <v>110</v>
      </c>
      <c r="D3276" t="s">
        <v>3576</v>
      </c>
      <c r="E3276" t="s">
        <v>130</v>
      </c>
      <c r="F3276" t="s">
        <v>424</v>
      </c>
      <c r="G3276" t="s">
        <v>387</v>
      </c>
      <c r="H3276">
        <v>61</v>
      </c>
    </row>
    <row r="3277" spans="1:8" x14ac:dyDescent="0.35">
      <c r="A3277">
        <v>6174000001566</v>
      </c>
      <c r="B3277" t="s">
        <v>3577</v>
      </c>
      <c r="C3277" t="s">
        <v>110</v>
      </c>
      <c r="D3277" t="s">
        <v>1062</v>
      </c>
      <c r="E3277" t="s">
        <v>130</v>
      </c>
      <c r="F3277" t="s">
        <v>424</v>
      </c>
      <c r="G3277" t="s">
        <v>387</v>
      </c>
      <c r="H3277">
        <v>18</v>
      </c>
    </row>
    <row r="3278" spans="1:8" x14ac:dyDescent="0.35">
      <c r="A3278">
        <v>6174000001573</v>
      </c>
      <c r="B3278" t="s">
        <v>1013</v>
      </c>
      <c r="C3278" t="s">
        <v>2015</v>
      </c>
      <c r="D3278" t="s">
        <v>998</v>
      </c>
      <c r="E3278" t="s">
        <v>15</v>
      </c>
      <c r="F3278" t="s">
        <v>901</v>
      </c>
      <c r="G3278" t="s">
        <v>387</v>
      </c>
      <c r="H3278">
        <v>13</v>
      </c>
    </row>
    <row r="3279" spans="1:8" x14ac:dyDescent="0.35">
      <c r="A3279">
        <v>6174000003003</v>
      </c>
      <c r="B3279" t="s">
        <v>3578</v>
      </c>
      <c r="C3279" t="s">
        <v>9</v>
      </c>
      <c r="D3279" t="s">
        <v>3579</v>
      </c>
      <c r="E3279" t="s">
        <v>130</v>
      </c>
      <c r="F3279" t="s">
        <v>424</v>
      </c>
      <c r="G3279" t="s">
        <v>387</v>
      </c>
      <c r="H3279">
        <v>2</v>
      </c>
    </row>
    <row r="3280" spans="1:8" x14ac:dyDescent="0.35">
      <c r="A3280">
        <v>6174000003133</v>
      </c>
      <c r="B3280" t="s">
        <v>3578</v>
      </c>
      <c r="C3280" t="s">
        <v>603</v>
      </c>
      <c r="D3280" t="s">
        <v>3579</v>
      </c>
      <c r="E3280" t="s">
        <v>130</v>
      </c>
      <c r="F3280" t="s">
        <v>424</v>
      </c>
      <c r="G3280" t="s">
        <v>387</v>
      </c>
      <c r="H3280">
        <v>3</v>
      </c>
    </row>
    <row r="3281" spans="1:8" x14ac:dyDescent="0.35">
      <c r="A3281">
        <v>6174000003164</v>
      </c>
      <c r="B3281" t="s">
        <v>884</v>
      </c>
      <c r="C3281" t="s">
        <v>110</v>
      </c>
      <c r="D3281" t="s">
        <v>3579</v>
      </c>
      <c r="E3281" t="s">
        <v>130</v>
      </c>
      <c r="F3281" t="s">
        <v>424</v>
      </c>
      <c r="G3281" t="s">
        <v>387</v>
      </c>
      <c r="H3281">
        <v>3</v>
      </c>
    </row>
    <row r="3282" spans="1:8" x14ac:dyDescent="0.35">
      <c r="A3282">
        <v>6174000099143</v>
      </c>
      <c r="B3282" t="s">
        <v>3580</v>
      </c>
      <c r="C3282" t="s">
        <v>272</v>
      </c>
      <c r="D3282" t="s">
        <v>998</v>
      </c>
      <c r="E3282" t="s">
        <v>15</v>
      </c>
      <c r="F3282" t="s">
        <v>901</v>
      </c>
      <c r="G3282" t="s">
        <v>387</v>
      </c>
      <c r="H3282">
        <v>1</v>
      </c>
    </row>
    <row r="3283" spans="1:8" x14ac:dyDescent="0.35">
      <c r="A3283">
        <v>6176000000976</v>
      </c>
      <c r="B3283" t="s">
        <v>581</v>
      </c>
      <c r="C3283" t="s">
        <v>603</v>
      </c>
      <c r="D3283" t="s">
        <v>604</v>
      </c>
      <c r="E3283" t="s">
        <v>387</v>
      </c>
      <c r="F3283" t="s">
        <v>601</v>
      </c>
      <c r="G3283" t="s">
        <v>387</v>
      </c>
      <c r="H3283">
        <v>3</v>
      </c>
    </row>
    <row r="3284" spans="1:8" x14ac:dyDescent="0.35">
      <c r="A3284">
        <v>6176000001003</v>
      </c>
      <c r="B3284" t="s">
        <v>3581</v>
      </c>
      <c r="C3284" t="s">
        <v>110</v>
      </c>
      <c r="D3284" t="s">
        <v>604</v>
      </c>
      <c r="E3284" t="s">
        <v>387</v>
      </c>
      <c r="F3284" t="s">
        <v>601</v>
      </c>
      <c r="G3284" t="s">
        <v>387</v>
      </c>
      <c r="H3284">
        <v>7</v>
      </c>
    </row>
    <row r="3285" spans="1:8" x14ac:dyDescent="0.35">
      <c r="A3285">
        <v>6176000001041</v>
      </c>
      <c r="B3285" t="s">
        <v>1857</v>
      </c>
      <c r="C3285" t="s">
        <v>110</v>
      </c>
      <c r="D3285" t="s">
        <v>604</v>
      </c>
      <c r="E3285" t="s">
        <v>387</v>
      </c>
      <c r="F3285" t="s">
        <v>601</v>
      </c>
      <c r="G3285" t="s">
        <v>387</v>
      </c>
      <c r="H3285">
        <v>1</v>
      </c>
    </row>
    <row r="3286" spans="1:8" x14ac:dyDescent="0.35">
      <c r="A3286">
        <v>6176000001058</v>
      </c>
      <c r="B3286" t="s">
        <v>1839</v>
      </c>
      <c r="C3286" t="s">
        <v>9</v>
      </c>
      <c r="D3286" t="s">
        <v>3582</v>
      </c>
      <c r="E3286" t="s">
        <v>387</v>
      </c>
      <c r="F3286" t="s">
        <v>601</v>
      </c>
      <c r="G3286" t="s">
        <v>387</v>
      </c>
      <c r="H3286">
        <v>2</v>
      </c>
    </row>
    <row r="3287" spans="1:8" x14ac:dyDescent="0.35">
      <c r="A3287">
        <v>6176000001096</v>
      </c>
      <c r="B3287" t="s">
        <v>884</v>
      </c>
      <c r="C3287" t="s">
        <v>192</v>
      </c>
      <c r="D3287" t="s">
        <v>3582</v>
      </c>
      <c r="E3287" t="s">
        <v>387</v>
      </c>
      <c r="F3287" t="s">
        <v>601</v>
      </c>
      <c r="G3287" t="s">
        <v>387</v>
      </c>
      <c r="H3287">
        <v>23</v>
      </c>
    </row>
    <row r="3288" spans="1:8" x14ac:dyDescent="0.35">
      <c r="A3288">
        <v>6176000001683</v>
      </c>
      <c r="B3288" t="s">
        <v>884</v>
      </c>
      <c r="C3288" t="s">
        <v>192</v>
      </c>
      <c r="D3288" t="s">
        <v>3583</v>
      </c>
      <c r="E3288" t="s">
        <v>387</v>
      </c>
      <c r="F3288" t="s">
        <v>388</v>
      </c>
      <c r="G3288" t="s">
        <v>387</v>
      </c>
      <c r="H3288">
        <v>29</v>
      </c>
    </row>
    <row r="3289" spans="1:8" x14ac:dyDescent="0.35">
      <c r="A3289">
        <v>6176000001690</v>
      </c>
      <c r="B3289" t="s">
        <v>3583</v>
      </c>
      <c r="C3289" t="s">
        <v>545</v>
      </c>
      <c r="D3289" t="s">
        <v>386</v>
      </c>
      <c r="E3289" t="s">
        <v>387</v>
      </c>
      <c r="F3289" t="s">
        <v>388</v>
      </c>
      <c r="G3289" t="s">
        <v>387</v>
      </c>
      <c r="H3289">
        <v>3</v>
      </c>
    </row>
    <row r="3290" spans="1:8" x14ac:dyDescent="0.35">
      <c r="A3290">
        <v>6181100324150</v>
      </c>
      <c r="B3290" t="s">
        <v>3584</v>
      </c>
      <c r="C3290" t="s">
        <v>38</v>
      </c>
      <c r="D3290" t="s">
        <v>3585</v>
      </c>
      <c r="E3290" t="s">
        <v>117</v>
      </c>
      <c r="F3290" t="s">
        <v>3586</v>
      </c>
      <c r="G3290" t="s">
        <v>117</v>
      </c>
      <c r="H3290">
        <v>1</v>
      </c>
    </row>
    <row r="3291" spans="1:8" x14ac:dyDescent="0.35">
      <c r="A3291">
        <v>6181100324150</v>
      </c>
      <c r="B3291" t="s">
        <v>3584</v>
      </c>
      <c r="C3291" t="s">
        <v>38</v>
      </c>
      <c r="D3291" t="s">
        <v>3585</v>
      </c>
      <c r="E3291" t="s">
        <v>117</v>
      </c>
      <c r="F3291" t="s">
        <v>3586</v>
      </c>
      <c r="G3291" t="s">
        <v>61</v>
      </c>
      <c r="H3291">
        <v>1</v>
      </c>
    </row>
    <row r="3292" spans="1:8" x14ac:dyDescent="0.35">
      <c r="A3292">
        <v>6181100530407</v>
      </c>
      <c r="B3292" t="s">
        <v>3587</v>
      </c>
      <c r="C3292" t="s">
        <v>385</v>
      </c>
      <c r="D3292" t="s">
        <v>3588</v>
      </c>
      <c r="E3292" t="s">
        <v>3589</v>
      </c>
      <c r="F3292" t="s">
        <v>3590</v>
      </c>
      <c r="G3292" t="s">
        <v>34</v>
      </c>
      <c r="H3292">
        <v>1</v>
      </c>
    </row>
    <row r="3293" spans="1:8" x14ac:dyDescent="0.35">
      <c r="A3293">
        <v>6181100535990</v>
      </c>
      <c r="B3293" t="s">
        <v>3591</v>
      </c>
      <c r="C3293" t="s">
        <v>385</v>
      </c>
      <c r="D3293" t="s">
        <v>3590</v>
      </c>
      <c r="E3293" t="s">
        <v>3589</v>
      </c>
      <c r="F3293" t="s">
        <v>3590</v>
      </c>
      <c r="G3293" t="s">
        <v>34</v>
      </c>
      <c r="H3293">
        <v>11</v>
      </c>
    </row>
    <row r="3294" spans="1:8" x14ac:dyDescent="0.35">
      <c r="A3294">
        <v>6181100743401</v>
      </c>
      <c r="B3294" t="s">
        <v>3165</v>
      </c>
      <c r="C3294" t="s">
        <v>3592</v>
      </c>
      <c r="D3294" t="s">
        <v>3593</v>
      </c>
      <c r="E3294" t="s">
        <v>117</v>
      </c>
      <c r="F3294" t="s">
        <v>513</v>
      </c>
      <c r="G3294" t="s">
        <v>117</v>
      </c>
      <c r="H3294">
        <v>13</v>
      </c>
    </row>
    <row r="3295" spans="1:8" x14ac:dyDescent="0.35">
      <c r="A3295">
        <v>6181100743418</v>
      </c>
      <c r="B3295" t="s">
        <v>3165</v>
      </c>
      <c r="C3295" t="s">
        <v>3594</v>
      </c>
      <c r="D3295" t="s">
        <v>3593</v>
      </c>
      <c r="E3295" t="s">
        <v>117</v>
      </c>
      <c r="F3295" t="s">
        <v>513</v>
      </c>
      <c r="G3295" t="s">
        <v>117</v>
      </c>
      <c r="H3295">
        <v>2</v>
      </c>
    </row>
    <row r="3296" spans="1:8" x14ac:dyDescent="0.35">
      <c r="A3296">
        <v>6182000116845</v>
      </c>
      <c r="B3296" t="s">
        <v>3595</v>
      </c>
      <c r="C3296" t="s">
        <v>66</v>
      </c>
      <c r="D3296" t="s">
        <v>3596</v>
      </c>
      <c r="E3296" t="s">
        <v>117</v>
      </c>
      <c r="F3296" t="s">
        <v>3597</v>
      </c>
      <c r="G3296" t="s">
        <v>117</v>
      </c>
      <c r="H3296">
        <v>1</v>
      </c>
    </row>
    <row r="3297" spans="1:8" x14ac:dyDescent="0.35">
      <c r="A3297">
        <v>6182000118535</v>
      </c>
      <c r="B3297" t="s">
        <v>3598</v>
      </c>
      <c r="C3297" t="s">
        <v>892</v>
      </c>
      <c r="D3297" t="s">
        <v>3599</v>
      </c>
      <c r="E3297" t="s">
        <v>117</v>
      </c>
      <c r="F3297" t="s">
        <v>3597</v>
      </c>
      <c r="G3297" t="s">
        <v>117</v>
      </c>
      <c r="H3297">
        <v>2</v>
      </c>
    </row>
    <row r="3298" spans="1:8" x14ac:dyDescent="0.35">
      <c r="A3298">
        <v>6182000126714</v>
      </c>
      <c r="B3298" t="s">
        <v>3600</v>
      </c>
      <c r="C3298" t="s">
        <v>892</v>
      </c>
      <c r="D3298" t="s">
        <v>3596</v>
      </c>
      <c r="E3298" t="s">
        <v>117</v>
      </c>
      <c r="F3298" t="s">
        <v>3597</v>
      </c>
      <c r="G3298" t="s">
        <v>117</v>
      </c>
      <c r="H3298">
        <v>6</v>
      </c>
    </row>
    <row r="3299" spans="1:8" x14ac:dyDescent="0.35">
      <c r="A3299">
        <v>6186000195336</v>
      </c>
      <c r="B3299" t="s">
        <v>3601</v>
      </c>
      <c r="C3299" t="s">
        <v>69</v>
      </c>
      <c r="D3299" t="s">
        <v>3601</v>
      </c>
      <c r="E3299" t="s">
        <v>3589</v>
      </c>
      <c r="F3299" t="s">
        <v>3602</v>
      </c>
      <c r="G3299" t="s">
        <v>41</v>
      </c>
      <c r="H3299">
        <v>100</v>
      </c>
    </row>
    <row r="3300" spans="1:8" x14ac:dyDescent="0.35">
      <c r="A3300">
        <v>6188000012859</v>
      </c>
      <c r="B3300" t="s">
        <v>446</v>
      </c>
      <c r="C3300" t="s">
        <v>447</v>
      </c>
      <c r="D3300" t="s">
        <v>3603</v>
      </c>
      <c r="E3300" t="s">
        <v>117</v>
      </c>
      <c r="F3300" t="s">
        <v>3604</v>
      </c>
      <c r="G3300" t="s">
        <v>117</v>
      </c>
      <c r="H3300">
        <v>1</v>
      </c>
    </row>
    <row r="3301" spans="1:8" x14ac:dyDescent="0.35">
      <c r="A3301">
        <v>6188522935001</v>
      </c>
      <c r="B3301" t="s">
        <v>384</v>
      </c>
      <c r="C3301" t="s">
        <v>623</v>
      </c>
      <c r="D3301" t="s">
        <v>3605</v>
      </c>
      <c r="E3301" t="s">
        <v>31</v>
      </c>
      <c r="F3301" t="s">
        <v>3606</v>
      </c>
      <c r="G3301" t="s">
        <v>31</v>
      </c>
      <c r="H3301">
        <v>518</v>
      </c>
    </row>
    <row r="3302" spans="1:8" x14ac:dyDescent="0.35">
      <c r="A3302">
        <v>620059152408</v>
      </c>
      <c r="B3302" t="s">
        <v>212</v>
      </c>
      <c r="C3302" t="s">
        <v>9</v>
      </c>
      <c r="D3302" t="s">
        <v>632</v>
      </c>
      <c r="E3302" t="s">
        <v>15</v>
      </c>
      <c r="F3302" t="s">
        <v>633</v>
      </c>
      <c r="G3302" t="s">
        <v>16</v>
      </c>
      <c r="H3302">
        <v>12</v>
      </c>
    </row>
    <row r="3303" spans="1:8" x14ac:dyDescent="0.35">
      <c r="A3303">
        <v>6201100030315</v>
      </c>
      <c r="B3303" t="s">
        <v>3607</v>
      </c>
      <c r="C3303" t="s">
        <v>94</v>
      </c>
      <c r="D3303" t="s">
        <v>3608</v>
      </c>
      <c r="E3303" t="s">
        <v>61</v>
      </c>
      <c r="F3303" t="s">
        <v>3608</v>
      </c>
      <c r="G3303" t="s">
        <v>150</v>
      </c>
      <c r="H3303">
        <v>27</v>
      </c>
    </row>
    <row r="3304" spans="1:8" x14ac:dyDescent="0.35">
      <c r="A3304">
        <v>6201100032593</v>
      </c>
      <c r="B3304" t="s">
        <v>3609</v>
      </c>
      <c r="C3304" t="s">
        <v>3610</v>
      </c>
      <c r="D3304" t="s">
        <v>3608</v>
      </c>
      <c r="E3304" t="s">
        <v>61</v>
      </c>
      <c r="F3304" t="s">
        <v>3608</v>
      </c>
      <c r="G3304" t="s">
        <v>150</v>
      </c>
      <c r="H3304">
        <v>2</v>
      </c>
    </row>
    <row r="3305" spans="1:8" x14ac:dyDescent="0.35">
      <c r="A3305">
        <v>6201100033439</v>
      </c>
      <c r="B3305" t="s">
        <v>3611</v>
      </c>
      <c r="C3305" t="s">
        <v>2479</v>
      </c>
      <c r="D3305" t="s">
        <v>3612</v>
      </c>
      <c r="E3305" t="s">
        <v>61</v>
      </c>
      <c r="F3305" t="s">
        <v>3608</v>
      </c>
      <c r="G3305" t="s">
        <v>61</v>
      </c>
      <c r="H3305">
        <v>32</v>
      </c>
    </row>
    <row r="3306" spans="1:8" x14ac:dyDescent="0.35">
      <c r="A3306">
        <v>6201100033583</v>
      </c>
      <c r="B3306" t="s">
        <v>3613</v>
      </c>
      <c r="C3306" t="s">
        <v>630</v>
      </c>
      <c r="D3306" t="s">
        <v>2039</v>
      </c>
      <c r="E3306" t="s">
        <v>921</v>
      </c>
      <c r="F3306" t="s">
        <v>2038</v>
      </c>
      <c r="G3306" t="s">
        <v>61</v>
      </c>
      <c r="H3306">
        <v>1</v>
      </c>
    </row>
    <row r="3307" spans="1:8" x14ac:dyDescent="0.35">
      <c r="A3307">
        <v>6201100033651</v>
      </c>
      <c r="B3307" t="s">
        <v>3614</v>
      </c>
      <c r="C3307" t="s">
        <v>919</v>
      </c>
      <c r="D3307" t="s">
        <v>3615</v>
      </c>
      <c r="E3307" t="s">
        <v>61</v>
      </c>
      <c r="F3307" t="s">
        <v>3616</v>
      </c>
      <c r="G3307" t="s">
        <v>117</v>
      </c>
      <c r="H3307">
        <v>50</v>
      </c>
    </row>
    <row r="3308" spans="1:8" x14ac:dyDescent="0.35">
      <c r="A3308">
        <v>6201100033736</v>
      </c>
      <c r="B3308" t="s">
        <v>3617</v>
      </c>
      <c r="C3308" t="s">
        <v>919</v>
      </c>
      <c r="D3308" t="s">
        <v>3618</v>
      </c>
      <c r="E3308" t="s">
        <v>61</v>
      </c>
      <c r="F3308" t="s">
        <v>3608</v>
      </c>
      <c r="G3308" t="s">
        <v>33</v>
      </c>
      <c r="H3308">
        <v>50</v>
      </c>
    </row>
    <row r="3309" spans="1:8" x14ac:dyDescent="0.35">
      <c r="A3309">
        <v>6201100033736</v>
      </c>
      <c r="B3309" t="s">
        <v>3617</v>
      </c>
      <c r="C3309" t="s">
        <v>919</v>
      </c>
      <c r="D3309" t="s">
        <v>3618</v>
      </c>
      <c r="E3309" t="s">
        <v>61</v>
      </c>
      <c r="F3309" t="s">
        <v>3608</v>
      </c>
      <c r="G3309" t="s">
        <v>61</v>
      </c>
      <c r="H3309">
        <v>1</v>
      </c>
    </row>
    <row r="3310" spans="1:8" x14ac:dyDescent="0.35">
      <c r="A3310">
        <v>6201100033774</v>
      </c>
      <c r="B3310" t="s">
        <v>3619</v>
      </c>
      <c r="C3310" t="s">
        <v>919</v>
      </c>
      <c r="D3310" t="s">
        <v>3620</v>
      </c>
      <c r="E3310" t="s">
        <v>61</v>
      </c>
      <c r="F3310" t="s">
        <v>3616</v>
      </c>
      <c r="G3310" t="s">
        <v>33</v>
      </c>
      <c r="H3310">
        <v>50</v>
      </c>
    </row>
    <row r="3311" spans="1:8" x14ac:dyDescent="0.35">
      <c r="A3311">
        <v>6201100033774</v>
      </c>
      <c r="B3311" t="s">
        <v>3619</v>
      </c>
      <c r="C3311" t="s">
        <v>919</v>
      </c>
      <c r="D3311" t="s">
        <v>3620</v>
      </c>
      <c r="E3311" t="s">
        <v>61</v>
      </c>
      <c r="F3311" t="s">
        <v>3616</v>
      </c>
      <c r="G3311" t="s">
        <v>61</v>
      </c>
      <c r="H3311">
        <v>2</v>
      </c>
    </row>
    <row r="3312" spans="1:8" x14ac:dyDescent="0.35">
      <c r="A3312">
        <v>6201100034580</v>
      </c>
      <c r="B3312" t="s">
        <v>3621</v>
      </c>
      <c r="C3312" t="s">
        <v>66</v>
      </c>
      <c r="D3312" t="s">
        <v>3618</v>
      </c>
      <c r="E3312" t="s">
        <v>61</v>
      </c>
      <c r="F3312" t="s">
        <v>3608</v>
      </c>
      <c r="G3312" t="s">
        <v>33</v>
      </c>
      <c r="H3312">
        <v>50</v>
      </c>
    </row>
    <row r="3313" spans="1:8" x14ac:dyDescent="0.35">
      <c r="A3313">
        <v>6201100034580</v>
      </c>
      <c r="B3313" t="s">
        <v>3621</v>
      </c>
      <c r="C3313" t="s">
        <v>66</v>
      </c>
      <c r="D3313" t="s">
        <v>3618</v>
      </c>
      <c r="E3313" t="s">
        <v>61</v>
      </c>
      <c r="F3313" t="s">
        <v>3608</v>
      </c>
      <c r="G3313" t="s">
        <v>150</v>
      </c>
      <c r="H3313">
        <v>1</v>
      </c>
    </row>
    <row r="3314" spans="1:8" x14ac:dyDescent="0.35">
      <c r="A3314">
        <v>6201100035457</v>
      </c>
      <c r="B3314" t="s">
        <v>3622</v>
      </c>
      <c r="C3314" t="s">
        <v>630</v>
      </c>
      <c r="D3314" t="s">
        <v>3620</v>
      </c>
      <c r="E3314" t="s">
        <v>61</v>
      </c>
      <c r="F3314" t="s">
        <v>3616</v>
      </c>
      <c r="G3314" t="s">
        <v>61</v>
      </c>
      <c r="H3314">
        <v>3</v>
      </c>
    </row>
    <row r="3315" spans="1:8" x14ac:dyDescent="0.35">
      <c r="A3315">
        <v>6201100060954</v>
      </c>
      <c r="B3315" t="s">
        <v>3623</v>
      </c>
      <c r="C3315" t="s">
        <v>3624</v>
      </c>
      <c r="D3315" t="s">
        <v>2081</v>
      </c>
      <c r="E3315" t="s">
        <v>816</v>
      </c>
      <c r="F3315" t="s">
        <v>817</v>
      </c>
      <c r="G3315" t="s">
        <v>34</v>
      </c>
      <c r="H3315">
        <v>3</v>
      </c>
    </row>
    <row r="3316" spans="1:8" x14ac:dyDescent="0.35">
      <c r="A3316">
        <v>6201100060954</v>
      </c>
      <c r="B3316" t="s">
        <v>3623</v>
      </c>
      <c r="C3316" t="s">
        <v>3624</v>
      </c>
      <c r="D3316" t="s">
        <v>2081</v>
      </c>
      <c r="E3316" t="s">
        <v>816</v>
      </c>
      <c r="F3316" t="s">
        <v>817</v>
      </c>
      <c r="G3316" t="s">
        <v>61</v>
      </c>
      <c r="H3316">
        <v>1</v>
      </c>
    </row>
    <row r="3317" spans="1:8" x14ac:dyDescent="0.35">
      <c r="A3317">
        <v>6201100062002</v>
      </c>
      <c r="B3317" t="s">
        <v>3625</v>
      </c>
      <c r="C3317" t="s">
        <v>1199</v>
      </c>
      <c r="D3317" t="s">
        <v>3625</v>
      </c>
      <c r="E3317" t="s">
        <v>816</v>
      </c>
      <c r="F3317" t="s">
        <v>817</v>
      </c>
      <c r="G3317" t="s">
        <v>61</v>
      </c>
      <c r="H3317">
        <v>31</v>
      </c>
    </row>
    <row r="3318" spans="1:8" x14ac:dyDescent="0.35">
      <c r="A3318">
        <v>6201100062019</v>
      </c>
      <c r="B3318" t="s">
        <v>3625</v>
      </c>
      <c r="C3318" t="s">
        <v>1199</v>
      </c>
      <c r="D3318" t="s">
        <v>3625</v>
      </c>
      <c r="E3318" t="s">
        <v>816</v>
      </c>
      <c r="F3318" t="s">
        <v>817</v>
      </c>
      <c r="G3318" t="s">
        <v>61</v>
      </c>
      <c r="H3318">
        <v>1</v>
      </c>
    </row>
    <row r="3319" spans="1:8" x14ac:dyDescent="0.35">
      <c r="A3319">
        <v>6201100062026</v>
      </c>
      <c r="B3319" t="s">
        <v>3626</v>
      </c>
      <c r="C3319" t="s">
        <v>1199</v>
      </c>
      <c r="D3319" t="s">
        <v>3626</v>
      </c>
      <c r="E3319" t="s">
        <v>816</v>
      </c>
      <c r="F3319" t="s">
        <v>817</v>
      </c>
      <c r="G3319" t="s">
        <v>61</v>
      </c>
      <c r="H3319">
        <v>1</v>
      </c>
    </row>
    <row r="3320" spans="1:8" x14ac:dyDescent="0.35">
      <c r="A3320">
        <v>6201100062040</v>
      </c>
      <c r="B3320" t="s">
        <v>3627</v>
      </c>
      <c r="C3320" t="s">
        <v>1199</v>
      </c>
      <c r="D3320" t="s">
        <v>452</v>
      </c>
      <c r="E3320" t="s">
        <v>15</v>
      </c>
      <c r="F3320" t="s">
        <v>14</v>
      </c>
      <c r="G3320" t="s">
        <v>61</v>
      </c>
      <c r="H3320">
        <v>20</v>
      </c>
    </row>
    <row r="3321" spans="1:8" x14ac:dyDescent="0.35">
      <c r="A3321">
        <v>6201100062071</v>
      </c>
      <c r="B3321" t="s">
        <v>3628</v>
      </c>
      <c r="C3321" t="s">
        <v>1199</v>
      </c>
      <c r="D3321" t="s">
        <v>2493</v>
      </c>
      <c r="E3321" t="s">
        <v>816</v>
      </c>
      <c r="F3321" t="s">
        <v>817</v>
      </c>
      <c r="G3321" t="s">
        <v>61</v>
      </c>
      <c r="H3321">
        <v>14</v>
      </c>
    </row>
    <row r="3322" spans="1:8" x14ac:dyDescent="0.35">
      <c r="A3322">
        <v>6201100070083</v>
      </c>
      <c r="B3322" t="s">
        <v>3629</v>
      </c>
      <c r="C3322" t="s">
        <v>78</v>
      </c>
      <c r="D3322" t="s">
        <v>1044</v>
      </c>
      <c r="E3322" t="s">
        <v>15</v>
      </c>
      <c r="F3322" t="s">
        <v>56</v>
      </c>
      <c r="G3322" t="s">
        <v>61</v>
      </c>
      <c r="H3322">
        <v>11</v>
      </c>
    </row>
    <row r="3323" spans="1:8" x14ac:dyDescent="0.35">
      <c r="A3323">
        <v>6201100071622</v>
      </c>
      <c r="B3323" t="s">
        <v>2602</v>
      </c>
      <c r="C3323" t="s">
        <v>909</v>
      </c>
      <c r="D3323" t="s">
        <v>273</v>
      </c>
      <c r="E3323" t="s">
        <v>15</v>
      </c>
      <c r="F3323" t="s">
        <v>56</v>
      </c>
      <c r="G3323" t="s">
        <v>11</v>
      </c>
      <c r="H3323">
        <v>1</v>
      </c>
    </row>
    <row r="3324" spans="1:8" x14ac:dyDescent="0.35">
      <c r="A3324">
        <v>6201100071622</v>
      </c>
      <c r="B3324" t="s">
        <v>2602</v>
      </c>
      <c r="C3324" t="s">
        <v>909</v>
      </c>
      <c r="D3324" t="s">
        <v>273</v>
      </c>
      <c r="E3324" t="s">
        <v>15</v>
      </c>
      <c r="F3324" t="s">
        <v>56</v>
      </c>
      <c r="G3324" t="s">
        <v>34</v>
      </c>
      <c r="H3324">
        <v>22</v>
      </c>
    </row>
    <row r="3325" spans="1:8" x14ac:dyDescent="0.35">
      <c r="A3325">
        <v>6201100071653</v>
      </c>
      <c r="B3325" t="s">
        <v>3630</v>
      </c>
      <c r="C3325" t="s">
        <v>909</v>
      </c>
      <c r="D3325" t="s">
        <v>283</v>
      </c>
      <c r="E3325" t="s">
        <v>15</v>
      </c>
      <c r="F3325" t="s">
        <v>56</v>
      </c>
      <c r="G3325" t="s">
        <v>11</v>
      </c>
      <c r="H3325">
        <v>2</v>
      </c>
    </row>
    <row r="3326" spans="1:8" x14ac:dyDescent="0.35">
      <c r="A3326">
        <v>6201100071684</v>
      </c>
      <c r="B3326" t="s">
        <v>273</v>
      </c>
      <c r="C3326" t="s">
        <v>114</v>
      </c>
      <c r="D3326" t="s">
        <v>273</v>
      </c>
      <c r="E3326" t="s">
        <v>15</v>
      </c>
      <c r="F3326" t="s">
        <v>56</v>
      </c>
      <c r="G3326" t="s">
        <v>16</v>
      </c>
      <c r="H3326">
        <v>1</v>
      </c>
    </row>
    <row r="3327" spans="1:8" x14ac:dyDescent="0.35">
      <c r="A3327">
        <v>6201100071684</v>
      </c>
      <c r="B3327" t="s">
        <v>273</v>
      </c>
      <c r="C3327" t="s">
        <v>114</v>
      </c>
      <c r="D3327" t="s">
        <v>273</v>
      </c>
      <c r="E3327" t="s">
        <v>15</v>
      </c>
      <c r="F3327" t="s">
        <v>56</v>
      </c>
      <c r="G3327" t="s">
        <v>33</v>
      </c>
      <c r="H3327">
        <v>50</v>
      </c>
    </row>
    <row r="3328" spans="1:8" x14ac:dyDescent="0.35">
      <c r="A3328">
        <v>6201100071684</v>
      </c>
      <c r="B3328" t="s">
        <v>273</v>
      </c>
      <c r="C3328" t="s">
        <v>114</v>
      </c>
      <c r="D3328" t="s">
        <v>273</v>
      </c>
      <c r="E3328" t="s">
        <v>15</v>
      </c>
      <c r="F3328" t="s">
        <v>56</v>
      </c>
      <c r="G3328" t="s">
        <v>34</v>
      </c>
      <c r="H3328">
        <v>4</v>
      </c>
    </row>
    <row r="3329" spans="1:8" x14ac:dyDescent="0.35">
      <c r="A3329">
        <v>6201100071684</v>
      </c>
      <c r="B3329" t="s">
        <v>273</v>
      </c>
      <c r="C3329" t="s">
        <v>114</v>
      </c>
      <c r="D3329" t="s">
        <v>273</v>
      </c>
      <c r="E3329" t="s">
        <v>15</v>
      </c>
      <c r="F3329" t="s">
        <v>56</v>
      </c>
      <c r="G3329" t="s">
        <v>61</v>
      </c>
      <c r="H3329">
        <v>648</v>
      </c>
    </row>
    <row r="3330" spans="1:8" x14ac:dyDescent="0.35">
      <c r="A3330">
        <v>6201100071691</v>
      </c>
      <c r="B3330" t="s">
        <v>3631</v>
      </c>
      <c r="C3330" t="s">
        <v>114</v>
      </c>
      <c r="D3330" t="s">
        <v>1044</v>
      </c>
      <c r="E3330" t="s">
        <v>15</v>
      </c>
      <c r="F3330" t="s">
        <v>56</v>
      </c>
      <c r="G3330" t="s">
        <v>117</v>
      </c>
      <c r="H3330">
        <v>50</v>
      </c>
    </row>
    <row r="3331" spans="1:8" x14ac:dyDescent="0.35">
      <c r="A3331">
        <v>6201100071691</v>
      </c>
      <c r="B3331" t="s">
        <v>3631</v>
      </c>
      <c r="C3331" t="s">
        <v>114</v>
      </c>
      <c r="D3331" t="s">
        <v>1044</v>
      </c>
      <c r="E3331" t="s">
        <v>15</v>
      </c>
      <c r="F3331" t="s">
        <v>56</v>
      </c>
      <c r="G3331" t="s">
        <v>34</v>
      </c>
      <c r="H3331">
        <v>1</v>
      </c>
    </row>
    <row r="3332" spans="1:8" x14ac:dyDescent="0.35">
      <c r="A3332">
        <v>6201100071691</v>
      </c>
      <c r="B3332" t="s">
        <v>3631</v>
      </c>
      <c r="C3332" t="s">
        <v>114</v>
      </c>
      <c r="D3332" t="s">
        <v>1044</v>
      </c>
      <c r="E3332" t="s">
        <v>15</v>
      </c>
      <c r="F3332" t="s">
        <v>56</v>
      </c>
      <c r="G3332" t="s">
        <v>150</v>
      </c>
      <c r="H3332">
        <v>24</v>
      </c>
    </row>
    <row r="3333" spans="1:8" x14ac:dyDescent="0.35">
      <c r="A3333">
        <v>6201100071691</v>
      </c>
      <c r="B3333" t="s">
        <v>3631</v>
      </c>
      <c r="C3333" t="s">
        <v>114</v>
      </c>
      <c r="D3333" t="s">
        <v>1044</v>
      </c>
      <c r="E3333" t="s">
        <v>15</v>
      </c>
      <c r="F3333" t="s">
        <v>56</v>
      </c>
      <c r="G3333" t="s">
        <v>61</v>
      </c>
      <c r="H3333">
        <v>695</v>
      </c>
    </row>
    <row r="3334" spans="1:8" x14ac:dyDescent="0.35">
      <c r="A3334">
        <v>6201100071707</v>
      </c>
      <c r="B3334" t="s">
        <v>853</v>
      </c>
      <c r="C3334" t="s">
        <v>114</v>
      </c>
      <c r="D3334" t="s">
        <v>283</v>
      </c>
      <c r="E3334" t="s">
        <v>15</v>
      </c>
      <c r="F3334" t="s">
        <v>56</v>
      </c>
      <c r="G3334" t="s">
        <v>11</v>
      </c>
      <c r="H3334">
        <v>16</v>
      </c>
    </row>
    <row r="3335" spans="1:8" x14ac:dyDescent="0.35">
      <c r="A3335">
        <v>6201100071707</v>
      </c>
      <c r="B3335" t="s">
        <v>853</v>
      </c>
      <c r="C3335" t="s">
        <v>114</v>
      </c>
      <c r="D3335" t="s">
        <v>283</v>
      </c>
      <c r="E3335" t="s">
        <v>15</v>
      </c>
      <c r="F3335" t="s">
        <v>56</v>
      </c>
      <c r="G3335" t="s">
        <v>34</v>
      </c>
      <c r="H3335">
        <v>1</v>
      </c>
    </row>
    <row r="3336" spans="1:8" x14ac:dyDescent="0.35">
      <c r="A3336">
        <v>6201100071707</v>
      </c>
      <c r="B3336" t="s">
        <v>853</v>
      </c>
      <c r="C3336" t="s">
        <v>114</v>
      </c>
      <c r="D3336" t="s">
        <v>283</v>
      </c>
      <c r="E3336" t="s">
        <v>15</v>
      </c>
      <c r="F3336" t="s">
        <v>56</v>
      </c>
      <c r="G3336" t="s">
        <v>61</v>
      </c>
      <c r="H3336">
        <v>2</v>
      </c>
    </row>
    <row r="3337" spans="1:8" x14ac:dyDescent="0.35">
      <c r="A3337">
        <v>6201100071714</v>
      </c>
      <c r="B3337" t="s">
        <v>1940</v>
      </c>
      <c r="C3337" t="s">
        <v>114</v>
      </c>
      <c r="D3337" t="s">
        <v>24</v>
      </c>
      <c r="E3337" t="s">
        <v>15</v>
      </c>
      <c r="F3337" t="s">
        <v>25</v>
      </c>
      <c r="G3337" t="s">
        <v>61</v>
      </c>
      <c r="H3337">
        <v>7</v>
      </c>
    </row>
    <row r="3338" spans="1:8" x14ac:dyDescent="0.35">
      <c r="A3338">
        <v>6201100071738</v>
      </c>
      <c r="B3338" t="s">
        <v>3632</v>
      </c>
      <c r="C3338" t="s">
        <v>447</v>
      </c>
      <c r="D3338" t="s">
        <v>273</v>
      </c>
      <c r="E3338" t="s">
        <v>15</v>
      </c>
      <c r="F3338" t="s">
        <v>56</v>
      </c>
      <c r="G3338" t="s">
        <v>61</v>
      </c>
      <c r="H3338">
        <v>30</v>
      </c>
    </row>
    <row r="3339" spans="1:8" x14ac:dyDescent="0.35">
      <c r="A3339">
        <v>6201100071912</v>
      </c>
      <c r="B3339" t="s">
        <v>1291</v>
      </c>
      <c r="C3339" t="s">
        <v>83</v>
      </c>
      <c r="D3339" t="s">
        <v>273</v>
      </c>
      <c r="E3339" t="s">
        <v>15</v>
      </c>
      <c r="F3339" t="s">
        <v>56</v>
      </c>
      <c r="G3339" t="s">
        <v>22</v>
      </c>
      <c r="H3339">
        <v>1</v>
      </c>
    </row>
    <row r="3340" spans="1:8" x14ac:dyDescent="0.35">
      <c r="A3340">
        <v>6201100071912</v>
      </c>
      <c r="B3340" t="s">
        <v>1291</v>
      </c>
      <c r="C3340" t="s">
        <v>83</v>
      </c>
      <c r="D3340" t="s">
        <v>273</v>
      </c>
      <c r="E3340" t="s">
        <v>15</v>
      </c>
      <c r="F3340" t="s">
        <v>56</v>
      </c>
      <c r="G3340" t="s">
        <v>61</v>
      </c>
      <c r="H3340">
        <v>311</v>
      </c>
    </row>
    <row r="3341" spans="1:8" x14ac:dyDescent="0.35">
      <c r="A3341">
        <v>6201100072308</v>
      </c>
      <c r="B3341" t="s">
        <v>3461</v>
      </c>
      <c r="C3341" t="s">
        <v>83</v>
      </c>
      <c r="D3341" t="s">
        <v>24</v>
      </c>
      <c r="E3341" t="s">
        <v>15</v>
      </c>
      <c r="F3341" t="s">
        <v>25</v>
      </c>
      <c r="G3341" t="s">
        <v>61</v>
      </c>
      <c r="H3341">
        <v>47</v>
      </c>
    </row>
    <row r="3342" spans="1:8" x14ac:dyDescent="0.35">
      <c r="A3342">
        <v>6201100350611</v>
      </c>
      <c r="B3342" t="s">
        <v>834</v>
      </c>
      <c r="C3342" t="s">
        <v>9</v>
      </c>
      <c r="D3342" t="s">
        <v>3633</v>
      </c>
      <c r="E3342" t="s">
        <v>61</v>
      </c>
      <c r="F3342" t="s">
        <v>3634</v>
      </c>
      <c r="G3342" t="s">
        <v>61</v>
      </c>
      <c r="H3342">
        <v>1</v>
      </c>
    </row>
    <row r="3343" spans="1:8" x14ac:dyDescent="0.35">
      <c r="A3343">
        <v>6201100350628</v>
      </c>
      <c r="B3343" t="s">
        <v>3635</v>
      </c>
      <c r="C3343" t="s">
        <v>81</v>
      </c>
      <c r="D3343" t="s">
        <v>3633</v>
      </c>
      <c r="E3343" t="s">
        <v>61</v>
      </c>
      <c r="F3343" t="s">
        <v>3634</v>
      </c>
      <c r="G3343" t="s">
        <v>61</v>
      </c>
      <c r="H3343">
        <v>63</v>
      </c>
    </row>
    <row r="3344" spans="1:8" x14ac:dyDescent="0.35">
      <c r="A3344">
        <v>6201101020025</v>
      </c>
      <c r="B3344" t="s">
        <v>544</v>
      </c>
      <c r="C3344" t="s">
        <v>192</v>
      </c>
      <c r="D3344" t="s">
        <v>415</v>
      </c>
      <c r="E3344" t="s">
        <v>61</v>
      </c>
      <c r="F3344" t="s">
        <v>416</v>
      </c>
      <c r="G3344" t="s">
        <v>61</v>
      </c>
      <c r="H3344">
        <v>84</v>
      </c>
    </row>
    <row r="3345" spans="1:8" x14ac:dyDescent="0.35">
      <c r="A3345">
        <v>6201101020087</v>
      </c>
      <c r="B3345" t="s">
        <v>3636</v>
      </c>
      <c r="C3345" t="s">
        <v>114</v>
      </c>
      <c r="D3345" t="s">
        <v>415</v>
      </c>
      <c r="E3345" t="s">
        <v>61</v>
      </c>
      <c r="F3345" t="s">
        <v>416</v>
      </c>
      <c r="G3345" t="s">
        <v>61</v>
      </c>
      <c r="H3345">
        <v>134</v>
      </c>
    </row>
    <row r="3346" spans="1:8" x14ac:dyDescent="0.35">
      <c r="A3346">
        <v>6201101020094</v>
      </c>
      <c r="B3346" t="s">
        <v>3636</v>
      </c>
      <c r="C3346" t="s">
        <v>81</v>
      </c>
      <c r="D3346" t="s">
        <v>415</v>
      </c>
      <c r="E3346" t="s">
        <v>61</v>
      </c>
      <c r="F3346" t="s">
        <v>416</v>
      </c>
      <c r="G3346" t="s">
        <v>61</v>
      </c>
      <c r="H3346">
        <v>38</v>
      </c>
    </row>
    <row r="3347" spans="1:8" x14ac:dyDescent="0.35">
      <c r="A3347">
        <v>6201101021077</v>
      </c>
      <c r="B3347" t="s">
        <v>3636</v>
      </c>
      <c r="C3347" t="s">
        <v>114</v>
      </c>
      <c r="D3347" t="s">
        <v>415</v>
      </c>
      <c r="E3347" t="s">
        <v>61</v>
      </c>
      <c r="F3347" t="s">
        <v>416</v>
      </c>
      <c r="G3347" t="s">
        <v>61</v>
      </c>
      <c r="H3347">
        <v>2</v>
      </c>
    </row>
    <row r="3348" spans="1:8" x14ac:dyDescent="0.35">
      <c r="A3348">
        <v>6201101060250</v>
      </c>
      <c r="B3348" t="s">
        <v>3637</v>
      </c>
      <c r="C3348" t="s">
        <v>2062</v>
      </c>
      <c r="D3348" t="s">
        <v>3446</v>
      </c>
      <c r="E3348" t="s">
        <v>61</v>
      </c>
      <c r="F3348" t="s">
        <v>3447</v>
      </c>
      <c r="G3348" t="s">
        <v>61</v>
      </c>
      <c r="H3348">
        <v>2</v>
      </c>
    </row>
    <row r="3349" spans="1:8" x14ac:dyDescent="0.35">
      <c r="A3349">
        <v>6201101060342</v>
      </c>
      <c r="B3349" t="s">
        <v>3638</v>
      </c>
      <c r="C3349" t="s">
        <v>3639</v>
      </c>
      <c r="D3349" t="s">
        <v>2345</v>
      </c>
      <c r="E3349" t="s">
        <v>308</v>
      </c>
      <c r="F3349" t="s">
        <v>309</v>
      </c>
      <c r="G3349" t="s">
        <v>61</v>
      </c>
      <c r="H3349">
        <v>27</v>
      </c>
    </row>
    <row r="3350" spans="1:8" x14ac:dyDescent="0.35">
      <c r="A3350">
        <v>6201101060366</v>
      </c>
      <c r="B3350" t="s">
        <v>2282</v>
      </c>
      <c r="C3350" t="s">
        <v>2368</v>
      </c>
      <c r="D3350" t="s">
        <v>3446</v>
      </c>
      <c r="E3350" t="s">
        <v>61</v>
      </c>
      <c r="F3350" t="s">
        <v>3447</v>
      </c>
      <c r="G3350" t="s">
        <v>34</v>
      </c>
      <c r="H3350">
        <v>1</v>
      </c>
    </row>
    <row r="3351" spans="1:8" x14ac:dyDescent="0.35">
      <c r="A3351">
        <v>6201101060366</v>
      </c>
      <c r="B3351" t="s">
        <v>2282</v>
      </c>
      <c r="C3351" t="s">
        <v>2368</v>
      </c>
      <c r="D3351" t="s">
        <v>3446</v>
      </c>
      <c r="E3351" t="s">
        <v>61</v>
      </c>
      <c r="F3351" t="s">
        <v>3447</v>
      </c>
      <c r="G3351" t="s">
        <v>61</v>
      </c>
      <c r="H3351">
        <v>37</v>
      </c>
    </row>
    <row r="3352" spans="1:8" x14ac:dyDescent="0.35">
      <c r="A3352">
        <v>6201672417934</v>
      </c>
      <c r="B3352" t="s">
        <v>3640</v>
      </c>
      <c r="C3352" t="s">
        <v>2479</v>
      </c>
      <c r="D3352" t="s">
        <v>1176</v>
      </c>
      <c r="E3352" t="s">
        <v>61</v>
      </c>
      <c r="F3352" t="s">
        <v>1070</v>
      </c>
      <c r="G3352" t="s">
        <v>61</v>
      </c>
      <c r="H3352">
        <v>51</v>
      </c>
    </row>
    <row r="3353" spans="1:8" x14ac:dyDescent="0.35">
      <c r="A3353">
        <v>620213015297</v>
      </c>
      <c r="B3353" t="s">
        <v>3641</v>
      </c>
      <c r="C3353" t="s">
        <v>3642</v>
      </c>
      <c r="D3353" t="s">
        <v>639</v>
      </c>
      <c r="E3353" t="s">
        <v>640</v>
      </c>
      <c r="F3353" t="s">
        <v>641</v>
      </c>
      <c r="G3353" t="s">
        <v>16</v>
      </c>
      <c r="H3353">
        <v>4</v>
      </c>
    </row>
    <row r="3354" spans="1:8" x14ac:dyDescent="0.35">
      <c r="A3354">
        <v>620213015457</v>
      </c>
      <c r="B3354" t="s">
        <v>3641</v>
      </c>
      <c r="C3354" t="s">
        <v>610</v>
      </c>
      <c r="D3354" t="s">
        <v>639</v>
      </c>
      <c r="E3354" t="s">
        <v>640</v>
      </c>
      <c r="F3354" t="s">
        <v>641</v>
      </c>
      <c r="G3354" t="s">
        <v>16</v>
      </c>
      <c r="H3354">
        <v>10</v>
      </c>
    </row>
    <row r="3355" spans="1:8" x14ac:dyDescent="0.35">
      <c r="A3355">
        <v>620213015600</v>
      </c>
      <c r="B3355" t="s">
        <v>3641</v>
      </c>
      <c r="C3355" t="s">
        <v>3624</v>
      </c>
      <c r="D3355" t="s">
        <v>639</v>
      </c>
      <c r="E3355" t="s">
        <v>640</v>
      </c>
      <c r="F3355" t="s">
        <v>641</v>
      </c>
      <c r="G3355" t="s">
        <v>16</v>
      </c>
      <c r="H3355">
        <v>3</v>
      </c>
    </row>
    <row r="3356" spans="1:8" x14ac:dyDescent="0.35">
      <c r="A3356">
        <v>620213250100</v>
      </c>
      <c r="B3356" t="s">
        <v>13</v>
      </c>
      <c r="C3356" t="s">
        <v>603</v>
      </c>
      <c r="D3356" t="s">
        <v>3643</v>
      </c>
      <c r="E3356" t="s">
        <v>640</v>
      </c>
      <c r="F3356" t="s">
        <v>641</v>
      </c>
      <c r="G3356" t="s">
        <v>16</v>
      </c>
      <c r="H3356">
        <v>3</v>
      </c>
    </row>
    <row r="3357" spans="1:8" x14ac:dyDescent="0.35">
      <c r="A3357">
        <v>6203000036275</v>
      </c>
      <c r="B3357" t="s">
        <v>3644</v>
      </c>
      <c r="C3357" t="s">
        <v>272</v>
      </c>
      <c r="D3357" t="s">
        <v>3645</v>
      </c>
      <c r="E3357" t="s">
        <v>61</v>
      </c>
      <c r="F3357" t="s">
        <v>3646</v>
      </c>
      <c r="G3357" t="s">
        <v>61</v>
      </c>
      <c r="H3357">
        <v>104</v>
      </c>
    </row>
    <row r="3358" spans="1:8" x14ac:dyDescent="0.35">
      <c r="A3358">
        <v>6203000080018</v>
      </c>
      <c r="B3358" t="s">
        <v>544</v>
      </c>
      <c r="C3358" t="s">
        <v>9</v>
      </c>
      <c r="D3358" t="s">
        <v>2717</v>
      </c>
      <c r="E3358" t="s">
        <v>61</v>
      </c>
      <c r="F3358" t="s">
        <v>2718</v>
      </c>
      <c r="G3358" t="s">
        <v>61</v>
      </c>
      <c r="H3358">
        <v>56</v>
      </c>
    </row>
    <row r="3359" spans="1:8" x14ac:dyDescent="0.35">
      <c r="A3359">
        <v>6203000080032</v>
      </c>
      <c r="B3359" t="s">
        <v>262</v>
      </c>
      <c r="C3359" t="s">
        <v>192</v>
      </c>
      <c r="D3359" t="s">
        <v>2717</v>
      </c>
      <c r="E3359" t="s">
        <v>61</v>
      </c>
      <c r="F3359" t="s">
        <v>2718</v>
      </c>
      <c r="G3359" t="s">
        <v>150</v>
      </c>
      <c r="H3359">
        <v>14</v>
      </c>
    </row>
    <row r="3360" spans="1:8" x14ac:dyDescent="0.35">
      <c r="A3360">
        <v>6203000080032</v>
      </c>
      <c r="B3360" t="s">
        <v>262</v>
      </c>
      <c r="C3360" t="s">
        <v>192</v>
      </c>
      <c r="D3360" t="s">
        <v>2717</v>
      </c>
      <c r="E3360" t="s">
        <v>61</v>
      </c>
      <c r="F3360" t="s">
        <v>2718</v>
      </c>
      <c r="G3360" t="s">
        <v>61</v>
      </c>
      <c r="H3360">
        <v>49</v>
      </c>
    </row>
    <row r="3361" spans="1:8" x14ac:dyDescent="0.35">
      <c r="A3361">
        <v>6203000080124</v>
      </c>
      <c r="B3361" t="s">
        <v>509</v>
      </c>
      <c r="C3361" t="s">
        <v>38</v>
      </c>
      <c r="D3361" t="s">
        <v>2717</v>
      </c>
      <c r="E3361" t="s">
        <v>61</v>
      </c>
      <c r="F3361" t="s">
        <v>2718</v>
      </c>
      <c r="G3361" t="s">
        <v>61</v>
      </c>
      <c r="H3361">
        <v>10</v>
      </c>
    </row>
    <row r="3362" spans="1:8" x14ac:dyDescent="0.35">
      <c r="A3362">
        <v>6203000080148</v>
      </c>
      <c r="B3362" t="s">
        <v>3647</v>
      </c>
      <c r="C3362" t="s">
        <v>909</v>
      </c>
      <c r="D3362" t="s">
        <v>2717</v>
      </c>
      <c r="E3362" t="s">
        <v>61</v>
      </c>
      <c r="F3362" t="s">
        <v>2718</v>
      </c>
      <c r="G3362" t="s">
        <v>61</v>
      </c>
      <c r="H3362">
        <v>1</v>
      </c>
    </row>
    <row r="3363" spans="1:8" x14ac:dyDescent="0.35">
      <c r="A3363">
        <v>6203000080186</v>
      </c>
      <c r="B3363" t="s">
        <v>3648</v>
      </c>
      <c r="C3363" t="s">
        <v>38</v>
      </c>
      <c r="D3363" t="s">
        <v>2717</v>
      </c>
      <c r="E3363" t="s">
        <v>61</v>
      </c>
      <c r="F3363" t="s">
        <v>2718</v>
      </c>
      <c r="G3363" t="s">
        <v>61</v>
      </c>
      <c r="H3363">
        <v>39</v>
      </c>
    </row>
    <row r="3364" spans="1:8" x14ac:dyDescent="0.35">
      <c r="A3364">
        <v>6203000080414</v>
      </c>
      <c r="B3364" t="s">
        <v>3649</v>
      </c>
      <c r="C3364" t="s">
        <v>38</v>
      </c>
      <c r="D3364" t="s">
        <v>2717</v>
      </c>
      <c r="E3364" t="s">
        <v>61</v>
      </c>
      <c r="F3364" t="s">
        <v>2718</v>
      </c>
      <c r="G3364" t="s">
        <v>61</v>
      </c>
      <c r="H3364">
        <v>11</v>
      </c>
    </row>
    <row r="3365" spans="1:8" x14ac:dyDescent="0.35">
      <c r="A3365">
        <v>6203000080759</v>
      </c>
      <c r="B3365" t="s">
        <v>3650</v>
      </c>
      <c r="C3365" t="s">
        <v>38</v>
      </c>
      <c r="D3365" t="s">
        <v>2717</v>
      </c>
      <c r="E3365" t="s">
        <v>61</v>
      </c>
      <c r="F3365" t="s">
        <v>2718</v>
      </c>
      <c r="G3365" t="s">
        <v>61</v>
      </c>
      <c r="H3365">
        <v>20</v>
      </c>
    </row>
    <row r="3366" spans="1:8" x14ac:dyDescent="0.35">
      <c r="A3366">
        <v>6203001380087</v>
      </c>
      <c r="B3366" t="s">
        <v>3651</v>
      </c>
      <c r="C3366" t="s">
        <v>458</v>
      </c>
      <c r="D3366" t="s">
        <v>3652</v>
      </c>
      <c r="E3366" t="s">
        <v>61</v>
      </c>
      <c r="F3366" t="s">
        <v>3653</v>
      </c>
      <c r="G3366" t="s">
        <v>61</v>
      </c>
      <c r="H3366">
        <v>7</v>
      </c>
    </row>
    <row r="3367" spans="1:8" x14ac:dyDescent="0.35">
      <c r="A3367">
        <v>6203001630007</v>
      </c>
      <c r="B3367" t="s">
        <v>3654</v>
      </c>
      <c r="C3367" t="s">
        <v>3655</v>
      </c>
      <c r="D3367" t="s">
        <v>1238</v>
      </c>
      <c r="E3367" t="s">
        <v>61</v>
      </c>
      <c r="F3367" t="s">
        <v>1239</v>
      </c>
      <c r="G3367" t="s">
        <v>61</v>
      </c>
      <c r="H3367">
        <v>2</v>
      </c>
    </row>
    <row r="3368" spans="1:8" x14ac:dyDescent="0.35">
      <c r="A3368">
        <v>6203001630014</v>
      </c>
      <c r="B3368" t="s">
        <v>167</v>
      </c>
      <c r="C3368" t="s">
        <v>2483</v>
      </c>
      <c r="D3368" t="s">
        <v>1238</v>
      </c>
      <c r="E3368" t="s">
        <v>61</v>
      </c>
      <c r="F3368" t="s">
        <v>1239</v>
      </c>
      <c r="G3368" t="s">
        <v>61</v>
      </c>
      <c r="H3368">
        <v>4</v>
      </c>
    </row>
    <row r="3369" spans="1:8" x14ac:dyDescent="0.35">
      <c r="A3369">
        <v>6203001630045</v>
      </c>
      <c r="B3369" t="s">
        <v>887</v>
      </c>
      <c r="C3369" t="s">
        <v>3656</v>
      </c>
      <c r="D3369" t="s">
        <v>1238</v>
      </c>
      <c r="E3369" t="s">
        <v>61</v>
      </c>
      <c r="F3369" t="s">
        <v>1239</v>
      </c>
      <c r="G3369" t="s">
        <v>61</v>
      </c>
      <c r="H3369">
        <v>19</v>
      </c>
    </row>
    <row r="3370" spans="1:8" x14ac:dyDescent="0.35">
      <c r="A3370">
        <v>6203001630045</v>
      </c>
      <c r="B3370" t="s">
        <v>887</v>
      </c>
      <c r="C3370" t="s">
        <v>3656</v>
      </c>
      <c r="D3370" t="s">
        <v>1238</v>
      </c>
      <c r="E3370" t="s">
        <v>61</v>
      </c>
      <c r="F3370" t="s">
        <v>1239</v>
      </c>
      <c r="G3370" t="s">
        <v>31</v>
      </c>
      <c r="H3370">
        <v>1</v>
      </c>
    </row>
    <row r="3371" spans="1:8" x14ac:dyDescent="0.35">
      <c r="A3371">
        <v>6203001630052</v>
      </c>
      <c r="B3371" t="s">
        <v>3657</v>
      </c>
      <c r="C3371" t="s">
        <v>2244</v>
      </c>
      <c r="D3371" t="s">
        <v>1238</v>
      </c>
      <c r="E3371" t="s">
        <v>61</v>
      </c>
      <c r="F3371" t="s">
        <v>1239</v>
      </c>
      <c r="G3371" t="s">
        <v>61</v>
      </c>
      <c r="H3371">
        <v>60</v>
      </c>
    </row>
    <row r="3372" spans="1:8" x14ac:dyDescent="0.35">
      <c r="A3372">
        <v>6203001630069</v>
      </c>
      <c r="B3372" t="s">
        <v>3658</v>
      </c>
      <c r="C3372" t="s">
        <v>2244</v>
      </c>
      <c r="D3372" t="s">
        <v>1238</v>
      </c>
      <c r="E3372" t="s">
        <v>61</v>
      </c>
      <c r="F3372" t="s">
        <v>1239</v>
      </c>
      <c r="G3372" t="s">
        <v>61</v>
      </c>
      <c r="H3372">
        <v>25</v>
      </c>
    </row>
    <row r="3373" spans="1:8" x14ac:dyDescent="0.35">
      <c r="A3373">
        <v>6203001630076</v>
      </c>
      <c r="B3373" t="s">
        <v>3659</v>
      </c>
      <c r="C3373" t="s">
        <v>2483</v>
      </c>
      <c r="D3373" t="s">
        <v>1238</v>
      </c>
      <c r="E3373" t="s">
        <v>61</v>
      </c>
      <c r="F3373" t="s">
        <v>1239</v>
      </c>
      <c r="G3373" t="s">
        <v>61</v>
      </c>
      <c r="H3373">
        <v>34</v>
      </c>
    </row>
    <row r="3374" spans="1:8" x14ac:dyDescent="0.35">
      <c r="A3374">
        <v>6203001630083</v>
      </c>
      <c r="B3374" t="s">
        <v>3660</v>
      </c>
      <c r="C3374" t="s">
        <v>2244</v>
      </c>
      <c r="D3374" t="s">
        <v>1238</v>
      </c>
      <c r="E3374" t="s">
        <v>61</v>
      </c>
      <c r="F3374" t="s">
        <v>1239</v>
      </c>
      <c r="G3374" t="s">
        <v>61</v>
      </c>
      <c r="H3374">
        <v>79</v>
      </c>
    </row>
    <row r="3375" spans="1:8" x14ac:dyDescent="0.35">
      <c r="A3375">
        <v>6203001630090</v>
      </c>
      <c r="B3375" t="s">
        <v>3661</v>
      </c>
      <c r="C3375" t="s">
        <v>3655</v>
      </c>
      <c r="D3375" t="s">
        <v>1238</v>
      </c>
      <c r="E3375" t="s">
        <v>61</v>
      </c>
      <c r="F3375" t="s">
        <v>1239</v>
      </c>
      <c r="G3375" t="s">
        <v>61</v>
      </c>
      <c r="H3375">
        <v>2</v>
      </c>
    </row>
    <row r="3376" spans="1:8" x14ac:dyDescent="0.35">
      <c r="A3376">
        <v>6203001630243</v>
      </c>
      <c r="B3376" t="s">
        <v>1922</v>
      </c>
      <c r="C3376" t="s">
        <v>849</v>
      </c>
      <c r="D3376" t="s">
        <v>1238</v>
      </c>
      <c r="E3376" t="s">
        <v>61</v>
      </c>
      <c r="F3376" t="s">
        <v>1239</v>
      </c>
      <c r="G3376" t="s">
        <v>150</v>
      </c>
      <c r="H3376">
        <v>2</v>
      </c>
    </row>
    <row r="3377" spans="1:8" x14ac:dyDescent="0.35">
      <c r="A3377">
        <v>6203001630243</v>
      </c>
      <c r="B3377" t="s">
        <v>1922</v>
      </c>
      <c r="C3377" t="s">
        <v>849</v>
      </c>
      <c r="D3377" t="s">
        <v>1238</v>
      </c>
      <c r="E3377" t="s">
        <v>61</v>
      </c>
      <c r="F3377" t="s">
        <v>1239</v>
      </c>
      <c r="G3377" t="s">
        <v>61</v>
      </c>
      <c r="H3377">
        <v>1</v>
      </c>
    </row>
    <row r="3378" spans="1:8" x14ac:dyDescent="0.35">
      <c r="A3378">
        <v>6203001630533</v>
      </c>
      <c r="B3378" t="s">
        <v>3662</v>
      </c>
      <c r="C3378" t="s">
        <v>2483</v>
      </c>
      <c r="D3378" t="s">
        <v>1238</v>
      </c>
      <c r="E3378" t="s">
        <v>61</v>
      </c>
      <c r="F3378" t="s">
        <v>1239</v>
      </c>
      <c r="G3378" t="s">
        <v>61</v>
      </c>
      <c r="H3378">
        <v>2</v>
      </c>
    </row>
    <row r="3379" spans="1:8" x14ac:dyDescent="0.35">
      <c r="A3379">
        <v>6203001630632</v>
      </c>
      <c r="B3379" t="s">
        <v>3663</v>
      </c>
      <c r="C3379" t="s">
        <v>603</v>
      </c>
      <c r="D3379" t="s">
        <v>1238</v>
      </c>
      <c r="E3379" t="s">
        <v>61</v>
      </c>
      <c r="F3379" t="s">
        <v>1239</v>
      </c>
      <c r="G3379" t="s">
        <v>61</v>
      </c>
      <c r="H3379">
        <v>10</v>
      </c>
    </row>
    <row r="3380" spans="1:8" x14ac:dyDescent="0.35">
      <c r="A3380">
        <v>6203001630649</v>
      </c>
      <c r="B3380" t="s">
        <v>3664</v>
      </c>
      <c r="C3380" t="s">
        <v>603</v>
      </c>
      <c r="D3380" t="s">
        <v>1238</v>
      </c>
      <c r="E3380" t="s">
        <v>61</v>
      </c>
      <c r="F3380" t="s">
        <v>1239</v>
      </c>
      <c r="G3380" t="s">
        <v>61</v>
      </c>
      <c r="H3380">
        <v>116</v>
      </c>
    </row>
    <row r="3381" spans="1:8" x14ac:dyDescent="0.35">
      <c r="A3381">
        <v>6203001630656</v>
      </c>
      <c r="B3381" t="s">
        <v>1320</v>
      </c>
      <c r="C3381" t="s">
        <v>603</v>
      </c>
      <c r="D3381" t="s">
        <v>1238</v>
      </c>
      <c r="E3381" t="s">
        <v>61</v>
      </c>
      <c r="F3381" t="s">
        <v>1239</v>
      </c>
      <c r="G3381" t="s">
        <v>61</v>
      </c>
      <c r="H3381">
        <v>159</v>
      </c>
    </row>
    <row r="3382" spans="1:8" x14ac:dyDescent="0.35">
      <c r="A3382">
        <v>6203001630731</v>
      </c>
      <c r="B3382" t="s">
        <v>3665</v>
      </c>
      <c r="C3382" t="s">
        <v>38</v>
      </c>
      <c r="D3382" t="s">
        <v>1238</v>
      </c>
      <c r="E3382" t="s">
        <v>61</v>
      </c>
      <c r="F3382" t="s">
        <v>1239</v>
      </c>
      <c r="G3382" t="s">
        <v>61</v>
      </c>
      <c r="H3382">
        <v>10</v>
      </c>
    </row>
    <row r="3383" spans="1:8" x14ac:dyDescent="0.35">
      <c r="A3383">
        <v>6203001630854</v>
      </c>
      <c r="B3383" t="s">
        <v>3666</v>
      </c>
      <c r="C3383" t="s">
        <v>603</v>
      </c>
      <c r="D3383" t="s">
        <v>1238</v>
      </c>
      <c r="E3383" t="s">
        <v>61</v>
      </c>
      <c r="F3383" t="s">
        <v>1239</v>
      </c>
      <c r="G3383" t="s">
        <v>61</v>
      </c>
      <c r="H3383">
        <v>1</v>
      </c>
    </row>
    <row r="3384" spans="1:8" x14ac:dyDescent="0.35">
      <c r="A3384">
        <v>6203001631066</v>
      </c>
      <c r="B3384" t="s">
        <v>3667</v>
      </c>
      <c r="C3384" t="s">
        <v>2483</v>
      </c>
      <c r="D3384" t="s">
        <v>1238</v>
      </c>
      <c r="E3384" t="s">
        <v>61</v>
      </c>
      <c r="F3384" t="s">
        <v>1239</v>
      </c>
      <c r="G3384" t="s">
        <v>61</v>
      </c>
      <c r="H3384">
        <v>14</v>
      </c>
    </row>
    <row r="3385" spans="1:8" x14ac:dyDescent="0.35">
      <c r="A3385">
        <v>6203001631073</v>
      </c>
      <c r="B3385" t="s">
        <v>3668</v>
      </c>
      <c r="C3385" t="s">
        <v>2483</v>
      </c>
      <c r="D3385" t="s">
        <v>1238</v>
      </c>
      <c r="E3385" t="s">
        <v>61</v>
      </c>
      <c r="F3385" t="s">
        <v>1239</v>
      </c>
      <c r="G3385" t="s">
        <v>61</v>
      </c>
      <c r="H3385">
        <v>33</v>
      </c>
    </row>
    <row r="3386" spans="1:8" x14ac:dyDescent="0.35">
      <c r="A3386">
        <v>6203001631219</v>
      </c>
      <c r="B3386" t="s">
        <v>3669</v>
      </c>
      <c r="C3386" t="s">
        <v>36</v>
      </c>
      <c r="D3386" t="s">
        <v>1238</v>
      </c>
      <c r="E3386" t="s">
        <v>61</v>
      </c>
      <c r="F3386" t="s">
        <v>1239</v>
      </c>
      <c r="G3386" t="s">
        <v>61</v>
      </c>
      <c r="H3386">
        <v>3</v>
      </c>
    </row>
    <row r="3387" spans="1:8" x14ac:dyDescent="0.35">
      <c r="A3387">
        <v>6203003250173</v>
      </c>
      <c r="B3387" t="s">
        <v>1947</v>
      </c>
      <c r="C3387" t="s">
        <v>83</v>
      </c>
      <c r="D3387" t="s">
        <v>366</v>
      </c>
      <c r="E3387" t="s">
        <v>61</v>
      </c>
      <c r="F3387" t="s">
        <v>364</v>
      </c>
      <c r="G3387" t="s">
        <v>61</v>
      </c>
      <c r="H3387">
        <v>20</v>
      </c>
    </row>
    <row r="3388" spans="1:8" x14ac:dyDescent="0.35">
      <c r="A3388">
        <v>6203003250180</v>
      </c>
      <c r="B3388" t="s">
        <v>3670</v>
      </c>
      <c r="C3388" t="s">
        <v>83</v>
      </c>
      <c r="D3388" t="s">
        <v>366</v>
      </c>
      <c r="E3388" t="s">
        <v>61</v>
      </c>
      <c r="F3388" t="s">
        <v>364</v>
      </c>
      <c r="G3388" t="s">
        <v>61</v>
      </c>
      <c r="H3388">
        <v>135</v>
      </c>
    </row>
    <row r="3389" spans="1:8" x14ac:dyDescent="0.35">
      <c r="A3389">
        <v>6203003250180</v>
      </c>
      <c r="B3389" t="s">
        <v>3670</v>
      </c>
      <c r="C3389" t="s">
        <v>83</v>
      </c>
      <c r="D3389" t="s">
        <v>366</v>
      </c>
      <c r="E3389" t="s">
        <v>61</v>
      </c>
      <c r="F3389" t="s">
        <v>364</v>
      </c>
      <c r="G3389" t="s">
        <v>31</v>
      </c>
      <c r="H3389">
        <v>1</v>
      </c>
    </row>
    <row r="3390" spans="1:8" x14ac:dyDescent="0.35">
      <c r="A3390">
        <v>6203003250203</v>
      </c>
      <c r="B3390" t="s">
        <v>3671</v>
      </c>
      <c r="C3390" t="s">
        <v>83</v>
      </c>
      <c r="D3390" t="s">
        <v>366</v>
      </c>
      <c r="E3390" t="s">
        <v>61</v>
      </c>
      <c r="F3390" t="s">
        <v>364</v>
      </c>
      <c r="G3390" t="s">
        <v>61</v>
      </c>
      <c r="H3390">
        <v>20</v>
      </c>
    </row>
    <row r="3391" spans="1:8" x14ac:dyDescent="0.35">
      <c r="A3391">
        <v>6203003250210</v>
      </c>
      <c r="B3391" t="s">
        <v>3672</v>
      </c>
      <c r="C3391" t="s">
        <v>806</v>
      </c>
      <c r="D3391" t="s">
        <v>3673</v>
      </c>
      <c r="E3391" t="s">
        <v>61</v>
      </c>
      <c r="F3391" t="s">
        <v>364</v>
      </c>
      <c r="G3391" t="s">
        <v>61</v>
      </c>
      <c r="H3391">
        <v>112</v>
      </c>
    </row>
    <row r="3392" spans="1:8" x14ac:dyDescent="0.35">
      <c r="A3392">
        <v>6203003250234</v>
      </c>
      <c r="B3392" t="s">
        <v>3674</v>
      </c>
      <c r="C3392" t="s">
        <v>83</v>
      </c>
      <c r="D3392" t="s">
        <v>363</v>
      </c>
      <c r="E3392" t="s">
        <v>61</v>
      </c>
      <c r="F3392" t="s">
        <v>364</v>
      </c>
      <c r="G3392" t="s">
        <v>61</v>
      </c>
      <c r="H3392">
        <v>43</v>
      </c>
    </row>
    <row r="3393" spans="1:8" x14ac:dyDescent="0.35">
      <c r="A3393">
        <v>6203003250234</v>
      </c>
      <c r="B3393" t="s">
        <v>3674</v>
      </c>
      <c r="C3393" t="s">
        <v>83</v>
      </c>
      <c r="D3393" t="s">
        <v>363</v>
      </c>
      <c r="E3393" t="s">
        <v>61</v>
      </c>
      <c r="F3393" t="s">
        <v>364</v>
      </c>
      <c r="G3393" t="s">
        <v>31</v>
      </c>
      <c r="H3393">
        <v>1</v>
      </c>
    </row>
    <row r="3394" spans="1:8" x14ac:dyDescent="0.35">
      <c r="A3394">
        <v>6203003250524</v>
      </c>
      <c r="B3394" t="s">
        <v>3675</v>
      </c>
      <c r="C3394" t="s">
        <v>83</v>
      </c>
      <c r="D3394" t="s">
        <v>366</v>
      </c>
      <c r="E3394" t="s">
        <v>61</v>
      </c>
      <c r="F3394" t="s">
        <v>364</v>
      </c>
      <c r="G3394" t="s">
        <v>61</v>
      </c>
      <c r="H3394">
        <v>304</v>
      </c>
    </row>
    <row r="3395" spans="1:8" x14ac:dyDescent="0.35">
      <c r="A3395">
        <v>6203003250555</v>
      </c>
      <c r="B3395" t="s">
        <v>3675</v>
      </c>
      <c r="C3395" t="s">
        <v>38</v>
      </c>
      <c r="D3395" t="s">
        <v>366</v>
      </c>
      <c r="E3395" t="s">
        <v>61</v>
      </c>
      <c r="F3395" t="s">
        <v>364</v>
      </c>
      <c r="G3395" t="s">
        <v>61</v>
      </c>
      <c r="H3395">
        <v>111</v>
      </c>
    </row>
    <row r="3396" spans="1:8" x14ac:dyDescent="0.35">
      <c r="A3396">
        <v>6203003250630</v>
      </c>
      <c r="B3396" t="s">
        <v>3676</v>
      </c>
      <c r="C3396" t="s">
        <v>38</v>
      </c>
      <c r="D3396" t="s">
        <v>366</v>
      </c>
      <c r="E3396" t="s">
        <v>61</v>
      </c>
      <c r="F3396" t="s">
        <v>364</v>
      </c>
      <c r="G3396" t="s">
        <v>150</v>
      </c>
      <c r="H3396">
        <v>4</v>
      </c>
    </row>
    <row r="3397" spans="1:8" x14ac:dyDescent="0.35">
      <c r="A3397">
        <v>6203003250647</v>
      </c>
      <c r="B3397" t="s">
        <v>262</v>
      </c>
      <c r="C3397" t="s">
        <v>1095</v>
      </c>
      <c r="D3397" t="s">
        <v>366</v>
      </c>
      <c r="E3397" t="s">
        <v>61</v>
      </c>
      <c r="F3397" t="s">
        <v>364</v>
      </c>
      <c r="G3397" t="s">
        <v>150</v>
      </c>
      <c r="H3397">
        <v>1</v>
      </c>
    </row>
    <row r="3398" spans="1:8" x14ac:dyDescent="0.35">
      <c r="A3398">
        <v>6203003250654</v>
      </c>
      <c r="B3398" t="s">
        <v>3677</v>
      </c>
      <c r="C3398" t="s">
        <v>38</v>
      </c>
      <c r="D3398" t="s">
        <v>363</v>
      </c>
      <c r="E3398" t="s">
        <v>61</v>
      </c>
      <c r="F3398" t="s">
        <v>364</v>
      </c>
      <c r="G3398" t="s">
        <v>61</v>
      </c>
      <c r="H3398">
        <v>9</v>
      </c>
    </row>
    <row r="3399" spans="1:8" x14ac:dyDescent="0.35">
      <c r="A3399">
        <v>6203003250661</v>
      </c>
      <c r="B3399" t="s">
        <v>1643</v>
      </c>
      <c r="C3399" t="s">
        <v>83</v>
      </c>
      <c r="D3399" t="s">
        <v>2337</v>
      </c>
      <c r="E3399" t="s">
        <v>11</v>
      </c>
      <c r="F3399" t="s">
        <v>2338</v>
      </c>
      <c r="G3399" t="s">
        <v>61</v>
      </c>
      <c r="H3399">
        <v>2</v>
      </c>
    </row>
    <row r="3400" spans="1:8" x14ac:dyDescent="0.35">
      <c r="A3400">
        <v>6203003250807</v>
      </c>
      <c r="B3400" t="s">
        <v>2398</v>
      </c>
      <c r="C3400" t="s">
        <v>9</v>
      </c>
      <c r="D3400" t="s">
        <v>3678</v>
      </c>
      <c r="E3400" t="s">
        <v>308</v>
      </c>
      <c r="F3400" t="s">
        <v>309</v>
      </c>
      <c r="G3400" t="s">
        <v>150</v>
      </c>
      <c r="H3400">
        <v>1</v>
      </c>
    </row>
    <row r="3401" spans="1:8" x14ac:dyDescent="0.35">
      <c r="A3401">
        <v>6203003250807</v>
      </c>
      <c r="B3401" t="s">
        <v>2398</v>
      </c>
      <c r="C3401" t="s">
        <v>9</v>
      </c>
      <c r="D3401" t="s">
        <v>3678</v>
      </c>
      <c r="E3401" t="s">
        <v>308</v>
      </c>
      <c r="F3401" t="s">
        <v>309</v>
      </c>
      <c r="G3401" t="s">
        <v>61</v>
      </c>
      <c r="H3401">
        <v>1</v>
      </c>
    </row>
    <row r="3402" spans="1:8" x14ac:dyDescent="0.35">
      <c r="A3402">
        <v>6203003250906</v>
      </c>
      <c r="B3402" t="s">
        <v>3679</v>
      </c>
      <c r="C3402" t="s">
        <v>38</v>
      </c>
      <c r="D3402" t="s">
        <v>363</v>
      </c>
      <c r="E3402" t="s">
        <v>61</v>
      </c>
      <c r="F3402" t="s">
        <v>364</v>
      </c>
      <c r="G3402" t="s">
        <v>61</v>
      </c>
      <c r="H3402">
        <v>3</v>
      </c>
    </row>
    <row r="3403" spans="1:8" x14ac:dyDescent="0.35">
      <c r="A3403">
        <v>6203003250999</v>
      </c>
      <c r="B3403" t="s">
        <v>3680</v>
      </c>
      <c r="C3403" t="s">
        <v>38</v>
      </c>
      <c r="D3403" t="s">
        <v>3673</v>
      </c>
      <c r="E3403" t="s">
        <v>61</v>
      </c>
      <c r="F3403" t="s">
        <v>364</v>
      </c>
      <c r="G3403" t="s">
        <v>61</v>
      </c>
      <c r="H3403">
        <v>13</v>
      </c>
    </row>
    <row r="3404" spans="1:8" x14ac:dyDescent="0.35">
      <c r="A3404">
        <v>6203003251019</v>
      </c>
      <c r="B3404" t="s">
        <v>3681</v>
      </c>
      <c r="C3404" t="s">
        <v>1095</v>
      </c>
      <c r="D3404" t="s">
        <v>366</v>
      </c>
      <c r="E3404" t="s">
        <v>61</v>
      </c>
      <c r="F3404" t="s">
        <v>364</v>
      </c>
      <c r="G3404" t="s">
        <v>150</v>
      </c>
      <c r="H3404">
        <v>1</v>
      </c>
    </row>
    <row r="3405" spans="1:8" x14ac:dyDescent="0.35">
      <c r="A3405">
        <v>6203003251019</v>
      </c>
      <c r="B3405" t="s">
        <v>3681</v>
      </c>
      <c r="C3405" t="s">
        <v>1095</v>
      </c>
      <c r="D3405" t="s">
        <v>366</v>
      </c>
      <c r="E3405" t="s">
        <v>61</v>
      </c>
      <c r="F3405" t="s">
        <v>364</v>
      </c>
      <c r="G3405" t="s">
        <v>61</v>
      </c>
      <c r="H3405">
        <v>968</v>
      </c>
    </row>
    <row r="3406" spans="1:8" x14ac:dyDescent="0.35">
      <c r="A3406">
        <v>6203003251033</v>
      </c>
      <c r="B3406" t="s">
        <v>3284</v>
      </c>
      <c r="C3406" t="s">
        <v>114</v>
      </c>
      <c r="D3406" t="s">
        <v>366</v>
      </c>
      <c r="E3406" t="s">
        <v>61</v>
      </c>
      <c r="F3406" t="s">
        <v>364</v>
      </c>
      <c r="G3406" t="s">
        <v>61</v>
      </c>
      <c r="H3406">
        <v>360</v>
      </c>
    </row>
    <row r="3407" spans="1:8" x14ac:dyDescent="0.35">
      <c r="A3407">
        <v>6203003251118</v>
      </c>
      <c r="B3407" t="s">
        <v>3682</v>
      </c>
      <c r="C3407" t="s">
        <v>38</v>
      </c>
      <c r="D3407" t="s">
        <v>366</v>
      </c>
      <c r="E3407" t="s">
        <v>61</v>
      </c>
      <c r="F3407" t="s">
        <v>364</v>
      </c>
      <c r="G3407" t="s">
        <v>61</v>
      </c>
      <c r="H3407">
        <v>60</v>
      </c>
    </row>
    <row r="3408" spans="1:8" x14ac:dyDescent="0.35">
      <c r="A3408">
        <v>6203003251224</v>
      </c>
      <c r="B3408" t="s">
        <v>3683</v>
      </c>
      <c r="C3408" t="s">
        <v>38</v>
      </c>
      <c r="D3408" t="s">
        <v>366</v>
      </c>
      <c r="E3408" t="s">
        <v>61</v>
      </c>
      <c r="F3408" t="s">
        <v>364</v>
      </c>
      <c r="G3408" t="s">
        <v>61</v>
      </c>
      <c r="H3408">
        <v>87</v>
      </c>
    </row>
    <row r="3409" spans="1:8" x14ac:dyDescent="0.35">
      <c r="A3409">
        <v>6203003260004</v>
      </c>
      <c r="B3409" t="s">
        <v>1839</v>
      </c>
      <c r="C3409" t="s">
        <v>472</v>
      </c>
      <c r="D3409" t="s">
        <v>366</v>
      </c>
      <c r="E3409" t="s">
        <v>61</v>
      </c>
      <c r="F3409" t="s">
        <v>364</v>
      </c>
      <c r="G3409" t="s">
        <v>61</v>
      </c>
      <c r="H3409">
        <v>274</v>
      </c>
    </row>
    <row r="3410" spans="1:8" x14ac:dyDescent="0.35">
      <c r="A3410">
        <v>6203003260011</v>
      </c>
      <c r="B3410" t="s">
        <v>262</v>
      </c>
      <c r="C3410" t="s">
        <v>9</v>
      </c>
      <c r="D3410" t="s">
        <v>366</v>
      </c>
      <c r="E3410" t="s">
        <v>61</v>
      </c>
      <c r="F3410" t="s">
        <v>364</v>
      </c>
      <c r="G3410" t="s">
        <v>61</v>
      </c>
      <c r="H3410">
        <v>95</v>
      </c>
    </row>
    <row r="3411" spans="1:8" x14ac:dyDescent="0.35">
      <c r="A3411">
        <v>6203003260028</v>
      </c>
      <c r="B3411" t="s">
        <v>262</v>
      </c>
      <c r="C3411" t="s">
        <v>825</v>
      </c>
      <c r="D3411" t="s">
        <v>366</v>
      </c>
      <c r="E3411" t="s">
        <v>61</v>
      </c>
      <c r="F3411" t="s">
        <v>364</v>
      </c>
      <c r="G3411" t="s">
        <v>61</v>
      </c>
      <c r="H3411">
        <v>278</v>
      </c>
    </row>
    <row r="3412" spans="1:8" x14ac:dyDescent="0.35">
      <c r="A3412">
        <v>6203003260110</v>
      </c>
      <c r="B3412" t="s">
        <v>485</v>
      </c>
      <c r="C3412" t="s">
        <v>801</v>
      </c>
      <c r="D3412" t="s">
        <v>366</v>
      </c>
      <c r="E3412" t="s">
        <v>61</v>
      </c>
      <c r="F3412" t="s">
        <v>364</v>
      </c>
      <c r="G3412" t="s">
        <v>61</v>
      </c>
      <c r="H3412">
        <v>612</v>
      </c>
    </row>
    <row r="3413" spans="1:8" x14ac:dyDescent="0.35">
      <c r="A3413">
        <v>6203003260141</v>
      </c>
      <c r="B3413" t="s">
        <v>262</v>
      </c>
      <c r="C3413" t="s">
        <v>1068</v>
      </c>
      <c r="D3413" t="s">
        <v>366</v>
      </c>
      <c r="E3413" t="s">
        <v>61</v>
      </c>
      <c r="F3413" t="s">
        <v>364</v>
      </c>
      <c r="G3413" t="s">
        <v>61</v>
      </c>
      <c r="H3413">
        <v>7</v>
      </c>
    </row>
    <row r="3414" spans="1:8" x14ac:dyDescent="0.35">
      <c r="A3414">
        <v>6203003260233</v>
      </c>
      <c r="B3414" t="s">
        <v>3684</v>
      </c>
      <c r="C3414" t="s">
        <v>9</v>
      </c>
      <c r="D3414" t="s">
        <v>3685</v>
      </c>
      <c r="E3414" t="s">
        <v>61</v>
      </c>
      <c r="F3414" t="s">
        <v>364</v>
      </c>
      <c r="G3414" t="s">
        <v>61</v>
      </c>
      <c r="H3414">
        <v>50</v>
      </c>
    </row>
    <row r="3415" spans="1:8" x14ac:dyDescent="0.35">
      <c r="A3415">
        <v>6203003310679</v>
      </c>
      <c r="B3415" t="s">
        <v>2282</v>
      </c>
      <c r="C3415" t="s">
        <v>3686</v>
      </c>
      <c r="D3415" t="s">
        <v>3687</v>
      </c>
      <c r="E3415" t="s">
        <v>308</v>
      </c>
      <c r="F3415" t="s">
        <v>309</v>
      </c>
      <c r="G3415" t="s">
        <v>61</v>
      </c>
      <c r="H3415">
        <v>1</v>
      </c>
    </row>
    <row r="3416" spans="1:8" x14ac:dyDescent="0.35">
      <c r="A3416">
        <v>6203003350088</v>
      </c>
      <c r="B3416" t="s">
        <v>3688</v>
      </c>
      <c r="C3416" t="s">
        <v>38</v>
      </c>
      <c r="D3416" t="s">
        <v>1169</v>
      </c>
      <c r="E3416" t="s">
        <v>61</v>
      </c>
      <c r="F3416" t="s">
        <v>1170</v>
      </c>
      <c r="G3416" t="s">
        <v>150</v>
      </c>
      <c r="H3416">
        <v>1250</v>
      </c>
    </row>
    <row r="3417" spans="1:8" x14ac:dyDescent="0.35">
      <c r="A3417">
        <v>6203003350125</v>
      </c>
      <c r="B3417" t="s">
        <v>1862</v>
      </c>
      <c r="C3417" t="s">
        <v>472</v>
      </c>
      <c r="D3417" t="s">
        <v>1169</v>
      </c>
      <c r="E3417" t="s">
        <v>61</v>
      </c>
      <c r="F3417" t="s">
        <v>1170</v>
      </c>
      <c r="G3417" t="s">
        <v>150</v>
      </c>
      <c r="H3417">
        <v>258</v>
      </c>
    </row>
    <row r="3418" spans="1:8" x14ac:dyDescent="0.35">
      <c r="A3418">
        <v>6203003350132</v>
      </c>
      <c r="B3418" t="s">
        <v>3689</v>
      </c>
      <c r="C3418" t="s">
        <v>83</v>
      </c>
      <c r="D3418" t="s">
        <v>1169</v>
      </c>
      <c r="E3418" t="s">
        <v>61</v>
      </c>
      <c r="F3418" t="s">
        <v>1170</v>
      </c>
      <c r="G3418" t="s">
        <v>150</v>
      </c>
      <c r="H3418">
        <v>3</v>
      </c>
    </row>
    <row r="3419" spans="1:8" x14ac:dyDescent="0.35">
      <c r="A3419">
        <v>6203003350132</v>
      </c>
      <c r="B3419" t="s">
        <v>3689</v>
      </c>
      <c r="C3419" t="s">
        <v>83</v>
      </c>
      <c r="D3419" t="s">
        <v>1169</v>
      </c>
      <c r="E3419" t="s">
        <v>61</v>
      </c>
      <c r="F3419" t="s">
        <v>1170</v>
      </c>
      <c r="G3419" t="s">
        <v>61</v>
      </c>
      <c r="H3419">
        <v>4</v>
      </c>
    </row>
    <row r="3420" spans="1:8" x14ac:dyDescent="0.35">
      <c r="A3420">
        <v>6203003350187</v>
      </c>
      <c r="B3420" t="s">
        <v>2336</v>
      </c>
      <c r="C3420" t="s">
        <v>909</v>
      </c>
      <c r="D3420" t="s">
        <v>1169</v>
      </c>
      <c r="E3420" t="s">
        <v>61</v>
      </c>
      <c r="F3420" t="s">
        <v>1170</v>
      </c>
      <c r="G3420" t="s">
        <v>34</v>
      </c>
      <c r="H3420">
        <v>2</v>
      </c>
    </row>
    <row r="3421" spans="1:8" x14ac:dyDescent="0.35">
      <c r="A3421">
        <v>6203003350187</v>
      </c>
      <c r="B3421" t="s">
        <v>2336</v>
      </c>
      <c r="C3421" t="s">
        <v>909</v>
      </c>
      <c r="D3421" t="s">
        <v>1169</v>
      </c>
      <c r="E3421" t="s">
        <v>61</v>
      </c>
      <c r="F3421" t="s">
        <v>1170</v>
      </c>
      <c r="G3421" t="s">
        <v>150</v>
      </c>
      <c r="H3421">
        <v>1</v>
      </c>
    </row>
    <row r="3422" spans="1:8" x14ac:dyDescent="0.35">
      <c r="A3422">
        <v>6203003350187</v>
      </c>
      <c r="B3422" t="s">
        <v>2336</v>
      </c>
      <c r="C3422" t="s">
        <v>909</v>
      </c>
      <c r="D3422" t="s">
        <v>1169</v>
      </c>
      <c r="E3422" t="s">
        <v>61</v>
      </c>
      <c r="F3422" t="s">
        <v>1170</v>
      </c>
      <c r="G3422" t="s">
        <v>61</v>
      </c>
      <c r="H3422">
        <v>353</v>
      </c>
    </row>
    <row r="3423" spans="1:8" x14ac:dyDescent="0.35">
      <c r="A3423">
        <v>6203003350255</v>
      </c>
      <c r="B3423" t="s">
        <v>262</v>
      </c>
      <c r="C3423" t="s">
        <v>9</v>
      </c>
      <c r="D3423" t="s">
        <v>2528</v>
      </c>
      <c r="E3423" t="s">
        <v>34</v>
      </c>
      <c r="F3423" t="s">
        <v>2529</v>
      </c>
      <c r="G3423" t="s">
        <v>61</v>
      </c>
      <c r="H3423">
        <v>21</v>
      </c>
    </row>
    <row r="3424" spans="1:8" x14ac:dyDescent="0.35">
      <c r="A3424">
        <v>6203003350279</v>
      </c>
      <c r="B3424" t="s">
        <v>3690</v>
      </c>
      <c r="C3424" t="s">
        <v>81</v>
      </c>
      <c r="D3424" t="s">
        <v>3691</v>
      </c>
      <c r="E3424" t="s">
        <v>61</v>
      </c>
      <c r="F3424" t="s">
        <v>1170</v>
      </c>
      <c r="G3424" t="s">
        <v>61</v>
      </c>
      <c r="H3424">
        <v>11</v>
      </c>
    </row>
    <row r="3425" spans="1:8" x14ac:dyDescent="0.35">
      <c r="A3425">
        <v>6203003350279</v>
      </c>
      <c r="B3425" t="s">
        <v>3690</v>
      </c>
      <c r="C3425" t="s">
        <v>81</v>
      </c>
      <c r="D3425" t="s">
        <v>3691</v>
      </c>
      <c r="E3425" t="s">
        <v>61</v>
      </c>
      <c r="F3425" t="s">
        <v>1170</v>
      </c>
      <c r="G3425" t="s">
        <v>31</v>
      </c>
      <c r="H3425">
        <v>1</v>
      </c>
    </row>
    <row r="3426" spans="1:8" x14ac:dyDescent="0.35">
      <c r="A3426">
        <v>6203003350545</v>
      </c>
      <c r="B3426" t="s">
        <v>2163</v>
      </c>
      <c r="C3426" t="s">
        <v>806</v>
      </c>
      <c r="D3426" t="s">
        <v>1169</v>
      </c>
      <c r="E3426" t="s">
        <v>61</v>
      </c>
      <c r="F3426" t="s">
        <v>1170</v>
      </c>
      <c r="G3426" t="s">
        <v>61</v>
      </c>
      <c r="H3426">
        <v>138</v>
      </c>
    </row>
    <row r="3427" spans="1:8" x14ac:dyDescent="0.35">
      <c r="A3427">
        <v>6203003350552</v>
      </c>
      <c r="B3427" t="s">
        <v>3692</v>
      </c>
      <c r="C3427" t="s">
        <v>83</v>
      </c>
      <c r="D3427" t="s">
        <v>3693</v>
      </c>
      <c r="E3427" t="s">
        <v>61</v>
      </c>
      <c r="F3427" t="s">
        <v>1170</v>
      </c>
      <c r="G3427" t="s">
        <v>61</v>
      </c>
      <c r="H3427">
        <v>176</v>
      </c>
    </row>
    <row r="3428" spans="1:8" x14ac:dyDescent="0.35">
      <c r="A3428">
        <v>6203003350620</v>
      </c>
      <c r="B3428" t="s">
        <v>3694</v>
      </c>
      <c r="C3428" t="s">
        <v>83</v>
      </c>
      <c r="D3428" t="s">
        <v>3693</v>
      </c>
      <c r="E3428" t="s">
        <v>61</v>
      </c>
      <c r="F3428" t="s">
        <v>1170</v>
      </c>
      <c r="G3428" t="s">
        <v>61</v>
      </c>
      <c r="H3428">
        <v>72</v>
      </c>
    </row>
    <row r="3429" spans="1:8" x14ac:dyDescent="0.35">
      <c r="A3429">
        <v>6203003350651</v>
      </c>
      <c r="B3429" t="s">
        <v>3695</v>
      </c>
      <c r="C3429" t="s">
        <v>806</v>
      </c>
      <c r="D3429" t="s">
        <v>3693</v>
      </c>
      <c r="E3429" t="s">
        <v>61</v>
      </c>
      <c r="F3429" t="s">
        <v>1170</v>
      </c>
      <c r="G3429" t="s">
        <v>61</v>
      </c>
      <c r="H3429">
        <v>104</v>
      </c>
    </row>
    <row r="3430" spans="1:8" x14ac:dyDescent="0.35">
      <c r="A3430">
        <v>6203003350712</v>
      </c>
      <c r="B3430" t="s">
        <v>3696</v>
      </c>
      <c r="C3430" t="s">
        <v>38</v>
      </c>
      <c r="D3430" t="s">
        <v>1169</v>
      </c>
      <c r="E3430" t="s">
        <v>61</v>
      </c>
      <c r="F3430" t="s">
        <v>1170</v>
      </c>
      <c r="G3430" t="s">
        <v>61</v>
      </c>
      <c r="H3430">
        <v>164</v>
      </c>
    </row>
    <row r="3431" spans="1:8" x14ac:dyDescent="0.35">
      <c r="A3431">
        <v>6203003350743</v>
      </c>
      <c r="B3431" t="s">
        <v>3697</v>
      </c>
      <c r="C3431" t="s">
        <v>909</v>
      </c>
      <c r="D3431" t="s">
        <v>1169</v>
      </c>
      <c r="E3431" t="s">
        <v>61</v>
      </c>
      <c r="F3431" t="s">
        <v>1170</v>
      </c>
      <c r="G3431" t="s">
        <v>61</v>
      </c>
      <c r="H3431">
        <v>10</v>
      </c>
    </row>
    <row r="3432" spans="1:8" x14ac:dyDescent="0.35">
      <c r="A3432">
        <v>6203003350798</v>
      </c>
      <c r="B3432" t="s">
        <v>3698</v>
      </c>
      <c r="C3432" t="s">
        <v>472</v>
      </c>
      <c r="D3432" t="s">
        <v>1169</v>
      </c>
      <c r="E3432" t="s">
        <v>61</v>
      </c>
      <c r="F3432" t="s">
        <v>1170</v>
      </c>
      <c r="G3432" t="s">
        <v>150</v>
      </c>
      <c r="H3432">
        <v>84</v>
      </c>
    </row>
    <row r="3433" spans="1:8" x14ac:dyDescent="0.35">
      <c r="A3433">
        <v>6203003350842</v>
      </c>
      <c r="B3433" t="s">
        <v>1862</v>
      </c>
      <c r="C3433" t="s">
        <v>472</v>
      </c>
      <c r="D3433" t="s">
        <v>3699</v>
      </c>
      <c r="E3433" t="s">
        <v>308</v>
      </c>
      <c r="F3433" t="s">
        <v>309</v>
      </c>
      <c r="G3433" t="s">
        <v>150</v>
      </c>
      <c r="H3433">
        <v>11</v>
      </c>
    </row>
    <row r="3434" spans="1:8" x14ac:dyDescent="0.35">
      <c r="A3434">
        <v>6203003350859</v>
      </c>
      <c r="B3434" t="s">
        <v>3700</v>
      </c>
      <c r="C3434" t="s">
        <v>83</v>
      </c>
      <c r="D3434" t="s">
        <v>3693</v>
      </c>
      <c r="E3434" t="s">
        <v>61</v>
      </c>
      <c r="F3434" t="s">
        <v>1170</v>
      </c>
      <c r="G3434" t="s">
        <v>150</v>
      </c>
      <c r="H3434">
        <v>25</v>
      </c>
    </row>
    <row r="3435" spans="1:8" x14ac:dyDescent="0.35">
      <c r="A3435">
        <v>6203003350859</v>
      </c>
      <c r="B3435" t="s">
        <v>3700</v>
      </c>
      <c r="C3435" t="s">
        <v>83</v>
      </c>
      <c r="D3435" t="s">
        <v>3693</v>
      </c>
      <c r="E3435" t="s">
        <v>61</v>
      </c>
      <c r="F3435" t="s">
        <v>1170</v>
      </c>
      <c r="G3435" t="s">
        <v>61</v>
      </c>
      <c r="H3435">
        <v>34</v>
      </c>
    </row>
    <row r="3436" spans="1:8" x14ac:dyDescent="0.35">
      <c r="A3436">
        <v>6203003350873</v>
      </c>
      <c r="B3436" t="s">
        <v>3701</v>
      </c>
      <c r="C3436" t="s">
        <v>83</v>
      </c>
      <c r="D3436" t="s">
        <v>3693</v>
      </c>
      <c r="E3436" t="s">
        <v>61</v>
      </c>
      <c r="F3436" t="s">
        <v>1170</v>
      </c>
      <c r="G3436" t="s">
        <v>61</v>
      </c>
      <c r="H3436">
        <v>54</v>
      </c>
    </row>
    <row r="3437" spans="1:8" x14ac:dyDescent="0.35">
      <c r="A3437">
        <v>6203003460497</v>
      </c>
      <c r="B3437" t="s">
        <v>3702</v>
      </c>
      <c r="C3437" t="s">
        <v>38</v>
      </c>
      <c r="D3437" t="s">
        <v>3585</v>
      </c>
      <c r="E3437" t="s">
        <v>117</v>
      </c>
      <c r="F3437" t="s">
        <v>3586</v>
      </c>
      <c r="G3437" t="s">
        <v>117</v>
      </c>
      <c r="H3437">
        <v>100</v>
      </c>
    </row>
    <row r="3438" spans="1:8" x14ac:dyDescent="0.35">
      <c r="A3438">
        <v>6203003460930</v>
      </c>
      <c r="B3438" t="s">
        <v>3703</v>
      </c>
      <c r="C3438" t="s">
        <v>272</v>
      </c>
      <c r="D3438" t="s">
        <v>3704</v>
      </c>
      <c r="E3438" t="s">
        <v>117</v>
      </c>
      <c r="F3438" t="s">
        <v>3705</v>
      </c>
      <c r="G3438" t="s">
        <v>117</v>
      </c>
      <c r="H3438">
        <v>8</v>
      </c>
    </row>
    <row r="3439" spans="1:8" x14ac:dyDescent="0.35">
      <c r="A3439">
        <v>6203003460954</v>
      </c>
      <c r="B3439" t="s">
        <v>3706</v>
      </c>
      <c r="C3439" t="s">
        <v>272</v>
      </c>
      <c r="D3439" t="s">
        <v>3704</v>
      </c>
      <c r="E3439" t="s">
        <v>117</v>
      </c>
      <c r="F3439" t="s">
        <v>3705</v>
      </c>
      <c r="G3439" t="s">
        <v>117</v>
      </c>
      <c r="H3439">
        <v>3</v>
      </c>
    </row>
    <row r="3440" spans="1:8" x14ac:dyDescent="0.35">
      <c r="A3440">
        <v>6203003857778</v>
      </c>
      <c r="B3440" t="s">
        <v>3707</v>
      </c>
      <c r="C3440" t="s">
        <v>38</v>
      </c>
      <c r="D3440" t="s">
        <v>363</v>
      </c>
      <c r="E3440" t="s">
        <v>61</v>
      </c>
      <c r="F3440" t="s">
        <v>364</v>
      </c>
      <c r="G3440" t="s">
        <v>61</v>
      </c>
      <c r="H3440">
        <v>13</v>
      </c>
    </row>
    <row r="3441" spans="1:8" x14ac:dyDescent="0.35">
      <c r="A3441">
        <v>6203004530021</v>
      </c>
      <c r="B3441" t="s">
        <v>3708</v>
      </c>
      <c r="C3441" t="s">
        <v>472</v>
      </c>
      <c r="D3441" t="s">
        <v>3709</v>
      </c>
      <c r="E3441" t="s">
        <v>61</v>
      </c>
      <c r="F3441" t="s">
        <v>3710</v>
      </c>
      <c r="G3441" t="s">
        <v>61</v>
      </c>
      <c r="H3441">
        <v>23</v>
      </c>
    </row>
    <row r="3442" spans="1:8" x14ac:dyDescent="0.35">
      <c r="A3442">
        <v>6203004570157</v>
      </c>
      <c r="B3442" t="s">
        <v>3711</v>
      </c>
      <c r="C3442" t="s">
        <v>38</v>
      </c>
      <c r="D3442" t="s">
        <v>3712</v>
      </c>
      <c r="E3442" t="s">
        <v>61</v>
      </c>
      <c r="F3442" t="s">
        <v>3713</v>
      </c>
      <c r="G3442" t="s">
        <v>61</v>
      </c>
      <c r="H3442">
        <v>24</v>
      </c>
    </row>
    <row r="3443" spans="1:8" x14ac:dyDescent="0.35">
      <c r="A3443">
        <v>6203004570201</v>
      </c>
      <c r="B3443" t="s">
        <v>3714</v>
      </c>
      <c r="C3443" t="s">
        <v>173</v>
      </c>
      <c r="D3443" t="s">
        <v>3712</v>
      </c>
      <c r="E3443" t="s">
        <v>61</v>
      </c>
      <c r="F3443" t="s">
        <v>3713</v>
      </c>
      <c r="G3443" t="s">
        <v>61</v>
      </c>
      <c r="H3443">
        <v>264</v>
      </c>
    </row>
    <row r="3444" spans="1:8" x14ac:dyDescent="0.35">
      <c r="A3444">
        <v>6203004610198</v>
      </c>
      <c r="B3444" t="s">
        <v>3715</v>
      </c>
      <c r="C3444" t="s">
        <v>3716</v>
      </c>
      <c r="D3444" t="s">
        <v>3512</v>
      </c>
      <c r="E3444" t="s">
        <v>61</v>
      </c>
      <c r="F3444" t="s">
        <v>3513</v>
      </c>
      <c r="G3444" t="s">
        <v>61</v>
      </c>
      <c r="H3444">
        <v>31</v>
      </c>
    </row>
    <row r="3445" spans="1:8" x14ac:dyDescent="0.35">
      <c r="A3445">
        <v>6203004920006</v>
      </c>
      <c r="B3445" t="s">
        <v>212</v>
      </c>
      <c r="C3445" t="s">
        <v>114</v>
      </c>
      <c r="D3445" t="s">
        <v>3717</v>
      </c>
      <c r="E3445" t="s">
        <v>308</v>
      </c>
      <c r="F3445" t="s">
        <v>309</v>
      </c>
      <c r="G3445" t="s">
        <v>61</v>
      </c>
      <c r="H3445">
        <v>22</v>
      </c>
    </row>
    <row r="3446" spans="1:8" x14ac:dyDescent="0.35">
      <c r="A3446">
        <v>6203005350314</v>
      </c>
      <c r="B3446" t="s">
        <v>3718</v>
      </c>
      <c r="C3446" t="s">
        <v>173</v>
      </c>
      <c r="D3446" t="s">
        <v>3719</v>
      </c>
      <c r="E3446" t="s">
        <v>117</v>
      </c>
      <c r="F3446" t="s">
        <v>3597</v>
      </c>
      <c r="G3446" t="s">
        <v>117</v>
      </c>
      <c r="H3446">
        <v>4</v>
      </c>
    </row>
    <row r="3447" spans="1:8" x14ac:dyDescent="0.35">
      <c r="A3447">
        <v>6203005350338</v>
      </c>
      <c r="B3447" t="s">
        <v>3720</v>
      </c>
      <c r="C3447" t="s">
        <v>173</v>
      </c>
      <c r="D3447" t="s">
        <v>3719</v>
      </c>
      <c r="E3447" t="s">
        <v>117</v>
      </c>
      <c r="F3447" t="s">
        <v>3597</v>
      </c>
      <c r="G3447" t="s">
        <v>117</v>
      </c>
      <c r="H3447">
        <v>3</v>
      </c>
    </row>
    <row r="3448" spans="1:8" x14ac:dyDescent="0.35">
      <c r="A3448">
        <v>6203005350475</v>
      </c>
      <c r="B3448" t="s">
        <v>3721</v>
      </c>
      <c r="C3448" t="s">
        <v>1115</v>
      </c>
      <c r="D3448" t="s">
        <v>3719</v>
      </c>
      <c r="E3448" t="s">
        <v>117</v>
      </c>
      <c r="F3448" t="s">
        <v>3597</v>
      </c>
      <c r="G3448" t="s">
        <v>117</v>
      </c>
      <c r="H3448">
        <v>1</v>
      </c>
    </row>
    <row r="3449" spans="1:8" x14ac:dyDescent="0.35">
      <c r="A3449">
        <v>6203005350482</v>
      </c>
      <c r="B3449" t="s">
        <v>3722</v>
      </c>
      <c r="C3449" t="s">
        <v>627</v>
      </c>
      <c r="D3449" t="s">
        <v>3719</v>
      </c>
      <c r="E3449" t="s">
        <v>117</v>
      </c>
      <c r="F3449" t="s">
        <v>3597</v>
      </c>
      <c r="G3449" t="s">
        <v>117</v>
      </c>
      <c r="H3449">
        <v>1</v>
      </c>
    </row>
    <row r="3450" spans="1:8" x14ac:dyDescent="0.35">
      <c r="A3450">
        <v>6203005350857</v>
      </c>
      <c r="B3450" t="s">
        <v>3723</v>
      </c>
      <c r="C3450" t="s">
        <v>38</v>
      </c>
      <c r="D3450" t="s">
        <v>3724</v>
      </c>
      <c r="E3450" t="s">
        <v>117</v>
      </c>
      <c r="F3450" t="s">
        <v>3597</v>
      </c>
      <c r="G3450" t="s">
        <v>117</v>
      </c>
      <c r="H3450">
        <v>1</v>
      </c>
    </row>
    <row r="3451" spans="1:8" x14ac:dyDescent="0.35">
      <c r="A3451">
        <v>6203005352189</v>
      </c>
      <c r="B3451" t="s">
        <v>3725</v>
      </c>
      <c r="C3451" t="s">
        <v>272</v>
      </c>
      <c r="D3451" t="s">
        <v>3704</v>
      </c>
      <c r="E3451" t="s">
        <v>117</v>
      </c>
      <c r="F3451" t="s">
        <v>3705</v>
      </c>
      <c r="G3451" t="s">
        <v>117</v>
      </c>
      <c r="H3451">
        <v>1</v>
      </c>
    </row>
    <row r="3452" spans="1:8" x14ac:dyDescent="0.35">
      <c r="A3452">
        <v>6203005570361</v>
      </c>
      <c r="B3452" t="s">
        <v>3726</v>
      </c>
      <c r="C3452" t="s">
        <v>173</v>
      </c>
      <c r="D3452" t="s">
        <v>3727</v>
      </c>
      <c r="E3452" t="s">
        <v>816</v>
      </c>
      <c r="F3452" t="s">
        <v>817</v>
      </c>
      <c r="G3452" t="s">
        <v>61</v>
      </c>
      <c r="H3452">
        <v>31</v>
      </c>
    </row>
    <row r="3453" spans="1:8" x14ac:dyDescent="0.35">
      <c r="A3453">
        <v>6203005570408</v>
      </c>
      <c r="B3453" t="s">
        <v>3727</v>
      </c>
      <c r="C3453" t="s">
        <v>610</v>
      </c>
      <c r="D3453" t="s">
        <v>3727</v>
      </c>
      <c r="E3453" t="s">
        <v>816</v>
      </c>
      <c r="F3453" t="s">
        <v>817</v>
      </c>
      <c r="G3453" t="s">
        <v>61</v>
      </c>
      <c r="H3453">
        <v>1</v>
      </c>
    </row>
    <row r="3454" spans="1:8" x14ac:dyDescent="0.35">
      <c r="A3454">
        <v>6203005572112</v>
      </c>
      <c r="B3454" t="s">
        <v>3728</v>
      </c>
      <c r="C3454" t="s">
        <v>36</v>
      </c>
      <c r="D3454" t="s">
        <v>3729</v>
      </c>
      <c r="E3454" t="s">
        <v>308</v>
      </c>
      <c r="F3454" t="s">
        <v>309</v>
      </c>
      <c r="G3454" t="s">
        <v>34</v>
      </c>
      <c r="H3454">
        <v>1</v>
      </c>
    </row>
    <row r="3455" spans="1:8" x14ac:dyDescent="0.35">
      <c r="A3455">
        <v>6203005572112</v>
      </c>
      <c r="B3455" t="s">
        <v>3728</v>
      </c>
      <c r="C3455" t="s">
        <v>36</v>
      </c>
      <c r="D3455" t="s">
        <v>3729</v>
      </c>
      <c r="E3455" t="s">
        <v>308</v>
      </c>
      <c r="F3455" t="s">
        <v>309</v>
      </c>
      <c r="G3455" t="s">
        <v>61</v>
      </c>
      <c r="H3455">
        <v>7</v>
      </c>
    </row>
    <row r="3456" spans="1:8" x14ac:dyDescent="0.35">
      <c r="A3456">
        <v>6203007290076</v>
      </c>
      <c r="B3456" t="s">
        <v>262</v>
      </c>
      <c r="C3456" t="s">
        <v>81</v>
      </c>
      <c r="D3456" t="s">
        <v>3730</v>
      </c>
      <c r="E3456" t="s">
        <v>61</v>
      </c>
      <c r="F3456" t="s">
        <v>3731</v>
      </c>
      <c r="G3456" t="s">
        <v>61</v>
      </c>
      <c r="H3456">
        <v>21</v>
      </c>
    </row>
    <row r="3457" spans="1:8" x14ac:dyDescent="0.35">
      <c r="A3457">
        <v>6203007980106</v>
      </c>
      <c r="B3457" t="s">
        <v>3732</v>
      </c>
      <c r="C3457" t="s">
        <v>36</v>
      </c>
      <c r="D3457" t="s">
        <v>3733</v>
      </c>
      <c r="E3457" t="s">
        <v>61</v>
      </c>
      <c r="F3457" t="s">
        <v>3734</v>
      </c>
      <c r="G3457" t="s">
        <v>61</v>
      </c>
      <c r="H3457">
        <v>52</v>
      </c>
    </row>
    <row r="3458" spans="1:8" x14ac:dyDescent="0.35">
      <c r="A3458">
        <v>6203008190498</v>
      </c>
      <c r="B3458" t="s">
        <v>544</v>
      </c>
      <c r="C3458" t="s">
        <v>81</v>
      </c>
      <c r="D3458" t="s">
        <v>3735</v>
      </c>
      <c r="E3458" t="s">
        <v>308</v>
      </c>
      <c r="F3458" t="s">
        <v>309</v>
      </c>
      <c r="G3458" t="s">
        <v>61</v>
      </c>
      <c r="H3458">
        <v>21</v>
      </c>
    </row>
    <row r="3459" spans="1:8" x14ac:dyDescent="0.35">
      <c r="A3459">
        <v>6203008190504</v>
      </c>
      <c r="B3459" t="s">
        <v>544</v>
      </c>
      <c r="C3459" t="s">
        <v>9</v>
      </c>
      <c r="D3459" t="s">
        <v>3735</v>
      </c>
      <c r="E3459" t="s">
        <v>308</v>
      </c>
      <c r="F3459" t="s">
        <v>309</v>
      </c>
      <c r="G3459" t="s">
        <v>150</v>
      </c>
      <c r="H3459">
        <v>1</v>
      </c>
    </row>
    <row r="3460" spans="1:8" x14ac:dyDescent="0.35">
      <c r="A3460">
        <v>6203008190504</v>
      </c>
      <c r="B3460" t="s">
        <v>544</v>
      </c>
      <c r="C3460" t="s">
        <v>9</v>
      </c>
      <c r="D3460" t="s">
        <v>3735</v>
      </c>
      <c r="E3460" t="s">
        <v>308</v>
      </c>
      <c r="F3460" t="s">
        <v>309</v>
      </c>
      <c r="G3460" t="s">
        <v>61</v>
      </c>
      <c r="H3460">
        <v>21</v>
      </c>
    </row>
    <row r="3461" spans="1:8" x14ac:dyDescent="0.35">
      <c r="A3461">
        <v>6203008190580</v>
      </c>
      <c r="B3461" t="s">
        <v>3736</v>
      </c>
      <c r="C3461" t="s">
        <v>114</v>
      </c>
      <c r="D3461" t="s">
        <v>3735</v>
      </c>
      <c r="E3461" t="s">
        <v>308</v>
      </c>
      <c r="F3461" t="s">
        <v>309</v>
      </c>
      <c r="G3461" t="s">
        <v>61</v>
      </c>
      <c r="H3461">
        <v>1</v>
      </c>
    </row>
    <row r="3462" spans="1:8" x14ac:dyDescent="0.35">
      <c r="A3462">
        <v>6203008950245</v>
      </c>
      <c r="B3462" t="s">
        <v>1463</v>
      </c>
      <c r="C3462" t="s">
        <v>81</v>
      </c>
      <c r="D3462" t="s">
        <v>3737</v>
      </c>
      <c r="E3462" t="s">
        <v>61</v>
      </c>
      <c r="F3462" t="s">
        <v>3738</v>
      </c>
      <c r="G3462" t="s">
        <v>34</v>
      </c>
      <c r="H3462">
        <v>150</v>
      </c>
    </row>
    <row r="3463" spans="1:8" x14ac:dyDescent="0.35">
      <c r="A3463">
        <v>6203008950245</v>
      </c>
      <c r="B3463" t="s">
        <v>1463</v>
      </c>
      <c r="C3463" t="s">
        <v>81</v>
      </c>
      <c r="D3463" t="s">
        <v>3737</v>
      </c>
      <c r="E3463" t="s">
        <v>61</v>
      </c>
      <c r="F3463" t="s">
        <v>3738</v>
      </c>
      <c r="G3463" t="s">
        <v>61</v>
      </c>
      <c r="H3463">
        <v>12</v>
      </c>
    </row>
    <row r="3464" spans="1:8" x14ac:dyDescent="0.35">
      <c r="A3464">
        <v>6203008950245</v>
      </c>
      <c r="B3464" t="s">
        <v>1463</v>
      </c>
      <c r="C3464" t="s">
        <v>81</v>
      </c>
      <c r="D3464" t="s">
        <v>3737</v>
      </c>
      <c r="E3464" t="s">
        <v>61</v>
      </c>
      <c r="F3464" t="s">
        <v>3738</v>
      </c>
      <c r="G3464" t="s">
        <v>73</v>
      </c>
      <c r="H3464">
        <v>1</v>
      </c>
    </row>
    <row r="3465" spans="1:8" x14ac:dyDescent="0.35">
      <c r="A3465">
        <v>6203008950306</v>
      </c>
      <c r="B3465" t="s">
        <v>1412</v>
      </c>
      <c r="C3465" t="s">
        <v>3739</v>
      </c>
      <c r="D3465" t="s">
        <v>3737</v>
      </c>
      <c r="E3465" t="s">
        <v>61</v>
      </c>
      <c r="F3465" t="s">
        <v>3738</v>
      </c>
      <c r="G3465" t="s">
        <v>34</v>
      </c>
      <c r="H3465">
        <v>1</v>
      </c>
    </row>
    <row r="3466" spans="1:8" x14ac:dyDescent="0.35">
      <c r="A3466">
        <v>6203008950306</v>
      </c>
      <c r="B3466" t="s">
        <v>1412</v>
      </c>
      <c r="C3466" t="s">
        <v>3739</v>
      </c>
      <c r="D3466" t="s">
        <v>3737</v>
      </c>
      <c r="E3466" t="s">
        <v>61</v>
      </c>
      <c r="F3466" t="s">
        <v>3738</v>
      </c>
      <c r="G3466" t="s">
        <v>61</v>
      </c>
      <c r="H3466">
        <v>2</v>
      </c>
    </row>
    <row r="3467" spans="1:8" x14ac:dyDescent="0.35">
      <c r="A3467">
        <v>6203008951006</v>
      </c>
      <c r="B3467" t="s">
        <v>3740</v>
      </c>
      <c r="C3467" t="s">
        <v>1394</v>
      </c>
      <c r="D3467" t="s">
        <v>3741</v>
      </c>
      <c r="E3467" t="s">
        <v>2227</v>
      </c>
      <c r="F3467" t="s">
        <v>2228</v>
      </c>
      <c r="G3467" t="s">
        <v>61</v>
      </c>
      <c r="H3467">
        <v>1</v>
      </c>
    </row>
    <row r="3468" spans="1:8" x14ac:dyDescent="0.35">
      <c r="A3468">
        <v>6203009160025</v>
      </c>
      <c r="B3468" t="s">
        <v>3742</v>
      </c>
      <c r="C3468" t="s">
        <v>36</v>
      </c>
      <c r="D3468" t="s">
        <v>3743</v>
      </c>
      <c r="E3468" t="s">
        <v>61</v>
      </c>
      <c r="F3468" t="s">
        <v>3744</v>
      </c>
      <c r="G3468" t="s">
        <v>61</v>
      </c>
      <c r="H3468">
        <v>788</v>
      </c>
    </row>
    <row r="3469" spans="1:8" x14ac:dyDescent="0.35">
      <c r="A3469">
        <v>6203009790291</v>
      </c>
      <c r="B3469" t="s">
        <v>2229</v>
      </c>
      <c r="C3469" t="s">
        <v>81</v>
      </c>
      <c r="D3469" t="s">
        <v>3745</v>
      </c>
      <c r="E3469" t="s">
        <v>61</v>
      </c>
      <c r="F3469" t="s">
        <v>3746</v>
      </c>
      <c r="G3469" t="s">
        <v>61</v>
      </c>
      <c r="H3469">
        <v>1</v>
      </c>
    </row>
    <row r="3470" spans="1:8" x14ac:dyDescent="0.35">
      <c r="A3470">
        <v>6203010360087</v>
      </c>
      <c r="B3470" t="s">
        <v>3747</v>
      </c>
      <c r="C3470" t="s">
        <v>36</v>
      </c>
      <c r="D3470" t="s">
        <v>3747</v>
      </c>
      <c r="E3470" t="s">
        <v>61</v>
      </c>
      <c r="F3470" t="s">
        <v>3748</v>
      </c>
      <c r="G3470" t="s">
        <v>61</v>
      </c>
      <c r="H3470">
        <v>249</v>
      </c>
    </row>
    <row r="3471" spans="1:8" x14ac:dyDescent="0.35">
      <c r="A3471">
        <v>6203011060313</v>
      </c>
      <c r="B3471" t="s">
        <v>3749</v>
      </c>
      <c r="C3471" t="s">
        <v>2479</v>
      </c>
      <c r="D3471" t="s">
        <v>1176</v>
      </c>
      <c r="E3471" t="s">
        <v>61</v>
      </c>
      <c r="F3471" t="s">
        <v>1070</v>
      </c>
      <c r="G3471" t="s">
        <v>61</v>
      </c>
      <c r="H3471">
        <v>11</v>
      </c>
    </row>
    <row r="3472" spans="1:8" x14ac:dyDescent="0.35">
      <c r="A3472">
        <v>6203011060320</v>
      </c>
      <c r="B3472" t="s">
        <v>262</v>
      </c>
      <c r="C3472" t="s">
        <v>1068</v>
      </c>
      <c r="D3472" t="s">
        <v>1069</v>
      </c>
      <c r="E3472" t="s">
        <v>61</v>
      </c>
      <c r="F3472" t="s">
        <v>1070</v>
      </c>
      <c r="G3472" t="s">
        <v>61</v>
      </c>
      <c r="H3472">
        <v>19</v>
      </c>
    </row>
    <row r="3473" spans="1:8" x14ac:dyDescent="0.35">
      <c r="A3473">
        <v>6203011060337</v>
      </c>
      <c r="B3473" t="s">
        <v>544</v>
      </c>
      <c r="C3473" t="s">
        <v>2400</v>
      </c>
      <c r="D3473" t="s">
        <v>1069</v>
      </c>
      <c r="E3473" t="s">
        <v>61</v>
      </c>
      <c r="F3473" t="s">
        <v>1070</v>
      </c>
      <c r="G3473" t="s">
        <v>61</v>
      </c>
      <c r="H3473">
        <v>48</v>
      </c>
    </row>
    <row r="3474" spans="1:8" x14ac:dyDescent="0.35">
      <c r="A3474">
        <v>6203011060344</v>
      </c>
      <c r="B3474" t="s">
        <v>544</v>
      </c>
      <c r="C3474" t="s">
        <v>1095</v>
      </c>
      <c r="D3474" t="s">
        <v>1069</v>
      </c>
      <c r="E3474" t="s">
        <v>61</v>
      </c>
      <c r="F3474" t="s">
        <v>1070</v>
      </c>
      <c r="G3474" t="s">
        <v>61</v>
      </c>
      <c r="H3474">
        <v>1837</v>
      </c>
    </row>
    <row r="3475" spans="1:8" x14ac:dyDescent="0.35">
      <c r="A3475">
        <v>6203011060351</v>
      </c>
      <c r="B3475" t="s">
        <v>544</v>
      </c>
      <c r="C3475" t="s">
        <v>801</v>
      </c>
      <c r="D3475" t="s">
        <v>1069</v>
      </c>
      <c r="E3475" t="s">
        <v>61</v>
      </c>
      <c r="F3475" t="s">
        <v>1070</v>
      </c>
      <c r="G3475" t="s">
        <v>61</v>
      </c>
      <c r="H3475">
        <v>278</v>
      </c>
    </row>
    <row r="3476" spans="1:8" x14ac:dyDescent="0.35">
      <c r="A3476">
        <v>6203011060368</v>
      </c>
      <c r="B3476" t="s">
        <v>544</v>
      </c>
      <c r="C3476" t="s">
        <v>114</v>
      </c>
      <c r="D3476" t="s">
        <v>1069</v>
      </c>
      <c r="E3476" t="s">
        <v>61</v>
      </c>
      <c r="F3476" t="s">
        <v>1070</v>
      </c>
      <c r="G3476" t="s">
        <v>61</v>
      </c>
      <c r="H3476">
        <v>882</v>
      </c>
    </row>
    <row r="3477" spans="1:8" x14ac:dyDescent="0.35">
      <c r="A3477">
        <v>6203011060375</v>
      </c>
      <c r="B3477" t="s">
        <v>544</v>
      </c>
      <c r="C3477" t="s">
        <v>472</v>
      </c>
      <c r="D3477" t="s">
        <v>1069</v>
      </c>
      <c r="E3477" t="s">
        <v>61</v>
      </c>
      <c r="F3477" t="s">
        <v>1070</v>
      </c>
      <c r="G3477" t="s">
        <v>61</v>
      </c>
      <c r="H3477">
        <v>80</v>
      </c>
    </row>
    <row r="3478" spans="1:8" x14ac:dyDescent="0.35">
      <c r="A3478">
        <v>6203011060382</v>
      </c>
      <c r="B3478" t="s">
        <v>544</v>
      </c>
      <c r="C3478" t="s">
        <v>9</v>
      </c>
      <c r="D3478" t="s">
        <v>1069</v>
      </c>
      <c r="E3478" t="s">
        <v>61</v>
      </c>
      <c r="F3478" t="s">
        <v>1070</v>
      </c>
      <c r="G3478" t="s">
        <v>61</v>
      </c>
      <c r="H3478">
        <v>52</v>
      </c>
    </row>
    <row r="3479" spans="1:8" x14ac:dyDescent="0.35">
      <c r="A3479">
        <v>6203011060429</v>
      </c>
      <c r="B3479" t="s">
        <v>295</v>
      </c>
      <c r="C3479" t="s">
        <v>272</v>
      </c>
      <c r="D3479" t="s">
        <v>1176</v>
      </c>
      <c r="E3479" t="s">
        <v>61</v>
      </c>
      <c r="F3479" t="s">
        <v>1070</v>
      </c>
      <c r="G3479" t="s">
        <v>150</v>
      </c>
      <c r="H3479">
        <v>3</v>
      </c>
    </row>
    <row r="3480" spans="1:8" x14ac:dyDescent="0.35">
      <c r="A3480">
        <v>6203011060429</v>
      </c>
      <c r="B3480" t="s">
        <v>295</v>
      </c>
      <c r="C3480" t="s">
        <v>272</v>
      </c>
      <c r="D3480" t="s">
        <v>1176</v>
      </c>
      <c r="E3480" t="s">
        <v>61</v>
      </c>
      <c r="F3480" t="s">
        <v>1070</v>
      </c>
      <c r="G3480" t="s">
        <v>61</v>
      </c>
      <c r="H3480">
        <v>25</v>
      </c>
    </row>
    <row r="3481" spans="1:8" x14ac:dyDescent="0.35">
      <c r="A3481">
        <v>6203011060436</v>
      </c>
      <c r="B3481" t="s">
        <v>3650</v>
      </c>
      <c r="C3481" t="s">
        <v>38</v>
      </c>
      <c r="D3481" t="s">
        <v>1176</v>
      </c>
      <c r="E3481" t="s">
        <v>61</v>
      </c>
      <c r="F3481" t="s">
        <v>1070</v>
      </c>
      <c r="G3481" t="s">
        <v>11</v>
      </c>
      <c r="H3481">
        <v>14</v>
      </c>
    </row>
    <row r="3482" spans="1:8" x14ac:dyDescent="0.35">
      <c r="A3482">
        <v>6203011060436</v>
      </c>
      <c r="B3482" t="s">
        <v>3650</v>
      </c>
      <c r="C3482" t="s">
        <v>38</v>
      </c>
      <c r="D3482" t="s">
        <v>1176</v>
      </c>
      <c r="E3482" t="s">
        <v>61</v>
      </c>
      <c r="F3482" t="s">
        <v>1070</v>
      </c>
      <c r="G3482" t="s">
        <v>33</v>
      </c>
      <c r="H3482">
        <v>332</v>
      </c>
    </row>
    <row r="3483" spans="1:8" x14ac:dyDescent="0.35">
      <c r="A3483">
        <v>6203011060436</v>
      </c>
      <c r="B3483" t="s">
        <v>3650</v>
      </c>
      <c r="C3483" t="s">
        <v>38</v>
      </c>
      <c r="D3483" t="s">
        <v>1176</v>
      </c>
      <c r="E3483" t="s">
        <v>61</v>
      </c>
      <c r="F3483" t="s">
        <v>1070</v>
      </c>
      <c r="G3483" t="s">
        <v>61</v>
      </c>
      <c r="H3483">
        <v>437</v>
      </c>
    </row>
    <row r="3484" spans="1:8" x14ac:dyDescent="0.35">
      <c r="A3484">
        <v>6203011060474</v>
      </c>
      <c r="B3484" t="s">
        <v>3750</v>
      </c>
      <c r="C3484" t="s">
        <v>1573</v>
      </c>
      <c r="D3484" t="s">
        <v>1176</v>
      </c>
      <c r="E3484" t="s">
        <v>61</v>
      </c>
      <c r="F3484" t="s">
        <v>1070</v>
      </c>
      <c r="G3484" t="s">
        <v>61</v>
      </c>
      <c r="H3484">
        <v>37</v>
      </c>
    </row>
    <row r="3485" spans="1:8" x14ac:dyDescent="0.35">
      <c r="A3485">
        <v>6203011060665</v>
      </c>
      <c r="B3485" t="s">
        <v>3751</v>
      </c>
      <c r="C3485" t="s">
        <v>2479</v>
      </c>
      <c r="D3485" t="s">
        <v>1176</v>
      </c>
      <c r="E3485" t="s">
        <v>61</v>
      </c>
      <c r="F3485" t="s">
        <v>1070</v>
      </c>
      <c r="G3485" t="s">
        <v>61</v>
      </c>
      <c r="H3485">
        <v>46</v>
      </c>
    </row>
    <row r="3486" spans="1:8" x14ac:dyDescent="0.35">
      <c r="A3486">
        <v>6203011060801</v>
      </c>
      <c r="B3486" t="s">
        <v>3752</v>
      </c>
      <c r="C3486" t="s">
        <v>38</v>
      </c>
      <c r="D3486" t="s">
        <v>1176</v>
      </c>
      <c r="E3486" t="s">
        <v>61</v>
      </c>
      <c r="F3486" t="s">
        <v>1070</v>
      </c>
      <c r="G3486" t="s">
        <v>117</v>
      </c>
      <c r="H3486">
        <v>1</v>
      </c>
    </row>
    <row r="3487" spans="1:8" x14ac:dyDescent="0.35">
      <c r="A3487">
        <v>6203011060801</v>
      </c>
      <c r="B3487" t="s">
        <v>3752</v>
      </c>
      <c r="C3487" t="s">
        <v>38</v>
      </c>
      <c r="D3487" t="s">
        <v>1176</v>
      </c>
      <c r="E3487" t="s">
        <v>61</v>
      </c>
      <c r="F3487" t="s">
        <v>1070</v>
      </c>
      <c r="G3487" t="s">
        <v>33</v>
      </c>
      <c r="H3487">
        <v>1</v>
      </c>
    </row>
    <row r="3488" spans="1:8" x14ac:dyDescent="0.35">
      <c r="A3488">
        <v>6203011060801</v>
      </c>
      <c r="B3488" t="s">
        <v>3752</v>
      </c>
      <c r="C3488" t="s">
        <v>38</v>
      </c>
      <c r="D3488" t="s">
        <v>1176</v>
      </c>
      <c r="E3488" t="s">
        <v>61</v>
      </c>
      <c r="F3488" t="s">
        <v>1070</v>
      </c>
      <c r="G3488" t="s">
        <v>34</v>
      </c>
      <c r="H3488">
        <v>19</v>
      </c>
    </row>
    <row r="3489" spans="1:8" x14ac:dyDescent="0.35">
      <c r="A3489">
        <v>6203011060801</v>
      </c>
      <c r="B3489" t="s">
        <v>3752</v>
      </c>
      <c r="C3489" t="s">
        <v>38</v>
      </c>
      <c r="D3489" t="s">
        <v>1176</v>
      </c>
      <c r="E3489" t="s">
        <v>61</v>
      </c>
      <c r="F3489" t="s">
        <v>1070</v>
      </c>
      <c r="G3489" t="s">
        <v>150</v>
      </c>
      <c r="H3489">
        <v>148</v>
      </c>
    </row>
    <row r="3490" spans="1:8" x14ac:dyDescent="0.35">
      <c r="A3490">
        <v>6203011060801</v>
      </c>
      <c r="B3490" t="s">
        <v>3752</v>
      </c>
      <c r="C3490" t="s">
        <v>38</v>
      </c>
      <c r="D3490" t="s">
        <v>1176</v>
      </c>
      <c r="E3490" t="s">
        <v>61</v>
      </c>
      <c r="F3490" t="s">
        <v>1070</v>
      </c>
      <c r="G3490" t="s">
        <v>61</v>
      </c>
      <c r="H3490">
        <v>280</v>
      </c>
    </row>
    <row r="3491" spans="1:8" x14ac:dyDescent="0.35">
      <c r="A3491">
        <v>6203011060801</v>
      </c>
      <c r="B3491" t="s">
        <v>3752</v>
      </c>
      <c r="C3491" t="s">
        <v>38</v>
      </c>
      <c r="D3491" t="s">
        <v>1176</v>
      </c>
      <c r="E3491" t="s">
        <v>61</v>
      </c>
      <c r="F3491" t="s">
        <v>1070</v>
      </c>
      <c r="G3491" t="s">
        <v>31</v>
      </c>
      <c r="H3491">
        <v>38</v>
      </c>
    </row>
    <row r="3492" spans="1:8" x14ac:dyDescent="0.35">
      <c r="A3492">
        <v>620301106081</v>
      </c>
      <c r="B3492" t="s">
        <v>3683</v>
      </c>
      <c r="C3492" t="s">
        <v>38</v>
      </c>
      <c r="D3492" t="s">
        <v>1176</v>
      </c>
      <c r="E3492" t="s">
        <v>61</v>
      </c>
      <c r="F3492" t="s">
        <v>1070</v>
      </c>
      <c r="G3492" t="s">
        <v>34</v>
      </c>
      <c r="H3492">
        <v>47</v>
      </c>
    </row>
    <row r="3493" spans="1:8" x14ac:dyDescent="0.35">
      <c r="A3493">
        <v>620301106081</v>
      </c>
      <c r="B3493" t="s">
        <v>3683</v>
      </c>
      <c r="C3493" t="s">
        <v>38</v>
      </c>
      <c r="D3493" t="s">
        <v>1176</v>
      </c>
      <c r="E3493" t="s">
        <v>61</v>
      </c>
      <c r="F3493" t="s">
        <v>1070</v>
      </c>
      <c r="G3493" t="s">
        <v>150</v>
      </c>
      <c r="H3493">
        <v>1</v>
      </c>
    </row>
    <row r="3494" spans="1:8" x14ac:dyDescent="0.35">
      <c r="A3494">
        <v>620301106081</v>
      </c>
      <c r="B3494" t="s">
        <v>3683</v>
      </c>
      <c r="C3494" t="s">
        <v>38</v>
      </c>
      <c r="D3494" t="s">
        <v>1176</v>
      </c>
      <c r="E3494" t="s">
        <v>61</v>
      </c>
      <c r="F3494" t="s">
        <v>1070</v>
      </c>
      <c r="G3494" t="s">
        <v>61</v>
      </c>
      <c r="H3494">
        <v>26</v>
      </c>
    </row>
    <row r="3495" spans="1:8" x14ac:dyDescent="0.35">
      <c r="A3495">
        <v>6203011060856</v>
      </c>
      <c r="B3495" t="s">
        <v>1011</v>
      </c>
      <c r="C3495" t="s">
        <v>38</v>
      </c>
      <c r="D3495" t="s">
        <v>607</v>
      </c>
      <c r="E3495" t="s">
        <v>22</v>
      </c>
      <c r="F3495" t="s">
        <v>608</v>
      </c>
      <c r="G3495" t="s">
        <v>61</v>
      </c>
      <c r="H3495">
        <v>28</v>
      </c>
    </row>
    <row r="3496" spans="1:8" x14ac:dyDescent="0.35">
      <c r="A3496">
        <v>6203011060894</v>
      </c>
      <c r="B3496" t="s">
        <v>2491</v>
      </c>
      <c r="C3496" t="s">
        <v>38</v>
      </c>
      <c r="D3496" t="s">
        <v>1176</v>
      </c>
      <c r="E3496" t="s">
        <v>61</v>
      </c>
      <c r="F3496" t="s">
        <v>1070</v>
      </c>
      <c r="G3496" t="s">
        <v>61</v>
      </c>
      <c r="H3496">
        <v>228</v>
      </c>
    </row>
    <row r="3497" spans="1:8" x14ac:dyDescent="0.35">
      <c r="A3497">
        <v>6203011061082</v>
      </c>
      <c r="B3497" t="s">
        <v>3541</v>
      </c>
      <c r="C3497" t="s">
        <v>36</v>
      </c>
      <c r="D3497" t="s">
        <v>3753</v>
      </c>
      <c r="E3497" t="s">
        <v>61</v>
      </c>
      <c r="F3497" t="s">
        <v>1070</v>
      </c>
      <c r="G3497" t="s">
        <v>61</v>
      </c>
      <c r="H3497">
        <v>5</v>
      </c>
    </row>
    <row r="3498" spans="1:8" x14ac:dyDescent="0.35">
      <c r="A3498">
        <v>6203011061273</v>
      </c>
      <c r="B3498" t="s">
        <v>3754</v>
      </c>
      <c r="C3498" t="s">
        <v>1805</v>
      </c>
      <c r="D3498" t="s">
        <v>1176</v>
      </c>
      <c r="E3498" t="s">
        <v>61</v>
      </c>
      <c r="F3498" t="s">
        <v>1070</v>
      </c>
      <c r="G3498" t="s">
        <v>61</v>
      </c>
      <c r="H3498">
        <v>3</v>
      </c>
    </row>
    <row r="3499" spans="1:8" x14ac:dyDescent="0.35">
      <c r="A3499">
        <v>6203011061327</v>
      </c>
      <c r="B3499" t="s">
        <v>3755</v>
      </c>
      <c r="C3499" t="s">
        <v>9</v>
      </c>
      <c r="D3499" t="s">
        <v>1176</v>
      </c>
      <c r="E3499" t="s">
        <v>61</v>
      </c>
      <c r="F3499" t="s">
        <v>1070</v>
      </c>
      <c r="G3499" t="s">
        <v>33</v>
      </c>
      <c r="H3499">
        <v>44</v>
      </c>
    </row>
    <row r="3500" spans="1:8" x14ac:dyDescent="0.35">
      <c r="A3500">
        <v>6203011061327</v>
      </c>
      <c r="B3500" t="s">
        <v>3755</v>
      </c>
      <c r="C3500" t="s">
        <v>9</v>
      </c>
      <c r="D3500" t="s">
        <v>1176</v>
      </c>
      <c r="E3500" t="s">
        <v>61</v>
      </c>
      <c r="F3500" t="s">
        <v>1070</v>
      </c>
      <c r="G3500" t="s">
        <v>150</v>
      </c>
      <c r="H3500">
        <v>26</v>
      </c>
    </row>
    <row r="3501" spans="1:8" x14ac:dyDescent="0.35">
      <c r="A3501">
        <v>6203011061327</v>
      </c>
      <c r="B3501" t="s">
        <v>3755</v>
      </c>
      <c r="C3501" t="s">
        <v>9</v>
      </c>
      <c r="D3501" t="s">
        <v>1176</v>
      </c>
      <c r="E3501" t="s">
        <v>61</v>
      </c>
      <c r="F3501" t="s">
        <v>1070</v>
      </c>
      <c r="G3501" t="s">
        <v>61</v>
      </c>
      <c r="H3501">
        <v>215</v>
      </c>
    </row>
    <row r="3502" spans="1:8" x14ac:dyDescent="0.35">
      <c r="A3502">
        <v>6203011061341</v>
      </c>
      <c r="B3502" t="s">
        <v>3640</v>
      </c>
      <c r="C3502" t="s">
        <v>2479</v>
      </c>
      <c r="D3502" t="s">
        <v>1176</v>
      </c>
      <c r="E3502" t="s">
        <v>61</v>
      </c>
      <c r="F3502" t="s">
        <v>1070</v>
      </c>
      <c r="G3502" t="s">
        <v>61</v>
      </c>
      <c r="H3502">
        <v>255</v>
      </c>
    </row>
    <row r="3503" spans="1:8" x14ac:dyDescent="0.35">
      <c r="A3503">
        <v>6203011061358</v>
      </c>
      <c r="B3503" t="s">
        <v>3756</v>
      </c>
      <c r="C3503" t="s">
        <v>909</v>
      </c>
      <c r="D3503" t="s">
        <v>3757</v>
      </c>
      <c r="E3503" t="s">
        <v>61</v>
      </c>
      <c r="F3503" t="s">
        <v>1070</v>
      </c>
      <c r="G3503" t="s">
        <v>150</v>
      </c>
      <c r="H3503">
        <v>1</v>
      </c>
    </row>
    <row r="3504" spans="1:8" x14ac:dyDescent="0.35">
      <c r="A3504">
        <v>6203011061358</v>
      </c>
      <c r="B3504" t="s">
        <v>3756</v>
      </c>
      <c r="C3504" t="s">
        <v>909</v>
      </c>
      <c r="D3504" t="s">
        <v>3757</v>
      </c>
      <c r="E3504" t="s">
        <v>61</v>
      </c>
      <c r="F3504" t="s">
        <v>1070</v>
      </c>
      <c r="G3504" t="s">
        <v>61</v>
      </c>
      <c r="H3504">
        <v>79</v>
      </c>
    </row>
    <row r="3505" spans="1:8" x14ac:dyDescent="0.35">
      <c r="A3505">
        <v>6203011061365</v>
      </c>
      <c r="B3505" t="s">
        <v>3758</v>
      </c>
      <c r="C3505" t="s">
        <v>38</v>
      </c>
      <c r="D3505" t="s">
        <v>1176</v>
      </c>
      <c r="E3505" t="s">
        <v>61</v>
      </c>
      <c r="F3505" t="s">
        <v>1070</v>
      </c>
      <c r="G3505" t="s">
        <v>33</v>
      </c>
      <c r="H3505">
        <v>290</v>
      </c>
    </row>
    <row r="3506" spans="1:8" x14ac:dyDescent="0.35">
      <c r="A3506">
        <v>6203011061365</v>
      </c>
      <c r="B3506" t="s">
        <v>3758</v>
      </c>
      <c r="C3506" t="s">
        <v>38</v>
      </c>
      <c r="D3506" t="s">
        <v>1176</v>
      </c>
      <c r="E3506" t="s">
        <v>61</v>
      </c>
      <c r="F3506" t="s">
        <v>1070</v>
      </c>
      <c r="G3506" t="s">
        <v>34</v>
      </c>
      <c r="H3506">
        <v>48</v>
      </c>
    </row>
    <row r="3507" spans="1:8" x14ac:dyDescent="0.35">
      <c r="A3507">
        <v>6203011061365</v>
      </c>
      <c r="B3507" t="s">
        <v>3758</v>
      </c>
      <c r="C3507" t="s">
        <v>38</v>
      </c>
      <c r="D3507" t="s">
        <v>1176</v>
      </c>
      <c r="E3507" t="s">
        <v>61</v>
      </c>
      <c r="F3507" t="s">
        <v>1070</v>
      </c>
      <c r="G3507" t="s">
        <v>61</v>
      </c>
      <c r="H3507">
        <v>122</v>
      </c>
    </row>
    <row r="3508" spans="1:8" x14ac:dyDescent="0.35">
      <c r="A3508">
        <v>6203011061365</v>
      </c>
      <c r="B3508" t="s">
        <v>3758</v>
      </c>
      <c r="C3508" t="s">
        <v>38</v>
      </c>
      <c r="D3508" t="s">
        <v>1176</v>
      </c>
      <c r="E3508" t="s">
        <v>61</v>
      </c>
      <c r="F3508" t="s">
        <v>1070</v>
      </c>
      <c r="G3508" t="s">
        <v>31</v>
      </c>
      <c r="H3508">
        <v>76</v>
      </c>
    </row>
    <row r="3509" spans="1:8" x14ac:dyDescent="0.35">
      <c r="A3509">
        <v>6203011061365</v>
      </c>
      <c r="B3509" t="s">
        <v>3758</v>
      </c>
      <c r="C3509" t="s">
        <v>38</v>
      </c>
      <c r="D3509" t="s">
        <v>1176</v>
      </c>
      <c r="E3509" t="s">
        <v>61</v>
      </c>
      <c r="F3509" t="s">
        <v>1070</v>
      </c>
      <c r="G3509" t="s">
        <v>578</v>
      </c>
      <c r="H3509">
        <v>1</v>
      </c>
    </row>
    <row r="3510" spans="1:8" x14ac:dyDescent="0.35">
      <c r="A3510">
        <v>6203011061457</v>
      </c>
      <c r="B3510" t="s">
        <v>3759</v>
      </c>
      <c r="C3510" t="s">
        <v>38</v>
      </c>
      <c r="D3510" t="s">
        <v>1176</v>
      </c>
      <c r="E3510" t="s">
        <v>61</v>
      </c>
      <c r="F3510" t="s">
        <v>1070</v>
      </c>
      <c r="G3510" t="s">
        <v>117</v>
      </c>
      <c r="H3510">
        <v>52</v>
      </c>
    </row>
    <row r="3511" spans="1:8" x14ac:dyDescent="0.35">
      <c r="A3511">
        <v>6203011061457</v>
      </c>
      <c r="B3511" t="s">
        <v>3759</v>
      </c>
      <c r="C3511" t="s">
        <v>38</v>
      </c>
      <c r="D3511" t="s">
        <v>1176</v>
      </c>
      <c r="E3511" t="s">
        <v>61</v>
      </c>
      <c r="F3511" t="s">
        <v>1070</v>
      </c>
      <c r="G3511" t="s">
        <v>150</v>
      </c>
      <c r="H3511">
        <v>1</v>
      </c>
    </row>
    <row r="3512" spans="1:8" x14ac:dyDescent="0.35">
      <c r="A3512">
        <v>6203011061457</v>
      </c>
      <c r="B3512" t="s">
        <v>3759</v>
      </c>
      <c r="C3512" t="s">
        <v>38</v>
      </c>
      <c r="D3512" t="s">
        <v>1176</v>
      </c>
      <c r="E3512" t="s">
        <v>61</v>
      </c>
      <c r="F3512" t="s">
        <v>1070</v>
      </c>
      <c r="G3512" t="s">
        <v>61</v>
      </c>
      <c r="H3512">
        <v>205</v>
      </c>
    </row>
    <row r="3513" spans="1:8" x14ac:dyDescent="0.35">
      <c r="A3513">
        <v>6203011061464</v>
      </c>
      <c r="B3513" t="s">
        <v>3760</v>
      </c>
      <c r="C3513" t="s">
        <v>38</v>
      </c>
      <c r="D3513" t="s">
        <v>1176</v>
      </c>
      <c r="E3513" t="s">
        <v>61</v>
      </c>
      <c r="F3513" t="s">
        <v>1070</v>
      </c>
      <c r="G3513" t="s">
        <v>61</v>
      </c>
      <c r="H3513">
        <v>2</v>
      </c>
    </row>
    <row r="3514" spans="1:8" x14ac:dyDescent="0.35">
      <c r="A3514">
        <v>6203011061570</v>
      </c>
      <c r="B3514" t="s">
        <v>3761</v>
      </c>
      <c r="C3514" t="s">
        <v>38</v>
      </c>
      <c r="D3514" t="s">
        <v>3357</v>
      </c>
      <c r="E3514" t="s">
        <v>308</v>
      </c>
      <c r="F3514" t="s">
        <v>309</v>
      </c>
      <c r="G3514" t="s">
        <v>34</v>
      </c>
      <c r="H3514">
        <v>2</v>
      </c>
    </row>
    <row r="3515" spans="1:8" x14ac:dyDescent="0.35">
      <c r="A3515">
        <v>6203011061662</v>
      </c>
      <c r="B3515" t="s">
        <v>3762</v>
      </c>
      <c r="C3515" t="s">
        <v>1805</v>
      </c>
      <c r="D3515" t="s">
        <v>1176</v>
      </c>
      <c r="E3515" t="s">
        <v>61</v>
      </c>
      <c r="F3515" t="s">
        <v>1070</v>
      </c>
      <c r="G3515" t="s">
        <v>61</v>
      </c>
      <c r="H3515">
        <v>200</v>
      </c>
    </row>
    <row r="3516" spans="1:8" x14ac:dyDescent="0.35">
      <c r="A3516">
        <v>6203011061716</v>
      </c>
      <c r="B3516" t="s">
        <v>3763</v>
      </c>
      <c r="C3516" t="s">
        <v>9</v>
      </c>
      <c r="D3516" t="s">
        <v>1176</v>
      </c>
      <c r="E3516" t="s">
        <v>61</v>
      </c>
      <c r="F3516" t="s">
        <v>1070</v>
      </c>
      <c r="G3516" t="s">
        <v>33</v>
      </c>
      <c r="H3516">
        <v>21</v>
      </c>
    </row>
    <row r="3517" spans="1:8" x14ac:dyDescent="0.35">
      <c r="A3517">
        <v>6203011061716</v>
      </c>
      <c r="B3517" t="s">
        <v>3763</v>
      </c>
      <c r="C3517" t="s">
        <v>9</v>
      </c>
      <c r="D3517" t="s">
        <v>1176</v>
      </c>
      <c r="E3517" t="s">
        <v>61</v>
      </c>
      <c r="F3517" t="s">
        <v>1070</v>
      </c>
      <c r="G3517" t="s">
        <v>61</v>
      </c>
      <c r="H3517">
        <v>94</v>
      </c>
    </row>
    <row r="3518" spans="1:8" x14ac:dyDescent="0.35">
      <c r="A3518">
        <v>6203011061716</v>
      </c>
      <c r="B3518" t="s">
        <v>3763</v>
      </c>
      <c r="C3518" t="s">
        <v>9</v>
      </c>
      <c r="D3518" t="s">
        <v>1176</v>
      </c>
      <c r="E3518" t="s">
        <v>61</v>
      </c>
      <c r="F3518" t="s">
        <v>1070</v>
      </c>
      <c r="G3518" t="s">
        <v>31</v>
      </c>
      <c r="H3518">
        <v>2</v>
      </c>
    </row>
    <row r="3519" spans="1:8" x14ac:dyDescent="0.35">
      <c r="A3519">
        <v>6203011061716</v>
      </c>
      <c r="B3519" t="s">
        <v>3763</v>
      </c>
      <c r="C3519" t="s">
        <v>9</v>
      </c>
      <c r="D3519" t="s">
        <v>1176</v>
      </c>
      <c r="E3519" t="s">
        <v>61</v>
      </c>
      <c r="F3519" t="s">
        <v>1070</v>
      </c>
      <c r="G3519" t="s">
        <v>578</v>
      </c>
      <c r="H3519">
        <v>2</v>
      </c>
    </row>
    <row r="3520" spans="1:8" x14ac:dyDescent="0.35">
      <c r="A3520">
        <v>6203011061747</v>
      </c>
      <c r="B3520" t="s">
        <v>3764</v>
      </c>
      <c r="C3520" t="s">
        <v>38</v>
      </c>
      <c r="D3520" t="s">
        <v>1176</v>
      </c>
      <c r="E3520" t="s">
        <v>61</v>
      </c>
      <c r="F3520" t="s">
        <v>1070</v>
      </c>
      <c r="G3520" t="s">
        <v>61</v>
      </c>
      <c r="H3520">
        <v>14</v>
      </c>
    </row>
    <row r="3521" spans="1:8" x14ac:dyDescent="0.35">
      <c r="A3521">
        <v>6203011061747</v>
      </c>
      <c r="B3521" t="s">
        <v>3764</v>
      </c>
      <c r="C3521" t="s">
        <v>38</v>
      </c>
      <c r="D3521" t="s">
        <v>1176</v>
      </c>
      <c r="E3521" t="s">
        <v>61</v>
      </c>
      <c r="F3521" t="s">
        <v>1070</v>
      </c>
      <c r="G3521" t="s">
        <v>31</v>
      </c>
      <c r="H3521">
        <v>5</v>
      </c>
    </row>
    <row r="3522" spans="1:8" x14ac:dyDescent="0.35">
      <c r="A3522">
        <v>6203011061792</v>
      </c>
      <c r="B3522" t="s">
        <v>3765</v>
      </c>
      <c r="C3522" t="s">
        <v>2479</v>
      </c>
      <c r="D3522" t="s">
        <v>1176</v>
      </c>
      <c r="E3522" t="s">
        <v>61</v>
      </c>
      <c r="F3522" t="s">
        <v>1070</v>
      </c>
      <c r="G3522" t="s">
        <v>61</v>
      </c>
      <c r="H3522">
        <v>296</v>
      </c>
    </row>
    <row r="3523" spans="1:8" x14ac:dyDescent="0.35">
      <c r="A3523">
        <v>6203011061839</v>
      </c>
      <c r="B3523" t="s">
        <v>1011</v>
      </c>
      <c r="C3523" t="s">
        <v>38</v>
      </c>
      <c r="D3523" t="s">
        <v>1176</v>
      </c>
      <c r="E3523" t="s">
        <v>61</v>
      </c>
      <c r="F3523" t="s">
        <v>1070</v>
      </c>
      <c r="G3523" t="s">
        <v>61</v>
      </c>
      <c r="H3523">
        <v>212</v>
      </c>
    </row>
    <row r="3524" spans="1:8" x14ac:dyDescent="0.35">
      <c r="A3524">
        <v>6203011061846</v>
      </c>
      <c r="B3524" t="s">
        <v>668</v>
      </c>
      <c r="C3524" t="s">
        <v>9</v>
      </c>
      <c r="D3524" t="s">
        <v>1176</v>
      </c>
      <c r="E3524" t="s">
        <v>61</v>
      </c>
      <c r="F3524" t="s">
        <v>1070</v>
      </c>
      <c r="G3524" t="s">
        <v>61</v>
      </c>
      <c r="H3524">
        <v>163</v>
      </c>
    </row>
    <row r="3525" spans="1:8" x14ac:dyDescent="0.35">
      <c r="A3525">
        <v>6203011061853</v>
      </c>
      <c r="B3525" t="s">
        <v>3766</v>
      </c>
      <c r="C3525" t="s">
        <v>83</v>
      </c>
      <c r="D3525" t="s">
        <v>539</v>
      </c>
      <c r="E3525" t="s">
        <v>15</v>
      </c>
      <c r="F3525" t="s">
        <v>14</v>
      </c>
      <c r="G3525" t="s">
        <v>61</v>
      </c>
      <c r="H3525">
        <v>139</v>
      </c>
    </row>
    <row r="3526" spans="1:8" x14ac:dyDescent="0.35">
      <c r="A3526">
        <v>6203011061877</v>
      </c>
      <c r="B3526" t="s">
        <v>3767</v>
      </c>
      <c r="C3526" t="s">
        <v>94</v>
      </c>
      <c r="D3526" t="s">
        <v>1176</v>
      </c>
      <c r="E3526" t="s">
        <v>61</v>
      </c>
      <c r="F3526" t="s">
        <v>1070</v>
      </c>
      <c r="G3526" t="s">
        <v>61</v>
      </c>
      <c r="H3526">
        <v>5</v>
      </c>
    </row>
    <row r="3527" spans="1:8" x14ac:dyDescent="0.35">
      <c r="A3527">
        <v>6203011061884</v>
      </c>
      <c r="B3527" t="s">
        <v>3768</v>
      </c>
      <c r="C3527" t="s">
        <v>909</v>
      </c>
      <c r="D3527" t="s">
        <v>1176</v>
      </c>
      <c r="E3527" t="s">
        <v>61</v>
      </c>
      <c r="F3527" t="s">
        <v>1070</v>
      </c>
      <c r="G3527" t="s">
        <v>61</v>
      </c>
      <c r="H3527">
        <v>22</v>
      </c>
    </row>
    <row r="3528" spans="1:8" x14ac:dyDescent="0.35">
      <c r="A3528">
        <v>6203011061938</v>
      </c>
      <c r="B3528" t="s">
        <v>3769</v>
      </c>
      <c r="C3528" t="s">
        <v>2479</v>
      </c>
      <c r="D3528" t="s">
        <v>1176</v>
      </c>
      <c r="E3528" t="s">
        <v>61</v>
      </c>
      <c r="F3528" t="s">
        <v>1070</v>
      </c>
      <c r="G3528" t="s">
        <v>61</v>
      </c>
      <c r="H3528">
        <v>31</v>
      </c>
    </row>
    <row r="3529" spans="1:8" x14ac:dyDescent="0.35">
      <c r="A3529">
        <v>6203011670093</v>
      </c>
      <c r="B3529" t="s">
        <v>3770</v>
      </c>
      <c r="C3529" t="s">
        <v>43</v>
      </c>
      <c r="D3529" t="s">
        <v>3771</v>
      </c>
      <c r="E3529" t="s">
        <v>61</v>
      </c>
      <c r="F3529" t="s">
        <v>3772</v>
      </c>
      <c r="G3529" t="s">
        <v>61</v>
      </c>
      <c r="H3529">
        <v>8</v>
      </c>
    </row>
    <row r="3530" spans="1:8" x14ac:dyDescent="0.35">
      <c r="A3530">
        <v>6203011910014</v>
      </c>
      <c r="B3530" t="s">
        <v>3773</v>
      </c>
      <c r="C3530" t="s">
        <v>1374</v>
      </c>
      <c r="D3530" t="s">
        <v>3774</v>
      </c>
      <c r="E3530" t="s">
        <v>61</v>
      </c>
      <c r="F3530" t="s">
        <v>3775</v>
      </c>
      <c r="G3530" t="s">
        <v>61</v>
      </c>
      <c r="H3530">
        <v>7</v>
      </c>
    </row>
    <row r="3531" spans="1:8" x14ac:dyDescent="0.35">
      <c r="A3531">
        <v>6203011910014</v>
      </c>
      <c r="B3531" t="s">
        <v>3773</v>
      </c>
      <c r="C3531" t="s">
        <v>1374</v>
      </c>
      <c r="D3531" t="s">
        <v>3774</v>
      </c>
      <c r="E3531" t="s">
        <v>61</v>
      </c>
      <c r="F3531" t="s">
        <v>3775</v>
      </c>
      <c r="G3531" t="s">
        <v>31</v>
      </c>
      <c r="H3531">
        <v>1</v>
      </c>
    </row>
    <row r="3532" spans="1:8" x14ac:dyDescent="0.35">
      <c r="A3532">
        <v>6203011990047</v>
      </c>
      <c r="B3532" t="s">
        <v>3776</v>
      </c>
      <c r="C3532" t="s">
        <v>173</v>
      </c>
      <c r="D3532" t="s">
        <v>3777</v>
      </c>
      <c r="E3532" t="s">
        <v>61</v>
      </c>
      <c r="F3532" t="s">
        <v>3778</v>
      </c>
      <c r="G3532" t="s">
        <v>150</v>
      </c>
      <c r="H3532">
        <v>8</v>
      </c>
    </row>
    <row r="3533" spans="1:8" x14ac:dyDescent="0.35">
      <c r="A3533">
        <v>6203011990047</v>
      </c>
      <c r="B3533" t="s">
        <v>3776</v>
      </c>
      <c r="C3533" t="s">
        <v>173</v>
      </c>
      <c r="D3533" t="s">
        <v>3777</v>
      </c>
      <c r="E3533" t="s">
        <v>61</v>
      </c>
      <c r="F3533" t="s">
        <v>3778</v>
      </c>
      <c r="G3533" t="s">
        <v>61</v>
      </c>
      <c r="H3533">
        <v>1155</v>
      </c>
    </row>
    <row r="3534" spans="1:8" x14ac:dyDescent="0.35">
      <c r="A3534">
        <v>6203012300005</v>
      </c>
      <c r="B3534" t="s">
        <v>544</v>
      </c>
      <c r="C3534" t="s">
        <v>81</v>
      </c>
      <c r="D3534" t="s">
        <v>3779</v>
      </c>
      <c r="E3534" t="s">
        <v>61</v>
      </c>
      <c r="F3534" t="s">
        <v>85</v>
      </c>
      <c r="G3534" t="s">
        <v>61</v>
      </c>
      <c r="H3534">
        <v>291</v>
      </c>
    </row>
    <row r="3535" spans="1:8" x14ac:dyDescent="0.35">
      <c r="A3535">
        <v>6203012300029</v>
      </c>
      <c r="B3535" t="s">
        <v>3780</v>
      </c>
      <c r="C3535" t="s">
        <v>83</v>
      </c>
      <c r="D3535" t="s">
        <v>414</v>
      </c>
      <c r="E3535" t="s">
        <v>61</v>
      </c>
      <c r="F3535" t="s">
        <v>85</v>
      </c>
      <c r="G3535" t="s">
        <v>61</v>
      </c>
      <c r="H3535">
        <v>428</v>
      </c>
    </row>
    <row r="3536" spans="1:8" x14ac:dyDescent="0.35">
      <c r="A3536">
        <v>6203012300036</v>
      </c>
      <c r="B3536" t="s">
        <v>1011</v>
      </c>
      <c r="C3536" t="s">
        <v>806</v>
      </c>
      <c r="D3536" t="s">
        <v>3781</v>
      </c>
      <c r="E3536" t="s">
        <v>61</v>
      </c>
      <c r="F3536" t="s">
        <v>85</v>
      </c>
      <c r="G3536" t="s">
        <v>61</v>
      </c>
      <c r="H3536">
        <v>71</v>
      </c>
    </row>
    <row r="3537" spans="1:8" x14ac:dyDescent="0.35">
      <c r="A3537">
        <v>6203012300043</v>
      </c>
      <c r="B3537" t="s">
        <v>1944</v>
      </c>
      <c r="C3537" t="s">
        <v>83</v>
      </c>
      <c r="D3537" t="s">
        <v>414</v>
      </c>
      <c r="E3537" t="s">
        <v>61</v>
      </c>
      <c r="F3537" t="s">
        <v>85</v>
      </c>
      <c r="G3537" t="s">
        <v>61</v>
      </c>
      <c r="H3537">
        <v>500</v>
      </c>
    </row>
    <row r="3538" spans="1:8" x14ac:dyDescent="0.35">
      <c r="A3538">
        <v>6203012300074</v>
      </c>
      <c r="B3538" t="s">
        <v>2597</v>
      </c>
      <c r="C3538" t="s">
        <v>83</v>
      </c>
      <c r="D3538" t="s">
        <v>414</v>
      </c>
      <c r="E3538" t="s">
        <v>61</v>
      </c>
      <c r="F3538" t="s">
        <v>85</v>
      </c>
      <c r="G3538" t="s">
        <v>61</v>
      </c>
      <c r="H3538">
        <v>244</v>
      </c>
    </row>
    <row r="3539" spans="1:8" x14ac:dyDescent="0.35">
      <c r="A3539">
        <v>6203012300180</v>
      </c>
      <c r="B3539" t="s">
        <v>544</v>
      </c>
      <c r="C3539" t="s">
        <v>9</v>
      </c>
      <c r="D3539" t="s">
        <v>3779</v>
      </c>
      <c r="E3539" t="s">
        <v>61</v>
      </c>
      <c r="F3539" t="s">
        <v>85</v>
      </c>
      <c r="G3539" t="s">
        <v>61</v>
      </c>
      <c r="H3539">
        <v>27</v>
      </c>
    </row>
    <row r="3540" spans="1:8" x14ac:dyDescent="0.35">
      <c r="A3540">
        <v>6203012300197</v>
      </c>
      <c r="B3540" t="s">
        <v>544</v>
      </c>
      <c r="C3540" t="s">
        <v>3782</v>
      </c>
      <c r="D3540" t="s">
        <v>3779</v>
      </c>
      <c r="E3540" t="s">
        <v>61</v>
      </c>
      <c r="F3540" t="s">
        <v>85</v>
      </c>
      <c r="G3540" t="s">
        <v>61</v>
      </c>
      <c r="H3540">
        <v>28</v>
      </c>
    </row>
    <row r="3541" spans="1:8" x14ac:dyDescent="0.35">
      <c r="A3541">
        <v>6203012300210</v>
      </c>
      <c r="B3541" t="s">
        <v>544</v>
      </c>
      <c r="C3541" t="s">
        <v>114</v>
      </c>
      <c r="D3541" t="s">
        <v>3783</v>
      </c>
      <c r="E3541" t="s">
        <v>61</v>
      </c>
      <c r="F3541" t="s">
        <v>85</v>
      </c>
      <c r="G3541" t="s">
        <v>61</v>
      </c>
      <c r="H3541">
        <v>146</v>
      </c>
    </row>
    <row r="3542" spans="1:8" x14ac:dyDescent="0.35">
      <c r="A3542">
        <v>6203012300227</v>
      </c>
      <c r="B3542" t="s">
        <v>262</v>
      </c>
      <c r="C3542" t="s">
        <v>192</v>
      </c>
      <c r="D3542" t="s">
        <v>3779</v>
      </c>
      <c r="E3542" t="s">
        <v>61</v>
      </c>
      <c r="F3542" t="s">
        <v>85</v>
      </c>
      <c r="G3542" t="s">
        <v>61</v>
      </c>
      <c r="H3542">
        <v>265</v>
      </c>
    </row>
    <row r="3543" spans="1:8" x14ac:dyDescent="0.35">
      <c r="A3543">
        <v>6203012300364</v>
      </c>
      <c r="B3543" t="s">
        <v>3784</v>
      </c>
      <c r="C3543" t="s">
        <v>36</v>
      </c>
      <c r="D3543" t="s">
        <v>414</v>
      </c>
      <c r="E3543" t="s">
        <v>61</v>
      </c>
      <c r="F3543" t="s">
        <v>85</v>
      </c>
      <c r="G3543" t="s">
        <v>61</v>
      </c>
      <c r="H3543">
        <v>98</v>
      </c>
    </row>
    <row r="3544" spans="1:8" x14ac:dyDescent="0.35">
      <c r="A3544">
        <v>6203012300388</v>
      </c>
      <c r="B3544" t="s">
        <v>1320</v>
      </c>
      <c r="C3544" t="s">
        <v>36</v>
      </c>
      <c r="D3544" t="s">
        <v>3785</v>
      </c>
      <c r="E3544" t="s">
        <v>61</v>
      </c>
      <c r="F3544" t="s">
        <v>85</v>
      </c>
      <c r="G3544" t="s">
        <v>61</v>
      </c>
      <c r="H3544">
        <v>143</v>
      </c>
    </row>
    <row r="3545" spans="1:8" x14ac:dyDescent="0.35">
      <c r="A3545">
        <v>6203012300395</v>
      </c>
      <c r="B3545" t="s">
        <v>3786</v>
      </c>
      <c r="C3545" t="s">
        <v>1154</v>
      </c>
      <c r="D3545" t="s">
        <v>414</v>
      </c>
      <c r="E3545" t="s">
        <v>61</v>
      </c>
      <c r="F3545" t="s">
        <v>85</v>
      </c>
      <c r="G3545" t="s">
        <v>61</v>
      </c>
      <c r="H3545">
        <v>145</v>
      </c>
    </row>
    <row r="3546" spans="1:8" x14ac:dyDescent="0.35">
      <c r="A3546">
        <v>6203012300418</v>
      </c>
      <c r="B3546" t="s">
        <v>3787</v>
      </c>
      <c r="C3546" t="s">
        <v>1154</v>
      </c>
      <c r="D3546" t="s">
        <v>414</v>
      </c>
      <c r="E3546" t="s">
        <v>61</v>
      </c>
      <c r="F3546" t="s">
        <v>85</v>
      </c>
      <c r="G3546" t="s">
        <v>61</v>
      </c>
      <c r="H3546">
        <v>5</v>
      </c>
    </row>
    <row r="3547" spans="1:8" x14ac:dyDescent="0.35">
      <c r="A3547">
        <v>6203012300456</v>
      </c>
      <c r="B3547" t="s">
        <v>3788</v>
      </c>
      <c r="C3547" t="s">
        <v>1154</v>
      </c>
      <c r="D3547" t="s">
        <v>414</v>
      </c>
      <c r="E3547" t="s">
        <v>61</v>
      </c>
      <c r="F3547" t="s">
        <v>85</v>
      </c>
      <c r="G3547" t="s">
        <v>61</v>
      </c>
      <c r="H3547">
        <v>50</v>
      </c>
    </row>
    <row r="3548" spans="1:8" x14ac:dyDescent="0.35">
      <c r="A3548">
        <v>6203012300500</v>
      </c>
      <c r="B3548" t="s">
        <v>3715</v>
      </c>
      <c r="C3548" t="s">
        <v>3789</v>
      </c>
      <c r="D3548" t="s">
        <v>3779</v>
      </c>
      <c r="E3548" t="s">
        <v>61</v>
      </c>
      <c r="F3548" t="s">
        <v>85</v>
      </c>
      <c r="G3548" t="s">
        <v>61</v>
      </c>
      <c r="H3548">
        <v>3</v>
      </c>
    </row>
    <row r="3549" spans="1:8" x14ac:dyDescent="0.35">
      <c r="A3549">
        <v>6203012300517</v>
      </c>
      <c r="B3549" t="s">
        <v>3790</v>
      </c>
      <c r="C3549" t="s">
        <v>83</v>
      </c>
      <c r="D3549" t="s">
        <v>414</v>
      </c>
      <c r="E3549" t="s">
        <v>61</v>
      </c>
      <c r="F3549" t="s">
        <v>85</v>
      </c>
      <c r="G3549" t="s">
        <v>61</v>
      </c>
      <c r="H3549">
        <v>104</v>
      </c>
    </row>
    <row r="3550" spans="1:8" x14ac:dyDescent="0.35">
      <c r="A3550">
        <v>6203012300548</v>
      </c>
      <c r="B3550" t="s">
        <v>3791</v>
      </c>
      <c r="C3550" t="s">
        <v>83</v>
      </c>
      <c r="D3550" t="s">
        <v>414</v>
      </c>
      <c r="E3550" t="s">
        <v>61</v>
      </c>
      <c r="F3550" t="s">
        <v>85</v>
      </c>
      <c r="G3550" t="s">
        <v>61</v>
      </c>
      <c r="H3550">
        <v>1041</v>
      </c>
    </row>
    <row r="3551" spans="1:8" x14ac:dyDescent="0.35">
      <c r="A3551">
        <v>6203012300579</v>
      </c>
      <c r="B3551" t="s">
        <v>84</v>
      </c>
      <c r="C3551" t="s">
        <v>1154</v>
      </c>
      <c r="D3551" t="s">
        <v>414</v>
      </c>
      <c r="E3551" t="s">
        <v>61</v>
      </c>
      <c r="F3551" t="s">
        <v>85</v>
      </c>
      <c r="G3551" t="s">
        <v>61</v>
      </c>
      <c r="H3551">
        <v>166</v>
      </c>
    </row>
    <row r="3552" spans="1:8" x14ac:dyDescent="0.35">
      <c r="A3552">
        <v>6203012300593</v>
      </c>
      <c r="B3552" t="s">
        <v>3792</v>
      </c>
      <c r="C3552" t="s">
        <v>2244</v>
      </c>
      <c r="D3552" t="s">
        <v>3785</v>
      </c>
      <c r="E3552" t="s">
        <v>61</v>
      </c>
      <c r="F3552" t="s">
        <v>85</v>
      </c>
      <c r="G3552" t="s">
        <v>61</v>
      </c>
      <c r="H3552">
        <v>2</v>
      </c>
    </row>
    <row r="3553" spans="1:8" x14ac:dyDescent="0.35">
      <c r="A3553">
        <v>6203012300630</v>
      </c>
      <c r="B3553" t="s">
        <v>544</v>
      </c>
      <c r="C3553" t="s">
        <v>192</v>
      </c>
      <c r="D3553" t="s">
        <v>3779</v>
      </c>
      <c r="E3553" t="s">
        <v>61</v>
      </c>
      <c r="F3553" t="s">
        <v>85</v>
      </c>
      <c r="G3553" t="s">
        <v>61</v>
      </c>
      <c r="H3553">
        <v>380</v>
      </c>
    </row>
    <row r="3554" spans="1:8" x14ac:dyDescent="0.35">
      <c r="A3554">
        <v>6203012300876</v>
      </c>
      <c r="B3554" t="s">
        <v>3793</v>
      </c>
      <c r="C3554" t="s">
        <v>385</v>
      </c>
      <c r="D3554" t="s">
        <v>414</v>
      </c>
      <c r="E3554" t="s">
        <v>61</v>
      </c>
      <c r="F3554" t="s">
        <v>85</v>
      </c>
      <c r="G3554" t="s">
        <v>61</v>
      </c>
      <c r="H3554">
        <v>54</v>
      </c>
    </row>
    <row r="3555" spans="1:8" x14ac:dyDescent="0.35">
      <c r="A3555">
        <v>6203012300920</v>
      </c>
      <c r="B3555" t="s">
        <v>3794</v>
      </c>
      <c r="C3555" t="s">
        <v>1154</v>
      </c>
      <c r="D3555" t="s">
        <v>414</v>
      </c>
      <c r="E3555" t="s">
        <v>61</v>
      </c>
      <c r="F3555" t="s">
        <v>85</v>
      </c>
      <c r="G3555" t="s">
        <v>61</v>
      </c>
      <c r="H3555">
        <v>10</v>
      </c>
    </row>
    <row r="3556" spans="1:8" x14ac:dyDescent="0.35">
      <c r="A3556">
        <v>6203012300937</v>
      </c>
      <c r="B3556" t="s">
        <v>3795</v>
      </c>
      <c r="C3556" t="s">
        <v>806</v>
      </c>
      <c r="D3556" t="s">
        <v>414</v>
      </c>
      <c r="E3556" t="s">
        <v>61</v>
      </c>
      <c r="F3556" t="s">
        <v>85</v>
      </c>
      <c r="G3556" t="s">
        <v>61</v>
      </c>
      <c r="H3556">
        <v>219</v>
      </c>
    </row>
    <row r="3557" spans="1:8" x14ac:dyDescent="0.35">
      <c r="A3557">
        <v>6203012301323</v>
      </c>
      <c r="B3557" t="s">
        <v>668</v>
      </c>
      <c r="C3557" t="s">
        <v>83</v>
      </c>
      <c r="D3557" t="s">
        <v>414</v>
      </c>
      <c r="E3557" t="s">
        <v>61</v>
      </c>
      <c r="F3557" t="s">
        <v>85</v>
      </c>
      <c r="G3557" t="s">
        <v>61</v>
      </c>
      <c r="H3557">
        <v>35</v>
      </c>
    </row>
    <row r="3558" spans="1:8" x14ac:dyDescent="0.35">
      <c r="A3558">
        <v>6203012301446</v>
      </c>
      <c r="B3558" t="s">
        <v>947</v>
      </c>
      <c r="C3558" t="s">
        <v>1095</v>
      </c>
      <c r="D3558" t="s">
        <v>3779</v>
      </c>
      <c r="E3558" t="s">
        <v>61</v>
      </c>
      <c r="F3558" t="s">
        <v>85</v>
      </c>
      <c r="G3558" t="s">
        <v>61</v>
      </c>
      <c r="H3558">
        <v>6</v>
      </c>
    </row>
    <row r="3559" spans="1:8" x14ac:dyDescent="0.35">
      <c r="A3559">
        <v>6203012960230</v>
      </c>
      <c r="B3559" t="s">
        <v>3796</v>
      </c>
      <c r="C3559" t="s">
        <v>81</v>
      </c>
      <c r="D3559" t="s">
        <v>3797</v>
      </c>
      <c r="E3559" t="s">
        <v>788</v>
      </c>
      <c r="F3559" t="s">
        <v>3798</v>
      </c>
      <c r="G3559" t="s">
        <v>61</v>
      </c>
      <c r="H3559">
        <v>30</v>
      </c>
    </row>
    <row r="3560" spans="1:8" x14ac:dyDescent="0.35">
      <c r="A3560">
        <v>6203012970093</v>
      </c>
      <c r="B3560" t="s">
        <v>2887</v>
      </c>
      <c r="C3560" t="s">
        <v>43</v>
      </c>
      <c r="D3560" t="s">
        <v>1040</v>
      </c>
      <c r="E3560" t="s">
        <v>1041</v>
      </c>
      <c r="F3560" t="s">
        <v>1042</v>
      </c>
      <c r="G3560" t="s">
        <v>61</v>
      </c>
      <c r="H3560">
        <v>9</v>
      </c>
    </row>
    <row r="3561" spans="1:8" x14ac:dyDescent="0.35">
      <c r="A3561">
        <v>6203012970222</v>
      </c>
      <c r="B3561" t="s">
        <v>3799</v>
      </c>
      <c r="C3561" t="s">
        <v>2089</v>
      </c>
      <c r="D3561" t="s">
        <v>1040</v>
      </c>
      <c r="E3561" t="s">
        <v>1041</v>
      </c>
      <c r="F3561" t="s">
        <v>1042</v>
      </c>
      <c r="G3561" t="s">
        <v>61</v>
      </c>
      <c r="H3561">
        <v>1</v>
      </c>
    </row>
    <row r="3562" spans="1:8" x14ac:dyDescent="0.35">
      <c r="A3562">
        <v>6203012970345</v>
      </c>
      <c r="B3562" t="s">
        <v>3800</v>
      </c>
      <c r="C3562" t="s">
        <v>43</v>
      </c>
      <c r="D3562" t="s">
        <v>3800</v>
      </c>
      <c r="E3562" t="s">
        <v>1041</v>
      </c>
      <c r="F3562" t="s">
        <v>1042</v>
      </c>
      <c r="G3562" t="s">
        <v>61</v>
      </c>
      <c r="H3562">
        <v>28</v>
      </c>
    </row>
    <row r="3563" spans="1:8" x14ac:dyDescent="0.35">
      <c r="A3563">
        <v>6203012970499</v>
      </c>
      <c r="B3563" t="s">
        <v>3800</v>
      </c>
      <c r="C3563" t="s">
        <v>43</v>
      </c>
      <c r="D3563" t="s">
        <v>3800</v>
      </c>
      <c r="E3563" t="s">
        <v>1041</v>
      </c>
      <c r="F3563" t="s">
        <v>1042</v>
      </c>
      <c r="G3563" t="s">
        <v>61</v>
      </c>
      <c r="H3563">
        <v>24</v>
      </c>
    </row>
    <row r="3564" spans="1:8" x14ac:dyDescent="0.35">
      <c r="A3564">
        <v>6203012970710</v>
      </c>
      <c r="B3564" t="s">
        <v>2887</v>
      </c>
      <c r="C3564" t="s">
        <v>9</v>
      </c>
      <c r="D3564" t="s">
        <v>1040</v>
      </c>
      <c r="E3564" t="s">
        <v>1041</v>
      </c>
      <c r="F3564" t="s">
        <v>1042</v>
      </c>
      <c r="G3564" t="s">
        <v>61</v>
      </c>
      <c r="H3564">
        <v>10</v>
      </c>
    </row>
    <row r="3565" spans="1:8" x14ac:dyDescent="0.35">
      <c r="A3565">
        <v>6203012970857</v>
      </c>
      <c r="B3565" t="s">
        <v>3801</v>
      </c>
      <c r="C3565" t="s">
        <v>69</v>
      </c>
      <c r="D3565" t="s">
        <v>1040</v>
      </c>
      <c r="E3565" t="s">
        <v>1041</v>
      </c>
      <c r="F3565" t="s">
        <v>1042</v>
      </c>
      <c r="G3565" t="s">
        <v>61</v>
      </c>
      <c r="H3565">
        <v>13</v>
      </c>
    </row>
    <row r="3566" spans="1:8" x14ac:dyDescent="0.35">
      <c r="A3566">
        <v>6203013230004</v>
      </c>
      <c r="B3566" t="s">
        <v>485</v>
      </c>
      <c r="C3566" t="s">
        <v>192</v>
      </c>
      <c r="D3566" t="s">
        <v>1018</v>
      </c>
      <c r="E3566" t="s">
        <v>61</v>
      </c>
      <c r="F3566" t="s">
        <v>1019</v>
      </c>
      <c r="G3566" t="s">
        <v>61</v>
      </c>
      <c r="H3566">
        <v>2034</v>
      </c>
    </row>
    <row r="3567" spans="1:8" x14ac:dyDescent="0.35">
      <c r="A3567">
        <v>6203013230011</v>
      </c>
      <c r="B3567" t="s">
        <v>3802</v>
      </c>
      <c r="C3567" t="s">
        <v>9</v>
      </c>
      <c r="D3567" t="s">
        <v>1018</v>
      </c>
      <c r="E3567" t="s">
        <v>61</v>
      </c>
      <c r="F3567" t="s">
        <v>1019</v>
      </c>
      <c r="G3567" t="s">
        <v>34</v>
      </c>
      <c r="H3567">
        <v>1</v>
      </c>
    </row>
    <row r="3568" spans="1:8" x14ac:dyDescent="0.35">
      <c r="A3568">
        <v>6203013230011</v>
      </c>
      <c r="B3568" t="s">
        <v>3802</v>
      </c>
      <c r="C3568" t="s">
        <v>9</v>
      </c>
      <c r="D3568" t="s">
        <v>1018</v>
      </c>
      <c r="E3568" t="s">
        <v>61</v>
      </c>
      <c r="F3568" t="s">
        <v>1019</v>
      </c>
      <c r="G3568" t="s">
        <v>61</v>
      </c>
      <c r="H3568">
        <v>701</v>
      </c>
    </row>
    <row r="3569" spans="1:8" x14ac:dyDescent="0.35">
      <c r="A3569">
        <v>6203013230028</v>
      </c>
      <c r="B3569" t="s">
        <v>1018</v>
      </c>
      <c r="C3569" t="s">
        <v>603</v>
      </c>
      <c r="D3569" t="s">
        <v>1018</v>
      </c>
      <c r="E3569" t="s">
        <v>61</v>
      </c>
      <c r="F3569" t="s">
        <v>1019</v>
      </c>
      <c r="G3569" t="s">
        <v>61</v>
      </c>
      <c r="H3569">
        <v>180</v>
      </c>
    </row>
    <row r="3570" spans="1:8" x14ac:dyDescent="0.35">
      <c r="A3570">
        <v>6203013471629</v>
      </c>
      <c r="B3570" t="s">
        <v>3803</v>
      </c>
      <c r="C3570" t="s">
        <v>806</v>
      </c>
      <c r="D3570" t="s">
        <v>3804</v>
      </c>
      <c r="E3570" t="s">
        <v>61</v>
      </c>
      <c r="F3570" t="s">
        <v>3805</v>
      </c>
      <c r="G3570" t="s">
        <v>61</v>
      </c>
      <c r="H3570">
        <v>1</v>
      </c>
    </row>
    <row r="3571" spans="1:8" x14ac:dyDescent="0.35">
      <c r="A3571">
        <v>6203013471667</v>
      </c>
      <c r="B3571" t="s">
        <v>3806</v>
      </c>
      <c r="C3571" t="s">
        <v>38</v>
      </c>
      <c r="D3571" t="s">
        <v>1169</v>
      </c>
      <c r="E3571" t="s">
        <v>61</v>
      </c>
      <c r="F3571" t="s">
        <v>1170</v>
      </c>
      <c r="G3571" t="s">
        <v>150</v>
      </c>
      <c r="H3571">
        <v>6</v>
      </c>
    </row>
    <row r="3572" spans="1:8" x14ac:dyDescent="0.35">
      <c r="A3572">
        <v>6203013770005</v>
      </c>
      <c r="B3572" t="s">
        <v>485</v>
      </c>
      <c r="C3572" t="s">
        <v>9</v>
      </c>
      <c r="D3572" t="s">
        <v>420</v>
      </c>
      <c r="E3572" t="s">
        <v>61</v>
      </c>
      <c r="F3572" t="s">
        <v>421</v>
      </c>
      <c r="G3572" t="s">
        <v>61</v>
      </c>
      <c r="H3572">
        <v>206</v>
      </c>
    </row>
    <row r="3573" spans="1:8" x14ac:dyDescent="0.35">
      <c r="A3573">
        <v>6203013770012</v>
      </c>
      <c r="B3573" t="s">
        <v>544</v>
      </c>
      <c r="C3573" t="s">
        <v>81</v>
      </c>
      <c r="D3573" t="s">
        <v>420</v>
      </c>
      <c r="E3573" t="s">
        <v>61</v>
      </c>
      <c r="F3573" t="s">
        <v>421</v>
      </c>
      <c r="G3573" t="s">
        <v>1201</v>
      </c>
      <c r="H3573">
        <v>1</v>
      </c>
    </row>
    <row r="3574" spans="1:8" x14ac:dyDescent="0.35">
      <c r="A3574">
        <v>6203013770012</v>
      </c>
      <c r="B3574" t="s">
        <v>544</v>
      </c>
      <c r="C3574" t="s">
        <v>81</v>
      </c>
      <c r="D3574" t="s">
        <v>420</v>
      </c>
      <c r="E3574" t="s">
        <v>61</v>
      </c>
      <c r="F3574" t="s">
        <v>421</v>
      </c>
      <c r="G3574" t="s">
        <v>61</v>
      </c>
      <c r="H3574">
        <v>1271</v>
      </c>
    </row>
    <row r="3575" spans="1:8" x14ac:dyDescent="0.35">
      <c r="A3575">
        <v>6203013770029</v>
      </c>
      <c r="B3575" t="s">
        <v>1839</v>
      </c>
      <c r="C3575" t="s">
        <v>192</v>
      </c>
      <c r="D3575" t="s">
        <v>420</v>
      </c>
      <c r="E3575" t="s">
        <v>61</v>
      </c>
      <c r="F3575" t="s">
        <v>421</v>
      </c>
      <c r="G3575" t="s">
        <v>61</v>
      </c>
      <c r="H3575">
        <v>105</v>
      </c>
    </row>
    <row r="3576" spans="1:8" x14ac:dyDescent="0.35">
      <c r="A3576">
        <v>6203013770043</v>
      </c>
      <c r="B3576" t="s">
        <v>1240</v>
      </c>
      <c r="C3576" t="s">
        <v>3789</v>
      </c>
      <c r="D3576" t="s">
        <v>420</v>
      </c>
      <c r="E3576" t="s">
        <v>61</v>
      </c>
      <c r="F3576" t="s">
        <v>421</v>
      </c>
      <c r="G3576" t="s">
        <v>61</v>
      </c>
      <c r="H3576">
        <v>56</v>
      </c>
    </row>
    <row r="3577" spans="1:8" x14ac:dyDescent="0.35">
      <c r="A3577">
        <v>6203013770050</v>
      </c>
      <c r="B3577" t="s">
        <v>3715</v>
      </c>
      <c r="C3577" t="s">
        <v>3716</v>
      </c>
      <c r="D3577" t="s">
        <v>420</v>
      </c>
      <c r="E3577" t="s">
        <v>61</v>
      </c>
      <c r="F3577" t="s">
        <v>421</v>
      </c>
      <c r="G3577" t="s">
        <v>61</v>
      </c>
      <c r="H3577">
        <v>3</v>
      </c>
    </row>
    <row r="3578" spans="1:8" x14ac:dyDescent="0.35">
      <c r="A3578">
        <v>6203013770067</v>
      </c>
      <c r="B3578" t="s">
        <v>3807</v>
      </c>
      <c r="C3578" t="s">
        <v>83</v>
      </c>
      <c r="D3578" t="s">
        <v>3808</v>
      </c>
      <c r="E3578" t="s">
        <v>61</v>
      </c>
      <c r="F3578" t="s">
        <v>421</v>
      </c>
      <c r="G3578" t="s">
        <v>61</v>
      </c>
      <c r="H3578">
        <v>17</v>
      </c>
    </row>
    <row r="3579" spans="1:8" x14ac:dyDescent="0.35">
      <c r="A3579">
        <v>6203014960115</v>
      </c>
      <c r="B3579" t="s">
        <v>3809</v>
      </c>
      <c r="C3579" t="s">
        <v>36</v>
      </c>
      <c r="D3579" t="s">
        <v>3810</v>
      </c>
      <c r="E3579" t="s">
        <v>61</v>
      </c>
      <c r="F3579" t="s">
        <v>3811</v>
      </c>
      <c r="G3579" t="s">
        <v>61</v>
      </c>
      <c r="H3579">
        <v>8</v>
      </c>
    </row>
    <row r="3580" spans="1:8" x14ac:dyDescent="0.35">
      <c r="A3580">
        <v>6203015450011</v>
      </c>
      <c r="B3580" t="s">
        <v>947</v>
      </c>
      <c r="C3580" t="s">
        <v>9</v>
      </c>
      <c r="D3580" t="s">
        <v>3812</v>
      </c>
      <c r="E3580" t="s">
        <v>61</v>
      </c>
      <c r="F3580" t="s">
        <v>3813</v>
      </c>
      <c r="G3580" t="s">
        <v>61</v>
      </c>
      <c r="H3580">
        <v>9</v>
      </c>
    </row>
    <row r="3581" spans="1:8" x14ac:dyDescent="0.35">
      <c r="A3581">
        <v>6203015450028</v>
      </c>
      <c r="B3581" t="s">
        <v>947</v>
      </c>
      <c r="C3581" t="s">
        <v>192</v>
      </c>
      <c r="D3581" t="s">
        <v>3812</v>
      </c>
      <c r="E3581" t="s">
        <v>61</v>
      </c>
      <c r="F3581" t="s">
        <v>3813</v>
      </c>
      <c r="G3581" t="s">
        <v>61</v>
      </c>
      <c r="H3581">
        <v>361</v>
      </c>
    </row>
    <row r="3582" spans="1:8" x14ac:dyDescent="0.35">
      <c r="A3582">
        <v>6203015450042</v>
      </c>
      <c r="B3582" t="s">
        <v>3814</v>
      </c>
      <c r="C3582" t="s">
        <v>801</v>
      </c>
      <c r="D3582" t="s">
        <v>3812</v>
      </c>
      <c r="E3582" t="s">
        <v>61</v>
      </c>
      <c r="F3582" t="s">
        <v>3813</v>
      </c>
      <c r="G3582" t="s">
        <v>61</v>
      </c>
      <c r="H3582">
        <v>50</v>
      </c>
    </row>
    <row r="3583" spans="1:8" x14ac:dyDescent="0.35">
      <c r="A3583">
        <v>6203015760233</v>
      </c>
      <c r="B3583" t="s">
        <v>3815</v>
      </c>
      <c r="C3583" t="s">
        <v>9</v>
      </c>
      <c r="D3583" t="s">
        <v>452</v>
      </c>
      <c r="E3583" t="s">
        <v>15</v>
      </c>
      <c r="F3583" t="s">
        <v>14</v>
      </c>
      <c r="G3583" t="s">
        <v>61</v>
      </c>
      <c r="H3583">
        <v>4</v>
      </c>
    </row>
    <row r="3584" spans="1:8" x14ac:dyDescent="0.35">
      <c r="A3584">
        <v>6203016100007</v>
      </c>
      <c r="B3584" t="s">
        <v>3816</v>
      </c>
      <c r="C3584" t="s">
        <v>36</v>
      </c>
      <c r="D3584" t="s">
        <v>3816</v>
      </c>
      <c r="E3584" t="s">
        <v>61</v>
      </c>
      <c r="F3584" t="s">
        <v>3817</v>
      </c>
      <c r="G3584" t="s">
        <v>34</v>
      </c>
      <c r="H3584">
        <v>6</v>
      </c>
    </row>
    <row r="3585" spans="1:8" x14ac:dyDescent="0.35">
      <c r="A3585">
        <v>6203016100007</v>
      </c>
      <c r="B3585" t="s">
        <v>3816</v>
      </c>
      <c r="C3585" t="s">
        <v>36</v>
      </c>
      <c r="D3585" t="s">
        <v>3816</v>
      </c>
      <c r="E3585" t="s">
        <v>61</v>
      </c>
      <c r="F3585" t="s">
        <v>3817</v>
      </c>
      <c r="G3585" t="s">
        <v>61</v>
      </c>
      <c r="H3585">
        <v>44</v>
      </c>
    </row>
    <row r="3586" spans="1:8" x14ac:dyDescent="0.35">
      <c r="A3586">
        <v>6203016100007</v>
      </c>
      <c r="B3586" t="s">
        <v>3816</v>
      </c>
      <c r="C3586" t="s">
        <v>36</v>
      </c>
      <c r="D3586" t="s">
        <v>3816</v>
      </c>
      <c r="E3586" t="s">
        <v>61</v>
      </c>
      <c r="F3586" t="s">
        <v>3817</v>
      </c>
      <c r="G3586" t="s">
        <v>31</v>
      </c>
      <c r="H3586">
        <v>17</v>
      </c>
    </row>
    <row r="3587" spans="1:8" x14ac:dyDescent="0.35">
      <c r="A3587">
        <v>6203016120036</v>
      </c>
      <c r="B3587" t="s">
        <v>3818</v>
      </c>
      <c r="C3587" t="s">
        <v>9</v>
      </c>
      <c r="D3587" t="s">
        <v>1215</v>
      </c>
      <c r="E3587" t="s">
        <v>61</v>
      </c>
      <c r="F3587" t="s">
        <v>1216</v>
      </c>
      <c r="G3587" t="s">
        <v>61</v>
      </c>
      <c r="H3587">
        <v>2</v>
      </c>
    </row>
    <row r="3588" spans="1:8" x14ac:dyDescent="0.35">
      <c r="A3588">
        <v>6203016120050</v>
      </c>
      <c r="B3588" t="s">
        <v>3819</v>
      </c>
      <c r="C3588" t="s">
        <v>1175</v>
      </c>
      <c r="D3588" t="s">
        <v>2609</v>
      </c>
      <c r="E3588" t="s">
        <v>61</v>
      </c>
      <c r="F3588" t="s">
        <v>1216</v>
      </c>
      <c r="G3588" t="s">
        <v>61</v>
      </c>
      <c r="H3588">
        <v>6</v>
      </c>
    </row>
    <row r="3589" spans="1:8" x14ac:dyDescent="0.35">
      <c r="A3589">
        <v>6203016120067</v>
      </c>
      <c r="B3589" t="s">
        <v>857</v>
      </c>
      <c r="C3589" t="s">
        <v>1175</v>
      </c>
      <c r="D3589" t="s">
        <v>2609</v>
      </c>
      <c r="E3589" t="s">
        <v>61</v>
      </c>
      <c r="F3589" t="s">
        <v>1216</v>
      </c>
      <c r="G3589" t="s">
        <v>61</v>
      </c>
      <c r="H3589">
        <v>18</v>
      </c>
    </row>
    <row r="3590" spans="1:8" x14ac:dyDescent="0.35">
      <c r="A3590">
        <v>6203016120067</v>
      </c>
      <c r="B3590" t="s">
        <v>857</v>
      </c>
      <c r="C3590" t="s">
        <v>1175</v>
      </c>
      <c r="D3590" t="s">
        <v>2609</v>
      </c>
      <c r="E3590" t="s">
        <v>61</v>
      </c>
      <c r="F3590" t="s">
        <v>1216</v>
      </c>
      <c r="G3590" t="s">
        <v>31</v>
      </c>
      <c r="H3590">
        <v>1</v>
      </c>
    </row>
    <row r="3591" spans="1:8" x14ac:dyDescent="0.35">
      <c r="A3591">
        <v>6203016120081</v>
      </c>
      <c r="B3591" t="s">
        <v>3820</v>
      </c>
      <c r="C3591" t="s">
        <v>1175</v>
      </c>
      <c r="D3591" t="s">
        <v>2609</v>
      </c>
      <c r="E3591" t="s">
        <v>61</v>
      </c>
      <c r="F3591" t="s">
        <v>1216</v>
      </c>
      <c r="G3591" t="s">
        <v>61</v>
      </c>
      <c r="H3591">
        <v>2</v>
      </c>
    </row>
    <row r="3592" spans="1:8" x14ac:dyDescent="0.35">
      <c r="A3592">
        <v>6203016120104</v>
      </c>
      <c r="B3592" t="s">
        <v>1109</v>
      </c>
      <c r="C3592" t="s">
        <v>1175</v>
      </c>
      <c r="D3592" t="s">
        <v>1215</v>
      </c>
      <c r="E3592" t="s">
        <v>61</v>
      </c>
      <c r="F3592" t="s">
        <v>1216</v>
      </c>
      <c r="G3592" t="s">
        <v>61</v>
      </c>
      <c r="H3592">
        <v>2</v>
      </c>
    </row>
    <row r="3593" spans="1:8" x14ac:dyDescent="0.35">
      <c r="A3593">
        <v>6203016120142</v>
      </c>
      <c r="B3593" t="s">
        <v>3821</v>
      </c>
      <c r="C3593" t="s">
        <v>431</v>
      </c>
      <c r="D3593" t="s">
        <v>1215</v>
      </c>
      <c r="E3593" t="s">
        <v>61</v>
      </c>
      <c r="F3593" t="s">
        <v>1216</v>
      </c>
      <c r="G3593" t="s">
        <v>61</v>
      </c>
      <c r="H3593">
        <v>1</v>
      </c>
    </row>
    <row r="3594" spans="1:8" x14ac:dyDescent="0.35">
      <c r="A3594">
        <v>6203016660006</v>
      </c>
      <c r="B3594" t="s">
        <v>3822</v>
      </c>
      <c r="C3594" t="s">
        <v>825</v>
      </c>
      <c r="D3594" t="s">
        <v>3823</v>
      </c>
      <c r="E3594" t="s">
        <v>61</v>
      </c>
      <c r="F3594" t="s">
        <v>3824</v>
      </c>
      <c r="G3594" t="s">
        <v>61</v>
      </c>
      <c r="H3594">
        <v>21</v>
      </c>
    </row>
    <row r="3595" spans="1:8" x14ac:dyDescent="0.35">
      <c r="A3595">
        <v>6203016870016</v>
      </c>
      <c r="B3595" t="s">
        <v>262</v>
      </c>
      <c r="C3595" t="s">
        <v>9</v>
      </c>
      <c r="D3595" t="s">
        <v>3006</v>
      </c>
      <c r="E3595" t="s">
        <v>61</v>
      </c>
      <c r="F3595" t="s">
        <v>3007</v>
      </c>
      <c r="G3595" t="s">
        <v>61</v>
      </c>
      <c r="H3595">
        <v>74</v>
      </c>
    </row>
    <row r="3596" spans="1:8" x14ac:dyDescent="0.35">
      <c r="A3596">
        <v>6203016870023</v>
      </c>
      <c r="B3596" t="s">
        <v>262</v>
      </c>
      <c r="C3596" t="s">
        <v>81</v>
      </c>
      <c r="D3596" t="s">
        <v>3006</v>
      </c>
      <c r="E3596" t="s">
        <v>61</v>
      </c>
      <c r="F3596" t="s">
        <v>3007</v>
      </c>
      <c r="G3596" t="s">
        <v>61</v>
      </c>
      <c r="H3596">
        <v>46</v>
      </c>
    </row>
    <row r="3597" spans="1:8" x14ac:dyDescent="0.35">
      <c r="A3597">
        <v>6203016870030</v>
      </c>
      <c r="B3597" t="s">
        <v>262</v>
      </c>
      <c r="C3597" t="s">
        <v>825</v>
      </c>
      <c r="D3597" t="s">
        <v>415</v>
      </c>
      <c r="E3597" t="s">
        <v>61</v>
      </c>
      <c r="F3597" t="s">
        <v>416</v>
      </c>
      <c r="G3597" t="s">
        <v>61</v>
      </c>
      <c r="H3597">
        <v>10</v>
      </c>
    </row>
    <row r="3598" spans="1:8" x14ac:dyDescent="0.35">
      <c r="A3598">
        <v>6203017590364</v>
      </c>
      <c r="B3598" t="s">
        <v>3825</v>
      </c>
      <c r="C3598" t="s">
        <v>9</v>
      </c>
      <c r="D3598" t="s">
        <v>1661</v>
      </c>
      <c r="E3598" t="s">
        <v>308</v>
      </c>
      <c r="F3598" t="s">
        <v>309</v>
      </c>
      <c r="G3598" t="s">
        <v>61</v>
      </c>
      <c r="H3598">
        <v>2</v>
      </c>
    </row>
    <row r="3599" spans="1:8" x14ac:dyDescent="0.35">
      <c r="A3599">
        <v>6203017920017</v>
      </c>
      <c r="B3599" t="s">
        <v>262</v>
      </c>
      <c r="C3599" t="s">
        <v>1173</v>
      </c>
      <c r="D3599" t="s">
        <v>3826</v>
      </c>
      <c r="E3599" t="s">
        <v>117</v>
      </c>
      <c r="F3599" t="s">
        <v>3827</v>
      </c>
      <c r="G3599" t="s">
        <v>117</v>
      </c>
      <c r="H3599">
        <v>50</v>
      </c>
    </row>
    <row r="3600" spans="1:8" x14ac:dyDescent="0.35">
      <c r="A3600">
        <v>6203018120027</v>
      </c>
      <c r="B3600" t="s">
        <v>3284</v>
      </c>
      <c r="C3600" t="s">
        <v>814</v>
      </c>
      <c r="D3600" t="s">
        <v>3828</v>
      </c>
      <c r="E3600" t="s">
        <v>61</v>
      </c>
      <c r="F3600" t="s">
        <v>3829</v>
      </c>
      <c r="G3600" t="s">
        <v>117</v>
      </c>
      <c r="H3600">
        <v>45</v>
      </c>
    </row>
    <row r="3601" spans="1:8" x14ac:dyDescent="0.35">
      <c r="A3601">
        <v>6203018120027</v>
      </c>
      <c r="B3601" t="s">
        <v>3284</v>
      </c>
      <c r="C3601" t="s">
        <v>814</v>
      </c>
      <c r="D3601" t="s">
        <v>3828</v>
      </c>
      <c r="E3601" t="s">
        <v>61</v>
      </c>
      <c r="F3601" t="s">
        <v>3829</v>
      </c>
      <c r="G3601" t="s">
        <v>61</v>
      </c>
      <c r="H3601">
        <v>276</v>
      </c>
    </row>
    <row r="3602" spans="1:8" x14ac:dyDescent="0.35">
      <c r="A3602">
        <v>6203018120027</v>
      </c>
      <c r="B3602" t="s">
        <v>3284</v>
      </c>
      <c r="C3602" t="s">
        <v>814</v>
      </c>
      <c r="D3602" t="s">
        <v>3828</v>
      </c>
      <c r="E3602" t="s">
        <v>61</v>
      </c>
      <c r="F3602" t="s">
        <v>3829</v>
      </c>
      <c r="G3602" t="s">
        <v>31</v>
      </c>
      <c r="H3602">
        <v>81</v>
      </c>
    </row>
    <row r="3603" spans="1:8" x14ac:dyDescent="0.35">
      <c r="A3603">
        <v>6203018220079</v>
      </c>
      <c r="B3603" t="s">
        <v>3830</v>
      </c>
      <c r="C3603" t="s">
        <v>83</v>
      </c>
      <c r="D3603" t="s">
        <v>3536</v>
      </c>
      <c r="E3603" t="s">
        <v>11</v>
      </c>
      <c r="F3603" t="s">
        <v>3537</v>
      </c>
      <c r="G3603" t="s">
        <v>61</v>
      </c>
      <c r="H3603">
        <v>51</v>
      </c>
    </row>
    <row r="3604" spans="1:8" x14ac:dyDescent="0.35">
      <c r="A3604">
        <v>6203018220123</v>
      </c>
      <c r="B3604" t="s">
        <v>3831</v>
      </c>
      <c r="C3604" t="s">
        <v>1084</v>
      </c>
      <c r="D3604" t="s">
        <v>414</v>
      </c>
      <c r="E3604" t="s">
        <v>61</v>
      </c>
      <c r="F3604" t="s">
        <v>85</v>
      </c>
      <c r="G3604" t="s">
        <v>61</v>
      </c>
      <c r="H3604">
        <v>1111</v>
      </c>
    </row>
    <row r="3605" spans="1:8" x14ac:dyDescent="0.35">
      <c r="A3605">
        <v>6203018220130</v>
      </c>
      <c r="B3605" t="s">
        <v>3060</v>
      </c>
      <c r="C3605" t="s">
        <v>83</v>
      </c>
      <c r="D3605" t="s">
        <v>414</v>
      </c>
      <c r="E3605" t="s">
        <v>61</v>
      </c>
      <c r="F3605" t="s">
        <v>85</v>
      </c>
      <c r="G3605" t="s">
        <v>61</v>
      </c>
      <c r="H3605">
        <v>5654</v>
      </c>
    </row>
    <row r="3606" spans="1:8" x14ac:dyDescent="0.35">
      <c r="A3606">
        <v>6203018220130</v>
      </c>
      <c r="B3606" t="s">
        <v>3060</v>
      </c>
      <c r="C3606" t="s">
        <v>83</v>
      </c>
      <c r="D3606" t="s">
        <v>414</v>
      </c>
      <c r="E3606" t="s">
        <v>61</v>
      </c>
      <c r="F3606" t="s">
        <v>85</v>
      </c>
      <c r="G3606" t="s">
        <v>31</v>
      </c>
      <c r="H3606">
        <v>1</v>
      </c>
    </row>
    <row r="3607" spans="1:8" x14ac:dyDescent="0.35">
      <c r="A3607">
        <v>6203018220154</v>
      </c>
      <c r="B3607" t="s">
        <v>3830</v>
      </c>
      <c r="C3607" t="s">
        <v>1154</v>
      </c>
      <c r="D3607" t="s">
        <v>3536</v>
      </c>
      <c r="E3607" t="s">
        <v>11</v>
      </c>
      <c r="F3607" t="s">
        <v>3537</v>
      </c>
      <c r="G3607" t="s">
        <v>61</v>
      </c>
      <c r="H3607">
        <v>21</v>
      </c>
    </row>
    <row r="3608" spans="1:8" x14ac:dyDescent="0.35">
      <c r="A3608">
        <v>6203018220420</v>
      </c>
      <c r="B3608" t="s">
        <v>3832</v>
      </c>
      <c r="C3608" t="s">
        <v>83</v>
      </c>
      <c r="D3608" t="s">
        <v>84</v>
      </c>
      <c r="E3608" t="s">
        <v>61</v>
      </c>
      <c r="F3608" t="s">
        <v>85</v>
      </c>
      <c r="G3608" t="s">
        <v>61</v>
      </c>
      <c r="H3608">
        <v>56</v>
      </c>
    </row>
    <row r="3609" spans="1:8" x14ac:dyDescent="0.35">
      <c r="A3609">
        <v>6203018220505</v>
      </c>
      <c r="B3609" t="s">
        <v>3833</v>
      </c>
      <c r="C3609" t="s">
        <v>3834</v>
      </c>
      <c r="D3609" t="s">
        <v>3781</v>
      </c>
      <c r="E3609" t="s">
        <v>61</v>
      </c>
      <c r="F3609" t="s">
        <v>85</v>
      </c>
      <c r="G3609" t="s">
        <v>61</v>
      </c>
      <c r="H3609">
        <v>1</v>
      </c>
    </row>
    <row r="3610" spans="1:8" x14ac:dyDescent="0.35">
      <c r="A3610">
        <v>6203018220529</v>
      </c>
      <c r="B3610" t="s">
        <v>3835</v>
      </c>
      <c r="C3610" t="s">
        <v>38</v>
      </c>
      <c r="D3610" t="s">
        <v>414</v>
      </c>
      <c r="E3610" t="s">
        <v>61</v>
      </c>
      <c r="F3610" t="s">
        <v>85</v>
      </c>
      <c r="G3610" t="s">
        <v>61</v>
      </c>
      <c r="H3610">
        <v>2</v>
      </c>
    </row>
    <row r="3611" spans="1:8" x14ac:dyDescent="0.35">
      <c r="A3611">
        <v>6203018220550</v>
      </c>
      <c r="B3611" t="s">
        <v>413</v>
      </c>
      <c r="C3611" t="s">
        <v>38</v>
      </c>
      <c r="D3611" t="s">
        <v>414</v>
      </c>
      <c r="E3611" t="s">
        <v>61</v>
      </c>
      <c r="F3611" t="s">
        <v>85</v>
      </c>
      <c r="G3611" t="s">
        <v>61</v>
      </c>
      <c r="H3611">
        <v>12</v>
      </c>
    </row>
    <row r="3612" spans="1:8" x14ac:dyDescent="0.35">
      <c r="A3612">
        <v>6203018220567</v>
      </c>
      <c r="B3612" t="s">
        <v>593</v>
      </c>
      <c r="C3612" t="s">
        <v>38</v>
      </c>
      <c r="D3612" t="s">
        <v>414</v>
      </c>
      <c r="E3612" t="s">
        <v>61</v>
      </c>
      <c r="F3612" t="s">
        <v>85</v>
      </c>
      <c r="G3612" t="s">
        <v>61</v>
      </c>
      <c r="H3612">
        <v>3</v>
      </c>
    </row>
    <row r="3613" spans="1:8" x14ac:dyDescent="0.35">
      <c r="A3613">
        <v>6203018220574</v>
      </c>
      <c r="B3613" t="s">
        <v>3836</v>
      </c>
      <c r="C3613" t="s">
        <v>38</v>
      </c>
      <c r="D3613" t="s">
        <v>414</v>
      </c>
      <c r="E3613" t="s">
        <v>61</v>
      </c>
      <c r="F3613" t="s">
        <v>85</v>
      </c>
      <c r="G3613" t="s">
        <v>61</v>
      </c>
      <c r="H3613">
        <v>4</v>
      </c>
    </row>
    <row r="3614" spans="1:8" x14ac:dyDescent="0.35">
      <c r="A3614">
        <v>6203018460093</v>
      </c>
      <c r="B3614" t="s">
        <v>3837</v>
      </c>
      <c r="C3614" t="s">
        <v>419</v>
      </c>
      <c r="D3614" t="s">
        <v>3838</v>
      </c>
      <c r="E3614" t="s">
        <v>308</v>
      </c>
      <c r="F3614" t="s">
        <v>309</v>
      </c>
      <c r="G3614" t="s">
        <v>61</v>
      </c>
      <c r="H3614">
        <v>45</v>
      </c>
    </row>
    <row r="3615" spans="1:8" x14ac:dyDescent="0.35">
      <c r="A3615">
        <v>6203018460109</v>
      </c>
      <c r="B3615" t="s">
        <v>3839</v>
      </c>
      <c r="C3615" t="s">
        <v>43</v>
      </c>
      <c r="D3615" t="s">
        <v>3838</v>
      </c>
      <c r="E3615" t="s">
        <v>308</v>
      </c>
      <c r="F3615" t="s">
        <v>309</v>
      </c>
      <c r="G3615" t="s">
        <v>61</v>
      </c>
      <c r="H3615">
        <v>19</v>
      </c>
    </row>
    <row r="3616" spans="1:8" x14ac:dyDescent="0.35">
      <c r="A3616">
        <v>6203018460314</v>
      </c>
      <c r="B3616" t="s">
        <v>3840</v>
      </c>
      <c r="C3616" t="s">
        <v>919</v>
      </c>
      <c r="D3616" t="s">
        <v>3838</v>
      </c>
      <c r="E3616" t="s">
        <v>308</v>
      </c>
      <c r="F3616" t="s">
        <v>309</v>
      </c>
      <c r="G3616" t="s">
        <v>61</v>
      </c>
      <c r="H3616">
        <v>6</v>
      </c>
    </row>
    <row r="3617" spans="1:8" x14ac:dyDescent="0.35">
      <c r="A3617">
        <v>6203018460697</v>
      </c>
      <c r="B3617" t="s">
        <v>3841</v>
      </c>
      <c r="C3617" t="s">
        <v>419</v>
      </c>
      <c r="D3617" t="s">
        <v>3838</v>
      </c>
      <c r="E3617" t="s">
        <v>308</v>
      </c>
      <c r="F3617" t="s">
        <v>309</v>
      </c>
      <c r="G3617" t="s">
        <v>61</v>
      </c>
      <c r="H3617">
        <v>1</v>
      </c>
    </row>
    <row r="3618" spans="1:8" x14ac:dyDescent="0.35">
      <c r="A3618">
        <v>6203022190009</v>
      </c>
      <c r="B3618" t="s">
        <v>3842</v>
      </c>
      <c r="C3618" t="s">
        <v>909</v>
      </c>
      <c r="D3618" t="s">
        <v>3357</v>
      </c>
      <c r="E3618" t="s">
        <v>308</v>
      </c>
      <c r="F3618" t="s">
        <v>309</v>
      </c>
      <c r="G3618" t="s">
        <v>61</v>
      </c>
      <c r="H3618">
        <v>4</v>
      </c>
    </row>
    <row r="3619" spans="1:8" x14ac:dyDescent="0.35">
      <c r="A3619">
        <v>6203022840003</v>
      </c>
      <c r="B3619" t="s">
        <v>544</v>
      </c>
      <c r="C3619" t="s">
        <v>114</v>
      </c>
      <c r="D3619" t="s">
        <v>3843</v>
      </c>
      <c r="E3619" t="s">
        <v>308</v>
      </c>
      <c r="F3619" t="s">
        <v>309</v>
      </c>
      <c r="G3619" t="s">
        <v>150</v>
      </c>
      <c r="H3619">
        <v>1</v>
      </c>
    </row>
    <row r="3620" spans="1:8" x14ac:dyDescent="0.35">
      <c r="A3620">
        <v>6203022840003</v>
      </c>
      <c r="B3620" t="s">
        <v>544</v>
      </c>
      <c r="C3620" t="s">
        <v>114</v>
      </c>
      <c r="D3620" t="s">
        <v>3843</v>
      </c>
      <c r="E3620" t="s">
        <v>308</v>
      </c>
      <c r="F3620" t="s">
        <v>309</v>
      </c>
      <c r="G3620" t="s">
        <v>61</v>
      </c>
      <c r="H3620">
        <v>8</v>
      </c>
    </row>
    <row r="3621" spans="1:8" x14ac:dyDescent="0.35">
      <c r="A3621">
        <v>6203022840003</v>
      </c>
      <c r="B3621" t="s">
        <v>544</v>
      </c>
      <c r="C3621" t="s">
        <v>114</v>
      </c>
      <c r="D3621" t="s">
        <v>3843</v>
      </c>
      <c r="E3621" t="s">
        <v>308</v>
      </c>
      <c r="F3621" t="s">
        <v>309</v>
      </c>
      <c r="G3621" t="s">
        <v>31</v>
      </c>
      <c r="H3621">
        <v>4</v>
      </c>
    </row>
    <row r="3622" spans="1:8" x14ac:dyDescent="0.35">
      <c r="A3622">
        <v>6203022840010</v>
      </c>
      <c r="B3622" t="s">
        <v>3844</v>
      </c>
      <c r="C3622" t="s">
        <v>3845</v>
      </c>
      <c r="D3622" t="s">
        <v>3843</v>
      </c>
      <c r="E3622" t="s">
        <v>308</v>
      </c>
      <c r="F3622" t="s">
        <v>309</v>
      </c>
      <c r="G3622" t="s">
        <v>61</v>
      </c>
      <c r="H3622">
        <v>3</v>
      </c>
    </row>
    <row r="3623" spans="1:8" x14ac:dyDescent="0.35">
      <c r="A3623">
        <v>6203023810005</v>
      </c>
      <c r="B3623" t="s">
        <v>3846</v>
      </c>
      <c r="C3623" t="s">
        <v>3847</v>
      </c>
      <c r="D3623" t="s">
        <v>3699</v>
      </c>
      <c r="E3623" t="s">
        <v>308</v>
      </c>
      <c r="F3623" t="s">
        <v>309</v>
      </c>
      <c r="G3623" t="s">
        <v>61</v>
      </c>
      <c r="H3623">
        <v>57</v>
      </c>
    </row>
    <row r="3624" spans="1:8" x14ac:dyDescent="0.35">
      <c r="A3624">
        <v>6203023810012</v>
      </c>
      <c r="B3624" t="s">
        <v>3848</v>
      </c>
      <c r="C3624" t="s">
        <v>1173</v>
      </c>
      <c r="D3624" t="s">
        <v>3699</v>
      </c>
      <c r="E3624" t="s">
        <v>308</v>
      </c>
      <c r="F3624" t="s">
        <v>309</v>
      </c>
      <c r="G3624" t="s">
        <v>61</v>
      </c>
      <c r="H3624">
        <v>13</v>
      </c>
    </row>
    <row r="3625" spans="1:8" x14ac:dyDescent="0.35">
      <c r="A3625">
        <v>6203024500004</v>
      </c>
      <c r="B3625" t="s">
        <v>235</v>
      </c>
      <c r="C3625" t="s">
        <v>9</v>
      </c>
      <c r="D3625" t="s">
        <v>3849</v>
      </c>
      <c r="E3625" t="s">
        <v>61</v>
      </c>
      <c r="F3625" t="s">
        <v>3850</v>
      </c>
      <c r="G3625" t="s">
        <v>61</v>
      </c>
      <c r="H3625">
        <v>15</v>
      </c>
    </row>
    <row r="3626" spans="1:8" x14ac:dyDescent="0.35">
      <c r="A3626">
        <v>6203024500011</v>
      </c>
      <c r="B3626" t="s">
        <v>235</v>
      </c>
      <c r="C3626" t="s">
        <v>81</v>
      </c>
      <c r="D3626" t="s">
        <v>3849</v>
      </c>
      <c r="E3626" t="s">
        <v>61</v>
      </c>
      <c r="F3626" t="s">
        <v>3850</v>
      </c>
      <c r="G3626" t="s">
        <v>61</v>
      </c>
      <c r="H3626">
        <v>15</v>
      </c>
    </row>
    <row r="3627" spans="1:8" x14ac:dyDescent="0.35">
      <c r="A3627">
        <v>6203033020104</v>
      </c>
      <c r="B3627" t="s">
        <v>3851</v>
      </c>
      <c r="C3627" t="s">
        <v>3852</v>
      </c>
      <c r="D3627" t="s">
        <v>3853</v>
      </c>
      <c r="E3627" t="s">
        <v>61</v>
      </c>
      <c r="F3627" t="s">
        <v>3854</v>
      </c>
      <c r="G3627" t="s">
        <v>61</v>
      </c>
      <c r="H3627">
        <v>21</v>
      </c>
    </row>
    <row r="3628" spans="1:8" x14ac:dyDescent="0.35">
      <c r="A3628">
        <v>6203033020111</v>
      </c>
      <c r="B3628" t="s">
        <v>3855</v>
      </c>
      <c r="C3628" t="s">
        <v>3782</v>
      </c>
      <c r="D3628" t="s">
        <v>3853</v>
      </c>
      <c r="E3628" t="s">
        <v>61</v>
      </c>
      <c r="F3628" t="s">
        <v>3854</v>
      </c>
      <c r="G3628" t="s">
        <v>150</v>
      </c>
      <c r="H3628">
        <v>2</v>
      </c>
    </row>
    <row r="3629" spans="1:8" x14ac:dyDescent="0.35">
      <c r="A3629">
        <v>6203033020111</v>
      </c>
      <c r="B3629" t="s">
        <v>3855</v>
      </c>
      <c r="C3629" t="s">
        <v>3782</v>
      </c>
      <c r="D3629" t="s">
        <v>3853</v>
      </c>
      <c r="E3629" t="s">
        <v>61</v>
      </c>
      <c r="F3629" t="s">
        <v>3854</v>
      </c>
      <c r="G3629" t="s">
        <v>61</v>
      </c>
      <c r="H3629">
        <v>124</v>
      </c>
    </row>
    <row r="3630" spans="1:8" x14ac:dyDescent="0.35">
      <c r="A3630">
        <v>6203036830083</v>
      </c>
      <c r="B3630" t="s">
        <v>3715</v>
      </c>
      <c r="C3630" t="s">
        <v>1095</v>
      </c>
      <c r="D3630" t="s">
        <v>3856</v>
      </c>
      <c r="E3630" t="s">
        <v>61</v>
      </c>
      <c r="F3630" t="s">
        <v>3857</v>
      </c>
      <c r="G3630" t="s">
        <v>61</v>
      </c>
      <c r="H3630">
        <v>3</v>
      </c>
    </row>
    <row r="3631" spans="1:8" x14ac:dyDescent="0.35">
      <c r="A3631">
        <v>6203036830113</v>
      </c>
      <c r="B3631" t="s">
        <v>3858</v>
      </c>
      <c r="C3631" t="s">
        <v>192</v>
      </c>
      <c r="D3631" t="s">
        <v>3856</v>
      </c>
      <c r="E3631" t="s">
        <v>61</v>
      </c>
      <c r="F3631" t="s">
        <v>3857</v>
      </c>
      <c r="G3631" t="s">
        <v>61</v>
      </c>
      <c r="H3631">
        <v>6</v>
      </c>
    </row>
    <row r="3632" spans="1:8" x14ac:dyDescent="0.35">
      <c r="A3632">
        <v>6203041740001</v>
      </c>
      <c r="B3632" t="s">
        <v>3859</v>
      </c>
      <c r="C3632" t="s">
        <v>3860</v>
      </c>
      <c r="D3632" t="s">
        <v>1176</v>
      </c>
      <c r="E3632" t="s">
        <v>61</v>
      </c>
      <c r="F3632" t="s">
        <v>1070</v>
      </c>
      <c r="G3632" t="s">
        <v>61</v>
      </c>
      <c r="H3632">
        <v>1</v>
      </c>
    </row>
    <row r="3633" spans="1:8" x14ac:dyDescent="0.35">
      <c r="A3633">
        <v>6203049500027</v>
      </c>
      <c r="B3633" t="s">
        <v>3861</v>
      </c>
      <c r="C3633" t="s">
        <v>1173</v>
      </c>
      <c r="D3633" t="s">
        <v>3861</v>
      </c>
      <c r="E3633" t="s">
        <v>308</v>
      </c>
      <c r="F3633" t="s">
        <v>309</v>
      </c>
      <c r="G3633" t="s">
        <v>117</v>
      </c>
      <c r="H3633">
        <v>51</v>
      </c>
    </row>
    <row r="3634" spans="1:8" x14ac:dyDescent="0.35">
      <c r="A3634">
        <v>6204000036012</v>
      </c>
      <c r="B3634" t="s">
        <v>3644</v>
      </c>
      <c r="C3634" t="s">
        <v>326</v>
      </c>
      <c r="D3634" t="s">
        <v>3645</v>
      </c>
      <c r="E3634" t="s">
        <v>61</v>
      </c>
      <c r="F3634" t="s">
        <v>3646</v>
      </c>
      <c r="G3634" t="s">
        <v>61</v>
      </c>
      <c r="H3634">
        <v>9</v>
      </c>
    </row>
    <row r="3635" spans="1:8" x14ac:dyDescent="0.35">
      <c r="A3635">
        <v>6204000078012</v>
      </c>
      <c r="B3635" t="s">
        <v>3862</v>
      </c>
      <c r="C3635" t="s">
        <v>326</v>
      </c>
      <c r="D3635" t="s">
        <v>3645</v>
      </c>
      <c r="E3635" t="s">
        <v>61</v>
      </c>
      <c r="F3635" t="s">
        <v>3646</v>
      </c>
      <c r="G3635" t="s">
        <v>61</v>
      </c>
      <c r="H3635">
        <v>6</v>
      </c>
    </row>
    <row r="3636" spans="1:8" x14ac:dyDescent="0.35">
      <c r="A3636">
        <v>6204000099017</v>
      </c>
      <c r="B3636" t="s">
        <v>3284</v>
      </c>
      <c r="C3636" t="s">
        <v>192</v>
      </c>
      <c r="D3636" t="s">
        <v>3863</v>
      </c>
      <c r="E3636" t="s">
        <v>308</v>
      </c>
      <c r="F3636" t="s">
        <v>309</v>
      </c>
      <c r="G3636" t="s">
        <v>61</v>
      </c>
      <c r="H3636">
        <v>22</v>
      </c>
    </row>
    <row r="3637" spans="1:8" x14ac:dyDescent="0.35">
      <c r="A3637">
        <v>6204000110002</v>
      </c>
      <c r="B3637" t="s">
        <v>3864</v>
      </c>
      <c r="C3637" t="s">
        <v>472</v>
      </c>
      <c r="D3637" t="s">
        <v>3865</v>
      </c>
      <c r="E3637" t="s">
        <v>61</v>
      </c>
      <c r="F3637" t="s">
        <v>3866</v>
      </c>
      <c r="G3637" t="s">
        <v>61</v>
      </c>
      <c r="H3637">
        <v>63</v>
      </c>
    </row>
    <row r="3638" spans="1:8" x14ac:dyDescent="0.35">
      <c r="A3638">
        <v>6204000110019</v>
      </c>
      <c r="B3638" t="s">
        <v>3867</v>
      </c>
      <c r="C3638" t="s">
        <v>114</v>
      </c>
      <c r="D3638" t="s">
        <v>3865</v>
      </c>
      <c r="E3638" t="s">
        <v>61</v>
      </c>
      <c r="F3638" t="s">
        <v>3866</v>
      </c>
      <c r="G3638" t="s">
        <v>61</v>
      </c>
      <c r="H3638">
        <v>177</v>
      </c>
    </row>
    <row r="3639" spans="1:8" x14ac:dyDescent="0.35">
      <c r="A3639">
        <v>6204000110026</v>
      </c>
      <c r="B3639" t="s">
        <v>3867</v>
      </c>
      <c r="C3639" t="s">
        <v>192</v>
      </c>
      <c r="D3639" t="s">
        <v>3865</v>
      </c>
      <c r="E3639" t="s">
        <v>61</v>
      </c>
      <c r="F3639" t="s">
        <v>3866</v>
      </c>
      <c r="G3639" t="s">
        <v>61</v>
      </c>
      <c r="H3639">
        <v>251</v>
      </c>
    </row>
    <row r="3640" spans="1:8" x14ac:dyDescent="0.35">
      <c r="A3640">
        <v>6204000307037</v>
      </c>
      <c r="B3640" t="s">
        <v>3868</v>
      </c>
      <c r="C3640" t="s">
        <v>36</v>
      </c>
      <c r="D3640" t="s">
        <v>3869</v>
      </c>
      <c r="E3640" t="s">
        <v>61</v>
      </c>
      <c r="F3640" t="s">
        <v>3870</v>
      </c>
      <c r="G3640" t="s">
        <v>61</v>
      </c>
      <c r="H3640">
        <v>234</v>
      </c>
    </row>
    <row r="3641" spans="1:8" x14ac:dyDescent="0.35">
      <c r="A3641">
        <v>6204000347309</v>
      </c>
      <c r="B3641" t="s">
        <v>3284</v>
      </c>
      <c r="C3641" t="s">
        <v>825</v>
      </c>
      <c r="D3641" t="s">
        <v>1840</v>
      </c>
      <c r="E3641" t="s">
        <v>308</v>
      </c>
      <c r="F3641" t="s">
        <v>309</v>
      </c>
      <c r="G3641" t="s">
        <v>61</v>
      </c>
      <c r="H3641">
        <v>4</v>
      </c>
    </row>
    <row r="3642" spans="1:8" x14ac:dyDescent="0.35">
      <c r="A3642">
        <v>6204000498018</v>
      </c>
      <c r="B3642" t="s">
        <v>3715</v>
      </c>
      <c r="C3642" t="s">
        <v>9</v>
      </c>
      <c r="D3642" t="s">
        <v>3871</v>
      </c>
      <c r="E3642" t="s">
        <v>61</v>
      </c>
      <c r="F3642" t="s">
        <v>3872</v>
      </c>
      <c r="G3642" t="s">
        <v>61</v>
      </c>
      <c r="H3642">
        <v>46</v>
      </c>
    </row>
    <row r="3643" spans="1:8" x14ac:dyDescent="0.35">
      <c r="A3643">
        <v>621033967506</v>
      </c>
      <c r="B3643" t="s">
        <v>3873</v>
      </c>
      <c r="C3643" t="s">
        <v>9</v>
      </c>
      <c r="D3643" t="s">
        <v>643</v>
      </c>
      <c r="E3643" t="s">
        <v>34</v>
      </c>
      <c r="F3643" t="s">
        <v>644</v>
      </c>
      <c r="G3643" t="s">
        <v>34</v>
      </c>
      <c r="H3643">
        <v>70</v>
      </c>
    </row>
    <row r="3644" spans="1:8" x14ac:dyDescent="0.35">
      <c r="A3644">
        <v>621033997503</v>
      </c>
      <c r="B3644" t="s">
        <v>3874</v>
      </c>
      <c r="C3644" t="s">
        <v>903</v>
      </c>
      <c r="D3644" t="s">
        <v>643</v>
      </c>
      <c r="E3644" t="s">
        <v>34</v>
      </c>
      <c r="F3644" t="s">
        <v>644</v>
      </c>
      <c r="G3644" t="s">
        <v>34</v>
      </c>
      <c r="H3644">
        <v>38</v>
      </c>
    </row>
    <row r="3645" spans="1:8" x14ac:dyDescent="0.35">
      <c r="A3645">
        <v>6213003351732</v>
      </c>
      <c r="B3645" t="s">
        <v>3689</v>
      </c>
      <c r="C3645" t="s">
        <v>83</v>
      </c>
      <c r="D3645" t="s">
        <v>1169</v>
      </c>
      <c r="E3645" t="s">
        <v>61</v>
      </c>
      <c r="F3645" t="s">
        <v>1170</v>
      </c>
      <c r="G3645" t="s">
        <v>150</v>
      </c>
      <c r="H3645">
        <v>8</v>
      </c>
    </row>
    <row r="3646" spans="1:8" x14ac:dyDescent="0.35">
      <c r="A3646">
        <v>6213003351732</v>
      </c>
      <c r="B3646" t="s">
        <v>3689</v>
      </c>
      <c r="C3646" t="s">
        <v>83</v>
      </c>
      <c r="D3646" t="s">
        <v>1169</v>
      </c>
      <c r="E3646" t="s">
        <v>61</v>
      </c>
      <c r="F3646" t="s">
        <v>1170</v>
      </c>
      <c r="G3646" t="s">
        <v>61</v>
      </c>
      <c r="H3646">
        <v>25</v>
      </c>
    </row>
    <row r="3647" spans="1:8" x14ac:dyDescent="0.35">
      <c r="A3647">
        <v>6222000506014</v>
      </c>
      <c r="B3647" t="s">
        <v>3875</v>
      </c>
      <c r="C3647" t="s">
        <v>81</v>
      </c>
      <c r="D3647" t="s">
        <v>3876</v>
      </c>
      <c r="E3647" t="s">
        <v>22</v>
      </c>
      <c r="F3647" t="s">
        <v>3877</v>
      </c>
      <c r="G3647" t="s">
        <v>150</v>
      </c>
      <c r="H3647">
        <v>24</v>
      </c>
    </row>
    <row r="3648" spans="1:8" x14ac:dyDescent="0.35">
      <c r="A3648">
        <v>6222000506014</v>
      </c>
      <c r="B3648" t="s">
        <v>3875</v>
      </c>
      <c r="C3648" t="s">
        <v>81</v>
      </c>
      <c r="D3648" t="s">
        <v>3876</v>
      </c>
      <c r="E3648" t="s">
        <v>22</v>
      </c>
      <c r="F3648" t="s">
        <v>3877</v>
      </c>
      <c r="G3648" t="s">
        <v>31</v>
      </c>
      <c r="H3648">
        <v>1</v>
      </c>
    </row>
    <row r="3649" spans="1:8" x14ac:dyDescent="0.35">
      <c r="A3649">
        <v>6222000506045</v>
      </c>
      <c r="B3649" t="s">
        <v>3216</v>
      </c>
      <c r="C3649" t="s">
        <v>3878</v>
      </c>
      <c r="D3649" t="s">
        <v>3879</v>
      </c>
      <c r="E3649" t="s">
        <v>3453</v>
      </c>
      <c r="F3649" t="s">
        <v>3880</v>
      </c>
      <c r="G3649" t="s">
        <v>150</v>
      </c>
      <c r="H3649">
        <v>16</v>
      </c>
    </row>
    <row r="3650" spans="1:8" x14ac:dyDescent="0.35">
      <c r="A3650">
        <v>6222000506946</v>
      </c>
      <c r="B3650" t="s">
        <v>2229</v>
      </c>
      <c r="C3650" t="s">
        <v>75</v>
      </c>
      <c r="D3650" t="s">
        <v>3879</v>
      </c>
      <c r="E3650" t="s">
        <v>3453</v>
      </c>
      <c r="F3650" t="s">
        <v>3880</v>
      </c>
      <c r="G3650" t="s">
        <v>34</v>
      </c>
      <c r="H3650">
        <v>1</v>
      </c>
    </row>
    <row r="3651" spans="1:8" x14ac:dyDescent="0.35">
      <c r="A3651">
        <v>6222000506946</v>
      </c>
      <c r="B3651" t="s">
        <v>2229</v>
      </c>
      <c r="C3651" t="s">
        <v>75</v>
      </c>
      <c r="D3651" t="s">
        <v>3879</v>
      </c>
      <c r="E3651" t="s">
        <v>3453</v>
      </c>
      <c r="F3651" t="s">
        <v>3880</v>
      </c>
      <c r="G3651" t="s">
        <v>150</v>
      </c>
      <c r="H3651">
        <v>125</v>
      </c>
    </row>
    <row r="3652" spans="1:8" x14ac:dyDescent="0.35">
      <c r="A3652">
        <v>6222000512282</v>
      </c>
      <c r="B3652" t="s">
        <v>3881</v>
      </c>
      <c r="C3652" t="s">
        <v>81</v>
      </c>
      <c r="D3652" t="s">
        <v>3879</v>
      </c>
      <c r="E3652" t="s">
        <v>3453</v>
      </c>
      <c r="F3652" t="s">
        <v>3880</v>
      </c>
      <c r="G3652" t="s">
        <v>150</v>
      </c>
      <c r="H3652">
        <v>6</v>
      </c>
    </row>
    <row r="3653" spans="1:8" x14ac:dyDescent="0.35">
      <c r="A3653">
        <v>6222000518345</v>
      </c>
      <c r="B3653" t="s">
        <v>3216</v>
      </c>
      <c r="C3653" t="s">
        <v>801</v>
      </c>
      <c r="D3653" t="s">
        <v>3879</v>
      </c>
      <c r="E3653" t="s">
        <v>3453</v>
      </c>
      <c r="F3653" t="s">
        <v>3880</v>
      </c>
      <c r="G3653" t="s">
        <v>150</v>
      </c>
      <c r="H3653">
        <v>15</v>
      </c>
    </row>
    <row r="3654" spans="1:8" x14ac:dyDescent="0.35">
      <c r="A3654">
        <v>6222000518369</v>
      </c>
      <c r="B3654" t="s">
        <v>1412</v>
      </c>
      <c r="C3654" t="s">
        <v>2008</v>
      </c>
      <c r="D3654" t="s">
        <v>2717</v>
      </c>
      <c r="E3654" t="s">
        <v>61</v>
      </c>
      <c r="F3654" t="s">
        <v>2718</v>
      </c>
      <c r="G3654" t="s">
        <v>150</v>
      </c>
      <c r="H3654">
        <v>1</v>
      </c>
    </row>
    <row r="3655" spans="1:8" x14ac:dyDescent="0.35">
      <c r="A3655">
        <v>6223001930549</v>
      </c>
      <c r="B3655" t="s">
        <v>70</v>
      </c>
      <c r="C3655" t="s">
        <v>1350</v>
      </c>
      <c r="D3655" t="s">
        <v>222</v>
      </c>
      <c r="E3655" t="s">
        <v>71</v>
      </c>
      <c r="F3655" t="s">
        <v>72</v>
      </c>
      <c r="G3655" t="s">
        <v>3453</v>
      </c>
      <c r="H3655">
        <v>5</v>
      </c>
    </row>
    <row r="3656" spans="1:8" x14ac:dyDescent="0.35">
      <c r="A3656">
        <v>6224000016401</v>
      </c>
      <c r="B3656" t="s">
        <v>3882</v>
      </c>
      <c r="C3656" t="s">
        <v>159</v>
      </c>
      <c r="D3656" t="s">
        <v>677</v>
      </c>
      <c r="E3656" t="s">
        <v>308</v>
      </c>
      <c r="F3656" t="s">
        <v>309</v>
      </c>
      <c r="G3656" t="s">
        <v>150</v>
      </c>
      <c r="H3656">
        <v>3</v>
      </c>
    </row>
    <row r="3657" spans="1:8" x14ac:dyDescent="0.35">
      <c r="A3657">
        <v>6224000250126</v>
      </c>
      <c r="B3657" t="s">
        <v>3883</v>
      </c>
      <c r="C3657" t="s">
        <v>454</v>
      </c>
      <c r="D3657" t="s">
        <v>3884</v>
      </c>
      <c r="E3657" t="s">
        <v>41</v>
      </c>
      <c r="F3657" t="s">
        <v>3885</v>
      </c>
      <c r="G3657" t="s">
        <v>41</v>
      </c>
      <c r="H3657">
        <v>342</v>
      </c>
    </row>
    <row r="3658" spans="1:8" x14ac:dyDescent="0.35">
      <c r="A3658">
        <v>6224001143571</v>
      </c>
      <c r="B3658" t="s">
        <v>3886</v>
      </c>
      <c r="C3658" t="s">
        <v>2008</v>
      </c>
      <c r="D3658" t="s">
        <v>3887</v>
      </c>
      <c r="E3658" t="s">
        <v>308</v>
      </c>
      <c r="F3658" t="s">
        <v>309</v>
      </c>
      <c r="G3658" t="s">
        <v>150</v>
      </c>
      <c r="H3658">
        <v>5</v>
      </c>
    </row>
    <row r="3659" spans="1:8" x14ac:dyDescent="0.35">
      <c r="A3659">
        <v>6224008361503</v>
      </c>
      <c r="B3659" t="s">
        <v>3888</v>
      </c>
      <c r="C3659" t="s">
        <v>877</v>
      </c>
      <c r="D3659" t="s">
        <v>3452</v>
      </c>
      <c r="E3659" t="s">
        <v>3453</v>
      </c>
      <c r="F3659" t="s">
        <v>3454</v>
      </c>
      <c r="G3659" t="s">
        <v>150</v>
      </c>
      <c r="H3659">
        <v>17</v>
      </c>
    </row>
    <row r="3660" spans="1:8" x14ac:dyDescent="0.35">
      <c r="A3660">
        <v>6224009217090</v>
      </c>
      <c r="B3660" t="s">
        <v>3889</v>
      </c>
      <c r="C3660" t="s">
        <v>110</v>
      </c>
      <c r="D3660" t="s">
        <v>3890</v>
      </c>
      <c r="E3660" t="s">
        <v>22</v>
      </c>
      <c r="F3660" t="s">
        <v>3891</v>
      </c>
      <c r="G3660" t="s">
        <v>150</v>
      </c>
      <c r="H3660">
        <v>6</v>
      </c>
    </row>
    <row r="3661" spans="1:8" x14ac:dyDescent="0.35">
      <c r="A3661">
        <v>6224009697045</v>
      </c>
      <c r="B3661" t="s">
        <v>3886</v>
      </c>
      <c r="C3661" t="s">
        <v>110</v>
      </c>
      <c r="D3661" t="s">
        <v>3887</v>
      </c>
      <c r="E3661" t="s">
        <v>308</v>
      </c>
      <c r="F3661" t="s">
        <v>309</v>
      </c>
      <c r="G3661" t="s">
        <v>150</v>
      </c>
      <c r="H3661">
        <v>2</v>
      </c>
    </row>
    <row r="3662" spans="1:8" x14ac:dyDescent="0.35">
      <c r="A3662">
        <v>622687882405</v>
      </c>
      <c r="B3662" t="s">
        <v>235</v>
      </c>
      <c r="C3662" t="s">
        <v>9</v>
      </c>
      <c r="D3662" t="s">
        <v>227</v>
      </c>
      <c r="E3662" t="s">
        <v>16</v>
      </c>
      <c r="F3662" t="s">
        <v>228</v>
      </c>
      <c r="G3662" t="s">
        <v>16</v>
      </c>
      <c r="H3662">
        <v>8</v>
      </c>
    </row>
    <row r="3663" spans="1:8" x14ac:dyDescent="0.35">
      <c r="A3663">
        <v>6236000611586</v>
      </c>
      <c r="B3663" t="s">
        <v>3892</v>
      </c>
      <c r="C3663" t="s">
        <v>2015</v>
      </c>
      <c r="D3663" t="s">
        <v>3893</v>
      </c>
      <c r="E3663" t="s">
        <v>41</v>
      </c>
      <c r="F3663" t="s">
        <v>3894</v>
      </c>
      <c r="G3663" t="s">
        <v>41</v>
      </c>
      <c r="H3663">
        <v>51</v>
      </c>
    </row>
    <row r="3664" spans="1:8" x14ac:dyDescent="0.35">
      <c r="A3664">
        <v>624573101270</v>
      </c>
      <c r="B3664" t="s">
        <v>1834</v>
      </c>
      <c r="C3664" t="s">
        <v>96</v>
      </c>
      <c r="D3664" t="s">
        <v>3895</v>
      </c>
      <c r="E3664" t="s">
        <v>15</v>
      </c>
      <c r="F3664" t="s">
        <v>144</v>
      </c>
      <c r="G3664" t="s">
        <v>16</v>
      </c>
      <c r="H3664">
        <v>1</v>
      </c>
    </row>
    <row r="3665" spans="1:8" x14ac:dyDescent="0.35">
      <c r="A3665">
        <v>624573101270</v>
      </c>
      <c r="B3665" t="s">
        <v>1834</v>
      </c>
      <c r="C3665" t="s">
        <v>96</v>
      </c>
      <c r="D3665" t="s">
        <v>3895</v>
      </c>
      <c r="E3665" t="s">
        <v>15</v>
      </c>
      <c r="F3665" t="s">
        <v>144</v>
      </c>
      <c r="G3665" t="s">
        <v>34</v>
      </c>
      <c r="H3665">
        <v>100</v>
      </c>
    </row>
    <row r="3666" spans="1:8" x14ac:dyDescent="0.35">
      <c r="A3666">
        <v>6253015500018</v>
      </c>
      <c r="B3666" t="s">
        <v>3896</v>
      </c>
      <c r="C3666" t="s">
        <v>603</v>
      </c>
      <c r="D3666" t="s">
        <v>3897</v>
      </c>
      <c r="E3666" t="s">
        <v>308</v>
      </c>
      <c r="F3666" t="s">
        <v>309</v>
      </c>
      <c r="G3666" t="s">
        <v>2604</v>
      </c>
      <c r="H3666">
        <v>4</v>
      </c>
    </row>
    <row r="3667" spans="1:8" x14ac:dyDescent="0.35">
      <c r="A3667">
        <v>6253015500223</v>
      </c>
      <c r="B3667" t="s">
        <v>3896</v>
      </c>
      <c r="C3667" t="s">
        <v>272</v>
      </c>
      <c r="D3667" t="s">
        <v>3897</v>
      </c>
      <c r="E3667" t="s">
        <v>308</v>
      </c>
      <c r="F3667" t="s">
        <v>309</v>
      </c>
      <c r="G3667" t="s">
        <v>22</v>
      </c>
      <c r="H3667">
        <v>3</v>
      </c>
    </row>
    <row r="3668" spans="1:8" x14ac:dyDescent="0.35">
      <c r="A3668">
        <v>6253015500223</v>
      </c>
      <c r="B3668" t="s">
        <v>3896</v>
      </c>
      <c r="C3668" t="s">
        <v>272</v>
      </c>
      <c r="D3668" t="s">
        <v>3897</v>
      </c>
      <c r="E3668" t="s">
        <v>308</v>
      </c>
      <c r="F3668" t="s">
        <v>309</v>
      </c>
      <c r="G3668" t="s">
        <v>2604</v>
      </c>
      <c r="H3668">
        <v>2</v>
      </c>
    </row>
    <row r="3669" spans="1:8" x14ac:dyDescent="0.35">
      <c r="A3669">
        <v>6253500771411</v>
      </c>
      <c r="B3669" t="s">
        <v>3472</v>
      </c>
      <c r="C3669" t="s">
        <v>110</v>
      </c>
      <c r="D3669" t="s">
        <v>3898</v>
      </c>
      <c r="E3669" t="s">
        <v>41</v>
      </c>
      <c r="F3669" t="s">
        <v>3899</v>
      </c>
      <c r="G3669" t="s">
        <v>41</v>
      </c>
      <c r="H3669">
        <v>64</v>
      </c>
    </row>
    <row r="3670" spans="1:8" x14ac:dyDescent="0.35">
      <c r="A3670">
        <v>6256712000089</v>
      </c>
      <c r="B3670" t="s">
        <v>3900</v>
      </c>
      <c r="C3670" t="s">
        <v>9</v>
      </c>
      <c r="D3670" t="s">
        <v>3901</v>
      </c>
      <c r="E3670" t="s">
        <v>31</v>
      </c>
      <c r="F3670" t="s">
        <v>3902</v>
      </c>
      <c r="G3670" t="s">
        <v>31</v>
      </c>
      <c r="H3670">
        <v>29</v>
      </c>
    </row>
    <row r="3671" spans="1:8" x14ac:dyDescent="0.35">
      <c r="A3671">
        <v>625671200889</v>
      </c>
      <c r="B3671" t="s">
        <v>3284</v>
      </c>
      <c r="C3671" t="s">
        <v>9</v>
      </c>
      <c r="D3671" t="s">
        <v>3901</v>
      </c>
      <c r="E3671" t="s">
        <v>31</v>
      </c>
      <c r="F3671" t="s">
        <v>3902</v>
      </c>
      <c r="G3671" t="s">
        <v>31</v>
      </c>
      <c r="H3671">
        <v>1</v>
      </c>
    </row>
    <row r="3672" spans="1:8" x14ac:dyDescent="0.35">
      <c r="A3672">
        <v>626570616665</v>
      </c>
      <c r="B3672" t="s">
        <v>544</v>
      </c>
      <c r="C3672" t="s">
        <v>114</v>
      </c>
      <c r="D3672" t="s">
        <v>651</v>
      </c>
      <c r="E3672" t="s">
        <v>61</v>
      </c>
      <c r="F3672" t="s">
        <v>652</v>
      </c>
      <c r="G3672" t="s">
        <v>61</v>
      </c>
      <c r="H3672">
        <v>50</v>
      </c>
    </row>
    <row r="3673" spans="1:8" x14ac:dyDescent="0.35">
      <c r="A3673">
        <v>626570616672</v>
      </c>
      <c r="B3673" t="s">
        <v>544</v>
      </c>
      <c r="C3673" t="s">
        <v>472</v>
      </c>
      <c r="D3673" t="s">
        <v>651</v>
      </c>
      <c r="E3673" t="s">
        <v>61</v>
      </c>
      <c r="F3673" t="s">
        <v>652</v>
      </c>
      <c r="G3673" t="s">
        <v>61</v>
      </c>
      <c r="H3673">
        <v>20</v>
      </c>
    </row>
    <row r="3674" spans="1:8" x14ac:dyDescent="0.35">
      <c r="A3674">
        <v>626570622444</v>
      </c>
      <c r="B3674" t="s">
        <v>3858</v>
      </c>
      <c r="C3674" t="s">
        <v>192</v>
      </c>
      <c r="D3674" t="s">
        <v>651</v>
      </c>
      <c r="E3674" t="s">
        <v>61</v>
      </c>
      <c r="F3674" t="s">
        <v>652</v>
      </c>
      <c r="G3674" t="s">
        <v>61</v>
      </c>
      <c r="H3674">
        <v>63</v>
      </c>
    </row>
    <row r="3675" spans="1:8" x14ac:dyDescent="0.35">
      <c r="A3675">
        <v>627098163334</v>
      </c>
      <c r="B3675" t="s">
        <v>127</v>
      </c>
      <c r="C3675" t="s">
        <v>128</v>
      </c>
      <c r="D3675" t="s">
        <v>655</v>
      </c>
      <c r="E3675" t="s">
        <v>16</v>
      </c>
      <c r="F3675" t="s">
        <v>656</v>
      </c>
      <c r="G3675" t="s">
        <v>16</v>
      </c>
      <c r="H3675">
        <v>8</v>
      </c>
    </row>
    <row r="3676" spans="1:8" x14ac:dyDescent="0.35">
      <c r="A3676">
        <v>6291021210514</v>
      </c>
      <c r="B3676" t="s">
        <v>262</v>
      </c>
      <c r="C3676" t="s">
        <v>192</v>
      </c>
      <c r="D3676" t="s">
        <v>3903</v>
      </c>
      <c r="E3676" t="s">
        <v>1761</v>
      </c>
      <c r="F3676" t="s">
        <v>3904</v>
      </c>
      <c r="G3676" t="s">
        <v>34</v>
      </c>
      <c r="H3676">
        <v>2016</v>
      </c>
    </row>
    <row r="3677" spans="1:8" x14ac:dyDescent="0.35">
      <c r="A3677">
        <v>6291026000721</v>
      </c>
      <c r="B3677" t="s">
        <v>3905</v>
      </c>
      <c r="C3677" t="s">
        <v>943</v>
      </c>
      <c r="D3677" t="s">
        <v>3906</v>
      </c>
      <c r="E3677" t="s">
        <v>1761</v>
      </c>
      <c r="F3677" t="s">
        <v>3907</v>
      </c>
      <c r="G3677" t="s">
        <v>150</v>
      </c>
      <c r="H3677">
        <v>24</v>
      </c>
    </row>
    <row r="3678" spans="1:8" x14ac:dyDescent="0.35">
      <c r="A3678">
        <v>6291103084132</v>
      </c>
      <c r="B3678" t="s">
        <v>3908</v>
      </c>
      <c r="C3678" t="s">
        <v>3909</v>
      </c>
      <c r="D3678" t="s">
        <v>3910</v>
      </c>
      <c r="E3678" t="s">
        <v>308</v>
      </c>
      <c r="F3678" t="s">
        <v>309</v>
      </c>
      <c r="G3678" t="s">
        <v>578</v>
      </c>
      <c r="H3678">
        <v>2</v>
      </c>
    </row>
    <row r="3679" spans="1:8" x14ac:dyDescent="0.35">
      <c r="A3679">
        <v>6291103084712</v>
      </c>
      <c r="B3679" t="s">
        <v>2704</v>
      </c>
      <c r="C3679" t="s">
        <v>2682</v>
      </c>
      <c r="D3679" t="s">
        <v>3911</v>
      </c>
      <c r="E3679" t="s">
        <v>308</v>
      </c>
      <c r="F3679" t="s">
        <v>309</v>
      </c>
      <c r="G3679" t="s">
        <v>117</v>
      </c>
      <c r="H3679">
        <v>5</v>
      </c>
    </row>
    <row r="3680" spans="1:8" x14ac:dyDescent="0.35">
      <c r="A3680">
        <v>6291103085207</v>
      </c>
      <c r="B3680" t="s">
        <v>3912</v>
      </c>
      <c r="C3680" t="s">
        <v>2682</v>
      </c>
      <c r="D3680" t="s">
        <v>3911</v>
      </c>
      <c r="E3680" t="s">
        <v>308</v>
      </c>
      <c r="F3680" t="s">
        <v>309</v>
      </c>
      <c r="G3680" t="s">
        <v>117</v>
      </c>
      <c r="H3680">
        <v>12</v>
      </c>
    </row>
    <row r="3681" spans="1:8" x14ac:dyDescent="0.35">
      <c r="A3681">
        <v>6291104001336</v>
      </c>
      <c r="B3681" t="s">
        <v>3913</v>
      </c>
      <c r="C3681" t="s">
        <v>83</v>
      </c>
      <c r="D3681" t="s">
        <v>3914</v>
      </c>
      <c r="E3681" t="s">
        <v>1041</v>
      </c>
      <c r="F3681" t="s">
        <v>3915</v>
      </c>
      <c r="G3681" t="s">
        <v>150</v>
      </c>
      <c r="H3681">
        <v>1</v>
      </c>
    </row>
    <row r="3682" spans="1:8" x14ac:dyDescent="0.35">
      <c r="A3682">
        <v>6291104001336</v>
      </c>
      <c r="B3682" t="s">
        <v>3913</v>
      </c>
      <c r="C3682" t="s">
        <v>83</v>
      </c>
      <c r="D3682" t="s">
        <v>3914</v>
      </c>
      <c r="E3682" t="s">
        <v>1041</v>
      </c>
      <c r="F3682" t="s">
        <v>3915</v>
      </c>
      <c r="G3682" t="s">
        <v>31</v>
      </c>
      <c r="H3682">
        <v>7</v>
      </c>
    </row>
    <row r="3683" spans="1:8" x14ac:dyDescent="0.35">
      <c r="A3683">
        <v>6291104887343</v>
      </c>
      <c r="B3683" t="s">
        <v>3916</v>
      </c>
      <c r="C3683" t="s">
        <v>1738</v>
      </c>
      <c r="D3683" t="s">
        <v>3917</v>
      </c>
      <c r="E3683" t="s">
        <v>3918</v>
      </c>
      <c r="F3683" t="s">
        <v>3919</v>
      </c>
      <c r="G3683" t="s">
        <v>150</v>
      </c>
      <c r="H3683">
        <v>3</v>
      </c>
    </row>
    <row r="3684" spans="1:8" x14ac:dyDescent="0.35">
      <c r="A3684">
        <v>6291104887367</v>
      </c>
      <c r="B3684" t="s">
        <v>3920</v>
      </c>
      <c r="C3684" t="s">
        <v>9</v>
      </c>
      <c r="D3684" t="s">
        <v>3917</v>
      </c>
      <c r="E3684" t="s">
        <v>3918</v>
      </c>
      <c r="F3684" t="s">
        <v>3919</v>
      </c>
      <c r="G3684" t="s">
        <v>150</v>
      </c>
      <c r="H3684">
        <v>5</v>
      </c>
    </row>
    <row r="3685" spans="1:8" x14ac:dyDescent="0.35">
      <c r="A3685">
        <v>6291105240734</v>
      </c>
      <c r="B3685" t="s">
        <v>3284</v>
      </c>
      <c r="C3685" t="s">
        <v>825</v>
      </c>
      <c r="D3685" t="s">
        <v>3921</v>
      </c>
      <c r="E3685" t="s">
        <v>150</v>
      </c>
      <c r="F3685" t="s">
        <v>3922</v>
      </c>
      <c r="G3685" t="s">
        <v>150</v>
      </c>
      <c r="H3685">
        <v>37</v>
      </c>
    </row>
    <row r="3686" spans="1:8" x14ac:dyDescent="0.35">
      <c r="A3686">
        <v>6291107817545</v>
      </c>
      <c r="B3686" t="s">
        <v>3923</v>
      </c>
      <c r="C3686" t="s">
        <v>2147</v>
      </c>
      <c r="D3686" t="s">
        <v>590</v>
      </c>
      <c r="E3686" t="s">
        <v>34</v>
      </c>
      <c r="F3686" t="s">
        <v>591</v>
      </c>
      <c r="G3686" t="s">
        <v>34</v>
      </c>
      <c r="H3686">
        <v>4</v>
      </c>
    </row>
    <row r="3687" spans="1:8" x14ac:dyDescent="0.35">
      <c r="A3687">
        <v>6297000522005</v>
      </c>
      <c r="B3687" t="s">
        <v>1217</v>
      </c>
      <c r="C3687" t="s">
        <v>81</v>
      </c>
      <c r="D3687" t="s">
        <v>1218</v>
      </c>
      <c r="E3687" t="s">
        <v>130</v>
      </c>
      <c r="F3687" t="s">
        <v>878</v>
      </c>
      <c r="G3687" t="s">
        <v>150</v>
      </c>
      <c r="H3687">
        <v>7</v>
      </c>
    </row>
    <row r="3688" spans="1:8" x14ac:dyDescent="0.35">
      <c r="A3688">
        <v>6299109254825</v>
      </c>
      <c r="B3688" t="s">
        <v>446</v>
      </c>
      <c r="C3688" t="s">
        <v>192</v>
      </c>
      <c r="D3688" t="s">
        <v>448</v>
      </c>
      <c r="E3688" t="s">
        <v>117</v>
      </c>
      <c r="F3688" t="s">
        <v>449</v>
      </c>
      <c r="G3688" t="s">
        <v>117</v>
      </c>
      <c r="H3688">
        <v>15</v>
      </c>
    </row>
    <row r="3689" spans="1:8" x14ac:dyDescent="0.35">
      <c r="A3689">
        <v>632565000159</v>
      </c>
      <c r="B3689" t="s">
        <v>212</v>
      </c>
      <c r="C3689" t="s">
        <v>9</v>
      </c>
      <c r="D3689" t="s">
        <v>3924</v>
      </c>
      <c r="E3689" t="s">
        <v>15</v>
      </c>
      <c r="F3689" t="s">
        <v>3925</v>
      </c>
      <c r="G3689" t="s">
        <v>16</v>
      </c>
      <c r="H3689">
        <v>3</v>
      </c>
    </row>
    <row r="3690" spans="1:8" x14ac:dyDescent="0.35">
      <c r="A3690">
        <v>6422294001022</v>
      </c>
      <c r="B3690" t="s">
        <v>1158</v>
      </c>
      <c r="C3690" t="s">
        <v>192</v>
      </c>
      <c r="D3690" t="s">
        <v>3926</v>
      </c>
      <c r="E3690" t="s">
        <v>308</v>
      </c>
      <c r="F3690" t="s">
        <v>309</v>
      </c>
      <c r="G3690" t="s">
        <v>464</v>
      </c>
      <c r="H3690">
        <v>1</v>
      </c>
    </row>
    <row r="3691" spans="1:8" x14ac:dyDescent="0.35">
      <c r="A3691">
        <v>645230057334</v>
      </c>
      <c r="B3691" t="s">
        <v>3927</v>
      </c>
      <c r="C3691" t="s">
        <v>3928</v>
      </c>
      <c r="D3691" t="s">
        <v>171</v>
      </c>
      <c r="E3691" t="s">
        <v>15</v>
      </c>
      <c r="F3691" t="s">
        <v>172</v>
      </c>
      <c r="G3691" t="s">
        <v>15</v>
      </c>
      <c r="H3691">
        <v>1</v>
      </c>
    </row>
    <row r="3692" spans="1:8" x14ac:dyDescent="0.35">
      <c r="A3692">
        <v>6554522535402</v>
      </c>
      <c r="B3692" t="s">
        <v>485</v>
      </c>
      <c r="C3692" t="s">
        <v>192</v>
      </c>
      <c r="D3692" t="s">
        <v>3605</v>
      </c>
      <c r="E3692" t="s">
        <v>31</v>
      </c>
      <c r="F3692" t="s">
        <v>3606</v>
      </c>
      <c r="G3692" t="s">
        <v>150</v>
      </c>
      <c r="H3692">
        <v>3</v>
      </c>
    </row>
    <row r="3693" spans="1:8" x14ac:dyDescent="0.35">
      <c r="A3693">
        <v>6554522535402</v>
      </c>
      <c r="B3693" t="s">
        <v>485</v>
      </c>
      <c r="C3693" t="s">
        <v>192</v>
      </c>
      <c r="D3693" t="s">
        <v>3605</v>
      </c>
      <c r="E3693" t="s">
        <v>31</v>
      </c>
      <c r="F3693" t="s">
        <v>3606</v>
      </c>
      <c r="G3693" t="s">
        <v>31</v>
      </c>
      <c r="H3693">
        <v>83</v>
      </c>
    </row>
    <row r="3694" spans="1:8" x14ac:dyDescent="0.35">
      <c r="A3694">
        <v>6635932146522</v>
      </c>
      <c r="B3694" t="s">
        <v>485</v>
      </c>
      <c r="C3694" t="s">
        <v>9</v>
      </c>
      <c r="D3694" t="s">
        <v>3929</v>
      </c>
      <c r="E3694" t="s">
        <v>31</v>
      </c>
      <c r="F3694" t="s">
        <v>3929</v>
      </c>
      <c r="G3694" t="s">
        <v>31</v>
      </c>
      <c r="H3694">
        <v>52</v>
      </c>
    </row>
    <row r="3695" spans="1:8" x14ac:dyDescent="0.35">
      <c r="A3695">
        <v>67057788</v>
      </c>
      <c r="B3695" t="s">
        <v>589</v>
      </c>
      <c r="C3695" t="s">
        <v>114</v>
      </c>
      <c r="D3695" t="s">
        <v>3930</v>
      </c>
      <c r="E3695" t="s">
        <v>34</v>
      </c>
      <c r="F3695" t="s">
        <v>2402</v>
      </c>
      <c r="G3695" t="s">
        <v>34</v>
      </c>
      <c r="H3695">
        <v>82</v>
      </c>
    </row>
    <row r="3696" spans="1:8" x14ac:dyDescent="0.35">
      <c r="A3696">
        <v>671785101000</v>
      </c>
      <c r="B3696" t="s">
        <v>212</v>
      </c>
      <c r="C3696" t="s">
        <v>81</v>
      </c>
      <c r="D3696" t="s">
        <v>713</v>
      </c>
      <c r="E3696" t="s">
        <v>16</v>
      </c>
      <c r="F3696" t="s">
        <v>714</v>
      </c>
      <c r="G3696" t="s">
        <v>16</v>
      </c>
      <c r="H3696">
        <v>1</v>
      </c>
    </row>
    <row r="3697" spans="1:8" x14ac:dyDescent="0.35">
      <c r="A3697">
        <v>671785201007</v>
      </c>
      <c r="B3697" t="s">
        <v>713</v>
      </c>
      <c r="C3697" t="s">
        <v>1598</v>
      </c>
      <c r="D3697" t="s">
        <v>713</v>
      </c>
      <c r="E3697" t="s">
        <v>16</v>
      </c>
      <c r="F3697" t="s">
        <v>714</v>
      </c>
      <c r="G3697" t="s">
        <v>16</v>
      </c>
      <c r="H3697">
        <v>1</v>
      </c>
    </row>
    <row r="3698" spans="1:8" x14ac:dyDescent="0.35">
      <c r="A3698">
        <v>671785400004</v>
      </c>
      <c r="B3698" t="s">
        <v>212</v>
      </c>
      <c r="C3698" t="s">
        <v>3931</v>
      </c>
      <c r="D3698" t="s">
        <v>713</v>
      </c>
      <c r="E3698" t="s">
        <v>16</v>
      </c>
      <c r="F3698" t="s">
        <v>714</v>
      </c>
      <c r="G3698" t="s">
        <v>16</v>
      </c>
      <c r="H3698">
        <v>1</v>
      </c>
    </row>
    <row r="3699" spans="1:8" x14ac:dyDescent="0.35">
      <c r="A3699">
        <v>671785501008</v>
      </c>
      <c r="B3699" t="s">
        <v>212</v>
      </c>
      <c r="C3699" t="s">
        <v>9</v>
      </c>
      <c r="D3699" t="s">
        <v>713</v>
      </c>
      <c r="E3699" t="s">
        <v>16</v>
      </c>
      <c r="F3699" t="s">
        <v>714</v>
      </c>
      <c r="G3699" t="s">
        <v>16</v>
      </c>
      <c r="H3699">
        <v>4</v>
      </c>
    </row>
    <row r="3700" spans="1:8" x14ac:dyDescent="0.35">
      <c r="A3700">
        <v>671785710004</v>
      </c>
      <c r="B3700" t="s">
        <v>3932</v>
      </c>
      <c r="C3700" t="s">
        <v>146</v>
      </c>
      <c r="D3700" t="s">
        <v>713</v>
      </c>
      <c r="E3700" t="s">
        <v>16</v>
      </c>
      <c r="F3700" t="s">
        <v>714</v>
      </c>
      <c r="G3700" t="s">
        <v>16</v>
      </c>
      <c r="H3700">
        <v>3</v>
      </c>
    </row>
    <row r="3701" spans="1:8" x14ac:dyDescent="0.35">
      <c r="A3701">
        <v>674511451592</v>
      </c>
      <c r="B3701" t="s">
        <v>3933</v>
      </c>
      <c r="C3701" t="s">
        <v>9</v>
      </c>
      <c r="D3701" t="s">
        <v>852</v>
      </c>
      <c r="E3701" t="s">
        <v>308</v>
      </c>
      <c r="F3701" t="s">
        <v>309</v>
      </c>
      <c r="G3701" t="s">
        <v>11</v>
      </c>
      <c r="H3701">
        <v>5</v>
      </c>
    </row>
    <row r="3702" spans="1:8" x14ac:dyDescent="0.35">
      <c r="A3702">
        <v>67888337</v>
      </c>
      <c r="B3702" t="s">
        <v>201</v>
      </c>
      <c r="C3702" t="s">
        <v>200</v>
      </c>
      <c r="D3702" t="s">
        <v>194</v>
      </c>
      <c r="E3702" t="s">
        <v>16</v>
      </c>
      <c r="F3702" t="s">
        <v>195</v>
      </c>
      <c r="G3702" t="s">
        <v>16</v>
      </c>
      <c r="H3702">
        <v>1</v>
      </c>
    </row>
    <row r="3703" spans="1:8" x14ac:dyDescent="0.35">
      <c r="A3703">
        <v>6804000347301</v>
      </c>
      <c r="B3703" t="s">
        <v>3934</v>
      </c>
      <c r="C3703" t="s">
        <v>1374</v>
      </c>
      <c r="D3703" t="s">
        <v>1840</v>
      </c>
      <c r="E3703" t="s">
        <v>308</v>
      </c>
      <c r="F3703" t="s">
        <v>309</v>
      </c>
      <c r="G3703" t="s">
        <v>61</v>
      </c>
      <c r="H3703">
        <v>1</v>
      </c>
    </row>
    <row r="3704" spans="1:8" x14ac:dyDescent="0.35">
      <c r="A3704">
        <v>6805698924300</v>
      </c>
      <c r="B3704" t="s">
        <v>592</v>
      </c>
      <c r="C3704" t="s">
        <v>1982</v>
      </c>
      <c r="D3704" t="s">
        <v>2448</v>
      </c>
      <c r="E3704" t="s">
        <v>15</v>
      </c>
      <c r="F3704" t="s">
        <v>2449</v>
      </c>
      <c r="G3704" t="s">
        <v>34</v>
      </c>
      <c r="H3704">
        <v>1</v>
      </c>
    </row>
    <row r="3705" spans="1:8" x14ac:dyDescent="0.35">
      <c r="A3705">
        <v>6814618820332</v>
      </c>
      <c r="B3705" t="s">
        <v>3935</v>
      </c>
      <c r="C3705" t="s">
        <v>2335</v>
      </c>
      <c r="D3705" t="s">
        <v>2895</v>
      </c>
      <c r="E3705" t="s">
        <v>71</v>
      </c>
      <c r="F3705" t="s">
        <v>72</v>
      </c>
      <c r="G3705" t="s">
        <v>41</v>
      </c>
      <c r="H3705">
        <v>50</v>
      </c>
    </row>
    <row r="3706" spans="1:8" x14ac:dyDescent="0.35">
      <c r="A3706">
        <v>6822322153004</v>
      </c>
      <c r="B3706" t="s">
        <v>3936</v>
      </c>
      <c r="C3706" t="s">
        <v>36</v>
      </c>
      <c r="D3706" t="s">
        <v>3937</v>
      </c>
      <c r="E3706" t="s">
        <v>31</v>
      </c>
      <c r="F3706" t="s">
        <v>3938</v>
      </c>
      <c r="G3706" t="s">
        <v>31</v>
      </c>
      <c r="H3706">
        <v>55</v>
      </c>
    </row>
    <row r="3707" spans="1:8" x14ac:dyDescent="0.35">
      <c r="A3707">
        <v>6866702868584</v>
      </c>
      <c r="B3707" t="s">
        <v>852</v>
      </c>
      <c r="C3707" t="s">
        <v>114</v>
      </c>
      <c r="D3707" t="s">
        <v>3939</v>
      </c>
      <c r="E3707" t="s">
        <v>308</v>
      </c>
      <c r="F3707" t="s">
        <v>309</v>
      </c>
      <c r="G3707" t="s">
        <v>31</v>
      </c>
      <c r="H3707">
        <v>11</v>
      </c>
    </row>
    <row r="3708" spans="1:8" x14ac:dyDescent="0.35">
      <c r="A3708">
        <v>6900077057201</v>
      </c>
      <c r="B3708" t="s">
        <v>3940</v>
      </c>
      <c r="C3708" t="s">
        <v>36</v>
      </c>
      <c r="D3708" t="s">
        <v>3941</v>
      </c>
      <c r="E3708" t="s">
        <v>1041</v>
      </c>
      <c r="F3708" t="s">
        <v>3942</v>
      </c>
      <c r="G3708" t="s">
        <v>34</v>
      </c>
      <c r="H3708">
        <v>1</v>
      </c>
    </row>
    <row r="3709" spans="1:8" x14ac:dyDescent="0.35">
      <c r="A3709">
        <v>6906978201064</v>
      </c>
      <c r="B3709" t="s">
        <v>3943</v>
      </c>
      <c r="C3709" t="s">
        <v>192</v>
      </c>
      <c r="D3709" t="s">
        <v>3856</v>
      </c>
      <c r="E3709" t="s">
        <v>61</v>
      </c>
      <c r="F3709" t="s">
        <v>3857</v>
      </c>
      <c r="G3709" t="s">
        <v>117</v>
      </c>
      <c r="H3709">
        <v>1</v>
      </c>
    </row>
    <row r="3710" spans="1:8" x14ac:dyDescent="0.35">
      <c r="A3710">
        <v>6906978201064</v>
      </c>
      <c r="B3710" t="s">
        <v>3943</v>
      </c>
      <c r="C3710" t="s">
        <v>192</v>
      </c>
      <c r="D3710" t="s">
        <v>3856</v>
      </c>
      <c r="E3710" t="s">
        <v>61</v>
      </c>
      <c r="F3710" t="s">
        <v>3857</v>
      </c>
      <c r="G3710" t="s">
        <v>61</v>
      </c>
      <c r="H3710">
        <v>88</v>
      </c>
    </row>
    <row r="3711" spans="1:8" x14ac:dyDescent="0.35">
      <c r="A3711">
        <v>69191206</v>
      </c>
      <c r="B3711" t="s">
        <v>3944</v>
      </c>
      <c r="C3711" t="s">
        <v>877</v>
      </c>
      <c r="D3711" t="s">
        <v>3945</v>
      </c>
      <c r="E3711" t="s">
        <v>637</v>
      </c>
      <c r="F3711" t="s">
        <v>3946</v>
      </c>
      <c r="G3711" t="s">
        <v>41</v>
      </c>
      <c r="H3711">
        <v>23</v>
      </c>
    </row>
    <row r="3712" spans="1:8" x14ac:dyDescent="0.35">
      <c r="A3712">
        <v>6920459993798</v>
      </c>
      <c r="B3712" t="s">
        <v>3947</v>
      </c>
      <c r="C3712" t="s">
        <v>9</v>
      </c>
      <c r="D3712" t="s">
        <v>3948</v>
      </c>
      <c r="E3712" t="s">
        <v>1041</v>
      </c>
      <c r="F3712" t="s">
        <v>3948</v>
      </c>
      <c r="G3712" t="s">
        <v>34</v>
      </c>
      <c r="H3712">
        <v>1</v>
      </c>
    </row>
    <row r="3713" spans="1:8" x14ac:dyDescent="0.35">
      <c r="A3713">
        <v>6920583012570</v>
      </c>
      <c r="B3713" t="s">
        <v>3949</v>
      </c>
      <c r="C3713" t="s">
        <v>272</v>
      </c>
      <c r="D3713" t="s">
        <v>586</v>
      </c>
      <c r="E3713" t="s">
        <v>578</v>
      </c>
      <c r="F3713" t="s">
        <v>579</v>
      </c>
      <c r="G3713" t="s">
        <v>61</v>
      </c>
      <c r="H3713">
        <v>1</v>
      </c>
    </row>
    <row r="3714" spans="1:8" x14ac:dyDescent="0.35">
      <c r="A3714">
        <v>6920790011298</v>
      </c>
      <c r="B3714" t="s">
        <v>3950</v>
      </c>
      <c r="C3714" t="s">
        <v>1175</v>
      </c>
      <c r="D3714" t="s">
        <v>3951</v>
      </c>
      <c r="E3714" t="s">
        <v>1041</v>
      </c>
      <c r="F3714" t="s">
        <v>3952</v>
      </c>
      <c r="G3714" t="s">
        <v>117</v>
      </c>
      <c r="H3714">
        <v>50</v>
      </c>
    </row>
    <row r="3715" spans="1:8" x14ac:dyDescent="0.35">
      <c r="A3715">
        <v>6921168509256</v>
      </c>
      <c r="B3715" t="s">
        <v>549</v>
      </c>
      <c r="C3715" t="s">
        <v>623</v>
      </c>
      <c r="D3715" t="s">
        <v>3953</v>
      </c>
      <c r="E3715" t="s">
        <v>1041</v>
      </c>
      <c r="F3715" t="s">
        <v>3954</v>
      </c>
      <c r="G3715" t="s">
        <v>34</v>
      </c>
      <c r="H3715">
        <v>1</v>
      </c>
    </row>
    <row r="3716" spans="1:8" x14ac:dyDescent="0.35">
      <c r="A3716">
        <v>6921168509256</v>
      </c>
      <c r="B3716" t="s">
        <v>549</v>
      </c>
      <c r="C3716" t="s">
        <v>623</v>
      </c>
      <c r="D3716" t="s">
        <v>3953</v>
      </c>
      <c r="E3716" t="s">
        <v>1041</v>
      </c>
      <c r="F3716" t="s">
        <v>3954</v>
      </c>
      <c r="G3716" t="s">
        <v>31</v>
      </c>
      <c r="H3716">
        <v>50</v>
      </c>
    </row>
    <row r="3717" spans="1:8" x14ac:dyDescent="0.35">
      <c r="A3717">
        <v>6921237234263</v>
      </c>
      <c r="B3717" t="s">
        <v>384</v>
      </c>
      <c r="C3717" t="s">
        <v>3291</v>
      </c>
      <c r="D3717" t="s">
        <v>3955</v>
      </c>
      <c r="E3717" t="s">
        <v>3956</v>
      </c>
      <c r="F3717" t="s">
        <v>3957</v>
      </c>
      <c r="G3717" t="s">
        <v>117</v>
      </c>
      <c r="H3717">
        <v>47</v>
      </c>
    </row>
    <row r="3718" spans="1:8" x14ac:dyDescent="0.35">
      <c r="A3718">
        <v>6921294308549</v>
      </c>
      <c r="B3718" t="s">
        <v>3958</v>
      </c>
      <c r="C3718" t="s">
        <v>9</v>
      </c>
      <c r="D3718" t="s">
        <v>474</v>
      </c>
      <c r="E3718" t="s">
        <v>130</v>
      </c>
      <c r="F3718" t="s">
        <v>475</v>
      </c>
      <c r="G3718" t="s">
        <v>150</v>
      </c>
      <c r="H3718">
        <v>1</v>
      </c>
    </row>
    <row r="3719" spans="1:8" x14ac:dyDescent="0.35">
      <c r="A3719">
        <v>6922868289257</v>
      </c>
      <c r="B3719" t="s">
        <v>3959</v>
      </c>
      <c r="C3719" t="s">
        <v>458</v>
      </c>
      <c r="D3719" t="s">
        <v>3960</v>
      </c>
      <c r="E3719" t="s">
        <v>117</v>
      </c>
      <c r="F3719" t="s">
        <v>3961</v>
      </c>
      <c r="G3719" t="s">
        <v>117</v>
      </c>
      <c r="H3719">
        <v>89</v>
      </c>
    </row>
    <row r="3720" spans="1:8" x14ac:dyDescent="0.35">
      <c r="A3720">
        <v>6923589281018</v>
      </c>
      <c r="B3720" t="s">
        <v>3962</v>
      </c>
      <c r="C3720" t="s">
        <v>192</v>
      </c>
      <c r="D3720" t="s">
        <v>3963</v>
      </c>
      <c r="E3720" t="s">
        <v>31</v>
      </c>
      <c r="F3720" t="s">
        <v>3964</v>
      </c>
      <c r="G3720" t="s">
        <v>31</v>
      </c>
      <c r="H3720">
        <v>11</v>
      </c>
    </row>
    <row r="3721" spans="1:8" x14ac:dyDescent="0.35">
      <c r="A3721">
        <v>69235894</v>
      </c>
      <c r="B3721" t="s">
        <v>3559</v>
      </c>
      <c r="C3721" t="s">
        <v>1598</v>
      </c>
      <c r="D3721" t="s">
        <v>3963</v>
      </c>
      <c r="E3721" t="s">
        <v>31</v>
      </c>
      <c r="F3721" t="s">
        <v>3964</v>
      </c>
      <c r="G3721" t="s">
        <v>11</v>
      </c>
      <c r="H3721">
        <v>1</v>
      </c>
    </row>
    <row r="3722" spans="1:8" x14ac:dyDescent="0.35">
      <c r="A3722">
        <v>6923589421018</v>
      </c>
      <c r="B3722" t="s">
        <v>852</v>
      </c>
      <c r="C3722" t="s">
        <v>1374</v>
      </c>
      <c r="D3722" t="s">
        <v>3963</v>
      </c>
      <c r="E3722" t="s">
        <v>31</v>
      </c>
      <c r="F3722" t="s">
        <v>3964</v>
      </c>
      <c r="G3722" t="s">
        <v>11</v>
      </c>
      <c r="H3722">
        <v>2</v>
      </c>
    </row>
    <row r="3723" spans="1:8" x14ac:dyDescent="0.35">
      <c r="A3723">
        <v>6923589421018</v>
      </c>
      <c r="B3723" t="s">
        <v>852</v>
      </c>
      <c r="C3723" t="s">
        <v>1374</v>
      </c>
      <c r="D3723" t="s">
        <v>3963</v>
      </c>
      <c r="E3723" t="s">
        <v>31</v>
      </c>
      <c r="F3723" t="s">
        <v>3964</v>
      </c>
      <c r="G3723" t="s">
        <v>150</v>
      </c>
      <c r="H3723">
        <v>7</v>
      </c>
    </row>
    <row r="3724" spans="1:8" x14ac:dyDescent="0.35">
      <c r="A3724">
        <v>6923589421018</v>
      </c>
      <c r="B3724" t="s">
        <v>852</v>
      </c>
      <c r="C3724" t="s">
        <v>1374</v>
      </c>
      <c r="D3724" t="s">
        <v>3963</v>
      </c>
      <c r="E3724" t="s">
        <v>31</v>
      </c>
      <c r="F3724" t="s">
        <v>3964</v>
      </c>
      <c r="G3724" t="s">
        <v>31</v>
      </c>
      <c r="H3724">
        <v>15</v>
      </c>
    </row>
    <row r="3725" spans="1:8" x14ac:dyDescent="0.35">
      <c r="A3725">
        <v>692681366874</v>
      </c>
      <c r="B3725" t="s">
        <v>1063</v>
      </c>
      <c r="C3725" t="s">
        <v>326</v>
      </c>
      <c r="D3725" t="s">
        <v>3965</v>
      </c>
      <c r="E3725" t="s">
        <v>117</v>
      </c>
      <c r="F3725" t="s">
        <v>3966</v>
      </c>
      <c r="G3725" t="s">
        <v>117</v>
      </c>
      <c r="H3725">
        <v>55</v>
      </c>
    </row>
    <row r="3726" spans="1:8" x14ac:dyDescent="0.35">
      <c r="A3726">
        <v>6930773400292</v>
      </c>
      <c r="B3726" t="s">
        <v>3967</v>
      </c>
      <c r="C3726" t="s">
        <v>36</v>
      </c>
      <c r="D3726" t="s">
        <v>2356</v>
      </c>
      <c r="E3726" t="s">
        <v>34</v>
      </c>
      <c r="F3726" t="s">
        <v>2357</v>
      </c>
      <c r="G3726" t="s">
        <v>34</v>
      </c>
      <c r="H3726">
        <v>1</v>
      </c>
    </row>
    <row r="3727" spans="1:8" x14ac:dyDescent="0.35">
      <c r="A3727">
        <v>6930773400308</v>
      </c>
      <c r="B3727" t="s">
        <v>3968</v>
      </c>
      <c r="C3727" t="s">
        <v>472</v>
      </c>
      <c r="D3727" t="s">
        <v>2356</v>
      </c>
      <c r="E3727" t="s">
        <v>34</v>
      </c>
      <c r="F3727" t="s">
        <v>2357</v>
      </c>
      <c r="G3727" t="s">
        <v>34</v>
      </c>
      <c r="H3727">
        <v>60</v>
      </c>
    </row>
    <row r="3728" spans="1:8" x14ac:dyDescent="0.35">
      <c r="A3728">
        <v>6930773400315</v>
      </c>
      <c r="B3728" t="s">
        <v>3969</v>
      </c>
      <c r="C3728" t="s">
        <v>603</v>
      </c>
      <c r="D3728" t="s">
        <v>2356</v>
      </c>
      <c r="E3728" t="s">
        <v>34</v>
      </c>
      <c r="F3728" t="s">
        <v>2357</v>
      </c>
      <c r="G3728" t="s">
        <v>34</v>
      </c>
      <c r="H3728">
        <v>4</v>
      </c>
    </row>
    <row r="3729" spans="1:8" x14ac:dyDescent="0.35">
      <c r="A3729">
        <v>6930773400346</v>
      </c>
      <c r="B3729" t="s">
        <v>3970</v>
      </c>
      <c r="C3729" t="s">
        <v>758</v>
      </c>
      <c r="D3729" t="s">
        <v>2356</v>
      </c>
      <c r="E3729" t="s">
        <v>34</v>
      </c>
      <c r="F3729" t="s">
        <v>2357</v>
      </c>
      <c r="G3729" t="s">
        <v>11</v>
      </c>
      <c r="H3729">
        <v>5</v>
      </c>
    </row>
    <row r="3730" spans="1:8" x14ac:dyDescent="0.35">
      <c r="A3730">
        <v>6930773400346</v>
      </c>
      <c r="B3730" t="s">
        <v>3970</v>
      </c>
      <c r="C3730" t="s">
        <v>758</v>
      </c>
      <c r="D3730" t="s">
        <v>2356</v>
      </c>
      <c r="E3730" t="s">
        <v>34</v>
      </c>
      <c r="F3730" t="s">
        <v>2357</v>
      </c>
      <c r="G3730" t="s">
        <v>34</v>
      </c>
      <c r="H3730">
        <v>1</v>
      </c>
    </row>
    <row r="3731" spans="1:8" x14ac:dyDescent="0.35">
      <c r="A3731">
        <v>6930773400353</v>
      </c>
      <c r="B3731" t="s">
        <v>3971</v>
      </c>
      <c r="C3731" t="s">
        <v>758</v>
      </c>
      <c r="D3731" t="s">
        <v>2356</v>
      </c>
      <c r="E3731" t="s">
        <v>34</v>
      </c>
      <c r="F3731" t="s">
        <v>2357</v>
      </c>
      <c r="G3731" t="s">
        <v>34</v>
      </c>
      <c r="H3731">
        <v>2</v>
      </c>
    </row>
    <row r="3732" spans="1:8" x14ac:dyDescent="0.35">
      <c r="A3732">
        <v>6930773412066</v>
      </c>
      <c r="B3732" t="s">
        <v>3972</v>
      </c>
      <c r="C3732" t="s">
        <v>385</v>
      </c>
      <c r="D3732" t="s">
        <v>2356</v>
      </c>
      <c r="E3732" t="s">
        <v>34</v>
      </c>
      <c r="F3732" t="s">
        <v>2357</v>
      </c>
      <c r="G3732" t="s">
        <v>34</v>
      </c>
      <c r="H3732">
        <v>1</v>
      </c>
    </row>
    <row r="3733" spans="1:8" x14ac:dyDescent="0.35">
      <c r="A3733">
        <v>6930773500145</v>
      </c>
      <c r="B3733" t="s">
        <v>3973</v>
      </c>
      <c r="C3733" t="s">
        <v>1637</v>
      </c>
      <c r="D3733" t="s">
        <v>2356</v>
      </c>
      <c r="E3733" t="s">
        <v>34</v>
      </c>
      <c r="F3733" t="s">
        <v>2357</v>
      </c>
      <c r="G3733" t="s">
        <v>34</v>
      </c>
      <c r="H3733">
        <v>1</v>
      </c>
    </row>
    <row r="3734" spans="1:8" x14ac:dyDescent="0.35">
      <c r="A3734">
        <v>6933610104094</v>
      </c>
      <c r="B3734" t="s">
        <v>2014</v>
      </c>
      <c r="C3734" t="s">
        <v>758</v>
      </c>
      <c r="D3734" t="s">
        <v>1356</v>
      </c>
      <c r="E3734" t="s">
        <v>308</v>
      </c>
      <c r="F3734" t="s">
        <v>309</v>
      </c>
      <c r="G3734" t="s">
        <v>34</v>
      </c>
      <c r="H3734">
        <v>9</v>
      </c>
    </row>
    <row r="3735" spans="1:8" x14ac:dyDescent="0.35">
      <c r="A3735">
        <v>6935236000033</v>
      </c>
      <c r="B3735" t="s">
        <v>3277</v>
      </c>
      <c r="C3735" t="s">
        <v>192</v>
      </c>
      <c r="D3735" t="s">
        <v>3974</v>
      </c>
      <c r="E3735" t="s">
        <v>31</v>
      </c>
      <c r="F3735" t="s">
        <v>3975</v>
      </c>
      <c r="G3735" t="s">
        <v>31</v>
      </c>
      <c r="H3735">
        <v>40</v>
      </c>
    </row>
    <row r="3736" spans="1:8" x14ac:dyDescent="0.35">
      <c r="A3736">
        <v>6935236000057</v>
      </c>
      <c r="B3736" t="s">
        <v>485</v>
      </c>
      <c r="C3736" t="s">
        <v>9</v>
      </c>
      <c r="D3736" t="s">
        <v>1933</v>
      </c>
      <c r="E3736" t="s">
        <v>15</v>
      </c>
      <c r="F3736" t="s">
        <v>14</v>
      </c>
      <c r="G3736" t="s">
        <v>31</v>
      </c>
      <c r="H3736">
        <v>89</v>
      </c>
    </row>
    <row r="3737" spans="1:8" x14ac:dyDescent="0.35">
      <c r="A3737">
        <v>6935655122842</v>
      </c>
      <c r="B3737" t="s">
        <v>3976</v>
      </c>
      <c r="C3737" t="s">
        <v>758</v>
      </c>
      <c r="D3737" t="s">
        <v>3977</v>
      </c>
      <c r="E3737" t="s">
        <v>1041</v>
      </c>
      <c r="F3737" t="s">
        <v>3978</v>
      </c>
      <c r="G3737" t="s">
        <v>117</v>
      </c>
      <c r="H3737">
        <v>50</v>
      </c>
    </row>
    <row r="3738" spans="1:8" x14ac:dyDescent="0.35">
      <c r="A3738">
        <v>6943826709198</v>
      </c>
      <c r="B3738" t="s">
        <v>3979</v>
      </c>
      <c r="C3738" t="s">
        <v>2407</v>
      </c>
      <c r="D3738" t="s">
        <v>3980</v>
      </c>
      <c r="E3738" t="s">
        <v>1041</v>
      </c>
      <c r="F3738" t="s">
        <v>3981</v>
      </c>
      <c r="G3738" t="s">
        <v>41</v>
      </c>
      <c r="H3738">
        <v>102</v>
      </c>
    </row>
    <row r="3739" spans="1:8" x14ac:dyDescent="0.35">
      <c r="A3739">
        <v>6943826709259</v>
      </c>
      <c r="B3739" t="s">
        <v>3982</v>
      </c>
      <c r="C3739" t="s">
        <v>568</v>
      </c>
      <c r="D3739" t="s">
        <v>3980</v>
      </c>
      <c r="E3739" t="s">
        <v>1041</v>
      </c>
      <c r="F3739" t="s">
        <v>3981</v>
      </c>
      <c r="G3739" t="s">
        <v>41</v>
      </c>
      <c r="H3739">
        <v>51</v>
      </c>
    </row>
    <row r="3740" spans="1:8" x14ac:dyDescent="0.35">
      <c r="A3740">
        <v>6952581701118</v>
      </c>
      <c r="B3740" t="s">
        <v>3983</v>
      </c>
      <c r="C3740" t="s">
        <v>909</v>
      </c>
      <c r="D3740" t="s">
        <v>3984</v>
      </c>
      <c r="E3740" t="s">
        <v>308</v>
      </c>
      <c r="F3740" t="s">
        <v>309</v>
      </c>
      <c r="G3740" t="s">
        <v>61</v>
      </c>
      <c r="H3740">
        <v>1</v>
      </c>
    </row>
    <row r="3741" spans="1:8" x14ac:dyDescent="0.35">
      <c r="A3741">
        <v>6954574930109</v>
      </c>
      <c r="B3741" t="s">
        <v>3985</v>
      </c>
      <c r="C3741" t="s">
        <v>1582</v>
      </c>
      <c r="D3741" t="s">
        <v>3986</v>
      </c>
      <c r="E3741" t="s">
        <v>1041</v>
      </c>
      <c r="F3741" t="s">
        <v>1042</v>
      </c>
      <c r="G3741" t="s">
        <v>41</v>
      </c>
      <c r="H3741">
        <v>100</v>
      </c>
    </row>
    <row r="3742" spans="1:8" x14ac:dyDescent="0.35">
      <c r="A3742">
        <v>6959749712580</v>
      </c>
      <c r="B3742" t="s">
        <v>3987</v>
      </c>
      <c r="C3742" t="s">
        <v>630</v>
      </c>
      <c r="D3742" t="s">
        <v>3988</v>
      </c>
      <c r="E3742" t="s">
        <v>308</v>
      </c>
      <c r="F3742" t="s">
        <v>309</v>
      </c>
      <c r="G3742" t="s">
        <v>61</v>
      </c>
      <c r="H3742">
        <v>2</v>
      </c>
    </row>
    <row r="3743" spans="1:8" x14ac:dyDescent="0.35">
      <c r="A3743">
        <v>6960553910222</v>
      </c>
      <c r="B3743" t="s">
        <v>3989</v>
      </c>
      <c r="C3743" t="s">
        <v>3990</v>
      </c>
      <c r="D3743" t="s">
        <v>2356</v>
      </c>
      <c r="E3743" t="s">
        <v>34</v>
      </c>
      <c r="F3743" t="s">
        <v>2357</v>
      </c>
      <c r="G3743" t="s">
        <v>34</v>
      </c>
      <c r="H3743">
        <v>1</v>
      </c>
    </row>
    <row r="3744" spans="1:8" x14ac:dyDescent="0.35">
      <c r="A3744">
        <v>6969228800127</v>
      </c>
      <c r="B3744" t="s">
        <v>3991</v>
      </c>
      <c r="C3744" t="s">
        <v>458</v>
      </c>
      <c r="D3744" t="s">
        <v>3145</v>
      </c>
      <c r="E3744" t="s">
        <v>308</v>
      </c>
      <c r="F3744" t="s">
        <v>309</v>
      </c>
      <c r="G3744" t="s">
        <v>41</v>
      </c>
      <c r="H3744">
        <v>31</v>
      </c>
    </row>
    <row r="3745" spans="1:8" x14ac:dyDescent="0.35">
      <c r="A3745">
        <v>6969930023692</v>
      </c>
      <c r="B3745" t="s">
        <v>3992</v>
      </c>
      <c r="C3745" t="s">
        <v>36</v>
      </c>
      <c r="D3745" t="s">
        <v>3993</v>
      </c>
      <c r="E3745" t="s">
        <v>16</v>
      </c>
      <c r="F3745" t="s">
        <v>3994</v>
      </c>
      <c r="G3745" t="s">
        <v>150</v>
      </c>
      <c r="H3745">
        <v>40</v>
      </c>
    </row>
    <row r="3746" spans="1:8" x14ac:dyDescent="0.35">
      <c r="A3746">
        <v>6970733780033</v>
      </c>
      <c r="B3746" t="s">
        <v>3995</v>
      </c>
      <c r="C3746" t="s">
        <v>9</v>
      </c>
      <c r="D3746" t="s">
        <v>3996</v>
      </c>
      <c r="E3746" t="s">
        <v>921</v>
      </c>
      <c r="F3746" t="s">
        <v>3997</v>
      </c>
      <c r="G3746" t="s">
        <v>921</v>
      </c>
      <c r="H3746">
        <v>1</v>
      </c>
    </row>
    <row r="3747" spans="1:8" x14ac:dyDescent="0.35">
      <c r="A3747">
        <v>6970733780033</v>
      </c>
      <c r="B3747" t="s">
        <v>3995</v>
      </c>
      <c r="C3747" t="s">
        <v>9</v>
      </c>
      <c r="D3747" t="s">
        <v>3996</v>
      </c>
      <c r="E3747" t="s">
        <v>921</v>
      </c>
      <c r="F3747" t="s">
        <v>3997</v>
      </c>
      <c r="G3747" t="s">
        <v>31</v>
      </c>
      <c r="H3747">
        <v>10</v>
      </c>
    </row>
    <row r="3748" spans="1:8" x14ac:dyDescent="0.35">
      <c r="A3748">
        <v>6971006991040</v>
      </c>
      <c r="B3748" t="s">
        <v>2924</v>
      </c>
      <c r="C3748" t="s">
        <v>1141</v>
      </c>
      <c r="D3748" t="s">
        <v>3998</v>
      </c>
      <c r="E3748" t="s">
        <v>41</v>
      </c>
      <c r="F3748" t="s">
        <v>3999</v>
      </c>
      <c r="G3748" t="s">
        <v>41</v>
      </c>
      <c r="H3748">
        <v>25</v>
      </c>
    </row>
    <row r="3749" spans="1:8" x14ac:dyDescent="0.35">
      <c r="A3749">
        <v>697896010185</v>
      </c>
      <c r="B3749" t="s">
        <v>4000</v>
      </c>
      <c r="C3749" t="s">
        <v>230</v>
      </c>
      <c r="D3749" t="s">
        <v>4001</v>
      </c>
      <c r="E3749" t="s">
        <v>15</v>
      </c>
      <c r="F3749" t="s">
        <v>4002</v>
      </c>
      <c r="G3749" t="s">
        <v>150</v>
      </c>
      <c r="H3749">
        <v>10</v>
      </c>
    </row>
    <row r="3750" spans="1:8" x14ac:dyDescent="0.35">
      <c r="A3750">
        <v>7001723214371</v>
      </c>
      <c r="B3750" t="s">
        <v>4003</v>
      </c>
      <c r="C3750" t="s">
        <v>9</v>
      </c>
      <c r="D3750" t="s">
        <v>2192</v>
      </c>
      <c r="E3750" t="s">
        <v>73</v>
      </c>
      <c r="F3750" t="s">
        <v>2103</v>
      </c>
      <c r="G3750" t="s">
        <v>34</v>
      </c>
      <c r="H3750">
        <v>1</v>
      </c>
    </row>
    <row r="3751" spans="1:8" x14ac:dyDescent="0.35">
      <c r="A3751">
        <v>7004759470643</v>
      </c>
      <c r="B3751" t="s">
        <v>4004</v>
      </c>
      <c r="C3751" t="s">
        <v>4005</v>
      </c>
      <c r="D3751" t="s">
        <v>1436</v>
      </c>
      <c r="E3751" t="s">
        <v>15</v>
      </c>
      <c r="F3751" t="s">
        <v>1227</v>
      </c>
      <c r="G3751" t="s">
        <v>22</v>
      </c>
      <c r="H3751">
        <v>1</v>
      </c>
    </row>
    <row r="3752" spans="1:8" x14ac:dyDescent="0.35">
      <c r="A3752">
        <v>7009647547988</v>
      </c>
      <c r="B3752" t="s">
        <v>4006</v>
      </c>
      <c r="C3752" t="s">
        <v>38</v>
      </c>
      <c r="D3752" t="s">
        <v>1176</v>
      </c>
      <c r="E3752" t="s">
        <v>61</v>
      </c>
      <c r="F3752" t="s">
        <v>1070</v>
      </c>
      <c r="G3752" t="s">
        <v>61</v>
      </c>
      <c r="H3752">
        <v>50</v>
      </c>
    </row>
    <row r="3753" spans="1:8" x14ac:dyDescent="0.35">
      <c r="A3753">
        <v>7012422123239</v>
      </c>
      <c r="B3753" t="s">
        <v>4007</v>
      </c>
      <c r="C3753" t="s">
        <v>659</v>
      </c>
      <c r="D3753" t="s">
        <v>1059</v>
      </c>
      <c r="E3753" t="s">
        <v>15</v>
      </c>
      <c r="F3753" t="s">
        <v>56</v>
      </c>
      <c r="G3753" t="s">
        <v>22</v>
      </c>
      <c r="H3753">
        <v>1</v>
      </c>
    </row>
    <row r="3754" spans="1:8" x14ac:dyDescent="0.35">
      <c r="A3754">
        <v>7016519005217</v>
      </c>
      <c r="B3754" t="s">
        <v>4008</v>
      </c>
      <c r="C3754" t="s">
        <v>9</v>
      </c>
      <c r="D3754" t="s">
        <v>3605</v>
      </c>
      <c r="E3754" t="s">
        <v>31</v>
      </c>
      <c r="F3754" t="s">
        <v>3606</v>
      </c>
      <c r="G3754" t="s">
        <v>31</v>
      </c>
      <c r="H3754">
        <v>2</v>
      </c>
    </row>
    <row r="3755" spans="1:8" x14ac:dyDescent="0.35">
      <c r="A3755">
        <v>7016555885286</v>
      </c>
      <c r="B3755" t="s">
        <v>1811</v>
      </c>
      <c r="C3755" t="s">
        <v>9</v>
      </c>
      <c r="D3755" t="s">
        <v>3605</v>
      </c>
      <c r="E3755" t="s">
        <v>31</v>
      </c>
      <c r="F3755" t="s">
        <v>3606</v>
      </c>
      <c r="G3755" t="s">
        <v>31</v>
      </c>
      <c r="H3755">
        <v>21</v>
      </c>
    </row>
    <row r="3756" spans="1:8" x14ac:dyDescent="0.35">
      <c r="A3756">
        <v>7021413729824</v>
      </c>
      <c r="B3756" t="s">
        <v>4009</v>
      </c>
      <c r="C3756" t="s">
        <v>272</v>
      </c>
      <c r="D3756" t="s">
        <v>474</v>
      </c>
      <c r="E3756" t="s">
        <v>130</v>
      </c>
      <c r="F3756" t="s">
        <v>475</v>
      </c>
      <c r="G3756" t="s">
        <v>22</v>
      </c>
      <c r="H3756">
        <v>1</v>
      </c>
    </row>
    <row r="3757" spans="1:8" x14ac:dyDescent="0.35">
      <c r="A3757">
        <v>7033002210989</v>
      </c>
      <c r="B3757" t="s">
        <v>4010</v>
      </c>
      <c r="C3757" t="s">
        <v>472</v>
      </c>
      <c r="D3757" t="s">
        <v>1238</v>
      </c>
      <c r="E3757" t="s">
        <v>61</v>
      </c>
      <c r="F3757" t="s">
        <v>1239</v>
      </c>
      <c r="G3757" t="s">
        <v>41</v>
      </c>
      <c r="H3757">
        <v>3</v>
      </c>
    </row>
    <row r="3758" spans="1:8" x14ac:dyDescent="0.35">
      <c r="A3758">
        <v>7033006570423</v>
      </c>
      <c r="B3758" t="s">
        <v>4011</v>
      </c>
      <c r="C3758" t="s">
        <v>3070</v>
      </c>
      <c r="D3758" t="s">
        <v>3035</v>
      </c>
      <c r="E3758" t="s">
        <v>41</v>
      </c>
      <c r="F3758" t="s">
        <v>456</v>
      </c>
      <c r="G3758" t="s">
        <v>41</v>
      </c>
      <c r="H3758">
        <v>36</v>
      </c>
    </row>
    <row r="3759" spans="1:8" x14ac:dyDescent="0.35">
      <c r="A3759">
        <v>7077004800304</v>
      </c>
      <c r="B3759" t="s">
        <v>8</v>
      </c>
      <c r="C3759" t="s">
        <v>909</v>
      </c>
      <c r="D3759" t="s">
        <v>4012</v>
      </c>
      <c r="E3759" t="s">
        <v>4013</v>
      </c>
      <c r="F3759" t="s">
        <v>4014</v>
      </c>
      <c r="G3759" t="s">
        <v>11</v>
      </c>
      <c r="H3759">
        <v>1</v>
      </c>
    </row>
    <row r="3760" spans="1:8" x14ac:dyDescent="0.35">
      <c r="A3760">
        <v>7077004800502</v>
      </c>
      <c r="B3760" t="s">
        <v>8</v>
      </c>
      <c r="C3760" t="s">
        <v>9</v>
      </c>
      <c r="D3760" t="s">
        <v>4012</v>
      </c>
      <c r="E3760" t="s">
        <v>4013</v>
      </c>
      <c r="F3760" t="s">
        <v>4014</v>
      </c>
      <c r="G3760" t="s">
        <v>11</v>
      </c>
      <c r="H3760">
        <v>170</v>
      </c>
    </row>
    <row r="3761" spans="1:8" x14ac:dyDescent="0.35">
      <c r="A3761">
        <v>7125569312777</v>
      </c>
      <c r="B3761" t="s">
        <v>4015</v>
      </c>
      <c r="C3761" t="s">
        <v>9</v>
      </c>
      <c r="D3761" t="s">
        <v>4016</v>
      </c>
      <c r="E3761" t="s">
        <v>117</v>
      </c>
      <c r="F3761" t="s">
        <v>4017</v>
      </c>
      <c r="G3761" t="s">
        <v>117</v>
      </c>
      <c r="H3761">
        <v>1</v>
      </c>
    </row>
    <row r="3762" spans="1:8" x14ac:dyDescent="0.35">
      <c r="A3762">
        <v>7162106950047</v>
      </c>
      <c r="B3762" t="s">
        <v>4018</v>
      </c>
      <c r="C3762" t="s">
        <v>9</v>
      </c>
      <c r="D3762" t="s">
        <v>1570</v>
      </c>
      <c r="E3762" t="s">
        <v>22</v>
      </c>
      <c r="F3762" t="s">
        <v>1568</v>
      </c>
      <c r="G3762" t="s">
        <v>61</v>
      </c>
      <c r="H3762">
        <v>1</v>
      </c>
    </row>
    <row r="3763" spans="1:8" x14ac:dyDescent="0.35">
      <c r="A3763">
        <v>7171000010016</v>
      </c>
      <c r="B3763" t="s">
        <v>4019</v>
      </c>
      <c r="C3763" t="s">
        <v>9</v>
      </c>
      <c r="D3763" t="s">
        <v>852</v>
      </c>
      <c r="E3763" t="s">
        <v>308</v>
      </c>
      <c r="F3763" t="s">
        <v>309</v>
      </c>
      <c r="G3763" t="s">
        <v>11</v>
      </c>
      <c r="H3763">
        <v>5</v>
      </c>
    </row>
    <row r="3764" spans="1:8" x14ac:dyDescent="0.35">
      <c r="A3764">
        <v>7172106130028</v>
      </c>
      <c r="B3764" t="s">
        <v>4020</v>
      </c>
      <c r="C3764" t="s">
        <v>110</v>
      </c>
      <c r="D3764" t="s">
        <v>417</v>
      </c>
      <c r="E3764" t="s">
        <v>387</v>
      </c>
      <c r="F3764" t="s">
        <v>3575</v>
      </c>
      <c r="G3764" t="s">
        <v>387</v>
      </c>
      <c r="H3764">
        <v>1</v>
      </c>
    </row>
    <row r="3765" spans="1:8" x14ac:dyDescent="0.35">
      <c r="A3765">
        <v>7174000078109</v>
      </c>
      <c r="B3765" t="s">
        <v>4021</v>
      </c>
      <c r="C3765" t="s">
        <v>9</v>
      </c>
      <c r="D3765" t="s">
        <v>924</v>
      </c>
      <c r="E3765" t="s">
        <v>150</v>
      </c>
      <c r="F3765" t="s">
        <v>925</v>
      </c>
      <c r="G3765" t="s">
        <v>150</v>
      </c>
      <c r="H3765">
        <v>10</v>
      </c>
    </row>
    <row r="3766" spans="1:8" x14ac:dyDescent="0.35">
      <c r="A3766">
        <v>7174000078215</v>
      </c>
      <c r="B3766" t="s">
        <v>4022</v>
      </c>
      <c r="C3766" t="s">
        <v>272</v>
      </c>
      <c r="D3766" t="s">
        <v>924</v>
      </c>
      <c r="E3766" t="s">
        <v>150</v>
      </c>
      <c r="F3766" t="s">
        <v>925</v>
      </c>
      <c r="G3766" t="s">
        <v>150</v>
      </c>
      <c r="H3766">
        <v>5</v>
      </c>
    </row>
    <row r="3767" spans="1:8" x14ac:dyDescent="0.35">
      <c r="A3767">
        <v>7174000089167</v>
      </c>
      <c r="B3767" t="s">
        <v>544</v>
      </c>
      <c r="C3767" t="s">
        <v>9</v>
      </c>
      <c r="D3767" t="s">
        <v>2629</v>
      </c>
      <c r="E3767" t="s">
        <v>547</v>
      </c>
      <c r="F3767" t="s">
        <v>548</v>
      </c>
      <c r="G3767" t="s">
        <v>11</v>
      </c>
      <c r="H3767">
        <v>17</v>
      </c>
    </row>
    <row r="3768" spans="1:8" x14ac:dyDescent="0.35">
      <c r="A3768">
        <v>7174000105133</v>
      </c>
      <c r="B3768" t="s">
        <v>4023</v>
      </c>
      <c r="C3768" t="s">
        <v>272</v>
      </c>
      <c r="D3768" t="s">
        <v>3317</v>
      </c>
      <c r="E3768" t="s">
        <v>150</v>
      </c>
      <c r="F3768" t="s">
        <v>3318</v>
      </c>
      <c r="G3768" t="s">
        <v>150</v>
      </c>
      <c r="H3768">
        <v>2</v>
      </c>
    </row>
    <row r="3769" spans="1:8" x14ac:dyDescent="0.35">
      <c r="A3769">
        <v>7174000108004</v>
      </c>
      <c r="B3769" t="s">
        <v>897</v>
      </c>
      <c r="C3769" t="s">
        <v>9</v>
      </c>
      <c r="D3769" t="s">
        <v>3522</v>
      </c>
      <c r="E3769" t="s">
        <v>11</v>
      </c>
      <c r="F3769" t="s">
        <v>3523</v>
      </c>
      <c r="G3769" t="s">
        <v>11</v>
      </c>
      <c r="H3769">
        <v>1</v>
      </c>
    </row>
    <row r="3770" spans="1:8" x14ac:dyDescent="0.35">
      <c r="A3770">
        <v>7174000108011</v>
      </c>
      <c r="B3770" t="s">
        <v>857</v>
      </c>
      <c r="C3770" t="s">
        <v>9</v>
      </c>
      <c r="D3770" t="s">
        <v>3522</v>
      </c>
      <c r="E3770" t="s">
        <v>11</v>
      </c>
      <c r="F3770" t="s">
        <v>3523</v>
      </c>
      <c r="G3770" t="s">
        <v>11</v>
      </c>
      <c r="H3770">
        <v>1</v>
      </c>
    </row>
    <row r="3771" spans="1:8" x14ac:dyDescent="0.35">
      <c r="A3771">
        <v>7174000108028</v>
      </c>
      <c r="B3771" t="s">
        <v>897</v>
      </c>
      <c r="C3771" t="s">
        <v>385</v>
      </c>
      <c r="D3771" t="s">
        <v>3522</v>
      </c>
      <c r="E3771" t="s">
        <v>11</v>
      </c>
      <c r="F3771" t="s">
        <v>3523</v>
      </c>
      <c r="G3771" t="s">
        <v>11</v>
      </c>
      <c r="H3771">
        <v>3</v>
      </c>
    </row>
    <row r="3772" spans="1:8" x14ac:dyDescent="0.35">
      <c r="A3772">
        <v>7174000108202</v>
      </c>
      <c r="B3772" t="s">
        <v>897</v>
      </c>
      <c r="C3772" t="s">
        <v>272</v>
      </c>
      <c r="D3772" t="s">
        <v>3522</v>
      </c>
      <c r="E3772" t="s">
        <v>11</v>
      </c>
      <c r="F3772" t="s">
        <v>3523</v>
      </c>
      <c r="G3772" t="s">
        <v>11</v>
      </c>
      <c r="H3772">
        <v>3</v>
      </c>
    </row>
    <row r="3773" spans="1:8" x14ac:dyDescent="0.35">
      <c r="A3773">
        <v>7174000108219</v>
      </c>
      <c r="B3773" t="s">
        <v>857</v>
      </c>
      <c r="C3773" t="s">
        <v>272</v>
      </c>
      <c r="D3773" t="s">
        <v>3522</v>
      </c>
      <c r="E3773" t="s">
        <v>11</v>
      </c>
      <c r="F3773" t="s">
        <v>3523</v>
      </c>
      <c r="G3773" t="s">
        <v>11</v>
      </c>
      <c r="H3773">
        <v>2</v>
      </c>
    </row>
    <row r="3774" spans="1:8" x14ac:dyDescent="0.35">
      <c r="A3774">
        <v>7174000118089</v>
      </c>
      <c r="B3774" t="s">
        <v>834</v>
      </c>
      <c r="C3774" t="s">
        <v>81</v>
      </c>
      <c r="D3774" t="s">
        <v>4024</v>
      </c>
      <c r="E3774" t="s">
        <v>11</v>
      </c>
      <c r="F3774" t="s">
        <v>4025</v>
      </c>
      <c r="G3774" t="s">
        <v>11</v>
      </c>
      <c r="H3774">
        <v>8</v>
      </c>
    </row>
    <row r="3775" spans="1:8" x14ac:dyDescent="0.35">
      <c r="A3775">
        <v>7174000692084</v>
      </c>
      <c r="B3775" t="s">
        <v>626</v>
      </c>
      <c r="C3775" t="s">
        <v>385</v>
      </c>
      <c r="D3775" t="s">
        <v>3487</v>
      </c>
      <c r="E3775" t="s">
        <v>11</v>
      </c>
      <c r="F3775" t="s">
        <v>3488</v>
      </c>
      <c r="G3775" t="s">
        <v>11</v>
      </c>
      <c r="H3775">
        <v>7</v>
      </c>
    </row>
    <row r="3776" spans="1:8" x14ac:dyDescent="0.35">
      <c r="A3776">
        <v>7174000692084</v>
      </c>
      <c r="B3776" t="s">
        <v>626</v>
      </c>
      <c r="C3776" t="s">
        <v>385</v>
      </c>
      <c r="D3776" t="s">
        <v>3487</v>
      </c>
      <c r="E3776" t="s">
        <v>11</v>
      </c>
      <c r="F3776" t="s">
        <v>3488</v>
      </c>
      <c r="G3776" t="s">
        <v>150</v>
      </c>
      <c r="H3776">
        <v>1</v>
      </c>
    </row>
    <row r="3777" spans="1:8" x14ac:dyDescent="0.35">
      <c r="A3777">
        <v>7174001053006</v>
      </c>
      <c r="B3777" t="s">
        <v>262</v>
      </c>
      <c r="C3777" t="s">
        <v>9</v>
      </c>
      <c r="D3777" t="s">
        <v>4026</v>
      </c>
      <c r="E3777" t="s">
        <v>11</v>
      </c>
      <c r="F3777" t="s">
        <v>4027</v>
      </c>
      <c r="G3777" t="s">
        <v>11</v>
      </c>
      <c r="H3777">
        <v>46</v>
      </c>
    </row>
    <row r="3778" spans="1:8" x14ac:dyDescent="0.35">
      <c r="A3778">
        <v>7174001053013</v>
      </c>
      <c r="B3778" t="s">
        <v>262</v>
      </c>
      <c r="C3778" t="s">
        <v>3511</v>
      </c>
      <c r="D3778" t="s">
        <v>4026</v>
      </c>
      <c r="E3778" t="s">
        <v>11</v>
      </c>
      <c r="F3778" t="s">
        <v>4027</v>
      </c>
      <c r="G3778" t="s">
        <v>11</v>
      </c>
      <c r="H3778">
        <v>18</v>
      </c>
    </row>
    <row r="3779" spans="1:8" x14ac:dyDescent="0.35">
      <c r="A3779">
        <v>7174001053020</v>
      </c>
      <c r="B3779" t="s">
        <v>262</v>
      </c>
      <c r="C3779" t="s">
        <v>192</v>
      </c>
      <c r="D3779" t="s">
        <v>4026</v>
      </c>
      <c r="E3779" t="s">
        <v>11</v>
      </c>
      <c r="F3779" t="s">
        <v>4027</v>
      </c>
      <c r="G3779" t="s">
        <v>11</v>
      </c>
      <c r="H3779">
        <v>23</v>
      </c>
    </row>
    <row r="3780" spans="1:8" x14ac:dyDescent="0.35">
      <c r="A3780">
        <v>7174001196055</v>
      </c>
      <c r="B3780" t="s">
        <v>4028</v>
      </c>
      <c r="C3780" t="s">
        <v>9</v>
      </c>
      <c r="D3780" t="s">
        <v>4029</v>
      </c>
      <c r="E3780" t="s">
        <v>308</v>
      </c>
      <c r="F3780" t="s">
        <v>309</v>
      </c>
      <c r="G3780" t="s">
        <v>11</v>
      </c>
      <c r="H3780">
        <v>63</v>
      </c>
    </row>
    <row r="3781" spans="1:8" x14ac:dyDescent="0.35">
      <c r="A3781">
        <v>7174001196062</v>
      </c>
      <c r="B3781" t="s">
        <v>4030</v>
      </c>
      <c r="C3781" t="s">
        <v>81</v>
      </c>
      <c r="D3781" t="s">
        <v>4029</v>
      </c>
      <c r="E3781" t="s">
        <v>308</v>
      </c>
      <c r="F3781" t="s">
        <v>309</v>
      </c>
      <c r="G3781" t="s">
        <v>11</v>
      </c>
      <c r="H3781">
        <v>9</v>
      </c>
    </row>
    <row r="3782" spans="1:8" x14ac:dyDescent="0.35">
      <c r="A3782">
        <v>71808338</v>
      </c>
      <c r="B3782" t="s">
        <v>213</v>
      </c>
      <c r="C3782" t="s">
        <v>472</v>
      </c>
      <c r="D3782" t="s">
        <v>473</v>
      </c>
      <c r="E3782" t="s">
        <v>41</v>
      </c>
      <c r="F3782" t="s">
        <v>456</v>
      </c>
      <c r="G3782" t="s">
        <v>41</v>
      </c>
      <c r="H3782">
        <v>27</v>
      </c>
    </row>
    <row r="3783" spans="1:8" x14ac:dyDescent="0.35">
      <c r="A3783">
        <v>7181221034166</v>
      </c>
      <c r="B3783" t="s">
        <v>4031</v>
      </c>
      <c r="C3783" t="s">
        <v>9</v>
      </c>
      <c r="D3783" t="s">
        <v>4032</v>
      </c>
      <c r="E3783" t="s">
        <v>308</v>
      </c>
      <c r="F3783" t="s">
        <v>309</v>
      </c>
      <c r="G3783" t="s">
        <v>34</v>
      </c>
      <c r="H3783">
        <v>1</v>
      </c>
    </row>
    <row r="3784" spans="1:8" x14ac:dyDescent="0.35">
      <c r="A3784">
        <v>7187552563894</v>
      </c>
      <c r="B3784" t="s">
        <v>4033</v>
      </c>
      <c r="C3784" t="s">
        <v>801</v>
      </c>
      <c r="D3784" t="s">
        <v>4016</v>
      </c>
      <c r="E3784" t="s">
        <v>117</v>
      </c>
      <c r="F3784" t="s">
        <v>4017</v>
      </c>
      <c r="G3784" t="s">
        <v>117</v>
      </c>
      <c r="H3784">
        <v>1</v>
      </c>
    </row>
    <row r="3785" spans="1:8" x14ac:dyDescent="0.35">
      <c r="A3785">
        <v>7215011220221</v>
      </c>
      <c r="B3785" t="s">
        <v>82</v>
      </c>
      <c r="C3785" t="s">
        <v>38</v>
      </c>
      <c r="D3785" t="s">
        <v>84</v>
      </c>
      <c r="E3785" t="s">
        <v>61</v>
      </c>
      <c r="F3785" t="s">
        <v>85</v>
      </c>
      <c r="G3785" t="s">
        <v>61</v>
      </c>
      <c r="H3785">
        <v>2</v>
      </c>
    </row>
    <row r="3786" spans="1:8" x14ac:dyDescent="0.35">
      <c r="A3786">
        <v>7215104350651</v>
      </c>
      <c r="B3786" t="s">
        <v>1917</v>
      </c>
      <c r="C3786" t="s">
        <v>806</v>
      </c>
      <c r="D3786" t="s">
        <v>3693</v>
      </c>
      <c r="E3786" t="s">
        <v>61</v>
      </c>
      <c r="F3786" t="s">
        <v>1170</v>
      </c>
      <c r="G3786" t="s">
        <v>61</v>
      </c>
      <c r="H3786">
        <v>3</v>
      </c>
    </row>
    <row r="3787" spans="1:8" x14ac:dyDescent="0.35">
      <c r="A3787">
        <v>7215111220220</v>
      </c>
      <c r="B3787" t="s">
        <v>82</v>
      </c>
      <c r="C3787" t="s">
        <v>38</v>
      </c>
      <c r="D3787" t="s">
        <v>84</v>
      </c>
      <c r="E3787" t="s">
        <v>61</v>
      </c>
      <c r="F3787" t="s">
        <v>85</v>
      </c>
      <c r="G3787" t="s">
        <v>61</v>
      </c>
      <c r="H3787">
        <v>1</v>
      </c>
    </row>
    <row r="3788" spans="1:8" x14ac:dyDescent="0.35">
      <c r="A3788">
        <v>722777707523</v>
      </c>
      <c r="B3788" t="s">
        <v>380</v>
      </c>
      <c r="C3788" t="s">
        <v>4034</v>
      </c>
      <c r="D3788" t="s">
        <v>811</v>
      </c>
      <c r="E3788" t="s">
        <v>117</v>
      </c>
      <c r="F3788" t="s">
        <v>695</v>
      </c>
      <c r="G3788" t="s">
        <v>117</v>
      </c>
      <c r="H3788">
        <v>6</v>
      </c>
    </row>
    <row r="3789" spans="1:8" x14ac:dyDescent="0.35">
      <c r="A3789">
        <v>728028483192</v>
      </c>
      <c r="B3789" t="s">
        <v>4035</v>
      </c>
      <c r="C3789" t="s">
        <v>1738</v>
      </c>
      <c r="D3789" t="s">
        <v>4036</v>
      </c>
      <c r="E3789" t="s">
        <v>33</v>
      </c>
      <c r="F3789" t="s">
        <v>4037</v>
      </c>
      <c r="G3789" t="s">
        <v>33</v>
      </c>
      <c r="H3789">
        <v>215</v>
      </c>
    </row>
    <row r="3790" spans="1:8" x14ac:dyDescent="0.35">
      <c r="A3790">
        <v>728028491876</v>
      </c>
      <c r="B3790" t="s">
        <v>4035</v>
      </c>
      <c r="C3790" t="s">
        <v>814</v>
      </c>
      <c r="D3790" t="s">
        <v>815</v>
      </c>
      <c r="E3790" t="s">
        <v>816</v>
      </c>
      <c r="F3790" t="s">
        <v>817</v>
      </c>
      <c r="G3790" t="s">
        <v>33</v>
      </c>
      <c r="H3790">
        <v>66</v>
      </c>
    </row>
    <row r="3791" spans="1:8" x14ac:dyDescent="0.35">
      <c r="A3791">
        <v>7348008697796</v>
      </c>
      <c r="B3791" t="s">
        <v>4038</v>
      </c>
      <c r="C3791" t="s">
        <v>603</v>
      </c>
      <c r="D3791" t="s">
        <v>4039</v>
      </c>
      <c r="E3791" t="s">
        <v>578</v>
      </c>
      <c r="F3791" t="s">
        <v>2250</v>
      </c>
      <c r="G3791" t="s">
        <v>41</v>
      </c>
      <c r="H3791">
        <v>28</v>
      </c>
    </row>
    <row r="3792" spans="1:8" x14ac:dyDescent="0.35">
      <c r="A3792">
        <v>7348008697796</v>
      </c>
      <c r="B3792" t="s">
        <v>4038</v>
      </c>
      <c r="C3792" t="s">
        <v>603</v>
      </c>
      <c r="D3792" t="s">
        <v>4039</v>
      </c>
      <c r="E3792" t="s">
        <v>578</v>
      </c>
      <c r="F3792" t="s">
        <v>2250</v>
      </c>
      <c r="G3792" t="s">
        <v>33</v>
      </c>
      <c r="H3792">
        <v>278</v>
      </c>
    </row>
    <row r="3793" spans="1:8" x14ac:dyDescent="0.35">
      <c r="A3793">
        <v>7348008697796</v>
      </c>
      <c r="B3793" t="s">
        <v>4038</v>
      </c>
      <c r="C3793" t="s">
        <v>603</v>
      </c>
      <c r="D3793" t="s">
        <v>4039</v>
      </c>
      <c r="E3793" t="s">
        <v>578</v>
      </c>
      <c r="F3793" t="s">
        <v>2250</v>
      </c>
      <c r="G3793" t="s">
        <v>34</v>
      </c>
      <c r="H3793">
        <v>62</v>
      </c>
    </row>
    <row r="3794" spans="1:8" x14ac:dyDescent="0.35">
      <c r="A3794">
        <v>7414211057655</v>
      </c>
      <c r="B3794" t="s">
        <v>3825</v>
      </c>
      <c r="C3794" t="s">
        <v>9</v>
      </c>
      <c r="D3794" t="s">
        <v>4040</v>
      </c>
      <c r="E3794" t="s">
        <v>308</v>
      </c>
      <c r="F3794" t="s">
        <v>309</v>
      </c>
      <c r="G3794" t="s">
        <v>34</v>
      </c>
      <c r="H3794">
        <v>1</v>
      </c>
    </row>
    <row r="3795" spans="1:8" x14ac:dyDescent="0.35">
      <c r="A3795">
        <v>743690030581</v>
      </c>
      <c r="B3795" t="s">
        <v>4041</v>
      </c>
      <c r="C3795" t="s">
        <v>4042</v>
      </c>
      <c r="D3795" t="s">
        <v>4043</v>
      </c>
      <c r="E3795" t="s">
        <v>308</v>
      </c>
      <c r="F3795" t="s">
        <v>309</v>
      </c>
      <c r="G3795" t="s">
        <v>150</v>
      </c>
      <c r="H3795">
        <v>4</v>
      </c>
    </row>
    <row r="3796" spans="1:8" x14ac:dyDescent="0.35">
      <c r="A3796">
        <v>7451143860458</v>
      </c>
      <c r="B3796" t="s">
        <v>8</v>
      </c>
      <c r="C3796" t="s">
        <v>9</v>
      </c>
      <c r="D3796" t="s">
        <v>4044</v>
      </c>
      <c r="E3796" t="s">
        <v>11</v>
      </c>
      <c r="F3796" t="s">
        <v>4045</v>
      </c>
      <c r="G3796" t="s">
        <v>11</v>
      </c>
      <c r="H3796">
        <v>59</v>
      </c>
    </row>
    <row r="3797" spans="1:8" x14ac:dyDescent="0.35">
      <c r="A3797">
        <v>7571817687188</v>
      </c>
      <c r="B3797" t="s">
        <v>1016</v>
      </c>
      <c r="C3797" t="s">
        <v>38</v>
      </c>
      <c r="D3797" t="s">
        <v>14</v>
      </c>
      <c r="E3797" t="s">
        <v>15</v>
      </c>
      <c r="F3797" t="s">
        <v>14</v>
      </c>
      <c r="G3797" t="s">
        <v>41</v>
      </c>
      <c r="H3797">
        <v>1</v>
      </c>
    </row>
    <row r="3798" spans="1:8" x14ac:dyDescent="0.35">
      <c r="A3798">
        <v>7613031214839</v>
      </c>
      <c r="B3798" t="s">
        <v>1151</v>
      </c>
      <c r="C3798" t="s">
        <v>81</v>
      </c>
      <c r="D3798" t="s">
        <v>650</v>
      </c>
      <c r="E3798" t="s">
        <v>71</v>
      </c>
      <c r="F3798" t="s">
        <v>72</v>
      </c>
      <c r="G3798" t="s">
        <v>22</v>
      </c>
      <c r="H3798">
        <v>1</v>
      </c>
    </row>
    <row r="3799" spans="1:8" x14ac:dyDescent="0.35">
      <c r="A3799">
        <v>7613034302328</v>
      </c>
      <c r="B3799" t="s">
        <v>1151</v>
      </c>
      <c r="C3799" t="s">
        <v>9</v>
      </c>
      <c r="D3799" t="s">
        <v>650</v>
      </c>
      <c r="E3799" t="s">
        <v>71</v>
      </c>
      <c r="F3799" t="s">
        <v>72</v>
      </c>
      <c r="G3799" t="s">
        <v>22</v>
      </c>
      <c r="H3799">
        <v>1</v>
      </c>
    </row>
    <row r="3800" spans="1:8" x14ac:dyDescent="0.35">
      <c r="A3800">
        <v>7613037076622</v>
      </c>
      <c r="B3800" t="s">
        <v>1050</v>
      </c>
      <c r="C3800" t="s">
        <v>192</v>
      </c>
      <c r="D3800" t="s">
        <v>222</v>
      </c>
      <c r="E3800" t="s">
        <v>71</v>
      </c>
      <c r="F3800" t="s">
        <v>72</v>
      </c>
      <c r="G3800" t="s">
        <v>22</v>
      </c>
      <c r="H3800">
        <v>1</v>
      </c>
    </row>
    <row r="3801" spans="1:8" x14ac:dyDescent="0.35">
      <c r="A3801">
        <v>7613039869123</v>
      </c>
      <c r="B3801" t="s">
        <v>4046</v>
      </c>
      <c r="C3801" t="s">
        <v>568</v>
      </c>
      <c r="D3801" t="s">
        <v>70</v>
      </c>
      <c r="E3801" t="s">
        <v>71</v>
      </c>
      <c r="F3801" t="s">
        <v>72</v>
      </c>
      <c r="G3801" t="s">
        <v>22</v>
      </c>
      <c r="H3801">
        <v>1</v>
      </c>
    </row>
    <row r="3802" spans="1:8" x14ac:dyDescent="0.35">
      <c r="A3802">
        <v>7622010000790</v>
      </c>
      <c r="B3802" t="s">
        <v>4047</v>
      </c>
      <c r="C3802" t="s">
        <v>967</v>
      </c>
      <c r="D3802" t="s">
        <v>613</v>
      </c>
      <c r="E3802" t="s">
        <v>15</v>
      </c>
      <c r="F3802" t="s">
        <v>460</v>
      </c>
      <c r="G3802" t="s">
        <v>41</v>
      </c>
      <c r="H3802">
        <v>11</v>
      </c>
    </row>
    <row r="3803" spans="1:8" x14ac:dyDescent="0.35">
      <c r="A3803">
        <v>7622110481116</v>
      </c>
      <c r="B3803" t="s">
        <v>4048</v>
      </c>
      <c r="C3803" t="s">
        <v>4049</v>
      </c>
      <c r="D3803" t="s">
        <v>613</v>
      </c>
      <c r="E3803" t="s">
        <v>15</v>
      </c>
      <c r="F3803" t="s">
        <v>460</v>
      </c>
      <c r="G3803" t="s">
        <v>22</v>
      </c>
      <c r="H3803">
        <v>1</v>
      </c>
    </row>
    <row r="3804" spans="1:8" x14ac:dyDescent="0.35">
      <c r="A3804">
        <v>7622201701376</v>
      </c>
      <c r="B3804" t="s">
        <v>4050</v>
      </c>
      <c r="C3804" t="s">
        <v>559</v>
      </c>
      <c r="D3804" t="s">
        <v>4051</v>
      </c>
      <c r="E3804" t="s">
        <v>15</v>
      </c>
      <c r="F3804" t="s">
        <v>460</v>
      </c>
      <c r="G3804" t="s">
        <v>22</v>
      </c>
      <c r="H3804">
        <v>1</v>
      </c>
    </row>
    <row r="3805" spans="1:8" x14ac:dyDescent="0.35">
      <c r="A3805">
        <v>7622201746742</v>
      </c>
      <c r="B3805" t="s">
        <v>4052</v>
      </c>
      <c r="C3805" t="s">
        <v>4053</v>
      </c>
      <c r="D3805" t="s">
        <v>613</v>
      </c>
      <c r="E3805" t="s">
        <v>15</v>
      </c>
      <c r="F3805" t="s">
        <v>460</v>
      </c>
      <c r="G3805" t="s">
        <v>22</v>
      </c>
      <c r="H3805">
        <v>1</v>
      </c>
    </row>
    <row r="3806" spans="1:8" x14ac:dyDescent="0.35">
      <c r="A3806">
        <v>7622202224317</v>
      </c>
      <c r="B3806" t="s">
        <v>4054</v>
      </c>
      <c r="C3806" t="s">
        <v>4055</v>
      </c>
      <c r="D3806" t="s">
        <v>613</v>
      </c>
      <c r="E3806" t="s">
        <v>15</v>
      </c>
      <c r="F3806" t="s">
        <v>460</v>
      </c>
      <c r="G3806" t="s">
        <v>22</v>
      </c>
      <c r="H3806">
        <v>1</v>
      </c>
    </row>
    <row r="3807" spans="1:8" x14ac:dyDescent="0.35">
      <c r="A3807">
        <v>7622210644800</v>
      </c>
      <c r="B3807" t="s">
        <v>4056</v>
      </c>
      <c r="C3807" t="s">
        <v>4057</v>
      </c>
      <c r="D3807" t="s">
        <v>613</v>
      </c>
      <c r="E3807" t="s">
        <v>15</v>
      </c>
      <c r="F3807" t="s">
        <v>460</v>
      </c>
      <c r="G3807" t="s">
        <v>22</v>
      </c>
      <c r="H3807">
        <v>1</v>
      </c>
    </row>
    <row r="3808" spans="1:8" x14ac:dyDescent="0.35">
      <c r="A3808">
        <v>7622210882974</v>
      </c>
      <c r="B3808" t="s">
        <v>1235</v>
      </c>
      <c r="C3808" t="s">
        <v>565</v>
      </c>
      <c r="D3808" t="s">
        <v>613</v>
      </c>
      <c r="E3808" t="s">
        <v>15</v>
      </c>
      <c r="F3808" t="s">
        <v>460</v>
      </c>
      <c r="G3808" t="s">
        <v>22</v>
      </c>
      <c r="H3808">
        <v>1</v>
      </c>
    </row>
    <row r="3809" spans="1:8" x14ac:dyDescent="0.35">
      <c r="A3809">
        <v>7622300743703</v>
      </c>
      <c r="B3809" t="s">
        <v>4058</v>
      </c>
      <c r="C3809" t="s">
        <v>1258</v>
      </c>
      <c r="D3809" t="s">
        <v>613</v>
      </c>
      <c r="E3809" t="s">
        <v>15</v>
      </c>
      <c r="F3809" t="s">
        <v>460</v>
      </c>
      <c r="G3809" t="s">
        <v>22</v>
      </c>
      <c r="H3809">
        <v>1</v>
      </c>
    </row>
    <row r="3810" spans="1:8" x14ac:dyDescent="0.35">
      <c r="A3810">
        <v>7702090022711</v>
      </c>
      <c r="B3810" t="s">
        <v>4059</v>
      </c>
      <c r="C3810" t="s">
        <v>114</v>
      </c>
      <c r="D3810" t="s">
        <v>4060</v>
      </c>
      <c r="E3810" t="s">
        <v>780</v>
      </c>
      <c r="F3810" t="s">
        <v>4061</v>
      </c>
      <c r="G3810" t="s">
        <v>780</v>
      </c>
      <c r="H3810">
        <v>7</v>
      </c>
    </row>
    <row r="3811" spans="1:8" x14ac:dyDescent="0.35">
      <c r="A3811">
        <v>7702090069761</v>
      </c>
      <c r="B3811" t="s">
        <v>4059</v>
      </c>
      <c r="C3811" t="s">
        <v>81</v>
      </c>
      <c r="D3811" t="s">
        <v>4060</v>
      </c>
      <c r="E3811" t="s">
        <v>780</v>
      </c>
      <c r="F3811" t="s">
        <v>4061</v>
      </c>
      <c r="G3811" t="s">
        <v>780</v>
      </c>
      <c r="H3811">
        <v>1</v>
      </c>
    </row>
    <row r="3812" spans="1:8" x14ac:dyDescent="0.35">
      <c r="A3812">
        <v>7702090073065</v>
      </c>
      <c r="B3812" t="s">
        <v>4059</v>
      </c>
      <c r="C3812" t="s">
        <v>38</v>
      </c>
      <c r="D3812" t="s">
        <v>4060</v>
      </c>
      <c r="E3812" t="s">
        <v>780</v>
      </c>
      <c r="F3812" t="s">
        <v>4061</v>
      </c>
      <c r="G3812" t="s">
        <v>780</v>
      </c>
      <c r="H3812">
        <v>1</v>
      </c>
    </row>
    <row r="3813" spans="1:8" x14ac:dyDescent="0.35">
      <c r="A3813">
        <v>7702192224051</v>
      </c>
      <c r="B3813" t="s">
        <v>4062</v>
      </c>
      <c r="C3813" t="s">
        <v>368</v>
      </c>
      <c r="D3813" t="s">
        <v>55</v>
      </c>
      <c r="E3813" t="s">
        <v>15</v>
      </c>
      <c r="F3813" t="s">
        <v>56</v>
      </c>
      <c r="G3813" t="s">
        <v>780</v>
      </c>
      <c r="H3813">
        <v>1</v>
      </c>
    </row>
    <row r="3814" spans="1:8" x14ac:dyDescent="0.35">
      <c r="A3814">
        <v>7702192422051</v>
      </c>
      <c r="B3814" t="s">
        <v>4063</v>
      </c>
      <c r="C3814" t="s">
        <v>9</v>
      </c>
      <c r="D3814" t="s">
        <v>55</v>
      </c>
      <c r="E3814" t="s">
        <v>15</v>
      </c>
      <c r="F3814" t="s">
        <v>56</v>
      </c>
      <c r="G3814" t="s">
        <v>780</v>
      </c>
      <c r="H3814">
        <v>1</v>
      </c>
    </row>
    <row r="3815" spans="1:8" x14ac:dyDescent="0.35">
      <c r="A3815">
        <v>7702535009994</v>
      </c>
      <c r="B3815" t="s">
        <v>4064</v>
      </c>
      <c r="C3815" t="s">
        <v>9</v>
      </c>
      <c r="D3815" t="s">
        <v>707</v>
      </c>
      <c r="E3815" t="s">
        <v>15</v>
      </c>
      <c r="F3815" t="s">
        <v>14</v>
      </c>
      <c r="G3815" t="s">
        <v>780</v>
      </c>
      <c r="H3815">
        <v>3</v>
      </c>
    </row>
    <row r="3816" spans="1:8" x14ac:dyDescent="0.35">
      <c r="A3816">
        <v>7702535011089</v>
      </c>
      <c r="B3816" t="s">
        <v>4065</v>
      </c>
      <c r="C3816" t="s">
        <v>83</v>
      </c>
      <c r="D3816" t="s">
        <v>14</v>
      </c>
      <c r="E3816" t="s">
        <v>15</v>
      </c>
      <c r="F3816" t="s">
        <v>14</v>
      </c>
      <c r="G3816" t="s">
        <v>780</v>
      </c>
      <c r="H3816">
        <v>2</v>
      </c>
    </row>
    <row r="3817" spans="1:8" x14ac:dyDescent="0.35">
      <c r="A3817">
        <v>7702535024423</v>
      </c>
      <c r="B3817" t="s">
        <v>4066</v>
      </c>
      <c r="C3817" t="s">
        <v>4067</v>
      </c>
      <c r="D3817" t="s">
        <v>14</v>
      </c>
      <c r="E3817" t="s">
        <v>15</v>
      </c>
      <c r="F3817" t="s">
        <v>14</v>
      </c>
      <c r="G3817" t="s">
        <v>780</v>
      </c>
      <c r="H3817">
        <v>1</v>
      </c>
    </row>
    <row r="3818" spans="1:8" x14ac:dyDescent="0.35">
      <c r="A3818">
        <v>7702609005372</v>
      </c>
      <c r="B3818" t="s">
        <v>461</v>
      </c>
      <c r="C3818" t="s">
        <v>114</v>
      </c>
      <c r="D3818" t="s">
        <v>4068</v>
      </c>
      <c r="E3818" t="s">
        <v>15</v>
      </c>
      <c r="F3818" t="s">
        <v>14</v>
      </c>
      <c r="G3818" t="s">
        <v>780</v>
      </c>
      <c r="H3818">
        <v>1</v>
      </c>
    </row>
    <row r="3819" spans="1:8" x14ac:dyDescent="0.35">
      <c r="A3819">
        <v>776103000222</v>
      </c>
      <c r="B3819" t="s">
        <v>127</v>
      </c>
      <c r="C3819" t="s">
        <v>66</v>
      </c>
      <c r="D3819" t="s">
        <v>330</v>
      </c>
      <c r="E3819" t="s">
        <v>22</v>
      </c>
      <c r="F3819" t="s">
        <v>328</v>
      </c>
      <c r="G3819" t="s">
        <v>16</v>
      </c>
      <c r="H3819">
        <v>4</v>
      </c>
    </row>
    <row r="3820" spans="1:8" x14ac:dyDescent="0.35">
      <c r="A3820">
        <v>776103000239</v>
      </c>
      <c r="B3820" t="s">
        <v>127</v>
      </c>
      <c r="C3820" t="s">
        <v>36</v>
      </c>
      <c r="D3820" t="s">
        <v>330</v>
      </c>
      <c r="E3820" t="s">
        <v>22</v>
      </c>
      <c r="F3820" t="s">
        <v>328</v>
      </c>
      <c r="G3820" t="s">
        <v>16</v>
      </c>
      <c r="H3820">
        <v>8</v>
      </c>
    </row>
    <row r="3821" spans="1:8" x14ac:dyDescent="0.35">
      <c r="A3821">
        <v>776103000246</v>
      </c>
      <c r="B3821" t="s">
        <v>127</v>
      </c>
      <c r="C3821" t="s">
        <v>128</v>
      </c>
      <c r="D3821" t="s">
        <v>330</v>
      </c>
      <c r="E3821" t="s">
        <v>22</v>
      </c>
      <c r="F3821" t="s">
        <v>328</v>
      </c>
      <c r="G3821" t="s">
        <v>16</v>
      </c>
      <c r="H3821">
        <v>14</v>
      </c>
    </row>
    <row r="3822" spans="1:8" x14ac:dyDescent="0.35">
      <c r="A3822">
        <v>77661258</v>
      </c>
      <c r="B3822" t="s">
        <v>4069</v>
      </c>
      <c r="C3822" t="s">
        <v>110</v>
      </c>
      <c r="D3822" t="s">
        <v>420</v>
      </c>
      <c r="E3822" t="s">
        <v>61</v>
      </c>
      <c r="F3822" t="s">
        <v>421</v>
      </c>
      <c r="G3822" t="s">
        <v>61</v>
      </c>
      <c r="H3822">
        <v>1</v>
      </c>
    </row>
    <row r="3823" spans="1:8" x14ac:dyDescent="0.35">
      <c r="A3823">
        <v>7791918071055</v>
      </c>
      <c r="B3823" t="s">
        <v>4070</v>
      </c>
      <c r="C3823" t="s">
        <v>603</v>
      </c>
      <c r="D3823" t="s">
        <v>379</v>
      </c>
      <c r="E3823" t="s">
        <v>117</v>
      </c>
      <c r="F3823" t="s">
        <v>377</v>
      </c>
      <c r="G3823" t="s">
        <v>117</v>
      </c>
      <c r="H3823">
        <v>1</v>
      </c>
    </row>
    <row r="3824" spans="1:8" x14ac:dyDescent="0.35">
      <c r="A3824">
        <v>7798065730033</v>
      </c>
      <c r="B3824" t="s">
        <v>4071</v>
      </c>
      <c r="C3824" t="s">
        <v>78</v>
      </c>
      <c r="D3824" t="s">
        <v>4072</v>
      </c>
      <c r="E3824" t="s">
        <v>4073</v>
      </c>
      <c r="F3824" t="s">
        <v>4074</v>
      </c>
      <c r="G3824" t="s">
        <v>61</v>
      </c>
      <c r="H3824">
        <v>1</v>
      </c>
    </row>
    <row r="3825" spans="1:8" x14ac:dyDescent="0.35">
      <c r="A3825">
        <v>7798065730033</v>
      </c>
      <c r="B3825" t="s">
        <v>4071</v>
      </c>
      <c r="C3825" t="s">
        <v>78</v>
      </c>
      <c r="D3825" t="s">
        <v>4072</v>
      </c>
      <c r="E3825" t="s">
        <v>4073</v>
      </c>
      <c r="F3825" t="s">
        <v>4074</v>
      </c>
      <c r="G3825" t="s">
        <v>31</v>
      </c>
      <c r="H3825">
        <v>5</v>
      </c>
    </row>
    <row r="3826" spans="1:8" x14ac:dyDescent="0.35">
      <c r="A3826">
        <v>7801620006891</v>
      </c>
      <c r="B3826" t="s">
        <v>276</v>
      </c>
      <c r="C3826" t="s">
        <v>1296</v>
      </c>
      <c r="D3826" t="s">
        <v>273</v>
      </c>
      <c r="E3826" t="s">
        <v>15</v>
      </c>
      <c r="F3826" t="s">
        <v>56</v>
      </c>
      <c r="G3826" t="s">
        <v>4075</v>
      </c>
      <c r="H3826">
        <v>1</v>
      </c>
    </row>
    <row r="3827" spans="1:8" x14ac:dyDescent="0.35">
      <c r="A3827">
        <v>781159624551</v>
      </c>
      <c r="B3827" t="s">
        <v>4076</v>
      </c>
      <c r="C3827" t="s">
        <v>9</v>
      </c>
      <c r="D3827" t="s">
        <v>698</v>
      </c>
      <c r="E3827" t="s">
        <v>34</v>
      </c>
      <c r="F3827" t="s">
        <v>699</v>
      </c>
      <c r="G3827" t="s">
        <v>34</v>
      </c>
      <c r="H3827">
        <v>91</v>
      </c>
    </row>
    <row r="3828" spans="1:8" x14ac:dyDescent="0.35">
      <c r="A3828">
        <v>781159624551</v>
      </c>
      <c r="B3828" t="s">
        <v>4076</v>
      </c>
      <c r="C3828" t="s">
        <v>9</v>
      </c>
      <c r="D3828" t="s">
        <v>698</v>
      </c>
      <c r="E3828" t="s">
        <v>34</v>
      </c>
      <c r="F3828" t="s">
        <v>699</v>
      </c>
      <c r="G3828" t="s">
        <v>150</v>
      </c>
      <c r="H3828">
        <v>1</v>
      </c>
    </row>
    <row r="3829" spans="1:8" x14ac:dyDescent="0.35">
      <c r="A3829">
        <v>7811596245514</v>
      </c>
      <c r="B3829" t="s">
        <v>4077</v>
      </c>
      <c r="C3829" t="s">
        <v>9</v>
      </c>
      <c r="D3829" t="s">
        <v>698</v>
      </c>
      <c r="E3829" t="s">
        <v>34</v>
      </c>
      <c r="F3829" t="s">
        <v>699</v>
      </c>
      <c r="G3829" t="s">
        <v>34</v>
      </c>
      <c r="H3829">
        <v>62</v>
      </c>
    </row>
    <row r="3830" spans="1:8" x14ac:dyDescent="0.35">
      <c r="A3830">
        <v>781159624582</v>
      </c>
      <c r="B3830" t="s">
        <v>4078</v>
      </c>
      <c r="C3830" t="s">
        <v>9</v>
      </c>
      <c r="D3830" t="s">
        <v>698</v>
      </c>
      <c r="E3830" t="s">
        <v>34</v>
      </c>
      <c r="F3830" t="s">
        <v>699</v>
      </c>
      <c r="G3830" t="s">
        <v>34</v>
      </c>
      <c r="H3830">
        <v>6</v>
      </c>
    </row>
    <row r="3831" spans="1:8" x14ac:dyDescent="0.35">
      <c r="A3831">
        <v>781159921117</v>
      </c>
      <c r="B3831" t="s">
        <v>4079</v>
      </c>
      <c r="C3831" t="s">
        <v>9</v>
      </c>
      <c r="D3831" t="s">
        <v>698</v>
      </c>
      <c r="E3831" t="s">
        <v>34</v>
      </c>
      <c r="F3831" t="s">
        <v>699</v>
      </c>
      <c r="G3831" t="s">
        <v>34</v>
      </c>
      <c r="H3831">
        <v>188</v>
      </c>
    </row>
    <row r="3832" spans="1:8" x14ac:dyDescent="0.35">
      <c r="A3832">
        <v>7811599211172</v>
      </c>
      <c r="B3832" t="s">
        <v>2553</v>
      </c>
      <c r="C3832" t="s">
        <v>9</v>
      </c>
      <c r="D3832" t="s">
        <v>698</v>
      </c>
      <c r="E3832" t="s">
        <v>34</v>
      </c>
      <c r="F3832" t="s">
        <v>699</v>
      </c>
      <c r="G3832" t="s">
        <v>34</v>
      </c>
      <c r="H3832">
        <v>1</v>
      </c>
    </row>
    <row r="3833" spans="1:8" x14ac:dyDescent="0.35">
      <c r="A3833">
        <v>781159921124</v>
      </c>
      <c r="B3833" t="s">
        <v>4080</v>
      </c>
      <c r="C3833" t="s">
        <v>9</v>
      </c>
      <c r="D3833" t="s">
        <v>698</v>
      </c>
      <c r="E3833" t="s">
        <v>34</v>
      </c>
      <c r="F3833" t="s">
        <v>699</v>
      </c>
      <c r="G3833" t="s">
        <v>34</v>
      </c>
      <c r="H3833">
        <v>71</v>
      </c>
    </row>
    <row r="3834" spans="1:8" x14ac:dyDescent="0.35">
      <c r="A3834">
        <v>781159921148</v>
      </c>
      <c r="B3834" t="s">
        <v>1895</v>
      </c>
      <c r="C3834" t="s">
        <v>9</v>
      </c>
      <c r="D3834" t="s">
        <v>698</v>
      </c>
      <c r="E3834" t="s">
        <v>34</v>
      </c>
      <c r="F3834" t="s">
        <v>699</v>
      </c>
      <c r="G3834" t="s">
        <v>34</v>
      </c>
      <c r="H3834">
        <v>275</v>
      </c>
    </row>
    <row r="3835" spans="1:8" x14ac:dyDescent="0.35">
      <c r="A3835">
        <v>7811599211554</v>
      </c>
      <c r="B3835" t="s">
        <v>1851</v>
      </c>
      <c r="C3835" t="s">
        <v>9</v>
      </c>
      <c r="D3835" t="s">
        <v>698</v>
      </c>
      <c r="E3835" t="s">
        <v>34</v>
      </c>
      <c r="F3835" t="s">
        <v>699</v>
      </c>
      <c r="G3835" t="s">
        <v>34</v>
      </c>
      <c r="H3835">
        <v>90</v>
      </c>
    </row>
    <row r="3836" spans="1:8" x14ac:dyDescent="0.35">
      <c r="A3836">
        <v>781159921162</v>
      </c>
      <c r="B3836" t="s">
        <v>4081</v>
      </c>
      <c r="C3836" t="s">
        <v>9</v>
      </c>
      <c r="D3836" t="s">
        <v>698</v>
      </c>
      <c r="E3836" t="s">
        <v>34</v>
      </c>
      <c r="F3836" t="s">
        <v>699</v>
      </c>
      <c r="G3836" t="s">
        <v>34</v>
      </c>
      <c r="H3836">
        <v>29</v>
      </c>
    </row>
    <row r="3837" spans="1:8" x14ac:dyDescent="0.35">
      <c r="A3837">
        <v>781159921186</v>
      </c>
      <c r="B3837" t="s">
        <v>295</v>
      </c>
      <c r="C3837" t="s">
        <v>9</v>
      </c>
      <c r="D3837" t="s">
        <v>698</v>
      </c>
      <c r="E3837" t="s">
        <v>34</v>
      </c>
      <c r="F3837" t="s">
        <v>699</v>
      </c>
      <c r="G3837" t="s">
        <v>34</v>
      </c>
      <c r="H3837">
        <v>19</v>
      </c>
    </row>
    <row r="3838" spans="1:8" x14ac:dyDescent="0.35">
      <c r="A3838">
        <v>7811599214487</v>
      </c>
      <c r="B3838" t="s">
        <v>2818</v>
      </c>
      <c r="C3838" t="s">
        <v>9</v>
      </c>
      <c r="D3838" t="s">
        <v>698</v>
      </c>
      <c r="E3838" t="s">
        <v>34</v>
      </c>
      <c r="F3838" t="s">
        <v>699</v>
      </c>
      <c r="G3838" t="s">
        <v>34</v>
      </c>
      <c r="H3838">
        <v>55</v>
      </c>
    </row>
    <row r="3839" spans="1:8" x14ac:dyDescent="0.35">
      <c r="A3839">
        <v>78461000</v>
      </c>
      <c r="B3839" t="s">
        <v>4069</v>
      </c>
      <c r="C3839" t="s">
        <v>9</v>
      </c>
      <c r="D3839" t="s">
        <v>420</v>
      </c>
      <c r="E3839" t="s">
        <v>61</v>
      </c>
      <c r="F3839" t="s">
        <v>421</v>
      </c>
      <c r="G3839" t="s">
        <v>61</v>
      </c>
      <c r="H3839">
        <v>1</v>
      </c>
    </row>
    <row r="3840" spans="1:8" x14ac:dyDescent="0.35">
      <c r="A3840">
        <v>7850893200116</v>
      </c>
      <c r="B3840" t="s">
        <v>4082</v>
      </c>
      <c r="C3840" t="s">
        <v>110</v>
      </c>
      <c r="D3840" t="s">
        <v>4083</v>
      </c>
      <c r="E3840" t="s">
        <v>117</v>
      </c>
      <c r="F3840" t="s">
        <v>2405</v>
      </c>
      <c r="G3840" t="s">
        <v>117</v>
      </c>
      <c r="H3840">
        <v>1</v>
      </c>
    </row>
    <row r="3841" spans="1:8" x14ac:dyDescent="0.35">
      <c r="A3841">
        <v>7850893200239</v>
      </c>
      <c r="B3841" t="s">
        <v>4084</v>
      </c>
      <c r="C3841" t="s">
        <v>272</v>
      </c>
      <c r="D3841" t="s">
        <v>4085</v>
      </c>
      <c r="E3841" t="s">
        <v>117</v>
      </c>
      <c r="F3841" t="s">
        <v>2405</v>
      </c>
      <c r="G3841" t="s">
        <v>117</v>
      </c>
      <c r="H3841">
        <v>1</v>
      </c>
    </row>
    <row r="3842" spans="1:8" x14ac:dyDescent="0.35">
      <c r="A3842">
        <v>7850893200246</v>
      </c>
      <c r="B3842" t="s">
        <v>2643</v>
      </c>
      <c r="C3842" t="s">
        <v>1118</v>
      </c>
      <c r="D3842" t="s">
        <v>4086</v>
      </c>
      <c r="E3842" t="s">
        <v>117</v>
      </c>
      <c r="F3842" t="s">
        <v>2405</v>
      </c>
      <c r="G3842" t="s">
        <v>117</v>
      </c>
      <c r="H3842">
        <v>4</v>
      </c>
    </row>
    <row r="3843" spans="1:8" x14ac:dyDescent="0.35">
      <c r="A3843">
        <v>7850893200611</v>
      </c>
      <c r="B3843" t="s">
        <v>510</v>
      </c>
      <c r="C3843" t="s">
        <v>1184</v>
      </c>
      <c r="D3843" t="s">
        <v>2404</v>
      </c>
      <c r="E3843" t="s">
        <v>117</v>
      </c>
      <c r="F3843" t="s">
        <v>2405</v>
      </c>
      <c r="G3843" t="s">
        <v>117</v>
      </c>
      <c r="H3843">
        <v>5</v>
      </c>
    </row>
    <row r="3844" spans="1:8" x14ac:dyDescent="0.35">
      <c r="A3844">
        <v>7850893200628</v>
      </c>
      <c r="B3844" t="s">
        <v>510</v>
      </c>
      <c r="C3844" t="s">
        <v>2008</v>
      </c>
      <c r="D3844" t="s">
        <v>2404</v>
      </c>
      <c r="E3844" t="s">
        <v>117</v>
      </c>
      <c r="F3844" t="s">
        <v>2405</v>
      </c>
      <c r="G3844" t="s">
        <v>117</v>
      </c>
      <c r="H3844">
        <v>9</v>
      </c>
    </row>
    <row r="3845" spans="1:8" x14ac:dyDescent="0.35">
      <c r="A3845">
        <v>786162650115</v>
      </c>
      <c r="B3845" t="s">
        <v>4087</v>
      </c>
      <c r="C3845" t="s">
        <v>53</v>
      </c>
      <c r="D3845" t="s">
        <v>917</v>
      </c>
      <c r="E3845" t="s">
        <v>15</v>
      </c>
      <c r="F3845" t="s">
        <v>14</v>
      </c>
      <c r="G3845" t="s">
        <v>16</v>
      </c>
      <c r="H3845">
        <v>5</v>
      </c>
    </row>
    <row r="3846" spans="1:8" x14ac:dyDescent="0.35">
      <c r="A3846">
        <v>786162650139</v>
      </c>
      <c r="B3846" t="s">
        <v>4088</v>
      </c>
      <c r="C3846" t="s">
        <v>53</v>
      </c>
      <c r="D3846" t="s">
        <v>917</v>
      </c>
      <c r="E3846" t="s">
        <v>15</v>
      </c>
      <c r="F3846" t="s">
        <v>14</v>
      </c>
      <c r="G3846" t="s">
        <v>16</v>
      </c>
      <c r="H3846">
        <v>1</v>
      </c>
    </row>
    <row r="3847" spans="1:8" x14ac:dyDescent="0.35">
      <c r="A3847">
        <v>786162650139</v>
      </c>
      <c r="B3847" t="s">
        <v>4088</v>
      </c>
      <c r="C3847" t="s">
        <v>53</v>
      </c>
      <c r="D3847" t="s">
        <v>917</v>
      </c>
      <c r="E3847" t="s">
        <v>15</v>
      </c>
      <c r="F3847" t="s">
        <v>14</v>
      </c>
      <c r="G3847" t="s">
        <v>33</v>
      </c>
      <c r="H3847">
        <v>9</v>
      </c>
    </row>
    <row r="3848" spans="1:8" x14ac:dyDescent="0.35">
      <c r="A3848">
        <v>786162650351</v>
      </c>
      <c r="B3848" t="s">
        <v>4089</v>
      </c>
      <c r="C3848" t="s">
        <v>53</v>
      </c>
      <c r="D3848" t="s">
        <v>914</v>
      </c>
      <c r="E3848" t="s">
        <v>15</v>
      </c>
      <c r="F3848" t="s">
        <v>14</v>
      </c>
      <c r="G3848" t="s">
        <v>16</v>
      </c>
      <c r="H3848">
        <v>12</v>
      </c>
    </row>
    <row r="3849" spans="1:8" x14ac:dyDescent="0.35">
      <c r="A3849">
        <v>786162651525</v>
      </c>
      <c r="B3849" t="s">
        <v>4090</v>
      </c>
      <c r="C3849" t="s">
        <v>110</v>
      </c>
      <c r="D3849" t="s">
        <v>914</v>
      </c>
      <c r="E3849" t="s">
        <v>15</v>
      </c>
      <c r="F3849" t="s">
        <v>14</v>
      </c>
      <c r="G3849" t="s">
        <v>16</v>
      </c>
      <c r="H3849">
        <v>3</v>
      </c>
    </row>
    <row r="3850" spans="1:8" x14ac:dyDescent="0.35">
      <c r="A3850">
        <v>7872696303450</v>
      </c>
      <c r="B3850" t="s">
        <v>446</v>
      </c>
      <c r="C3850" t="s">
        <v>825</v>
      </c>
      <c r="D3850" t="s">
        <v>4091</v>
      </c>
      <c r="E3850" t="s">
        <v>117</v>
      </c>
      <c r="F3850" t="s">
        <v>2880</v>
      </c>
      <c r="G3850" t="s">
        <v>117</v>
      </c>
      <c r="H3850">
        <v>2</v>
      </c>
    </row>
    <row r="3851" spans="1:8" x14ac:dyDescent="0.35">
      <c r="A3851">
        <v>7891024027622</v>
      </c>
      <c r="B3851" t="s">
        <v>4092</v>
      </c>
      <c r="C3851" t="s">
        <v>9</v>
      </c>
      <c r="D3851" t="s">
        <v>2107</v>
      </c>
      <c r="E3851" t="s">
        <v>15</v>
      </c>
      <c r="F3851" t="s">
        <v>2108</v>
      </c>
      <c r="G3851" t="s">
        <v>4093</v>
      </c>
      <c r="H3851">
        <v>1</v>
      </c>
    </row>
    <row r="3852" spans="1:8" x14ac:dyDescent="0.35">
      <c r="A3852">
        <v>7891962000725</v>
      </c>
      <c r="B3852" t="s">
        <v>4094</v>
      </c>
      <c r="C3852" t="s">
        <v>454</v>
      </c>
      <c r="D3852" t="s">
        <v>4095</v>
      </c>
      <c r="E3852" t="s">
        <v>308</v>
      </c>
      <c r="F3852" t="s">
        <v>309</v>
      </c>
      <c r="G3852" t="s">
        <v>34</v>
      </c>
      <c r="H3852">
        <v>1</v>
      </c>
    </row>
    <row r="3853" spans="1:8" x14ac:dyDescent="0.35">
      <c r="A3853">
        <v>7891962058399</v>
      </c>
      <c r="B3853" t="s">
        <v>4096</v>
      </c>
      <c r="C3853" t="s">
        <v>1680</v>
      </c>
      <c r="D3853" t="s">
        <v>4095</v>
      </c>
      <c r="E3853" t="s">
        <v>308</v>
      </c>
      <c r="F3853" t="s">
        <v>309</v>
      </c>
      <c r="G3853" t="s">
        <v>34</v>
      </c>
      <c r="H3853">
        <v>1</v>
      </c>
    </row>
    <row r="3854" spans="1:8" x14ac:dyDescent="0.35">
      <c r="A3854">
        <v>7893000050785</v>
      </c>
      <c r="B3854" t="s">
        <v>4097</v>
      </c>
      <c r="C3854" t="s">
        <v>102</v>
      </c>
      <c r="D3854" t="s">
        <v>4098</v>
      </c>
      <c r="E3854" t="s">
        <v>4093</v>
      </c>
      <c r="F3854" t="s">
        <v>4099</v>
      </c>
      <c r="G3854" t="s">
        <v>41</v>
      </c>
      <c r="H3854">
        <v>40</v>
      </c>
    </row>
    <row r="3855" spans="1:8" x14ac:dyDescent="0.35">
      <c r="A3855">
        <v>7894904038305</v>
      </c>
      <c r="B3855" t="s">
        <v>4100</v>
      </c>
      <c r="C3855" t="s">
        <v>1491</v>
      </c>
      <c r="D3855" t="s">
        <v>4101</v>
      </c>
      <c r="E3855" t="s">
        <v>4093</v>
      </c>
      <c r="F3855" t="s">
        <v>4102</v>
      </c>
      <c r="G3855" t="s">
        <v>41</v>
      </c>
      <c r="H3855">
        <v>50</v>
      </c>
    </row>
    <row r="3856" spans="1:8" x14ac:dyDescent="0.35">
      <c r="A3856">
        <v>7896062800237</v>
      </c>
      <c r="B3856" t="s">
        <v>1999</v>
      </c>
      <c r="C3856" t="s">
        <v>4103</v>
      </c>
      <c r="D3856" t="s">
        <v>70</v>
      </c>
      <c r="E3856" t="s">
        <v>71</v>
      </c>
      <c r="F3856" t="s">
        <v>72</v>
      </c>
      <c r="G3856" t="s">
        <v>4093</v>
      </c>
      <c r="H3856">
        <v>1</v>
      </c>
    </row>
    <row r="3857" spans="1:8" x14ac:dyDescent="0.35">
      <c r="A3857">
        <v>7896279119498</v>
      </c>
      <c r="B3857" t="s">
        <v>4104</v>
      </c>
      <c r="C3857" t="s">
        <v>385</v>
      </c>
      <c r="D3857" t="s">
        <v>4105</v>
      </c>
      <c r="E3857" t="s">
        <v>4093</v>
      </c>
      <c r="F3857" t="s">
        <v>4106</v>
      </c>
      <c r="G3857" t="s">
        <v>34</v>
      </c>
      <c r="H3857">
        <v>51</v>
      </c>
    </row>
    <row r="3858" spans="1:8" x14ac:dyDescent="0.35">
      <c r="A3858">
        <v>7896931614323</v>
      </c>
      <c r="B3858" t="s">
        <v>4107</v>
      </c>
      <c r="C3858" t="s">
        <v>4108</v>
      </c>
      <c r="D3858" t="s">
        <v>4109</v>
      </c>
      <c r="E3858" t="s">
        <v>4093</v>
      </c>
      <c r="F3858" t="s">
        <v>4110</v>
      </c>
      <c r="G3858" t="s">
        <v>4093</v>
      </c>
      <c r="H3858">
        <v>1</v>
      </c>
    </row>
    <row r="3859" spans="1:8" x14ac:dyDescent="0.35">
      <c r="A3859">
        <v>7898199082548</v>
      </c>
      <c r="B3859" t="s">
        <v>4111</v>
      </c>
      <c r="C3859" t="s">
        <v>4112</v>
      </c>
      <c r="D3859" t="s">
        <v>4113</v>
      </c>
      <c r="E3859" t="s">
        <v>308</v>
      </c>
      <c r="F3859" t="s">
        <v>309</v>
      </c>
      <c r="G3859" t="s">
        <v>61</v>
      </c>
      <c r="H3859">
        <v>1</v>
      </c>
    </row>
    <row r="3860" spans="1:8" x14ac:dyDescent="0.35">
      <c r="A3860">
        <v>7898917052129</v>
      </c>
      <c r="B3860" t="s">
        <v>4114</v>
      </c>
      <c r="C3860" t="s">
        <v>1184</v>
      </c>
      <c r="D3860" t="s">
        <v>4115</v>
      </c>
      <c r="E3860" t="s">
        <v>308</v>
      </c>
      <c r="F3860" t="s">
        <v>309</v>
      </c>
      <c r="G3860" t="s">
        <v>61</v>
      </c>
      <c r="H3860">
        <v>2</v>
      </c>
    </row>
    <row r="3861" spans="1:8" x14ac:dyDescent="0.35">
      <c r="A3861">
        <v>7912774409312</v>
      </c>
      <c r="B3861" t="s">
        <v>778</v>
      </c>
      <c r="C3861" t="s">
        <v>472</v>
      </c>
      <c r="D3861" t="s">
        <v>2356</v>
      </c>
      <c r="E3861" t="s">
        <v>34</v>
      </c>
      <c r="F3861" t="s">
        <v>2357</v>
      </c>
      <c r="G3861" t="s">
        <v>34</v>
      </c>
      <c r="H3861">
        <v>1</v>
      </c>
    </row>
    <row r="3862" spans="1:8" x14ac:dyDescent="0.35">
      <c r="A3862">
        <v>7994390540594</v>
      </c>
      <c r="B3862" t="s">
        <v>589</v>
      </c>
      <c r="C3862" t="s">
        <v>9</v>
      </c>
      <c r="D3862" t="s">
        <v>2448</v>
      </c>
      <c r="E3862" t="s">
        <v>15</v>
      </c>
      <c r="F3862" t="s">
        <v>2449</v>
      </c>
      <c r="G3862" t="s">
        <v>34</v>
      </c>
      <c r="H3862">
        <v>1223</v>
      </c>
    </row>
    <row r="3863" spans="1:8" x14ac:dyDescent="0.35">
      <c r="A3863">
        <v>799439793897</v>
      </c>
      <c r="B3863" t="s">
        <v>975</v>
      </c>
      <c r="C3863" t="s">
        <v>472</v>
      </c>
      <c r="D3863" t="s">
        <v>594</v>
      </c>
      <c r="E3863" t="s">
        <v>33</v>
      </c>
      <c r="F3863" t="s">
        <v>595</v>
      </c>
      <c r="G3863" t="s">
        <v>33</v>
      </c>
      <c r="H3863">
        <v>16</v>
      </c>
    </row>
    <row r="3864" spans="1:8" x14ac:dyDescent="0.35">
      <c r="A3864">
        <v>8001068808395</v>
      </c>
      <c r="B3864" t="s">
        <v>4116</v>
      </c>
      <c r="C3864" t="s">
        <v>110</v>
      </c>
      <c r="D3864" t="s">
        <v>1136</v>
      </c>
      <c r="E3864" t="s">
        <v>73</v>
      </c>
      <c r="F3864" t="s">
        <v>1137</v>
      </c>
      <c r="G3864" t="s">
        <v>34</v>
      </c>
      <c r="H3864">
        <v>1</v>
      </c>
    </row>
    <row r="3865" spans="1:8" x14ac:dyDescent="0.35">
      <c r="A3865">
        <v>8001090596451</v>
      </c>
      <c r="B3865" t="s">
        <v>4117</v>
      </c>
      <c r="C3865" t="s">
        <v>1341</v>
      </c>
      <c r="D3865" t="s">
        <v>4118</v>
      </c>
      <c r="E3865" t="s">
        <v>15</v>
      </c>
      <c r="F3865" t="s">
        <v>1079</v>
      </c>
      <c r="G3865" t="s">
        <v>11</v>
      </c>
      <c r="H3865">
        <v>26</v>
      </c>
    </row>
    <row r="3866" spans="1:8" x14ac:dyDescent="0.35">
      <c r="A3866">
        <v>8001090596550</v>
      </c>
      <c r="B3866" t="s">
        <v>4119</v>
      </c>
      <c r="C3866" t="s">
        <v>81</v>
      </c>
      <c r="D3866" t="s">
        <v>4118</v>
      </c>
      <c r="E3866" t="s">
        <v>15</v>
      </c>
      <c r="F3866" t="s">
        <v>1079</v>
      </c>
      <c r="G3866" t="s">
        <v>11</v>
      </c>
      <c r="H3866">
        <v>19</v>
      </c>
    </row>
    <row r="3867" spans="1:8" x14ac:dyDescent="0.35">
      <c r="A3867">
        <v>8001090648235</v>
      </c>
      <c r="B3867" t="s">
        <v>4120</v>
      </c>
      <c r="C3867" t="s">
        <v>4121</v>
      </c>
      <c r="D3867" t="s">
        <v>4118</v>
      </c>
      <c r="E3867" t="s">
        <v>15</v>
      </c>
      <c r="F3867" t="s">
        <v>1079</v>
      </c>
      <c r="G3867" t="s">
        <v>11</v>
      </c>
      <c r="H3867">
        <v>20</v>
      </c>
    </row>
    <row r="3868" spans="1:8" x14ac:dyDescent="0.35">
      <c r="A3868">
        <v>8001090718792</v>
      </c>
      <c r="B3868" t="s">
        <v>4122</v>
      </c>
      <c r="C3868" t="s">
        <v>4123</v>
      </c>
      <c r="D3868" t="s">
        <v>4124</v>
      </c>
      <c r="E3868" t="s">
        <v>15</v>
      </c>
      <c r="F3868" t="s">
        <v>1079</v>
      </c>
      <c r="G3868" t="s">
        <v>22</v>
      </c>
      <c r="H3868">
        <v>1</v>
      </c>
    </row>
    <row r="3869" spans="1:8" x14ac:dyDescent="0.35">
      <c r="A3869">
        <v>8001841287256</v>
      </c>
      <c r="B3869" t="s">
        <v>4125</v>
      </c>
      <c r="C3869" t="s">
        <v>4126</v>
      </c>
      <c r="D3869" t="s">
        <v>4124</v>
      </c>
      <c r="E3869" t="s">
        <v>15</v>
      </c>
      <c r="F3869" t="s">
        <v>1079</v>
      </c>
      <c r="G3869" t="s">
        <v>22</v>
      </c>
      <c r="H3869">
        <v>2</v>
      </c>
    </row>
    <row r="3870" spans="1:8" x14ac:dyDescent="0.35">
      <c r="A3870">
        <v>8001841990118</v>
      </c>
      <c r="B3870" t="s">
        <v>4127</v>
      </c>
      <c r="C3870" t="s">
        <v>4128</v>
      </c>
      <c r="D3870" t="s">
        <v>4129</v>
      </c>
      <c r="E3870" t="s">
        <v>15</v>
      </c>
      <c r="F3870" t="s">
        <v>1079</v>
      </c>
      <c r="G3870" t="s">
        <v>464</v>
      </c>
      <c r="H3870">
        <v>1</v>
      </c>
    </row>
    <row r="3871" spans="1:8" x14ac:dyDescent="0.35">
      <c r="A3871">
        <v>8002210128057</v>
      </c>
      <c r="B3871" t="s">
        <v>4130</v>
      </c>
      <c r="C3871" t="s">
        <v>192</v>
      </c>
      <c r="D3871" t="s">
        <v>4131</v>
      </c>
      <c r="E3871" t="s">
        <v>22</v>
      </c>
      <c r="F3871" t="s">
        <v>4132</v>
      </c>
      <c r="G3871" t="s">
        <v>22</v>
      </c>
      <c r="H3871">
        <v>1</v>
      </c>
    </row>
    <row r="3872" spans="1:8" x14ac:dyDescent="0.35">
      <c r="A3872">
        <v>8006540026557</v>
      </c>
      <c r="B3872" t="s">
        <v>4133</v>
      </c>
      <c r="C3872" t="s">
        <v>83</v>
      </c>
      <c r="D3872" t="s">
        <v>1319</v>
      </c>
      <c r="E3872" t="s">
        <v>15</v>
      </c>
      <c r="F3872" t="s">
        <v>1079</v>
      </c>
      <c r="G3872" t="s">
        <v>464</v>
      </c>
      <c r="H3872">
        <v>1</v>
      </c>
    </row>
    <row r="3873" spans="1:8" x14ac:dyDescent="0.35">
      <c r="A3873">
        <v>8006540299067</v>
      </c>
      <c r="B3873" t="s">
        <v>4134</v>
      </c>
      <c r="C3873" t="s">
        <v>4135</v>
      </c>
      <c r="D3873" t="s">
        <v>1319</v>
      </c>
      <c r="E3873" t="s">
        <v>15</v>
      </c>
      <c r="F3873" t="s">
        <v>1079</v>
      </c>
      <c r="G3873" t="s">
        <v>464</v>
      </c>
      <c r="H3873">
        <v>1</v>
      </c>
    </row>
    <row r="3874" spans="1:8" x14ac:dyDescent="0.35">
      <c r="A3874">
        <v>80722205</v>
      </c>
      <c r="B3874" t="s">
        <v>4136</v>
      </c>
      <c r="C3874" t="s">
        <v>38</v>
      </c>
      <c r="D3874" t="s">
        <v>414</v>
      </c>
      <c r="E3874" t="s">
        <v>61</v>
      </c>
      <c r="F3874" t="s">
        <v>85</v>
      </c>
      <c r="G3874" t="s">
        <v>61</v>
      </c>
      <c r="H3874">
        <v>1</v>
      </c>
    </row>
    <row r="3875" spans="1:8" x14ac:dyDescent="0.35">
      <c r="A3875">
        <v>80816690</v>
      </c>
      <c r="B3875" t="s">
        <v>4137</v>
      </c>
      <c r="C3875" t="s">
        <v>4138</v>
      </c>
      <c r="D3875" t="s">
        <v>4139</v>
      </c>
      <c r="E3875" t="s">
        <v>1270</v>
      </c>
      <c r="F3875" t="s">
        <v>4140</v>
      </c>
      <c r="G3875" t="s">
        <v>22</v>
      </c>
      <c r="H3875">
        <v>1</v>
      </c>
    </row>
    <row r="3876" spans="1:8" x14ac:dyDescent="0.35">
      <c r="A3876">
        <v>80922377</v>
      </c>
      <c r="B3876" t="s">
        <v>4141</v>
      </c>
      <c r="C3876" t="s">
        <v>192</v>
      </c>
      <c r="D3876" t="s">
        <v>2538</v>
      </c>
      <c r="E3876" t="s">
        <v>34</v>
      </c>
      <c r="F3876" t="s">
        <v>2539</v>
      </c>
      <c r="G3876" t="s">
        <v>34</v>
      </c>
      <c r="H3876">
        <v>2728</v>
      </c>
    </row>
    <row r="3877" spans="1:8" x14ac:dyDescent="0.35">
      <c r="A3877">
        <v>810116120314</v>
      </c>
      <c r="B3877" t="s">
        <v>247</v>
      </c>
      <c r="C3877" t="s">
        <v>9</v>
      </c>
      <c r="D3877" t="s">
        <v>978</v>
      </c>
      <c r="E3877" t="s">
        <v>15</v>
      </c>
      <c r="F3877" t="s">
        <v>979</v>
      </c>
      <c r="G3877" t="s">
        <v>16</v>
      </c>
      <c r="H3877">
        <v>1</v>
      </c>
    </row>
    <row r="3878" spans="1:8" x14ac:dyDescent="0.35">
      <c r="A3878">
        <v>810116120345</v>
      </c>
      <c r="B3878" t="s">
        <v>156</v>
      </c>
      <c r="C3878" t="s">
        <v>9</v>
      </c>
      <c r="D3878" t="s">
        <v>978</v>
      </c>
      <c r="E3878" t="s">
        <v>15</v>
      </c>
      <c r="F3878" t="s">
        <v>979</v>
      </c>
      <c r="G3878" t="s">
        <v>16</v>
      </c>
      <c r="H3878">
        <v>1</v>
      </c>
    </row>
    <row r="3879" spans="1:8" x14ac:dyDescent="0.35">
      <c r="A3879">
        <v>810116120352</v>
      </c>
      <c r="B3879" t="s">
        <v>4142</v>
      </c>
      <c r="C3879" t="s">
        <v>9</v>
      </c>
      <c r="D3879" t="s">
        <v>978</v>
      </c>
      <c r="E3879" t="s">
        <v>15</v>
      </c>
      <c r="F3879" t="s">
        <v>979</v>
      </c>
      <c r="G3879" t="s">
        <v>16</v>
      </c>
      <c r="H3879">
        <v>3</v>
      </c>
    </row>
    <row r="3880" spans="1:8" x14ac:dyDescent="0.35">
      <c r="A3880">
        <v>810116120369</v>
      </c>
      <c r="B3880" t="s">
        <v>4143</v>
      </c>
      <c r="C3880" t="s">
        <v>9</v>
      </c>
      <c r="D3880" t="s">
        <v>978</v>
      </c>
      <c r="E3880" t="s">
        <v>15</v>
      </c>
      <c r="F3880" t="s">
        <v>979</v>
      </c>
      <c r="G3880" t="s">
        <v>16</v>
      </c>
      <c r="H3880">
        <v>2</v>
      </c>
    </row>
    <row r="3881" spans="1:8" x14ac:dyDescent="0.35">
      <c r="A3881">
        <v>810291001583</v>
      </c>
      <c r="B3881" t="s">
        <v>4144</v>
      </c>
      <c r="C3881" t="s">
        <v>91</v>
      </c>
      <c r="D3881" t="s">
        <v>4145</v>
      </c>
      <c r="E3881" t="s">
        <v>15</v>
      </c>
      <c r="F3881" t="s">
        <v>460</v>
      </c>
      <c r="G3881" t="s">
        <v>15</v>
      </c>
      <c r="H3881">
        <v>1</v>
      </c>
    </row>
    <row r="3882" spans="1:8" x14ac:dyDescent="0.35">
      <c r="A3882">
        <v>811620022248</v>
      </c>
      <c r="B3882" t="s">
        <v>4146</v>
      </c>
      <c r="C3882" t="s">
        <v>1024</v>
      </c>
      <c r="D3882" t="s">
        <v>4147</v>
      </c>
      <c r="E3882" t="s">
        <v>15</v>
      </c>
      <c r="F3882" t="s">
        <v>14</v>
      </c>
      <c r="G3882" t="s">
        <v>150</v>
      </c>
      <c r="H3882">
        <v>1</v>
      </c>
    </row>
    <row r="3883" spans="1:8" x14ac:dyDescent="0.35">
      <c r="A3883">
        <v>811620022927</v>
      </c>
      <c r="B3883" t="s">
        <v>2066</v>
      </c>
      <c r="C3883" t="s">
        <v>542</v>
      </c>
      <c r="D3883" t="s">
        <v>4148</v>
      </c>
      <c r="E3883" t="s">
        <v>15</v>
      </c>
      <c r="F3883" t="s">
        <v>14</v>
      </c>
      <c r="G3883" t="s">
        <v>16</v>
      </c>
      <c r="H3883">
        <v>4</v>
      </c>
    </row>
    <row r="3884" spans="1:8" x14ac:dyDescent="0.35">
      <c r="A3884">
        <v>8119261643580</v>
      </c>
      <c r="B3884" t="s">
        <v>4149</v>
      </c>
      <c r="C3884" t="s">
        <v>1115</v>
      </c>
      <c r="D3884" t="s">
        <v>4150</v>
      </c>
      <c r="E3884" t="s">
        <v>117</v>
      </c>
      <c r="F3884" t="s">
        <v>3597</v>
      </c>
      <c r="G3884" t="s">
        <v>117</v>
      </c>
      <c r="H3884">
        <v>2</v>
      </c>
    </row>
    <row r="3885" spans="1:8" x14ac:dyDescent="0.35">
      <c r="A3885">
        <v>8137020351101</v>
      </c>
      <c r="B3885" t="s">
        <v>3042</v>
      </c>
      <c r="C3885" t="s">
        <v>472</v>
      </c>
      <c r="D3885" t="s">
        <v>3042</v>
      </c>
      <c r="E3885" t="s">
        <v>41</v>
      </c>
      <c r="F3885" t="s">
        <v>1090</v>
      </c>
      <c r="G3885" t="s">
        <v>41</v>
      </c>
      <c r="H3885">
        <v>18</v>
      </c>
    </row>
    <row r="3886" spans="1:8" x14ac:dyDescent="0.35">
      <c r="A3886">
        <v>813974024237</v>
      </c>
      <c r="B3886" t="s">
        <v>4151</v>
      </c>
      <c r="C3886" t="s">
        <v>758</v>
      </c>
      <c r="D3886" t="s">
        <v>4152</v>
      </c>
      <c r="E3886" t="s">
        <v>308</v>
      </c>
      <c r="F3886" t="s">
        <v>309</v>
      </c>
      <c r="G3886" t="s">
        <v>22</v>
      </c>
      <c r="H3886">
        <v>1</v>
      </c>
    </row>
    <row r="3887" spans="1:8" x14ac:dyDescent="0.35">
      <c r="A3887">
        <v>817513015472</v>
      </c>
      <c r="B3887" t="s">
        <v>4153</v>
      </c>
      <c r="C3887" t="s">
        <v>4154</v>
      </c>
      <c r="D3887" t="s">
        <v>4155</v>
      </c>
      <c r="E3887" t="s">
        <v>15</v>
      </c>
      <c r="F3887" t="s">
        <v>4156</v>
      </c>
      <c r="G3887" t="s">
        <v>61</v>
      </c>
      <c r="H3887">
        <v>1</v>
      </c>
    </row>
    <row r="3888" spans="1:8" x14ac:dyDescent="0.35">
      <c r="A3888">
        <v>817939005118</v>
      </c>
      <c r="B3888" t="s">
        <v>4157</v>
      </c>
      <c r="C3888" t="s">
        <v>4158</v>
      </c>
      <c r="D3888" t="s">
        <v>982</v>
      </c>
      <c r="E3888" t="s">
        <v>15</v>
      </c>
      <c r="F3888" t="s">
        <v>983</v>
      </c>
      <c r="G3888" t="s">
        <v>22</v>
      </c>
      <c r="H3888">
        <v>1</v>
      </c>
    </row>
    <row r="3889" spans="1:8" x14ac:dyDescent="0.35">
      <c r="A3889">
        <v>817939012413</v>
      </c>
      <c r="B3889" t="s">
        <v>4159</v>
      </c>
      <c r="C3889" t="s">
        <v>143</v>
      </c>
      <c r="D3889" t="s">
        <v>982</v>
      </c>
      <c r="E3889" t="s">
        <v>15</v>
      </c>
      <c r="F3889" t="s">
        <v>983</v>
      </c>
      <c r="G3889" t="s">
        <v>22</v>
      </c>
      <c r="H3889">
        <v>1</v>
      </c>
    </row>
    <row r="3890" spans="1:8" x14ac:dyDescent="0.35">
      <c r="A3890">
        <v>8181351361438</v>
      </c>
      <c r="B3890" t="s">
        <v>4160</v>
      </c>
      <c r="C3890" t="s">
        <v>472</v>
      </c>
      <c r="D3890" t="s">
        <v>473</v>
      </c>
      <c r="E3890" t="s">
        <v>41</v>
      </c>
      <c r="F3890" t="s">
        <v>456</v>
      </c>
      <c r="G3890" t="s">
        <v>41</v>
      </c>
      <c r="H3890">
        <v>1</v>
      </c>
    </row>
    <row r="3891" spans="1:8" x14ac:dyDescent="0.35">
      <c r="A3891">
        <v>8242123456797</v>
      </c>
      <c r="B3891" t="s">
        <v>4161</v>
      </c>
      <c r="C3891" t="s">
        <v>801</v>
      </c>
      <c r="D3891" t="s">
        <v>3901</v>
      </c>
      <c r="E3891" t="s">
        <v>31</v>
      </c>
      <c r="F3891" t="s">
        <v>3902</v>
      </c>
      <c r="G3891" t="s">
        <v>31</v>
      </c>
      <c r="H3891">
        <v>3</v>
      </c>
    </row>
    <row r="3892" spans="1:8" x14ac:dyDescent="0.35">
      <c r="A3892">
        <v>8260924200234</v>
      </c>
      <c r="B3892" t="s">
        <v>4162</v>
      </c>
      <c r="C3892" t="s">
        <v>1315</v>
      </c>
      <c r="D3892" t="s">
        <v>4163</v>
      </c>
      <c r="E3892" t="s">
        <v>31</v>
      </c>
      <c r="F3892" t="s">
        <v>4164</v>
      </c>
      <c r="G3892" t="s">
        <v>31</v>
      </c>
      <c r="H3892">
        <v>11</v>
      </c>
    </row>
    <row r="3893" spans="1:8" x14ac:dyDescent="0.35">
      <c r="A3893">
        <v>8261251806908</v>
      </c>
      <c r="B3893" t="s">
        <v>3262</v>
      </c>
      <c r="C3893" t="s">
        <v>472</v>
      </c>
      <c r="D3893" t="s">
        <v>2595</v>
      </c>
      <c r="E3893" t="s">
        <v>33</v>
      </c>
      <c r="F3893" t="s">
        <v>2593</v>
      </c>
      <c r="G3893" t="s">
        <v>33</v>
      </c>
      <c r="H3893">
        <v>1</v>
      </c>
    </row>
    <row r="3894" spans="1:8" x14ac:dyDescent="0.35">
      <c r="A3894">
        <v>83271991</v>
      </c>
      <c r="B3894" t="s">
        <v>4165</v>
      </c>
      <c r="C3894" t="s">
        <v>53</v>
      </c>
      <c r="D3894" t="s">
        <v>55</v>
      </c>
      <c r="E3894" t="s">
        <v>15</v>
      </c>
      <c r="F3894" t="s">
        <v>56</v>
      </c>
      <c r="G3894" t="s">
        <v>16</v>
      </c>
      <c r="H3894">
        <v>1</v>
      </c>
    </row>
    <row r="3895" spans="1:8" x14ac:dyDescent="0.35">
      <c r="A3895">
        <v>83334269</v>
      </c>
      <c r="B3895" t="s">
        <v>4166</v>
      </c>
      <c r="C3895" t="s">
        <v>53</v>
      </c>
      <c r="D3895" t="s">
        <v>55</v>
      </c>
      <c r="E3895" t="s">
        <v>15</v>
      </c>
      <c r="F3895" t="s">
        <v>56</v>
      </c>
      <c r="G3895" t="s">
        <v>16</v>
      </c>
      <c r="H3895">
        <v>1</v>
      </c>
    </row>
    <row r="3896" spans="1:8" x14ac:dyDescent="0.35">
      <c r="A3896">
        <v>8410055050011</v>
      </c>
      <c r="B3896" t="s">
        <v>4167</v>
      </c>
      <c r="C3896" t="s">
        <v>9</v>
      </c>
      <c r="D3896" t="s">
        <v>2252</v>
      </c>
      <c r="E3896" t="s">
        <v>130</v>
      </c>
      <c r="F3896" t="s">
        <v>220</v>
      </c>
      <c r="G3896" t="s">
        <v>464</v>
      </c>
      <c r="H3896">
        <v>3</v>
      </c>
    </row>
    <row r="3897" spans="1:8" x14ac:dyDescent="0.35">
      <c r="A3897">
        <v>8410055050011</v>
      </c>
      <c r="B3897" t="s">
        <v>4167</v>
      </c>
      <c r="C3897" t="s">
        <v>9</v>
      </c>
      <c r="D3897" t="s">
        <v>2252</v>
      </c>
      <c r="E3897" t="s">
        <v>130</v>
      </c>
      <c r="F3897" t="s">
        <v>220</v>
      </c>
      <c r="G3897" t="s">
        <v>22</v>
      </c>
      <c r="H3897">
        <v>1</v>
      </c>
    </row>
    <row r="3898" spans="1:8" x14ac:dyDescent="0.35">
      <c r="A3898">
        <v>8410055125023</v>
      </c>
      <c r="B3898" t="s">
        <v>790</v>
      </c>
      <c r="C3898" t="s">
        <v>1184</v>
      </c>
      <c r="D3898" t="s">
        <v>4168</v>
      </c>
      <c r="E3898" t="s">
        <v>130</v>
      </c>
      <c r="F3898" t="s">
        <v>220</v>
      </c>
      <c r="G3898" t="s">
        <v>464</v>
      </c>
      <c r="H3898">
        <v>1</v>
      </c>
    </row>
    <row r="3899" spans="1:8" x14ac:dyDescent="0.35">
      <c r="A3899">
        <v>8410055150018</v>
      </c>
      <c r="B3899" t="s">
        <v>1158</v>
      </c>
      <c r="C3899" t="s">
        <v>192</v>
      </c>
      <c r="D3899" t="s">
        <v>4168</v>
      </c>
      <c r="E3899" t="s">
        <v>130</v>
      </c>
      <c r="F3899" t="s">
        <v>220</v>
      </c>
      <c r="G3899" t="s">
        <v>464</v>
      </c>
      <c r="H3899">
        <v>2</v>
      </c>
    </row>
    <row r="3900" spans="1:8" x14ac:dyDescent="0.35">
      <c r="A3900">
        <v>8410055501131</v>
      </c>
      <c r="B3900" t="s">
        <v>4169</v>
      </c>
      <c r="C3900" t="s">
        <v>4170</v>
      </c>
      <c r="D3900" t="s">
        <v>4168</v>
      </c>
      <c r="E3900" t="s">
        <v>130</v>
      </c>
      <c r="F3900" t="s">
        <v>220</v>
      </c>
      <c r="G3900" t="s">
        <v>464</v>
      </c>
      <c r="H3900">
        <v>1</v>
      </c>
    </row>
    <row r="3901" spans="1:8" x14ac:dyDescent="0.35">
      <c r="A3901">
        <v>8410128000400</v>
      </c>
      <c r="B3901" t="s">
        <v>790</v>
      </c>
      <c r="C3901" t="s">
        <v>825</v>
      </c>
      <c r="D3901" t="s">
        <v>4171</v>
      </c>
      <c r="E3901" t="s">
        <v>464</v>
      </c>
      <c r="F3901" t="s">
        <v>4172</v>
      </c>
      <c r="G3901" t="s">
        <v>464</v>
      </c>
      <c r="H3901">
        <v>1</v>
      </c>
    </row>
    <row r="3902" spans="1:8" x14ac:dyDescent="0.35">
      <c r="A3902">
        <v>8410128160074</v>
      </c>
      <c r="B3902" t="s">
        <v>1158</v>
      </c>
      <c r="C3902" t="s">
        <v>75</v>
      </c>
      <c r="D3902" t="s">
        <v>4171</v>
      </c>
      <c r="E3902" t="s">
        <v>464</v>
      </c>
      <c r="F3902" t="s">
        <v>4172</v>
      </c>
      <c r="G3902" t="s">
        <v>464</v>
      </c>
      <c r="H3902">
        <v>4</v>
      </c>
    </row>
    <row r="3903" spans="1:8" x14ac:dyDescent="0.35">
      <c r="A3903">
        <v>8410128160319</v>
      </c>
      <c r="B3903" t="s">
        <v>4173</v>
      </c>
      <c r="C3903" t="s">
        <v>9</v>
      </c>
      <c r="D3903" t="s">
        <v>4171</v>
      </c>
      <c r="E3903" t="s">
        <v>464</v>
      </c>
      <c r="F3903" t="s">
        <v>4172</v>
      </c>
      <c r="G3903" t="s">
        <v>464</v>
      </c>
      <c r="H3903">
        <v>2</v>
      </c>
    </row>
    <row r="3904" spans="1:8" x14ac:dyDescent="0.35">
      <c r="A3904">
        <v>8410128160623</v>
      </c>
      <c r="B3904" t="s">
        <v>1158</v>
      </c>
      <c r="C3904" t="s">
        <v>603</v>
      </c>
      <c r="D3904" t="s">
        <v>4171</v>
      </c>
      <c r="E3904" t="s">
        <v>464</v>
      </c>
      <c r="F3904" t="s">
        <v>4172</v>
      </c>
      <c r="G3904" t="s">
        <v>464</v>
      </c>
      <c r="H3904">
        <v>1</v>
      </c>
    </row>
    <row r="3905" spans="1:8" x14ac:dyDescent="0.35">
      <c r="A3905">
        <v>8410171013273</v>
      </c>
      <c r="B3905" t="s">
        <v>4174</v>
      </c>
      <c r="C3905" t="s">
        <v>272</v>
      </c>
      <c r="D3905" t="s">
        <v>2050</v>
      </c>
      <c r="E3905" t="s">
        <v>308</v>
      </c>
      <c r="F3905" t="s">
        <v>309</v>
      </c>
      <c r="G3905" t="s">
        <v>22</v>
      </c>
      <c r="H3905">
        <v>1</v>
      </c>
    </row>
    <row r="3906" spans="1:8" x14ac:dyDescent="0.35">
      <c r="A3906">
        <v>8410261607108</v>
      </c>
      <c r="B3906" t="s">
        <v>4175</v>
      </c>
      <c r="C3906" t="s">
        <v>110</v>
      </c>
      <c r="D3906" t="s">
        <v>4176</v>
      </c>
      <c r="E3906" t="s">
        <v>464</v>
      </c>
      <c r="F3906" t="s">
        <v>4177</v>
      </c>
      <c r="G3906" t="s">
        <v>41</v>
      </c>
      <c r="H3906">
        <v>100</v>
      </c>
    </row>
    <row r="3907" spans="1:8" x14ac:dyDescent="0.35">
      <c r="A3907">
        <v>8410261641416</v>
      </c>
      <c r="B3907" t="s">
        <v>4178</v>
      </c>
      <c r="C3907" t="s">
        <v>825</v>
      </c>
      <c r="D3907" t="s">
        <v>4176</v>
      </c>
      <c r="E3907" t="s">
        <v>464</v>
      </c>
      <c r="F3907" t="s">
        <v>4177</v>
      </c>
      <c r="G3907" t="s">
        <v>464</v>
      </c>
      <c r="H3907">
        <v>1</v>
      </c>
    </row>
    <row r="3908" spans="1:8" x14ac:dyDescent="0.35">
      <c r="A3908">
        <v>8410283333610</v>
      </c>
      <c r="B3908" t="s">
        <v>4179</v>
      </c>
      <c r="C3908" t="s">
        <v>1573</v>
      </c>
      <c r="D3908" t="s">
        <v>1364</v>
      </c>
      <c r="E3908" t="s">
        <v>598</v>
      </c>
      <c r="F3908" t="s">
        <v>1365</v>
      </c>
      <c r="G3908" t="s">
        <v>464</v>
      </c>
      <c r="H3908">
        <v>1</v>
      </c>
    </row>
    <row r="3909" spans="1:8" x14ac:dyDescent="0.35">
      <c r="A3909">
        <v>8410300361411</v>
      </c>
      <c r="B3909" t="s">
        <v>2924</v>
      </c>
      <c r="C3909" t="s">
        <v>69</v>
      </c>
      <c r="D3909" t="s">
        <v>4180</v>
      </c>
      <c r="E3909" t="s">
        <v>464</v>
      </c>
      <c r="F3909" t="s">
        <v>4181</v>
      </c>
      <c r="G3909" t="s">
        <v>41</v>
      </c>
      <c r="H3909">
        <v>17</v>
      </c>
    </row>
    <row r="3910" spans="1:8" x14ac:dyDescent="0.35">
      <c r="A3910">
        <v>8410300361428</v>
      </c>
      <c r="B3910" t="s">
        <v>4182</v>
      </c>
      <c r="C3910" t="s">
        <v>562</v>
      </c>
      <c r="D3910" t="s">
        <v>4180</v>
      </c>
      <c r="E3910" t="s">
        <v>464</v>
      </c>
      <c r="F3910" t="s">
        <v>4181</v>
      </c>
      <c r="G3910" t="s">
        <v>41</v>
      </c>
      <c r="H3910">
        <v>151</v>
      </c>
    </row>
    <row r="3911" spans="1:8" x14ac:dyDescent="0.35">
      <c r="A3911">
        <v>8410300361435</v>
      </c>
      <c r="B3911" t="s">
        <v>4183</v>
      </c>
      <c r="C3911" t="s">
        <v>1141</v>
      </c>
      <c r="D3911" t="s">
        <v>4180</v>
      </c>
      <c r="E3911" t="s">
        <v>464</v>
      </c>
      <c r="F3911" t="s">
        <v>4181</v>
      </c>
      <c r="G3911" t="s">
        <v>41</v>
      </c>
      <c r="H3911">
        <v>1</v>
      </c>
    </row>
    <row r="3912" spans="1:8" x14ac:dyDescent="0.35">
      <c r="A3912">
        <v>8410300366645</v>
      </c>
      <c r="B3912" t="s">
        <v>4184</v>
      </c>
      <c r="C3912" t="s">
        <v>4185</v>
      </c>
      <c r="D3912" t="s">
        <v>4180</v>
      </c>
      <c r="E3912" t="s">
        <v>464</v>
      </c>
      <c r="F3912" t="s">
        <v>4181</v>
      </c>
      <c r="G3912" t="s">
        <v>41</v>
      </c>
      <c r="H3912">
        <v>147</v>
      </c>
    </row>
    <row r="3913" spans="1:8" x14ac:dyDescent="0.35">
      <c r="A3913">
        <v>8410728100036</v>
      </c>
      <c r="B3913" t="s">
        <v>4186</v>
      </c>
      <c r="C3913" t="s">
        <v>326</v>
      </c>
      <c r="D3913" t="s">
        <v>4187</v>
      </c>
      <c r="E3913" t="s">
        <v>130</v>
      </c>
      <c r="F3913" t="s">
        <v>220</v>
      </c>
      <c r="G3913" t="s">
        <v>464</v>
      </c>
      <c r="H3913">
        <v>2</v>
      </c>
    </row>
    <row r="3914" spans="1:8" x14ac:dyDescent="0.35">
      <c r="A3914">
        <v>8410728100036</v>
      </c>
      <c r="B3914" t="s">
        <v>4186</v>
      </c>
      <c r="C3914" t="s">
        <v>326</v>
      </c>
      <c r="D3914" t="s">
        <v>4187</v>
      </c>
      <c r="E3914" t="s">
        <v>130</v>
      </c>
      <c r="F3914" t="s">
        <v>220</v>
      </c>
      <c r="G3914" t="s">
        <v>22</v>
      </c>
      <c r="H3914">
        <v>1</v>
      </c>
    </row>
    <row r="3915" spans="1:8" x14ac:dyDescent="0.35">
      <c r="A3915">
        <v>8410728180120</v>
      </c>
      <c r="B3915" t="s">
        <v>4188</v>
      </c>
      <c r="C3915" t="s">
        <v>192</v>
      </c>
      <c r="D3915" t="s">
        <v>4187</v>
      </c>
      <c r="E3915" t="s">
        <v>130</v>
      </c>
      <c r="F3915" t="s">
        <v>220</v>
      </c>
      <c r="G3915" t="s">
        <v>464</v>
      </c>
      <c r="H3915">
        <v>8</v>
      </c>
    </row>
    <row r="3916" spans="1:8" x14ac:dyDescent="0.35">
      <c r="A3916">
        <v>8410728180120</v>
      </c>
      <c r="B3916" t="s">
        <v>4188</v>
      </c>
      <c r="C3916" t="s">
        <v>192</v>
      </c>
      <c r="D3916" t="s">
        <v>4187</v>
      </c>
      <c r="E3916" t="s">
        <v>130</v>
      </c>
      <c r="F3916" t="s">
        <v>220</v>
      </c>
      <c r="G3916" t="s">
        <v>22</v>
      </c>
      <c r="H3916">
        <v>2</v>
      </c>
    </row>
    <row r="3917" spans="1:8" x14ac:dyDescent="0.35">
      <c r="A3917">
        <v>8410728700106</v>
      </c>
      <c r="B3917" t="s">
        <v>485</v>
      </c>
      <c r="C3917" t="s">
        <v>9</v>
      </c>
      <c r="D3917" t="s">
        <v>4187</v>
      </c>
      <c r="E3917" t="s">
        <v>130</v>
      </c>
      <c r="F3917" t="s">
        <v>220</v>
      </c>
      <c r="G3917" t="s">
        <v>464</v>
      </c>
      <c r="H3917">
        <v>2</v>
      </c>
    </row>
    <row r="3918" spans="1:8" x14ac:dyDescent="0.35">
      <c r="A3918">
        <v>8410728700106</v>
      </c>
      <c r="B3918" t="s">
        <v>485</v>
      </c>
      <c r="C3918" t="s">
        <v>9</v>
      </c>
      <c r="D3918" t="s">
        <v>4187</v>
      </c>
      <c r="E3918" t="s">
        <v>130</v>
      </c>
      <c r="F3918" t="s">
        <v>220</v>
      </c>
      <c r="G3918" t="s">
        <v>22</v>
      </c>
      <c r="H3918">
        <v>5</v>
      </c>
    </row>
    <row r="3919" spans="1:8" x14ac:dyDescent="0.35">
      <c r="A3919">
        <v>8410728700106</v>
      </c>
      <c r="B3919" t="s">
        <v>485</v>
      </c>
      <c r="C3919" t="s">
        <v>9</v>
      </c>
      <c r="D3919" t="s">
        <v>4187</v>
      </c>
      <c r="E3919" t="s">
        <v>130</v>
      </c>
      <c r="F3919" t="s">
        <v>220</v>
      </c>
      <c r="G3919" t="s">
        <v>150</v>
      </c>
      <c r="H3919">
        <v>1</v>
      </c>
    </row>
    <row r="3920" spans="1:8" x14ac:dyDescent="0.35">
      <c r="A3920">
        <v>8410739033002</v>
      </c>
      <c r="B3920" t="s">
        <v>1158</v>
      </c>
      <c r="C3920" t="s">
        <v>603</v>
      </c>
      <c r="D3920" t="s">
        <v>4189</v>
      </c>
      <c r="E3920" t="s">
        <v>464</v>
      </c>
      <c r="F3920" t="s">
        <v>4190</v>
      </c>
      <c r="G3920" t="s">
        <v>464</v>
      </c>
      <c r="H3920">
        <v>2</v>
      </c>
    </row>
    <row r="3921" spans="1:8" x14ac:dyDescent="0.35">
      <c r="A3921">
        <v>8410739066000</v>
      </c>
      <c r="B3921" t="s">
        <v>1158</v>
      </c>
      <c r="C3921" t="s">
        <v>9</v>
      </c>
      <c r="D3921" t="s">
        <v>4189</v>
      </c>
      <c r="E3921" t="s">
        <v>464</v>
      </c>
      <c r="F3921" t="s">
        <v>4190</v>
      </c>
      <c r="G3921" t="s">
        <v>464</v>
      </c>
      <c r="H3921">
        <v>1</v>
      </c>
    </row>
    <row r="3922" spans="1:8" x14ac:dyDescent="0.35">
      <c r="A3922">
        <v>8410739066000</v>
      </c>
      <c r="B3922" t="s">
        <v>1158</v>
      </c>
      <c r="C3922" t="s">
        <v>9</v>
      </c>
      <c r="D3922" t="s">
        <v>4189</v>
      </c>
      <c r="E3922" t="s">
        <v>464</v>
      </c>
      <c r="F3922" t="s">
        <v>4190</v>
      </c>
      <c r="G3922" t="s">
        <v>33</v>
      </c>
      <c r="H3922">
        <v>64</v>
      </c>
    </row>
    <row r="3923" spans="1:8" x14ac:dyDescent="0.35">
      <c r="A3923">
        <v>8410881000013</v>
      </c>
      <c r="B3923" t="s">
        <v>4191</v>
      </c>
      <c r="C3923" t="s">
        <v>825</v>
      </c>
      <c r="D3923" t="s">
        <v>4192</v>
      </c>
      <c r="E3923" t="s">
        <v>464</v>
      </c>
      <c r="F3923" t="s">
        <v>4193</v>
      </c>
      <c r="G3923" t="s">
        <v>464</v>
      </c>
      <c r="H3923">
        <v>1</v>
      </c>
    </row>
    <row r="3924" spans="1:8" x14ac:dyDescent="0.35">
      <c r="A3924">
        <v>8411002101503</v>
      </c>
      <c r="B3924" t="s">
        <v>4194</v>
      </c>
      <c r="C3924" t="s">
        <v>368</v>
      </c>
      <c r="D3924" t="s">
        <v>4195</v>
      </c>
      <c r="E3924" t="s">
        <v>71</v>
      </c>
      <c r="F3924" t="s">
        <v>72</v>
      </c>
      <c r="G3924" t="s">
        <v>464</v>
      </c>
      <c r="H3924">
        <v>2</v>
      </c>
    </row>
    <row r="3925" spans="1:8" x14ac:dyDescent="0.35">
      <c r="A3925">
        <v>8411002101800</v>
      </c>
      <c r="B3925" t="s">
        <v>461</v>
      </c>
      <c r="C3925" t="s">
        <v>603</v>
      </c>
      <c r="D3925" t="s">
        <v>4195</v>
      </c>
      <c r="E3925" t="s">
        <v>71</v>
      </c>
      <c r="F3925" t="s">
        <v>72</v>
      </c>
      <c r="G3925" t="s">
        <v>464</v>
      </c>
      <c r="H3925">
        <v>1</v>
      </c>
    </row>
    <row r="3926" spans="1:8" x14ac:dyDescent="0.35">
      <c r="A3926">
        <v>8414227057655</v>
      </c>
      <c r="B3926" t="s">
        <v>4196</v>
      </c>
      <c r="C3926" t="s">
        <v>9</v>
      </c>
      <c r="D3926" t="s">
        <v>4040</v>
      </c>
      <c r="E3926" t="s">
        <v>308</v>
      </c>
      <c r="F3926" t="s">
        <v>309</v>
      </c>
      <c r="G3926" t="s">
        <v>34</v>
      </c>
      <c r="H3926">
        <v>1</v>
      </c>
    </row>
    <row r="3927" spans="1:8" x14ac:dyDescent="0.35">
      <c r="A3927">
        <v>8414493960000</v>
      </c>
      <c r="B3927" t="s">
        <v>1158</v>
      </c>
      <c r="C3927" t="s">
        <v>462</v>
      </c>
      <c r="D3927" t="s">
        <v>463</v>
      </c>
      <c r="E3927" t="s">
        <v>464</v>
      </c>
      <c r="F3927" t="s">
        <v>465</v>
      </c>
      <c r="G3927" t="s">
        <v>464</v>
      </c>
      <c r="H3927">
        <v>1</v>
      </c>
    </row>
    <row r="3928" spans="1:8" x14ac:dyDescent="0.35">
      <c r="A3928">
        <v>8414493960024</v>
      </c>
      <c r="B3928" t="s">
        <v>463</v>
      </c>
      <c r="C3928" t="s">
        <v>192</v>
      </c>
      <c r="D3928" t="s">
        <v>463</v>
      </c>
      <c r="E3928" t="s">
        <v>464</v>
      </c>
      <c r="F3928" t="s">
        <v>465</v>
      </c>
      <c r="G3928" t="s">
        <v>464</v>
      </c>
      <c r="H3928">
        <v>5</v>
      </c>
    </row>
    <row r="3929" spans="1:8" x14ac:dyDescent="0.35">
      <c r="A3929">
        <v>8414493960024</v>
      </c>
      <c r="B3929" t="s">
        <v>463</v>
      </c>
      <c r="C3929" t="s">
        <v>192</v>
      </c>
      <c r="D3929" t="s">
        <v>463</v>
      </c>
      <c r="E3929" t="s">
        <v>464</v>
      </c>
      <c r="F3929" t="s">
        <v>465</v>
      </c>
      <c r="G3929" t="s">
        <v>22</v>
      </c>
      <c r="H3929">
        <v>2</v>
      </c>
    </row>
    <row r="3930" spans="1:8" x14ac:dyDescent="0.35">
      <c r="A3930">
        <v>8414493960031</v>
      </c>
      <c r="B3930" t="s">
        <v>790</v>
      </c>
      <c r="C3930" t="s">
        <v>9</v>
      </c>
      <c r="D3930" t="s">
        <v>463</v>
      </c>
      <c r="E3930" t="s">
        <v>464</v>
      </c>
      <c r="F3930" t="s">
        <v>465</v>
      </c>
      <c r="G3930" t="s">
        <v>464</v>
      </c>
      <c r="H3930">
        <v>6</v>
      </c>
    </row>
    <row r="3931" spans="1:8" x14ac:dyDescent="0.35">
      <c r="A3931">
        <v>8414493960048</v>
      </c>
      <c r="B3931" t="s">
        <v>1158</v>
      </c>
      <c r="C3931" t="s">
        <v>603</v>
      </c>
      <c r="D3931" t="s">
        <v>463</v>
      </c>
      <c r="E3931" t="s">
        <v>464</v>
      </c>
      <c r="F3931" t="s">
        <v>465</v>
      </c>
      <c r="G3931" t="s">
        <v>464</v>
      </c>
      <c r="H3931">
        <v>1</v>
      </c>
    </row>
    <row r="3932" spans="1:8" x14ac:dyDescent="0.35">
      <c r="A3932">
        <v>8414493960048</v>
      </c>
      <c r="B3932" t="s">
        <v>1158</v>
      </c>
      <c r="C3932" t="s">
        <v>603</v>
      </c>
      <c r="D3932" t="s">
        <v>463</v>
      </c>
      <c r="E3932" t="s">
        <v>464</v>
      </c>
      <c r="F3932" t="s">
        <v>465</v>
      </c>
      <c r="G3932" t="s">
        <v>31</v>
      </c>
      <c r="H3932">
        <v>1</v>
      </c>
    </row>
    <row r="3933" spans="1:8" x14ac:dyDescent="0.35">
      <c r="A3933">
        <v>8423537016856</v>
      </c>
      <c r="B3933" t="s">
        <v>4197</v>
      </c>
      <c r="C3933" t="s">
        <v>94</v>
      </c>
      <c r="D3933" t="s">
        <v>4198</v>
      </c>
      <c r="E3933" t="s">
        <v>464</v>
      </c>
      <c r="F3933" t="s">
        <v>4199</v>
      </c>
      <c r="G3933" t="s">
        <v>41</v>
      </c>
      <c r="H3933">
        <v>48</v>
      </c>
    </row>
    <row r="3934" spans="1:8" x14ac:dyDescent="0.35">
      <c r="A3934">
        <v>8428294001022</v>
      </c>
      <c r="B3934" t="s">
        <v>1158</v>
      </c>
      <c r="C3934" t="s">
        <v>192</v>
      </c>
      <c r="D3934" t="s">
        <v>3926</v>
      </c>
      <c r="E3934" t="s">
        <v>308</v>
      </c>
      <c r="F3934" t="s">
        <v>309</v>
      </c>
      <c r="G3934" t="s">
        <v>464</v>
      </c>
      <c r="H3934">
        <v>3</v>
      </c>
    </row>
    <row r="3935" spans="1:8" x14ac:dyDescent="0.35">
      <c r="A3935">
        <v>8428294001022</v>
      </c>
      <c r="B3935" t="s">
        <v>1158</v>
      </c>
      <c r="C3935" t="s">
        <v>192</v>
      </c>
      <c r="D3935" t="s">
        <v>3926</v>
      </c>
      <c r="E3935" t="s">
        <v>308</v>
      </c>
      <c r="F3935" t="s">
        <v>309</v>
      </c>
      <c r="G3935" t="s">
        <v>22</v>
      </c>
      <c r="H3935">
        <v>1</v>
      </c>
    </row>
    <row r="3936" spans="1:8" x14ac:dyDescent="0.35">
      <c r="A3936">
        <v>8428294001022</v>
      </c>
      <c r="B3936" t="s">
        <v>1158</v>
      </c>
      <c r="C3936" t="s">
        <v>192</v>
      </c>
      <c r="D3936" t="s">
        <v>3926</v>
      </c>
      <c r="E3936" t="s">
        <v>308</v>
      </c>
      <c r="F3936" t="s">
        <v>309</v>
      </c>
      <c r="G3936" t="s">
        <v>34</v>
      </c>
      <c r="H3936">
        <v>1</v>
      </c>
    </row>
    <row r="3937" spans="1:8" x14ac:dyDescent="0.35">
      <c r="A3937">
        <v>8431876267259</v>
      </c>
      <c r="B3937" t="s">
        <v>1158</v>
      </c>
      <c r="C3937" t="s">
        <v>326</v>
      </c>
      <c r="D3937" t="s">
        <v>4192</v>
      </c>
      <c r="E3937" t="s">
        <v>464</v>
      </c>
      <c r="F3937" t="s">
        <v>4193</v>
      </c>
      <c r="G3937" t="s">
        <v>464</v>
      </c>
      <c r="H3937">
        <v>3</v>
      </c>
    </row>
    <row r="3938" spans="1:8" x14ac:dyDescent="0.35">
      <c r="A3938">
        <v>8431876296006</v>
      </c>
      <c r="B3938" t="s">
        <v>4200</v>
      </c>
      <c r="C3938" t="s">
        <v>443</v>
      </c>
      <c r="D3938" t="s">
        <v>1230</v>
      </c>
      <c r="E3938" t="s">
        <v>130</v>
      </c>
      <c r="F3938" t="s">
        <v>1230</v>
      </c>
      <c r="G3938" t="s">
        <v>464</v>
      </c>
      <c r="H3938">
        <v>1</v>
      </c>
    </row>
    <row r="3939" spans="1:8" x14ac:dyDescent="0.35">
      <c r="A3939">
        <v>8431876296679</v>
      </c>
      <c r="B3939" t="s">
        <v>4201</v>
      </c>
      <c r="C3939" t="s">
        <v>81</v>
      </c>
      <c r="D3939" t="s">
        <v>1230</v>
      </c>
      <c r="E3939" t="s">
        <v>130</v>
      </c>
      <c r="F3939" t="s">
        <v>1230</v>
      </c>
      <c r="G3939" t="s">
        <v>464</v>
      </c>
      <c r="H3939">
        <v>4</v>
      </c>
    </row>
    <row r="3940" spans="1:8" x14ac:dyDescent="0.35">
      <c r="A3940">
        <v>8431876304022</v>
      </c>
      <c r="B3940" t="s">
        <v>4202</v>
      </c>
      <c r="C3940" t="s">
        <v>81</v>
      </c>
      <c r="D3940" t="s">
        <v>1230</v>
      </c>
      <c r="E3940" t="s">
        <v>130</v>
      </c>
      <c r="F3940" t="s">
        <v>1230</v>
      </c>
      <c r="G3940" t="s">
        <v>464</v>
      </c>
      <c r="H3940">
        <v>1</v>
      </c>
    </row>
    <row r="3941" spans="1:8" x14ac:dyDescent="0.35">
      <c r="A3941">
        <v>8431876304022</v>
      </c>
      <c r="B3941" t="s">
        <v>4202</v>
      </c>
      <c r="C3941" t="s">
        <v>81</v>
      </c>
      <c r="D3941" t="s">
        <v>1230</v>
      </c>
      <c r="E3941" t="s">
        <v>130</v>
      </c>
      <c r="F3941" t="s">
        <v>1230</v>
      </c>
      <c r="G3941" t="s">
        <v>33</v>
      </c>
      <c r="H3941">
        <v>61</v>
      </c>
    </row>
    <row r="3942" spans="1:8" x14ac:dyDescent="0.35">
      <c r="A3942">
        <v>8435185960658</v>
      </c>
      <c r="B3942" t="s">
        <v>581</v>
      </c>
      <c r="C3942" t="s">
        <v>603</v>
      </c>
      <c r="D3942" t="s">
        <v>994</v>
      </c>
      <c r="E3942" t="s">
        <v>318</v>
      </c>
      <c r="F3942" t="s">
        <v>319</v>
      </c>
      <c r="G3942" t="s">
        <v>117</v>
      </c>
      <c r="H3942">
        <v>27</v>
      </c>
    </row>
    <row r="3943" spans="1:8" x14ac:dyDescent="0.35">
      <c r="A3943">
        <v>8435185960665</v>
      </c>
      <c r="B3943" t="s">
        <v>581</v>
      </c>
      <c r="C3943" t="s">
        <v>4203</v>
      </c>
      <c r="D3943" t="s">
        <v>994</v>
      </c>
      <c r="E3943" t="s">
        <v>318</v>
      </c>
      <c r="F3943" t="s">
        <v>319</v>
      </c>
      <c r="G3943" t="s">
        <v>117</v>
      </c>
      <c r="H3943">
        <v>7</v>
      </c>
    </row>
    <row r="3944" spans="1:8" x14ac:dyDescent="0.35">
      <c r="A3944">
        <v>8435185961914</v>
      </c>
      <c r="B3944" t="s">
        <v>4204</v>
      </c>
      <c r="C3944" t="s">
        <v>110</v>
      </c>
      <c r="D3944" t="s">
        <v>998</v>
      </c>
      <c r="E3944" t="s">
        <v>15</v>
      </c>
      <c r="F3944" t="s">
        <v>901</v>
      </c>
      <c r="G3944" t="s">
        <v>387</v>
      </c>
      <c r="H3944">
        <v>34</v>
      </c>
    </row>
    <row r="3945" spans="1:8" x14ac:dyDescent="0.35">
      <c r="A3945">
        <v>8437002889036</v>
      </c>
      <c r="B3945" t="s">
        <v>4205</v>
      </c>
      <c r="C3945" t="s">
        <v>192</v>
      </c>
      <c r="D3945" t="s">
        <v>4206</v>
      </c>
      <c r="E3945" t="s">
        <v>308</v>
      </c>
      <c r="F3945" t="s">
        <v>309</v>
      </c>
      <c r="G3945" t="s">
        <v>464</v>
      </c>
      <c r="H3945">
        <v>3</v>
      </c>
    </row>
    <row r="3946" spans="1:8" x14ac:dyDescent="0.35">
      <c r="A3946">
        <v>8437003111501</v>
      </c>
      <c r="B3946" t="s">
        <v>4207</v>
      </c>
      <c r="C3946" t="s">
        <v>192</v>
      </c>
      <c r="D3946" t="s">
        <v>4208</v>
      </c>
      <c r="E3946" t="s">
        <v>464</v>
      </c>
      <c r="F3946" t="s">
        <v>4209</v>
      </c>
      <c r="G3946" t="s">
        <v>464</v>
      </c>
      <c r="H3946">
        <v>7</v>
      </c>
    </row>
    <row r="3947" spans="1:8" x14ac:dyDescent="0.35">
      <c r="A3947">
        <v>8480000052506</v>
      </c>
      <c r="B3947" t="s">
        <v>4210</v>
      </c>
      <c r="C3947" t="s">
        <v>272</v>
      </c>
      <c r="D3947" t="s">
        <v>4211</v>
      </c>
      <c r="E3947" t="s">
        <v>464</v>
      </c>
      <c r="F3947" t="s">
        <v>4212</v>
      </c>
      <c r="G3947" t="s">
        <v>464</v>
      </c>
      <c r="H3947">
        <v>1</v>
      </c>
    </row>
    <row r="3948" spans="1:8" x14ac:dyDescent="0.35">
      <c r="A3948">
        <v>8480000399656</v>
      </c>
      <c r="B3948" t="s">
        <v>4213</v>
      </c>
      <c r="C3948" t="s">
        <v>603</v>
      </c>
      <c r="D3948" t="s">
        <v>4211</v>
      </c>
      <c r="E3948" t="s">
        <v>464</v>
      </c>
      <c r="F3948" t="s">
        <v>4212</v>
      </c>
      <c r="G3948" t="s">
        <v>464</v>
      </c>
      <c r="H3948">
        <v>1</v>
      </c>
    </row>
    <row r="3949" spans="1:8" x14ac:dyDescent="0.35">
      <c r="A3949">
        <v>8480000430243</v>
      </c>
      <c r="B3949" t="s">
        <v>4214</v>
      </c>
      <c r="C3949" t="s">
        <v>78</v>
      </c>
      <c r="D3949" t="s">
        <v>4211</v>
      </c>
      <c r="E3949" t="s">
        <v>464</v>
      </c>
      <c r="F3949" t="s">
        <v>4212</v>
      </c>
      <c r="G3949" t="s">
        <v>464</v>
      </c>
      <c r="H3949">
        <v>1</v>
      </c>
    </row>
    <row r="3950" spans="1:8" x14ac:dyDescent="0.35">
      <c r="A3950">
        <v>8480000430281</v>
      </c>
      <c r="B3950" t="s">
        <v>4215</v>
      </c>
      <c r="C3950" t="s">
        <v>81</v>
      </c>
      <c r="D3950" t="s">
        <v>4211</v>
      </c>
      <c r="E3950" t="s">
        <v>464</v>
      </c>
      <c r="F3950" t="s">
        <v>4212</v>
      </c>
      <c r="G3950" t="s">
        <v>464</v>
      </c>
      <c r="H3950">
        <v>1</v>
      </c>
    </row>
    <row r="3951" spans="1:8" x14ac:dyDescent="0.35">
      <c r="A3951">
        <v>8480000430892</v>
      </c>
      <c r="B3951" t="s">
        <v>4216</v>
      </c>
      <c r="C3951" t="s">
        <v>326</v>
      </c>
      <c r="D3951" t="s">
        <v>4211</v>
      </c>
      <c r="E3951" t="s">
        <v>464</v>
      </c>
      <c r="F3951" t="s">
        <v>4212</v>
      </c>
      <c r="G3951" t="s">
        <v>464</v>
      </c>
      <c r="H3951">
        <v>1</v>
      </c>
    </row>
    <row r="3952" spans="1:8" x14ac:dyDescent="0.35">
      <c r="A3952">
        <v>8480000431134</v>
      </c>
      <c r="B3952" t="s">
        <v>4217</v>
      </c>
      <c r="C3952" t="s">
        <v>81</v>
      </c>
      <c r="D3952" t="s">
        <v>4211</v>
      </c>
      <c r="E3952" t="s">
        <v>464</v>
      </c>
      <c r="F3952" t="s">
        <v>4212</v>
      </c>
      <c r="G3952" t="s">
        <v>464</v>
      </c>
      <c r="H3952">
        <v>1</v>
      </c>
    </row>
    <row r="3953" spans="1:8" x14ac:dyDescent="0.35">
      <c r="A3953">
        <v>8480000434968</v>
      </c>
      <c r="B3953" t="s">
        <v>4218</v>
      </c>
      <c r="C3953" t="s">
        <v>192</v>
      </c>
      <c r="D3953" t="s">
        <v>4211</v>
      </c>
      <c r="E3953" t="s">
        <v>464</v>
      </c>
      <c r="F3953" t="s">
        <v>4212</v>
      </c>
      <c r="G3953" t="s">
        <v>464</v>
      </c>
      <c r="H3953">
        <v>1</v>
      </c>
    </row>
    <row r="3954" spans="1:8" x14ac:dyDescent="0.35">
      <c r="A3954">
        <v>8480000440198</v>
      </c>
      <c r="B3954" t="s">
        <v>4219</v>
      </c>
      <c r="C3954" t="s">
        <v>326</v>
      </c>
      <c r="D3954" t="s">
        <v>4211</v>
      </c>
      <c r="E3954" t="s">
        <v>464</v>
      </c>
      <c r="F3954" t="s">
        <v>4212</v>
      </c>
      <c r="G3954" t="s">
        <v>464</v>
      </c>
      <c r="H3954">
        <v>1</v>
      </c>
    </row>
    <row r="3955" spans="1:8" x14ac:dyDescent="0.35">
      <c r="A3955">
        <v>8480000442628</v>
      </c>
      <c r="B3955" t="s">
        <v>4220</v>
      </c>
      <c r="C3955" t="s">
        <v>192</v>
      </c>
      <c r="D3955" t="s">
        <v>4211</v>
      </c>
      <c r="E3955" t="s">
        <v>464</v>
      </c>
      <c r="F3955" t="s">
        <v>4212</v>
      </c>
      <c r="G3955" t="s">
        <v>464</v>
      </c>
      <c r="H3955">
        <v>1</v>
      </c>
    </row>
    <row r="3956" spans="1:8" x14ac:dyDescent="0.35">
      <c r="A3956">
        <v>8480000452047</v>
      </c>
      <c r="B3956" t="s">
        <v>4221</v>
      </c>
      <c r="C3956" t="s">
        <v>272</v>
      </c>
      <c r="D3956" t="s">
        <v>4211</v>
      </c>
      <c r="E3956" t="s">
        <v>464</v>
      </c>
      <c r="F3956" t="s">
        <v>4212</v>
      </c>
      <c r="G3956" t="s">
        <v>464</v>
      </c>
      <c r="H3956">
        <v>1</v>
      </c>
    </row>
    <row r="3957" spans="1:8" x14ac:dyDescent="0.35">
      <c r="A3957">
        <v>8480000792013</v>
      </c>
      <c r="B3957" t="s">
        <v>4222</v>
      </c>
      <c r="C3957" t="s">
        <v>83</v>
      </c>
      <c r="D3957" t="s">
        <v>4211</v>
      </c>
      <c r="E3957" t="s">
        <v>464</v>
      </c>
      <c r="F3957" t="s">
        <v>4212</v>
      </c>
      <c r="G3957" t="s">
        <v>464</v>
      </c>
      <c r="H3957">
        <v>1</v>
      </c>
    </row>
    <row r="3958" spans="1:8" x14ac:dyDescent="0.35">
      <c r="A3958">
        <v>8480000792013</v>
      </c>
      <c r="B3958" t="s">
        <v>4222</v>
      </c>
      <c r="C3958" t="s">
        <v>83</v>
      </c>
      <c r="D3958" t="s">
        <v>4211</v>
      </c>
      <c r="E3958" t="s">
        <v>464</v>
      </c>
      <c r="F3958" t="s">
        <v>4212</v>
      </c>
      <c r="G3958" t="s">
        <v>31</v>
      </c>
      <c r="H3958">
        <v>10</v>
      </c>
    </row>
    <row r="3959" spans="1:8" x14ac:dyDescent="0.35">
      <c r="A3959">
        <v>8480000905055</v>
      </c>
      <c r="B3959" t="s">
        <v>4223</v>
      </c>
      <c r="C3959" t="s">
        <v>78</v>
      </c>
      <c r="D3959" t="s">
        <v>4211</v>
      </c>
      <c r="E3959" t="s">
        <v>464</v>
      </c>
      <c r="F3959" t="s">
        <v>4212</v>
      </c>
      <c r="G3959" t="s">
        <v>464</v>
      </c>
      <c r="H3959">
        <v>1</v>
      </c>
    </row>
    <row r="3960" spans="1:8" x14ac:dyDescent="0.35">
      <c r="A3960">
        <v>850040427066</v>
      </c>
      <c r="B3960" t="s">
        <v>4224</v>
      </c>
      <c r="C3960" t="s">
        <v>9</v>
      </c>
      <c r="D3960" t="s">
        <v>978</v>
      </c>
      <c r="E3960" t="s">
        <v>15</v>
      </c>
      <c r="F3960" t="s">
        <v>979</v>
      </c>
      <c r="G3960" t="s">
        <v>22</v>
      </c>
      <c r="H3960">
        <v>1</v>
      </c>
    </row>
    <row r="3961" spans="1:8" x14ac:dyDescent="0.35">
      <c r="A3961">
        <v>850979001290</v>
      </c>
      <c r="B3961" t="s">
        <v>4225</v>
      </c>
      <c r="C3961" t="s">
        <v>9</v>
      </c>
      <c r="D3961" t="s">
        <v>4226</v>
      </c>
      <c r="E3961" t="s">
        <v>308</v>
      </c>
      <c r="F3961" t="s">
        <v>309</v>
      </c>
      <c r="G3961" t="s">
        <v>22</v>
      </c>
      <c r="H3961">
        <v>1</v>
      </c>
    </row>
    <row r="3962" spans="1:8" x14ac:dyDescent="0.35">
      <c r="A3962">
        <v>851276006087</v>
      </c>
      <c r="B3962" t="s">
        <v>668</v>
      </c>
      <c r="C3962" t="s">
        <v>3990</v>
      </c>
      <c r="D3962" t="s">
        <v>998</v>
      </c>
      <c r="E3962" t="s">
        <v>15</v>
      </c>
      <c r="F3962" t="s">
        <v>901</v>
      </c>
      <c r="G3962" t="s">
        <v>921</v>
      </c>
      <c r="H3962">
        <v>1</v>
      </c>
    </row>
    <row r="3963" spans="1:8" x14ac:dyDescent="0.35">
      <c r="A3963">
        <v>85310032</v>
      </c>
      <c r="B3963" t="s">
        <v>884</v>
      </c>
      <c r="C3963" t="s">
        <v>681</v>
      </c>
      <c r="D3963" t="s">
        <v>386</v>
      </c>
      <c r="E3963" t="s">
        <v>387</v>
      </c>
      <c r="F3963" t="s">
        <v>388</v>
      </c>
      <c r="G3963" t="s">
        <v>387</v>
      </c>
      <c r="H3963">
        <v>4</v>
      </c>
    </row>
    <row r="3964" spans="1:8" x14ac:dyDescent="0.35">
      <c r="A3964">
        <v>853148003002</v>
      </c>
      <c r="B3964" t="s">
        <v>884</v>
      </c>
      <c r="C3964" t="s">
        <v>192</v>
      </c>
      <c r="D3964" t="s">
        <v>386</v>
      </c>
      <c r="E3964" t="s">
        <v>387</v>
      </c>
      <c r="F3964" t="s">
        <v>388</v>
      </c>
      <c r="G3964" t="s">
        <v>387</v>
      </c>
      <c r="H3964">
        <v>37</v>
      </c>
    </row>
    <row r="3965" spans="1:8" x14ac:dyDescent="0.35">
      <c r="A3965">
        <v>853148003019</v>
      </c>
      <c r="B3965" t="s">
        <v>3578</v>
      </c>
      <c r="C3965" t="s">
        <v>9</v>
      </c>
      <c r="D3965" t="s">
        <v>386</v>
      </c>
      <c r="E3965" t="s">
        <v>387</v>
      </c>
      <c r="F3965" t="s">
        <v>388</v>
      </c>
      <c r="G3965" t="s">
        <v>387</v>
      </c>
      <c r="H3965">
        <v>1</v>
      </c>
    </row>
    <row r="3966" spans="1:8" x14ac:dyDescent="0.35">
      <c r="A3966">
        <v>8531480032486</v>
      </c>
      <c r="B3966" t="s">
        <v>4227</v>
      </c>
      <c r="C3966" t="s">
        <v>472</v>
      </c>
      <c r="D3966" t="s">
        <v>1000</v>
      </c>
      <c r="E3966" t="s">
        <v>15</v>
      </c>
      <c r="F3966" t="s">
        <v>901</v>
      </c>
      <c r="G3966" t="s">
        <v>387</v>
      </c>
      <c r="H3966">
        <v>1</v>
      </c>
    </row>
    <row r="3967" spans="1:8" x14ac:dyDescent="0.35">
      <c r="A3967">
        <v>853148003286</v>
      </c>
      <c r="B3967" t="s">
        <v>4228</v>
      </c>
      <c r="C3967" t="s">
        <v>681</v>
      </c>
      <c r="D3967" t="s">
        <v>386</v>
      </c>
      <c r="E3967" t="s">
        <v>387</v>
      </c>
      <c r="F3967" t="s">
        <v>388</v>
      </c>
      <c r="G3967" t="s">
        <v>387</v>
      </c>
      <c r="H3967">
        <v>3</v>
      </c>
    </row>
    <row r="3968" spans="1:8" x14ac:dyDescent="0.35">
      <c r="A3968">
        <v>853148003354</v>
      </c>
      <c r="B3968" t="s">
        <v>4229</v>
      </c>
      <c r="C3968" t="s">
        <v>603</v>
      </c>
      <c r="D3968" t="s">
        <v>998</v>
      </c>
      <c r="E3968" t="s">
        <v>15</v>
      </c>
      <c r="F3968" t="s">
        <v>901</v>
      </c>
      <c r="G3968" t="s">
        <v>387</v>
      </c>
      <c r="H3968">
        <v>1</v>
      </c>
    </row>
    <row r="3969" spans="1:8" x14ac:dyDescent="0.35">
      <c r="A3969">
        <v>8589509507002</v>
      </c>
      <c r="B3969" t="s">
        <v>4230</v>
      </c>
      <c r="C3969" t="s">
        <v>3291</v>
      </c>
      <c r="D3969" t="s">
        <v>4231</v>
      </c>
      <c r="E3969" t="s">
        <v>117</v>
      </c>
      <c r="F3969" t="s">
        <v>4232</v>
      </c>
      <c r="G3969" t="s">
        <v>117</v>
      </c>
      <c r="H3969">
        <v>6</v>
      </c>
    </row>
    <row r="3970" spans="1:8" x14ac:dyDescent="0.35">
      <c r="A3970">
        <v>8589509507026</v>
      </c>
      <c r="B3970" t="s">
        <v>4230</v>
      </c>
      <c r="C3970" t="s">
        <v>909</v>
      </c>
      <c r="D3970" t="s">
        <v>4231</v>
      </c>
      <c r="E3970" t="s">
        <v>117</v>
      </c>
      <c r="F3970" t="s">
        <v>4232</v>
      </c>
      <c r="G3970" t="s">
        <v>117</v>
      </c>
      <c r="H3970">
        <v>7</v>
      </c>
    </row>
    <row r="3971" spans="1:8" x14ac:dyDescent="0.35">
      <c r="A3971">
        <v>8589509508726</v>
      </c>
      <c r="B3971" t="s">
        <v>4233</v>
      </c>
      <c r="C3971" t="s">
        <v>38</v>
      </c>
      <c r="D3971" t="s">
        <v>4231</v>
      </c>
      <c r="E3971" t="s">
        <v>117</v>
      </c>
      <c r="F3971" t="s">
        <v>4232</v>
      </c>
      <c r="G3971" t="s">
        <v>117</v>
      </c>
      <c r="H3971">
        <v>1</v>
      </c>
    </row>
    <row r="3972" spans="1:8" x14ac:dyDescent="0.35">
      <c r="A3972">
        <v>8600828002020</v>
      </c>
      <c r="B3972" t="s">
        <v>4234</v>
      </c>
      <c r="C3972" t="s">
        <v>431</v>
      </c>
      <c r="D3972" t="s">
        <v>735</v>
      </c>
      <c r="E3972" t="s">
        <v>637</v>
      </c>
      <c r="F3972" t="s">
        <v>736</v>
      </c>
      <c r="G3972" t="s">
        <v>41</v>
      </c>
      <c r="H3972">
        <v>50</v>
      </c>
    </row>
    <row r="3973" spans="1:8" x14ac:dyDescent="0.35">
      <c r="A3973">
        <v>8681608222579</v>
      </c>
      <c r="B3973" t="s">
        <v>4235</v>
      </c>
      <c r="C3973" t="s">
        <v>9</v>
      </c>
      <c r="D3973" t="s">
        <v>4236</v>
      </c>
      <c r="E3973" t="s">
        <v>637</v>
      </c>
      <c r="F3973" t="s">
        <v>4237</v>
      </c>
      <c r="G3973" t="s">
        <v>34</v>
      </c>
      <c r="H3973">
        <v>1</v>
      </c>
    </row>
    <row r="3974" spans="1:8" x14ac:dyDescent="0.35">
      <c r="A3974">
        <v>8681608222586</v>
      </c>
      <c r="B3974" t="s">
        <v>4238</v>
      </c>
      <c r="C3974" t="s">
        <v>9</v>
      </c>
      <c r="D3974" t="s">
        <v>4236</v>
      </c>
      <c r="E3974" t="s">
        <v>637</v>
      </c>
      <c r="F3974" t="s">
        <v>4237</v>
      </c>
      <c r="G3974" t="s">
        <v>34</v>
      </c>
      <c r="H3974">
        <v>1</v>
      </c>
    </row>
    <row r="3975" spans="1:8" x14ac:dyDescent="0.35">
      <c r="A3975">
        <v>8681608222593</v>
      </c>
      <c r="B3975" t="s">
        <v>4239</v>
      </c>
      <c r="C3975" t="s">
        <v>9</v>
      </c>
      <c r="D3975" t="s">
        <v>4236</v>
      </c>
      <c r="E3975" t="s">
        <v>637</v>
      </c>
      <c r="F3975" t="s">
        <v>4237</v>
      </c>
      <c r="G3975" t="s">
        <v>34</v>
      </c>
      <c r="H3975">
        <v>1</v>
      </c>
    </row>
    <row r="3976" spans="1:8" x14ac:dyDescent="0.35">
      <c r="A3976">
        <v>8681608224818</v>
      </c>
      <c r="B3976" t="s">
        <v>4240</v>
      </c>
      <c r="C3976" t="s">
        <v>758</v>
      </c>
      <c r="D3976" t="s">
        <v>4236</v>
      </c>
      <c r="E3976" t="s">
        <v>637</v>
      </c>
      <c r="F3976" t="s">
        <v>4237</v>
      </c>
      <c r="G3976" t="s">
        <v>34</v>
      </c>
      <c r="H3976">
        <v>1</v>
      </c>
    </row>
    <row r="3977" spans="1:8" x14ac:dyDescent="0.35">
      <c r="A3977">
        <v>8681771361365</v>
      </c>
      <c r="B3977" t="s">
        <v>4241</v>
      </c>
      <c r="C3977" t="s">
        <v>943</v>
      </c>
      <c r="D3977" t="s">
        <v>4242</v>
      </c>
      <c r="E3977" t="s">
        <v>150</v>
      </c>
      <c r="F3977" t="s">
        <v>4243</v>
      </c>
      <c r="G3977" t="s">
        <v>150</v>
      </c>
      <c r="H3977">
        <v>14</v>
      </c>
    </row>
    <row r="3978" spans="1:8" x14ac:dyDescent="0.35">
      <c r="A3978">
        <v>8690506028145</v>
      </c>
      <c r="B3978" t="s">
        <v>4244</v>
      </c>
      <c r="C3978" t="s">
        <v>431</v>
      </c>
      <c r="D3978" t="s">
        <v>4245</v>
      </c>
      <c r="E3978" t="s">
        <v>15</v>
      </c>
      <c r="F3978" t="s">
        <v>4246</v>
      </c>
      <c r="G3978" t="s">
        <v>150</v>
      </c>
      <c r="H3978">
        <v>5</v>
      </c>
    </row>
    <row r="3979" spans="1:8" x14ac:dyDescent="0.35">
      <c r="A3979">
        <v>8690536013166</v>
      </c>
      <c r="B3979" t="s">
        <v>4247</v>
      </c>
      <c r="C3979" t="s">
        <v>458</v>
      </c>
      <c r="D3979" t="s">
        <v>4248</v>
      </c>
      <c r="E3979" t="s">
        <v>637</v>
      </c>
      <c r="F3979" t="s">
        <v>4249</v>
      </c>
      <c r="G3979" t="s">
        <v>117</v>
      </c>
      <c r="H3979">
        <v>9</v>
      </c>
    </row>
    <row r="3980" spans="1:8" x14ac:dyDescent="0.35">
      <c r="A3980">
        <v>8690828000010</v>
      </c>
      <c r="B3980" t="s">
        <v>4250</v>
      </c>
      <c r="C3980" t="s">
        <v>43</v>
      </c>
      <c r="D3980" t="s">
        <v>735</v>
      </c>
      <c r="E3980" t="s">
        <v>637</v>
      </c>
      <c r="F3980" t="s">
        <v>736</v>
      </c>
      <c r="G3980" t="s">
        <v>41</v>
      </c>
      <c r="H3980">
        <v>1</v>
      </c>
    </row>
    <row r="3981" spans="1:8" x14ac:dyDescent="0.35">
      <c r="A3981">
        <v>8690828009020</v>
      </c>
      <c r="B3981" t="s">
        <v>735</v>
      </c>
      <c r="C3981" t="s">
        <v>431</v>
      </c>
      <c r="D3981" t="s">
        <v>735</v>
      </c>
      <c r="E3981" t="s">
        <v>637</v>
      </c>
      <c r="F3981" t="s">
        <v>736</v>
      </c>
      <c r="G3981" t="s">
        <v>41</v>
      </c>
      <c r="H3981">
        <v>86</v>
      </c>
    </row>
    <row r="3982" spans="1:8" x14ac:dyDescent="0.35">
      <c r="A3982">
        <v>8690937006491</v>
      </c>
      <c r="B3982" t="s">
        <v>2095</v>
      </c>
      <c r="C3982" t="s">
        <v>9</v>
      </c>
      <c r="D3982" t="s">
        <v>4251</v>
      </c>
      <c r="E3982" t="s">
        <v>637</v>
      </c>
      <c r="F3982" t="s">
        <v>4252</v>
      </c>
      <c r="G3982" t="s">
        <v>11</v>
      </c>
      <c r="H3982">
        <v>17</v>
      </c>
    </row>
    <row r="3983" spans="1:8" x14ac:dyDescent="0.35">
      <c r="A3983">
        <v>8691313010248</v>
      </c>
      <c r="B3983" t="s">
        <v>4253</v>
      </c>
      <c r="C3983" t="s">
        <v>110</v>
      </c>
      <c r="D3983" t="s">
        <v>4254</v>
      </c>
      <c r="E3983" t="s">
        <v>637</v>
      </c>
      <c r="F3983" t="s">
        <v>4255</v>
      </c>
      <c r="G3983" t="s">
        <v>41</v>
      </c>
      <c r="H3983">
        <v>49</v>
      </c>
    </row>
    <row r="3984" spans="1:8" x14ac:dyDescent="0.35">
      <c r="A3984">
        <v>8691321445186</v>
      </c>
      <c r="B3984" t="s">
        <v>1412</v>
      </c>
      <c r="C3984" t="s">
        <v>3878</v>
      </c>
      <c r="D3984" t="s">
        <v>4256</v>
      </c>
      <c r="E3984" t="s">
        <v>308</v>
      </c>
      <c r="F3984" t="s">
        <v>309</v>
      </c>
      <c r="G3984" t="s">
        <v>150</v>
      </c>
      <c r="H3984">
        <v>1</v>
      </c>
    </row>
    <row r="3985" spans="1:8" x14ac:dyDescent="0.35">
      <c r="A3985">
        <v>8691321901019</v>
      </c>
      <c r="B3985" t="s">
        <v>4257</v>
      </c>
      <c r="C3985" t="s">
        <v>110</v>
      </c>
      <c r="D3985" t="s">
        <v>4256</v>
      </c>
      <c r="E3985" t="s">
        <v>308</v>
      </c>
      <c r="F3985" t="s">
        <v>309</v>
      </c>
      <c r="G3985" t="s">
        <v>150</v>
      </c>
      <c r="H3985">
        <v>4</v>
      </c>
    </row>
    <row r="3986" spans="1:8" x14ac:dyDescent="0.35">
      <c r="A3986">
        <v>8692857013306</v>
      </c>
      <c r="B3986" t="s">
        <v>1569</v>
      </c>
      <c r="C3986" t="s">
        <v>9</v>
      </c>
      <c r="D3986" t="s">
        <v>4258</v>
      </c>
      <c r="E3986" t="s">
        <v>308</v>
      </c>
      <c r="F3986" t="s">
        <v>309</v>
      </c>
      <c r="G3986" t="s">
        <v>34</v>
      </c>
      <c r="H3986">
        <v>2</v>
      </c>
    </row>
    <row r="3987" spans="1:8" x14ac:dyDescent="0.35">
      <c r="A3987">
        <v>8692857014105</v>
      </c>
      <c r="B3987" t="s">
        <v>4259</v>
      </c>
      <c r="C3987" t="s">
        <v>9</v>
      </c>
      <c r="D3987" t="s">
        <v>4258</v>
      </c>
      <c r="E3987" t="s">
        <v>308</v>
      </c>
      <c r="F3987" t="s">
        <v>309</v>
      </c>
      <c r="G3987" t="s">
        <v>34</v>
      </c>
      <c r="H3987">
        <v>1</v>
      </c>
    </row>
    <row r="3988" spans="1:8" x14ac:dyDescent="0.35">
      <c r="A3988">
        <v>8693275000114</v>
      </c>
      <c r="B3988" t="s">
        <v>4260</v>
      </c>
      <c r="C3988" t="s">
        <v>2218</v>
      </c>
      <c r="D3988" t="s">
        <v>4261</v>
      </c>
      <c r="E3988" t="s">
        <v>637</v>
      </c>
      <c r="F3988" t="s">
        <v>4262</v>
      </c>
      <c r="G3988" t="s">
        <v>34</v>
      </c>
      <c r="H3988">
        <v>14</v>
      </c>
    </row>
    <row r="3989" spans="1:8" x14ac:dyDescent="0.35">
      <c r="A3989">
        <v>8693275000114</v>
      </c>
      <c r="B3989" t="s">
        <v>4260</v>
      </c>
      <c r="C3989" t="s">
        <v>2218</v>
      </c>
      <c r="D3989" t="s">
        <v>4261</v>
      </c>
      <c r="E3989" t="s">
        <v>637</v>
      </c>
      <c r="F3989" t="s">
        <v>4262</v>
      </c>
      <c r="G3989" t="s">
        <v>61</v>
      </c>
      <c r="H3989">
        <v>1</v>
      </c>
    </row>
    <row r="3990" spans="1:8" x14ac:dyDescent="0.35">
      <c r="A3990">
        <v>8693593102545</v>
      </c>
      <c r="B3990" t="s">
        <v>4263</v>
      </c>
      <c r="C3990" t="s">
        <v>9</v>
      </c>
      <c r="D3990" t="s">
        <v>2252</v>
      </c>
      <c r="E3990" t="s">
        <v>130</v>
      </c>
      <c r="F3990" t="s">
        <v>220</v>
      </c>
      <c r="G3990" t="s">
        <v>122</v>
      </c>
      <c r="H3990">
        <v>1</v>
      </c>
    </row>
    <row r="3991" spans="1:8" x14ac:dyDescent="0.35">
      <c r="A3991">
        <v>8697420532529</v>
      </c>
      <c r="B3991" t="s">
        <v>4264</v>
      </c>
      <c r="C3991" t="s">
        <v>2676</v>
      </c>
      <c r="D3991" t="s">
        <v>4265</v>
      </c>
      <c r="E3991" t="s">
        <v>637</v>
      </c>
      <c r="F3991" t="s">
        <v>4266</v>
      </c>
      <c r="G3991" t="s">
        <v>34</v>
      </c>
      <c r="H3991">
        <v>1</v>
      </c>
    </row>
    <row r="3992" spans="1:8" x14ac:dyDescent="0.35">
      <c r="A3992">
        <v>8697420532543</v>
      </c>
      <c r="B3992" t="s">
        <v>4267</v>
      </c>
      <c r="C3992" t="s">
        <v>4268</v>
      </c>
      <c r="D3992" t="s">
        <v>4265</v>
      </c>
      <c r="E3992" t="s">
        <v>637</v>
      </c>
      <c r="F3992" t="s">
        <v>4266</v>
      </c>
      <c r="G3992" t="s">
        <v>34</v>
      </c>
      <c r="H3992">
        <v>1</v>
      </c>
    </row>
    <row r="3993" spans="1:8" x14ac:dyDescent="0.35">
      <c r="A3993">
        <v>8698726781772</v>
      </c>
      <c r="B3993" t="s">
        <v>4269</v>
      </c>
      <c r="C3993" t="s">
        <v>458</v>
      </c>
      <c r="D3993" t="s">
        <v>4270</v>
      </c>
      <c r="E3993" t="s">
        <v>637</v>
      </c>
      <c r="F3993" t="s">
        <v>4271</v>
      </c>
      <c r="G3993" t="s">
        <v>41</v>
      </c>
      <c r="H3993">
        <v>18</v>
      </c>
    </row>
    <row r="3994" spans="1:8" x14ac:dyDescent="0.35">
      <c r="A3994">
        <v>8698726782694</v>
      </c>
      <c r="B3994" t="s">
        <v>4272</v>
      </c>
      <c r="C3994" t="s">
        <v>458</v>
      </c>
      <c r="D3994" t="s">
        <v>4270</v>
      </c>
      <c r="E3994" t="s">
        <v>637</v>
      </c>
      <c r="F3994" t="s">
        <v>4271</v>
      </c>
      <c r="G3994" t="s">
        <v>41</v>
      </c>
      <c r="H3994">
        <v>12</v>
      </c>
    </row>
    <row r="3995" spans="1:8" x14ac:dyDescent="0.35">
      <c r="A3995">
        <v>8698726783769</v>
      </c>
      <c r="B3995" t="s">
        <v>4273</v>
      </c>
      <c r="C3995" t="s">
        <v>458</v>
      </c>
      <c r="D3995" t="s">
        <v>4270</v>
      </c>
      <c r="E3995" t="s">
        <v>637</v>
      </c>
      <c r="F3995" t="s">
        <v>4271</v>
      </c>
      <c r="G3995" t="s">
        <v>41</v>
      </c>
      <c r="H3995">
        <v>35</v>
      </c>
    </row>
    <row r="3996" spans="1:8" x14ac:dyDescent="0.35">
      <c r="A3996">
        <v>8698726785541</v>
      </c>
      <c r="B3996" t="s">
        <v>4274</v>
      </c>
      <c r="C3996" t="s">
        <v>458</v>
      </c>
      <c r="D3996" t="s">
        <v>4270</v>
      </c>
      <c r="E3996" t="s">
        <v>637</v>
      </c>
      <c r="F3996" t="s">
        <v>4271</v>
      </c>
      <c r="G3996" t="s">
        <v>41</v>
      </c>
      <c r="H3996">
        <v>47</v>
      </c>
    </row>
    <row r="3997" spans="1:8" x14ac:dyDescent="0.35">
      <c r="A3997">
        <v>8698726786128</v>
      </c>
      <c r="B3997" t="s">
        <v>4275</v>
      </c>
      <c r="C3997" t="s">
        <v>458</v>
      </c>
      <c r="D3997" t="s">
        <v>4270</v>
      </c>
      <c r="E3997" t="s">
        <v>637</v>
      </c>
      <c r="F3997" t="s">
        <v>4271</v>
      </c>
      <c r="G3997" t="s">
        <v>41</v>
      </c>
      <c r="H3997">
        <v>24</v>
      </c>
    </row>
    <row r="3998" spans="1:8" x14ac:dyDescent="0.35">
      <c r="A3998">
        <v>8698726786647</v>
      </c>
      <c r="B3998" t="s">
        <v>4269</v>
      </c>
      <c r="C3998" t="s">
        <v>458</v>
      </c>
      <c r="D3998" t="s">
        <v>4270</v>
      </c>
      <c r="E3998" t="s">
        <v>637</v>
      </c>
      <c r="F3998" t="s">
        <v>4271</v>
      </c>
      <c r="G3998" t="s">
        <v>41</v>
      </c>
      <c r="H3998">
        <v>11</v>
      </c>
    </row>
    <row r="3999" spans="1:8" x14ac:dyDescent="0.35">
      <c r="A3999">
        <v>8699415020202</v>
      </c>
      <c r="B3999" t="s">
        <v>4276</v>
      </c>
      <c r="C3999" t="s">
        <v>758</v>
      </c>
      <c r="D3999" t="s">
        <v>4277</v>
      </c>
      <c r="E3999" t="s">
        <v>308</v>
      </c>
      <c r="F3999" t="s">
        <v>309</v>
      </c>
      <c r="G3999" t="s">
        <v>34</v>
      </c>
      <c r="H3999">
        <v>17</v>
      </c>
    </row>
    <row r="4000" spans="1:8" x14ac:dyDescent="0.35">
      <c r="A4000">
        <v>8699415023005</v>
      </c>
      <c r="B4000" t="s">
        <v>4278</v>
      </c>
      <c r="C4000" t="s">
        <v>4279</v>
      </c>
      <c r="D4000" t="s">
        <v>4277</v>
      </c>
      <c r="E4000" t="s">
        <v>308</v>
      </c>
      <c r="F4000" t="s">
        <v>309</v>
      </c>
      <c r="G4000" t="s">
        <v>34</v>
      </c>
      <c r="H4000">
        <v>1</v>
      </c>
    </row>
    <row r="4001" spans="1:8" x14ac:dyDescent="0.35">
      <c r="A4001">
        <v>8710908778230</v>
      </c>
      <c r="B4001" t="s">
        <v>4280</v>
      </c>
      <c r="C4001" t="s">
        <v>83</v>
      </c>
      <c r="D4001" t="s">
        <v>1523</v>
      </c>
      <c r="E4001" t="s">
        <v>22</v>
      </c>
      <c r="F4001" t="s">
        <v>361</v>
      </c>
      <c r="G4001" t="s">
        <v>22</v>
      </c>
      <c r="H4001">
        <v>1</v>
      </c>
    </row>
    <row r="4002" spans="1:8" x14ac:dyDescent="0.35">
      <c r="A4002">
        <v>8710908914263</v>
      </c>
      <c r="B4002" t="s">
        <v>4281</v>
      </c>
      <c r="C4002" t="s">
        <v>9</v>
      </c>
      <c r="D4002" t="s">
        <v>1302</v>
      </c>
      <c r="E4002" t="s">
        <v>22</v>
      </c>
      <c r="F4002" t="s">
        <v>361</v>
      </c>
      <c r="G4002" t="s">
        <v>507</v>
      </c>
      <c r="H4002">
        <v>1</v>
      </c>
    </row>
    <row r="4003" spans="1:8" x14ac:dyDescent="0.35">
      <c r="A4003">
        <v>8711700841252</v>
      </c>
      <c r="B4003" t="s">
        <v>4282</v>
      </c>
      <c r="C4003" t="s">
        <v>83</v>
      </c>
      <c r="D4003" t="s">
        <v>1523</v>
      </c>
      <c r="E4003" t="s">
        <v>22</v>
      </c>
      <c r="F4003" t="s">
        <v>361</v>
      </c>
      <c r="G4003" t="s">
        <v>150</v>
      </c>
      <c r="H4003">
        <v>1</v>
      </c>
    </row>
    <row r="4004" spans="1:8" x14ac:dyDescent="0.35">
      <c r="A4004">
        <v>8712000900663</v>
      </c>
      <c r="B4004" t="s">
        <v>4283</v>
      </c>
      <c r="C4004" t="s">
        <v>1199</v>
      </c>
      <c r="D4004" t="s">
        <v>4283</v>
      </c>
      <c r="E4004" t="s">
        <v>1201</v>
      </c>
      <c r="F4004" t="s">
        <v>1202</v>
      </c>
      <c r="G4004" t="s">
        <v>61</v>
      </c>
      <c r="H4004">
        <v>12</v>
      </c>
    </row>
    <row r="4005" spans="1:8" x14ac:dyDescent="0.35">
      <c r="A4005">
        <v>8712100382086</v>
      </c>
      <c r="B4005" t="s">
        <v>4284</v>
      </c>
      <c r="C4005" t="s">
        <v>4285</v>
      </c>
      <c r="D4005" t="s">
        <v>4286</v>
      </c>
      <c r="E4005" t="s">
        <v>22</v>
      </c>
      <c r="F4005" t="s">
        <v>361</v>
      </c>
      <c r="G4005" t="s">
        <v>150</v>
      </c>
      <c r="H4005">
        <v>4</v>
      </c>
    </row>
    <row r="4006" spans="1:8" x14ac:dyDescent="0.35">
      <c r="A4006">
        <v>8712561645690</v>
      </c>
      <c r="B4006" t="s">
        <v>4287</v>
      </c>
      <c r="C4006" t="s">
        <v>9</v>
      </c>
      <c r="D4006" t="s">
        <v>1523</v>
      </c>
      <c r="E4006" t="s">
        <v>22</v>
      </c>
      <c r="F4006" t="s">
        <v>361</v>
      </c>
      <c r="G4006" t="s">
        <v>150</v>
      </c>
      <c r="H4006">
        <v>2</v>
      </c>
    </row>
    <row r="4007" spans="1:8" x14ac:dyDescent="0.35">
      <c r="A4007">
        <v>8712561790017</v>
      </c>
      <c r="B4007" t="s">
        <v>4288</v>
      </c>
      <c r="C4007" t="s">
        <v>4289</v>
      </c>
      <c r="D4007" t="s">
        <v>1523</v>
      </c>
      <c r="E4007" t="s">
        <v>22</v>
      </c>
      <c r="F4007" t="s">
        <v>361</v>
      </c>
      <c r="G4007" t="s">
        <v>22</v>
      </c>
      <c r="H4007">
        <v>1</v>
      </c>
    </row>
    <row r="4008" spans="1:8" x14ac:dyDescent="0.35">
      <c r="A4008">
        <v>8712561899246</v>
      </c>
      <c r="B4008" t="s">
        <v>4290</v>
      </c>
      <c r="C4008" t="s">
        <v>4291</v>
      </c>
      <c r="D4008" t="s">
        <v>1523</v>
      </c>
      <c r="E4008" t="s">
        <v>22</v>
      </c>
      <c r="F4008" t="s">
        <v>361</v>
      </c>
      <c r="G4008" t="s">
        <v>34</v>
      </c>
      <c r="H4008">
        <v>1</v>
      </c>
    </row>
    <row r="4009" spans="1:8" x14ac:dyDescent="0.35">
      <c r="A4009">
        <v>87126037</v>
      </c>
      <c r="B4009" t="s">
        <v>4292</v>
      </c>
      <c r="C4009" t="s">
        <v>38</v>
      </c>
      <c r="D4009" t="s">
        <v>14</v>
      </c>
      <c r="E4009" t="s">
        <v>15</v>
      </c>
      <c r="F4009" t="s">
        <v>14</v>
      </c>
      <c r="G4009" t="s">
        <v>33</v>
      </c>
      <c r="H4009">
        <v>11</v>
      </c>
    </row>
    <row r="4010" spans="1:8" x14ac:dyDescent="0.35">
      <c r="A4010">
        <v>87126037</v>
      </c>
      <c r="B4010" t="s">
        <v>4292</v>
      </c>
      <c r="C4010" t="s">
        <v>38</v>
      </c>
      <c r="D4010" t="s">
        <v>14</v>
      </c>
      <c r="E4010" t="s">
        <v>15</v>
      </c>
      <c r="F4010" t="s">
        <v>14</v>
      </c>
      <c r="G4010" t="s">
        <v>34</v>
      </c>
      <c r="H4010">
        <v>1</v>
      </c>
    </row>
    <row r="4011" spans="1:8" x14ac:dyDescent="0.35">
      <c r="A4011">
        <v>8714789898759</v>
      </c>
      <c r="B4011" t="s">
        <v>4293</v>
      </c>
      <c r="C4011" t="s">
        <v>9</v>
      </c>
      <c r="D4011" t="s">
        <v>4294</v>
      </c>
      <c r="E4011" t="s">
        <v>308</v>
      </c>
      <c r="F4011" t="s">
        <v>309</v>
      </c>
      <c r="G4011" t="s">
        <v>34</v>
      </c>
      <c r="H4011">
        <v>1</v>
      </c>
    </row>
    <row r="4012" spans="1:8" x14ac:dyDescent="0.35">
      <c r="A4012">
        <v>8714800011426</v>
      </c>
      <c r="B4012" t="s">
        <v>4295</v>
      </c>
      <c r="C4012" t="s">
        <v>9</v>
      </c>
      <c r="D4012" t="s">
        <v>4296</v>
      </c>
      <c r="E4012" t="s">
        <v>308</v>
      </c>
      <c r="F4012" t="s">
        <v>309</v>
      </c>
      <c r="G4012" t="s">
        <v>150</v>
      </c>
      <c r="H4012">
        <v>1</v>
      </c>
    </row>
    <row r="4013" spans="1:8" x14ac:dyDescent="0.35">
      <c r="A4013">
        <v>8714800035965</v>
      </c>
      <c r="B4013" t="s">
        <v>4297</v>
      </c>
      <c r="C4013" t="s">
        <v>272</v>
      </c>
      <c r="D4013" t="s">
        <v>4296</v>
      </c>
      <c r="E4013" t="s">
        <v>308</v>
      </c>
      <c r="F4013" t="s">
        <v>309</v>
      </c>
      <c r="G4013" t="s">
        <v>117</v>
      </c>
      <c r="H4013">
        <v>14</v>
      </c>
    </row>
    <row r="4014" spans="1:8" x14ac:dyDescent="0.35">
      <c r="A4014">
        <v>8715035110809</v>
      </c>
      <c r="B4014" t="s">
        <v>4298</v>
      </c>
      <c r="C4014" t="s">
        <v>81</v>
      </c>
      <c r="D4014" t="s">
        <v>4299</v>
      </c>
      <c r="E4014" t="s">
        <v>308</v>
      </c>
      <c r="F4014" t="s">
        <v>309</v>
      </c>
      <c r="G4014" t="s">
        <v>22</v>
      </c>
      <c r="H4014">
        <v>1</v>
      </c>
    </row>
    <row r="4015" spans="1:8" x14ac:dyDescent="0.35">
      <c r="A4015">
        <v>8715600244427</v>
      </c>
      <c r="B4015" t="s">
        <v>273</v>
      </c>
      <c r="C4015" t="s">
        <v>9</v>
      </c>
      <c r="D4015" t="s">
        <v>273</v>
      </c>
      <c r="E4015" t="s">
        <v>15</v>
      </c>
      <c r="F4015" t="s">
        <v>56</v>
      </c>
      <c r="G4015" t="s">
        <v>22</v>
      </c>
      <c r="H4015">
        <v>1</v>
      </c>
    </row>
    <row r="4016" spans="1:8" x14ac:dyDescent="0.35">
      <c r="A4016">
        <v>87157635</v>
      </c>
      <c r="B4016" t="s">
        <v>1421</v>
      </c>
      <c r="C4016" t="s">
        <v>38</v>
      </c>
      <c r="D4016" t="s">
        <v>1600</v>
      </c>
      <c r="E4016" t="s">
        <v>15</v>
      </c>
      <c r="F4016" t="s">
        <v>1395</v>
      </c>
      <c r="G4016" t="s">
        <v>22</v>
      </c>
      <c r="H4016">
        <v>1</v>
      </c>
    </row>
    <row r="4017" spans="1:8" x14ac:dyDescent="0.35">
      <c r="A4017">
        <v>87158304</v>
      </c>
      <c r="B4017" t="s">
        <v>4300</v>
      </c>
      <c r="C4017" t="s">
        <v>434</v>
      </c>
      <c r="D4017" t="s">
        <v>4301</v>
      </c>
      <c r="E4017" t="s">
        <v>1201</v>
      </c>
      <c r="F4017" t="s">
        <v>4302</v>
      </c>
      <c r="G4017" t="s">
        <v>150</v>
      </c>
      <c r="H4017">
        <v>19</v>
      </c>
    </row>
    <row r="4018" spans="1:8" x14ac:dyDescent="0.35">
      <c r="A4018">
        <v>87170788</v>
      </c>
      <c r="B4018" t="s">
        <v>1291</v>
      </c>
      <c r="C4018" t="s">
        <v>9</v>
      </c>
      <c r="D4018" t="s">
        <v>273</v>
      </c>
      <c r="E4018" t="s">
        <v>15</v>
      </c>
      <c r="F4018" t="s">
        <v>56</v>
      </c>
      <c r="G4018" t="s">
        <v>22</v>
      </c>
      <c r="H4018">
        <v>5</v>
      </c>
    </row>
    <row r="4019" spans="1:8" x14ac:dyDescent="0.35">
      <c r="A4019">
        <v>87170795</v>
      </c>
      <c r="B4019" t="s">
        <v>275</v>
      </c>
      <c r="C4019" t="s">
        <v>603</v>
      </c>
      <c r="D4019" t="s">
        <v>273</v>
      </c>
      <c r="E4019" t="s">
        <v>15</v>
      </c>
      <c r="F4019" t="s">
        <v>56</v>
      </c>
      <c r="G4019" t="s">
        <v>22</v>
      </c>
      <c r="H4019">
        <v>1</v>
      </c>
    </row>
    <row r="4020" spans="1:8" x14ac:dyDescent="0.35">
      <c r="A4020">
        <v>87171372</v>
      </c>
      <c r="B4020" t="s">
        <v>3461</v>
      </c>
      <c r="C4020" t="s">
        <v>9</v>
      </c>
      <c r="D4020" t="s">
        <v>55</v>
      </c>
      <c r="E4020" t="s">
        <v>15</v>
      </c>
      <c r="F4020" t="s">
        <v>56</v>
      </c>
      <c r="G4020" t="s">
        <v>16</v>
      </c>
      <c r="H4020">
        <v>4</v>
      </c>
    </row>
    <row r="4021" spans="1:8" x14ac:dyDescent="0.35">
      <c r="A4021">
        <v>87171372</v>
      </c>
      <c r="B4021" t="s">
        <v>3461</v>
      </c>
      <c r="C4021" t="s">
        <v>9</v>
      </c>
      <c r="D4021" t="s">
        <v>55</v>
      </c>
      <c r="E4021" t="s">
        <v>15</v>
      </c>
      <c r="F4021" t="s">
        <v>56</v>
      </c>
      <c r="G4021" t="s">
        <v>22</v>
      </c>
      <c r="H4021">
        <v>2</v>
      </c>
    </row>
    <row r="4022" spans="1:8" x14ac:dyDescent="0.35">
      <c r="A4022">
        <v>87171372</v>
      </c>
      <c r="B4022" t="s">
        <v>3461</v>
      </c>
      <c r="C4022" t="s">
        <v>9</v>
      </c>
      <c r="D4022" t="s">
        <v>55</v>
      </c>
      <c r="E4022" t="s">
        <v>15</v>
      </c>
      <c r="F4022" t="s">
        <v>56</v>
      </c>
      <c r="G4022" t="s">
        <v>31</v>
      </c>
      <c r="H4022">
        <v>5</v>
      </c>
    </row>
    <row r="4023" spans="1:8" x14ac:dyDescent="0.35">
      <c r="A4023">
        <v>8717399841658</v>
      </c>
      <c r="B4023" t="s">
        <v>4303</v>
      </c>
      <c r="C4023" t="s">
        <v>1374</v>
      </c>
      <c r="D4023" t="s">
        <v>4304</v>
      </c>
      <c r="E4023" t="s">
        <v>117</v>
      </c>
      <c r="F4023" t="s">
        <v>4305</v>
      </c>
      <c r="G4023" t="s">
        <v>117</v>
      </c>
      <c r="H4023">
        <v>3</v>
      </c>
    </row>
    <row r="4024" spans="1:8" x14ac:dyDescent="0.35">
      <c r="A4024">
        <v>8717399841665</v>
      </c>
      <c r="B4024" t="s">
        <v>4306</v>
      </c>
      <c r="C4024" t="s">
        <v>1598</v>
      </c>
      <c r="D4024" t="s">
        <v>4304</v>
      </c>
      <c r="E4024" t="s">
        <v>117</v>
      </c>
      <c r="F4024" t="s">
        <v>4305</v>
      </c>
      <c r="G4024" t="s">
        <v>117</v>
      </c>
      <c r="H4024">
        <v>8</v>
      </c>
    </row>
    <row r="4025" spans="1:8" x14ac:dyDescent="0.35">
      <c r="A4025">
        <v>8718951312531</v>
      </c>
      <c r="B4025" t="s">
        <v>4307</v>
      </c>
      <c r="C4025" t="s">
        <v>4308</v>
      </c>
      <c r="D4025" t="s">
        <v>2107</v>
      </c>
      <c r="E4025" t="s">
        <v>15</v>
      </c>
      <c r="F4025" t="s">
        <v>2108</v>
      </c>
      <c r="G4025" t="s">
        <v>22</v>
      </c>
      <c r="H4025">
        <v>1</v>
      </c>
    </row>
    <row r="4026" spans="1:8" x14ac:dyDescent="0.35">
      <c r="A4026">
        <v>8720182010827</v>
      </c>
      <c r="B4026" t="s">
        <v>4309</v>
      </c>
      <c r="C4026" t="s">
        <v>4310</v>
      </c>
      <c r="D4026" t="s">
        <v>4286</v>
      </c>
      <c r="E4026" t="s">
        <v>22</v>
      </c>
      <c r="F4026" t="s">
        <v>361</v>
      </c>
      <c r="G4026" t="s">
        <v>34</v>
      </c>
      <c r="H4026">
        <v>1</v>
      </c>
    </row>
    <row r="4027" spans="1:8" x14ac:dyDescent="0.35">
      <c r="A4027">
        <v>87303322</v>
      </c>
      <c r="B4027" t="s">
        <v>262</v>
      </c>
      <c r="C4027" t="s">
        <v>9</v>
      </c>
      <c r="D4027" t="s">
        <v>711</v>
      </c>
      <c r="E4027" t="s">
        <v>15</v>
      </c>
      <c r="F4027" t="s">
        <v>14</v>
      </c>
      <c r="G4027" t="s">
        <v>117</v>
      </c>
      <c r="H4027">
        <v>11</v>
      </c>
    </row>
    <row r="4028" spans="1:8" x14ac:dyDescent="0.35">
      <c r="A4028">
        <v>87303322</v>
      </c>
      <c r="B4028" t="s">
        <v>262</v>
      </c>
      <c r="C4028" t="s">
        <v>9</v>
      </c>
      <c r="D4028" t="s">
        <v>711</v>
      </c>
      <c r="E4028" t="s">
        <v>15</v>
      </c>
      <c r="F4028" t="s">
        <v>14</v>
      </c>
      <c r="G4028" t="s">
        <v>11</v>
      </c>
      <c r="H4028">
        <v>373</v>
      </c>
    </row>
    <row r="4029" spans="1:8" x14ac:dyDescent="0.35">
      <c r="A4029">
        <v>87303322</v>
      </c>
      <c r="B4029" t="s">
        <v>262</v>
      </c>
      <c r="C4029" t="s">
        <v>9</v>
      </c>
      <c r="D4029" t="s">
        <v>711</v>
      </c>
      <c r="E4029" t="s">
        <v>15</v>
      </c>
      <c r="F4029" t="s">
        <v>14</v>
      </c>
      <c r="G4029" t="s">
        <v>61</v>
      </c>
      <c r="H4029">
        <v>120</v>
      </c>
    </row>
    <row r="4030" spans="1:8" x14ac:dyDescent="0.35">
      <c r="A4030">
        <v>8791820101061</v>
      </c>
      <c r="B4030" t="s">
        <v>1091</v>
      </c>
      <c r="C4030" t="s">
        <v>1092</v>
      </c>
      <c r="D4030" t="s">
        <v>4311</v>
      </c>
      <c r="E4030" t="s">
        <v>117</v>
      </c>
      <c r="F4030" t="s">
        <v>1094</v>
      </c>
      <c r="G4030" t="s">
        <v>117</v>
      </c>
      <c r="H4030">
        <v>21</v>
      </c>
    </row>
    <row r="4031" spans="1:8" x14ac:dyDescent="0.35">
      <c r="A4031">
        <v>8791820101078</v>
      </c>
      <c r="B4031" t="s">
        <v>4312</v>
      </c>
      <c r="C4031" t="s">
        <v>245</v>
      </c>
      <c r="D4031" t="s">
        <v>4311</v>
      </c>
      <c r="E4031" t="s">
        <v>117</v>
      </c>
      <c r="F4031" t="s">
        <v>1094</v>
      </c>
      <c r="G4031" t="s">
        <v>117</v>
      </c>
      <c r="H4031">
        <v>2</v>
      </c>
    </row>
    <row r="4032" spans="1:8" x14ac:dyDescent="0.35">
      <c r="A4032">
        <v>8791820101344</v>
      </c>
      <c r="B4032" t="s">
        <v>4313</v>
      </c>
      <c r="C4032" t="s">
        <v>1175</v>
      </c>
      <c r="D4032" t="s">
        <v>4314</v>
      </c>
      <c r="E4032" t="s">
        <v>117</v>
      </c>
      <c r="F4032" t="s">
        <v>1094</v>
      </c>
      <c r="G4032" t="s">
        <v>117</v>
      </c>
      <c r="H4032">
        <v>1</v>
      </c>
    </row>
    <row r="4033" spans="1:8" x14ac:dyDescent="0.35">
      <c r="A4033">
        <v>8791920011024</v>
      </c>
      <c r="B4033" t="s">
        <v>380</v>
      </c>
      <c r="C4033" t="s">
        <v>192</v>
      </c>
      <c r="D4033" t="s">
        <v>379</v>
      </c>
      <c r="E4033" t="s">
        <v>117</v>
      </c>
      <c r="F4033" t="s">
        <v>377</v>
      </c>
      <c r="G4033" t="s">
        <v>117</v>
      </c>
      <c r="H4033">
        <v>41</v>
      </c>
    </row>
    <row r="4034" spans="1:8" x14ac:dyDescent="0.35">
      <c r="A4034">
        <v>8791920011048</v>
      </c>
      <c r="B4034" t="s">
        <v>380</v>
      </c>
      <c r="C4034" t="s">
        <v>128</v>
      </c>
      <c r="D4034" t="s">
        <v>379</v>
      </c>
      <c r="E4034" t="s">
        <v>117</v>
      </c>
      <c r="F4034" t="s">
        <v>377</v>
      </c>
      <c r="G4034" t="s">
        <v>117</v>
      </c>
      <c r="H4034">
        <v>509</v>
      </c>
    </row>
    <row r="4035" spans="1:8" x14ac:dyDescent="0.35">
      <c r="A4035">
        <v>8791920011055</v>
      </c>
      <c r="B4035" t="s">
        <v>380</v>
      </c>
      <c r="C4035" t="s">
        <v>326</v>
      </c>
      <c r="D4035" t="s">
        <v>379</v>
      </c>
      <c r="E4035" t="s">
        <v>117</v>
      </c>
      <c r="F4035" t="s">
        <v>377</v>
      </c>
      <c r="G4035" t="s">
        <v>117</v>
      </c>
      <c r="H4035">
        <v>3465</v>
      </c>
    </row>
    <row r="4036" spans="1:8" x14ac:dyDescent="0.35">
      <c r="A4036">
        <v>8791920011086</v>
      </c>
      <c r="B4036" t="s">
        <v>4315</v>
      </c>
      <c r="C4036" t="s">
        <v>511</v>
      </c>
      <c r="D4036" t="s">
        <v>379</v>
      </c>
      <c r="E4036" t="s">
        <v>117</v>
      </c>
      <c r="F4036" t="s">
        <v>377</v>
      </c>
      <c r="G4036" t="s">
        <v>117</v>
      </c>
      <c r="H4036">
        <v>6</v>
      </c>
    </row>
    <row r="4037" spans="1:8" x14ac:dyDescent="0.35">
      <c r="A4037">
        <v>8791920011239</v>
      </c>
      <c r="B4037" t="s">
        <v>1091</v>
      </c>
      <c r="C4037" t="s">
        <v>239</v>
      </c>
      <c r="D4037" t="s">
        <v>1093</v>
      </c>
      <c r="E4037" t="s">
        <v>117</v>
      </c>
      <c r="F4037" t="s">
        <v>1094</v>
      </c>
      <c r="G4037" t="s">
        <v>117</v>
      </c>
      <c r="H4037">
        <v>3</v>
      </c>
    </row>
    <row r="4038" spans="1:8" x14ac:dyDescent="0.35">
      <c r="A4038">
        <v>8791920021009</v>
      </c>
      <c r="B4038" t="s">
        <v>4316</v>
      </c>
      <c r="C4038" t="s">
        <v>83</v>
      </c>
      <c r="D4038" t="s">
        <v>376</v>
      </c>
      <c r="E4038" t="s">
        <v>117</v>
      </c>
      <c r="F4038" t="s">
        <v>377</v>
      </c>
      <c r="G4038" t="s">
        <v>117</v>
      </c>
      <c r="H4038">
        <v>187</v>
      </c>
    </row>
    <row r="4039" spans="1:8" x14ac:dyDescent="0.35">
      <c r="A4039">
        <v>8791920021016</v>
      </c>
      <c r="B4039" t="s">
        <v>2834</v>
      </c>
      <c r="C4039" t="s">
        <v>83</v>
      </c>
      <c r="D4039" t="s">
        <v>376</v>
      </c>
      <c r="E4039" t="s">
        <v>117</v>
      </c>
      <c r="F4039" t="s">
        <v>377</v>
      </c>
      <c r="G4039" t="s">
        <v>117</v>
      </c>
      <c r="H4039">
        <v>82</v>
      </c>
    </row>
    <row r="4040" spans="1:8" x14ac:dyDescent="0.35">
      <c r="A4040">
        <v>8791920021023</v>
      </c>
      <c r="B4040" t="s">
        <v>854</v>
      </c>
      <c r="C4040" t="s">
        <v>83</v>
      </c>
      <c r="D4040" t="s">
        <v>376</v>
      </c>
      <c r="E4040" t="s">
        <v>117</v>
      </c>
      <c r="F4040" t="s">
        <v>377</v>
      </c>
      <c r="G4040" t="s">
        <v>117</v>
      </c>
      <c r="H4040">
        <v>69</v>
      </c>
    </row>
    <row r="4041" spans="1:8" x14ac:dyDescent="0.35">
      <c r="A4041">
        <v>8791920021030</v>
      </c>
      <c r="B4041" t="s">
        <v>696</v>
      </c>
      <c r="C4041" t="s">
        <v>83</v>
      </c>
      <c r="D4041" t="s">
        <v>376</v>
      </c>
      <c r="E4041" t="s">
        <v>117</v>
      </c>
      <c r="F4041" t="s">
        <v>377</v>
      </c>
      <c r="G4041" t="s">
        <v>117</v>
      </c>
      <c r="H4041">
        <v>112</v>
      </c>
    </row>
    <row r="4042" spans="1:8" x14ac:dyDescent="0.35">
      <c r="A4042">
        <v>8791920021054</v>
      </c>
      <c r="B4042" t="s">
        <v>3371</v>
      </c>
      <c r="C4042" t="s">
        <v>806</v>
      </c>
      <c r="D4042" t="s">
        <v>376</v>
      </c>
      <c r="E4042" t="s">
        <v>117</v>
      </c>
      <c r="F4042" t="s">
        <v>377</v>
      </c>
      <c r="G4042" t="s">
        <v>117</v>
      </c>
      <c r="H4042">
        <v>9</v>
      </c>
    </row>
    <row r="4043" spans="1:8" x14ac:dyDescent="0.35">
      <c r="A4043">
        <v>8791920021061</v>
      </c>
      <c r="B4043" t="s">
        <v>4317</v>
      </c>
      <c r="C4043" t="s">
        <v>83</v>
      </c>
      <c r="D4043" t="s">
        <v>376</v>
      </c>
      <c r="E4043" t="s">
        <v>117</v>
      </c>
      <c r="F4043" t="s">
        <v>377</v>
      </c>
      <c r="G4043" t="s">
        <v>117</v>
      </c>
      <c r="H4043">
        <v>17</v>
      </c>
    </row>
    <row r="4044" spans="1:8" x14ac:dyDescent="0.35">
      <c r="A4044">
        <v>8791920021214</v>
      </c>
      <c r="B4044" t="s">
        <v>167</v>
      </c>
      <c r="C4044" t="s">
        <v>114</v>
      </c>
      <c r="D4044" t="s">
        <v>376</v>
      </c>
      <c r="E4044" t="s">
        <v>117</v>
      </c>
      <c r="F4044" t="s">
        <v>377</v>
      </c>
      <c r="G4044" t="s">
        <v>117</v>
      </c>
      <c r="H4044">
        <v>4</v>
      </c>
    </row>
    <row r="4045" spans="1:8" x14ac:dyDescent="0.35">
      <c r="A4045">
        <v>8791920021221</v>
      </c>
      <c r="B4045" t="s">
        <v>668</v>
      </c>
      <c r="C4045" t="s">
        <v>114</v>
      </c>
      <c r="D4045" t="s">
        <v>376</v>
      </c>
      <c r="E4045" t="s">
        <v>117</v>
      </c>
      <c r="F4045" t="s">
        <v>377</v>
      </c>
      <c r="G4045" t="s">
        <v>117</v>
      </c>
      <c r="H4045">
        <v>4</v>
      </c>
    </row>
    <row r="4046" spans="1:8" x14ac:dyDescent="0.35">
      <c r="A4046">
        <v>8791920021405</v>
      </c>
      <c r="B4046" t="s">
        <v>2834</v>
      </c>
      <c r="C4046" t="s">
        <v>83</v>
      </c>
      <c r="D4046" t="s">
        <v>376</v>
      </c>
      <c r="E4046" t="s">
        <v>117</v>
      </c>
      <c r="F4046" t="s">
        <v>377</v>
      </c>
      <c r="G4046" t="s">
        <v>117</v>
      </c>
      <c r="H4046">
        <v>202</v>
      </c>
    </row>
    <row r="4047" spans="1:8" x14ac:dyDescent="0.35">
      <c r="A4047">
        <v>8791920021504</v>
      </c>
      <c r="B4047" t="s">
        <v>2230</v>
      </c>
      <c r="C4047" t="s">
        <v>9</v>
      </c>
      <c r="D4047" t="s">
        <v>379</v>
      </c>
      <c r="E4047" t="s">
        <v>117</v>
      </c>
      <c r="F4047" t="s">
        <v>377</v>
      </c>
      <c r="G4047" t="s">
        <v>117</v>
      </c>
      <c r="H4047">
        <v>2</v>
      </c>
    </row>
    <row r="4048" spans="1:8" x14ac:dyDescent="0.35">
      <c r="A4048">
        <v>8791920022044</v>
      </c>
      <c r="B4048" t="s">
        <v>4318</v>
      </c>
      <c r="C4048" t="s">
        <v>9</v>
      </c>
      <c r="D4048" t="s">
        <v>4319</v>
      </c>
      <c r="E4048" t="s">
        <v>117</v>
      </c>
      <c r="F4048" t="s">
        <v>1094</v>
      </c>
      <c r="G4048" t="s">
        <v>117</v>
      </c>
      <c r="H4048">
        <v>1</v>
      </c>
    </row>
    <row r="4049" spans="1:8" x14ac:dyDescent="0.35">
      <c r="A4049">
        <v>8791920071011</v>
      </c>
      <c r="B4049" t="s">
        <v>4070</v>
      </c>
      <c r="C4049" t="s">
        <v>603</v>
      </c>
      <c r="D4049" t="s">
        <v>379</v>
      </c>
      <c r="E4049" t="s">
        <v>117</v>
      </c>
      <c r="F4049" t="s">
        <v>377</v>
      </c>
      <c r="G4049" t="s">
        <v>117</v>
      </c>
      <c r="H4049">
        <v>1</v>
      </c>
    </row>
    <row r="4050" spans="1:8" x14ac:dyDescent="0.35">
      <c r="A4050">
        <v>8801056193010</v>
      </c>
      <c r="B4050" t="s">
        <v>273</v>
      </c>
      <c r="C4050" t="s">
        <v>2787</v>
      </c>
      <c r="D4050" t="s">
        <v>273</v>
      </c>
      <c r="E4050" t="s">
        <v>15</v>
      </c>
      <c r="F4050" t="s">
        <v>56</v>
      </c>
      <c r="G4050" t="s">
        <v>1038</v>
      </c>
      <c r="H4050">
        <v>20</v>
      </c>
    </row>
    <row r="4051" spans="1:8" x14ac:dyDescent="0.35">
      <c r="A4051">
        <v>8809713914817</v>
      </c>
      <c r="B4051" t="s">
        <v>4320</v>
      </c>
      <c r="C4051" t="s">
        <v>576</v>
      </c>
      <c r="D4051" t="s">
        <v>4321</v>
      </c>
      <c r="E4051" t="s">
        <v>1038</v>
      </c>
      <c r="F4051" t="s">
        <v>1039</v>
      </c>
      <c r="G4051" t="s">
        <v>34</v>
      </c>
      <c r="H4051">
        <v>4</v>
      </c>
    </row>
    <row r="4052" spans="1:8" x14ac:dyDescent="0.35">
      <c r="A4052">
        <v>883043000011</v>
      </c>
      <c r="B4052" t="s">
        <v>4322</v>
      </c>
      <c r="C4052" t="s">
        <v>83</v>
      </c>
      <c r="D4052" t="s">
        <v>528</v>
      </c>
      <c r="E4052" t="s">
        <v>16</v>
      </c>
      <c r="F4052" t="s">
        <v>529</v>
      </c>
      <c r="G4052" t="s">
        <v>16</v>
      </c>
      <c r="H4052">
        <v>7</v>
      </c>
    </row>
    <row r="4053" spans="1:8" x14ac:dyDescent="0.35">
      <c r="A4053">
        <v>883043000585</v>
      </c>
      <c r="B4053" t="s">
        <v>1034</v>
      </c>
      <c r="C4053" t="s">
        <v>4128</v>
      </c>
      <c r="D4053" t="s">
        <v>528</v>
      </c>
      <c r="E4053" t="s">
        <v>16</v>
      </c>
      <c r="F4053" t="s">
        <v>529</v>
      </c>
      <c r="G4053" t="s">
        <v>16</v>
      </c>
      <c r="H4053">
        <v>1</v>
      </c>
    </row>
    <row r="4054" spans="1:8" x14ac:dyDescent="0.35">
      <c r="A4054">
        <v>883043000738</v>
      </c>
      <c r="B4054" t="s">
        <v>4323</v>
      </c>
      <c r="C4054" t="s">
        <v>83</v>
      </c>
      <c r="D4054" t="s">
        <v>528</v>
      </c>
      <c r="E4054" t="s">
        <v>16</v>
      </c>
      <c r="F4054" t="s">
        <v>529</v>
      </c>
      <c r="G4054" t="s">
        <v>16</v>
      </c>
      <c r="H4054">
        <v>1</v>
      </c>
    </row>
    <row r="4055" spans="1:8" x14ac:dyDescent="0.35">
      <c r="A4055">
        <v>883043000790</v>
      </c>
      <c r="B4055" t="s">
        <v>4324</v>
      </c>
      <c r="C4055" t="s">
        <v>83</v>
      </c>
      <c r="D4055" t="s">
        <v>528</v>
      </c>
      <c r="E4055" t="s">
        <v>16</v>
      </c>
      <c r="F4055" t="s">
        <v>529</v>
      </c>
      <c r="G4055" t="s">
        <v>16</v>
      </c>
      <c r="H4055">
        <v>8</v>
      </c>
    </row>
    <row r="4056" spans="1:8" x14ac:dyDescent="0.35">
      <c r="A4056">
        <v>883309745113</v>
      </c>
      <c r="B4056" t="s">
        <v>4325</v>
      </c>
      <c r="C4056" t="s">
        <v>9</v>
      </c>
      <c r="D4056" t="s">
        <v>4326</v>
      </c>
      <c r="E4056" t="s">
        <v>308</v>
      </c>
      <c r="F4056" t="s">
        <v>309</v>
      </c>
      <c r="G4056" t="s">
        <v>16</v>
      </c>
      <c r="H4056">
        <v>3</v>
      </c>
    </row>
    <row r="4057" spans="1:8" x14ac:dyDescent="0.35">
      <c r="A4057">
        <v>884394007957</v>
      </c>
      <c r="B4057" t="s">
        <v>2710</v>
      </c>
      <c r="C4057" t="s">
        <v>9</v>
      </c>
      <c r="D4057" t="s">
        <v>4321</v>
      </c>
      <c r="E4057" t="s">
        <v>1038</v>
      </c>
      <c r="F4057" t="s">
        <v>1039</v>
      </c>
      <c r="G4057" t="s">
        <v>34</v>
      </c>
      <c r="H4057">
        <v>1</v>
      </c>
    </row>
    <row r="4058" spans="1:8" x14ac:dyDescent="0.35">
      <c r="A4058">
        <v>8850769017021</v>
      </c>
      <c r="B4058" t="s">
        <v>4327</v>
      </c>
      <c r="C4058" t="s">
        <v>1184</v>
      </c>
      <c r="D4058" t="s">
        <v>4328</v>
      </c>
      <c r="E4058" t="s">
        <v>4329</v>
      </c>
      <c r="F4058" t="s">
        <v>4330</v>
      </c>
      <c r="G4058" t="s">
        <v>3918</v>
      </c>
      <c r="H4058">
        <v>1</v>
      </c>
    </row>
    <row r="4059" spans="1:8" x14ac:dyDescent="0.35">
      <c r="A4059">
        <v>8850769017021</v>
      </c>
      <c r="B4059" t="s">
        <v>4327</v>
      </c>
      <c r="C4059" t="s">
        <v>1184</v>
      </c>
      <c r="D4059" t="s">
        <v>4328</v>
      </c>
      <c r="E4059" t="s">
        <v>4329</v>
      </c>
      <c r="F4059" t="s">
        <v>4330</v>
      </c>
      <c r="G4059" t="s">
        <v>117</v>
      </c>
      <c r="H4059">
        <v>3</v>
      </c>
    </row>
    <row r="4060" spans="1:8" x14ac:dyDescent="0.35">
      <c r="A4060">
        <v>8850769017021</v>
      </c>
      <c r="B4060" t="s">
        <v>4327</v>
      </c>
      <c r="C4060" t="s">
        <v>1184</v>
      </c>
      <c r="D4060" t="s">
        <v>4328</v>
      </c>
      <c r="E4060" t="s">
        <v>4329</v>
      </c>
      <c r="F4060" t="s">
        <v>4330</v>
      </c>
      <c r="G4060" t="s">
        <v>61</v>
      </c>
      <c r="H4060">
        <v>1</v>
      </c>
    </row>
    <row r="4061" spans="1:8" x14ac:dyDescent="0.35">
      <c r="A4061">
        <v>8851028001782</v>
      </c>
      <c r="B4061" t="s">
        <v>4331</v>
      </c>
      <c r="C4061" t="s">
        <v>2015</v>
      </c>
      <c r="D4061" t="s">
        <v>4332</v>
      </c>
      <c r="E4061" t="s">
        <v>4329</v>
      </c>
      <c r="F4061" t="s">
        <v>4333</v>
      </c>
      <c r="G4061" t="s">
        <v>41</v>
      </c>
      <c r="H4061">
        <v>15</v>
      </c>
    </row>
    <row r="4062" spans="1:8" x14ac:dyDescent="0.35">
      <c r="A4062">
        <v>8858669700203</v>
      </c>
      <c r="B4062" t="s">
        <v>4334</v>
      </c>
      <c r="C4062" t="s">
        <v>4335</v>
      </c>
      <c r="D4062" t="s">
        <v>4336</v>
      </c>
      <c r="E4062" t="s">
        <v>308</v>
      </c>
      <c r="F4062" t="s">
        <v>309</v>
      </c>
      <c r="G4062" t="s">
        <v>41</v>
      </c>
      <c r="H4062">
        <v>36</v>
      </c>
    </row>
    <row r="4063" spans="1:8" x14ac:dyDescent="0.35">
      <c r="A4063">
        <v>8901088000345</v>
      </c>
      <c r="B4063" t="s">
        <v>4337</v>
      </c>
      <c r="C4063" t="s">
        <v>36</v>
      </c>
      <c r="D4063" t="s">
        <v>4338</v>
      </c>
      <c r="E4063" t="s">
        <v>776</v>
      </c>
      <c r="F4063" t="s">
        <v>4339</v>
      </c>
      <c r="G4063" t="s">
        <v>61</v>
      </c>
      <c r="H4063">
        <v>12</v>
      </c>
    </row>
    <row r="4064" spans="1:8" x14ac:dyDescent="0.35">
      <c r="A4064">
        <v>8901719917264</v>
      </c>
      <c r="B4064" t="s">
        <v>4340</v>
      </c>
      <c r="C4064" t="s">
        <v>967</v>
      </c>
      <c r="D4064" t="s">
        <v>4341</v>
      </c>
      <c r="E4064" t="s">
        <v>41</v>
      </c>
      <c r="F4064" t="s">
        <v>1243</v>
      </c>
      <c r="G4064" t="s">
        <v>41</v>
      </c>
      <c r="H4064">
        <v>100</v>
      </c>
    </row>
    <row r="4065" spans="1:8" x14ac:dyDescent="0.35">
      <c r="A4065">
        <v>8901719919435</v>
      </c>
      <c r="B4065" t="s">
        <v>4342</v>
      </c>
      <c r="C4065" t="s">
        <v>91</v>
      </c>
      <c r="D4065" t="s">
        <v>4343</v>
      </c>
      <c r="E4065" t="s">
        <v>41</v>
      </c>
      <c r="F4065" t="s">
        <v>1243</v>
      </c>
      <c r="G4065" t="s">
        <v>41</v>
      </c>
      <c r="H4065">
        <v>100</v>
      </c>
    </row>
    <row r="4066" spans="1:8" x14ac:dyDescent="0.35">
      <c r="A4066">
        <v>8901719921162</v>
      </c>
      <c r="B4066" t="s">
        <v>4344</v>
      </c>
      <c r="C4066" t="s">
        <v>1242</v>
      </c>
      <c r="D4066" t="s">
        <v>1241</v>
      </c>
      <c r="E4066" t="s">
        <v>41</v>
      </c>
      <c r="F4066" t="s">
        <v>1243</v>
      </c>
      <c r="G4066" t="s">
        <v>41</v>
      </c>
      <c r="H4066">
        <v>100</v>
      </c>
    </row>
    <row r="4067" spans="1:8" x14ac:dyDescent="0.35">
      <c r="A4067">
        <v>8901972077521</v>
      </c>
      <c r="B4067" t="s">
        <v>4345</v>
      </c>
      <c r="C4067" t="s">
        <v>4346</v>
      </c>
      <c r="D4067" t="s">
        <v>4347</v>
      </c>
      <c r="E4067" t="s">
        <v>117</v>
      </c>
      <c r="F4067" t="s">
        <v>4348</v>
      </c>
      <c r="G4067" t="s">
        <v>117</v>
      </c>
      <c r="H4067">
        <v>52</v>
      </c>
    </row>
    <row r="4068" spans="1:8" x14ac:dyDescent="0.35">
      <c r="A4068">
        <v>8901972077781</v>
      </c>
      <c r="B4068" t="s">
        <v>4349</v>
      </c>
      <c r="C4068" t="s">
        <v>1258</v>
      </c>
      <c r="D4068" t="s">
        <v>4350</v>
      </c>
      <c r="E4068" t="s">
        <v>776</v>
      </c>
      <c r="F4068" t="s">
        <v>4351</v>
      </c>
      <c r="G4068" t="s">
        <v>61</v>
      </c>
      <c r="H4068">
        <v>1</v>
      </c>
    </row>
    <row r="4069" spans="1:8" x14ac:dyDescent="0.35">
      <c r="A4069">
        <v>8902147003611</v>
      </c>
      <c r="B4069" t="s">
        <v>4352</v>
      </c>
      <c r="C4069" t="s">
        <v>66</v>
      </c>
      <c r="D4069" t="s">
        <v>4352</v>
      </c>
      <c r="E4069" t="s">
        <v>308</v>
      </c>
      <c r="F4069" t="s">
        <v>309</v>
      </c>
      <c r="G4069" t="s">
        <v>41</v>
      </c>
      <c r="H4069">
        <v>15</v>
      </c>
    </row>
    <row r="4070" spans="1:8" x14ac:dyDescent="0.35">
      <c r="A4070">
        <v>8902147010916</v>
      </c>
      <c r="B4070" t="s">
        <v>4353</v>
      </c>
      <c r="C4070" t="s">
        <v>110</v>
      </c>
      <c r="D4070" t="s">
        <v>4354</v>
      </c>
      <c r="E4070" t="s">
        <v>776</v>
      </c>
      <c r="F4070" t="s">
        <v>4355</v>
      </c>
      <c r="G4070" t="s">
        <v>117</v>
      </c>
      <c r="H4070">
        <v>50</v>
      </c>
    </row>
    <row r="4071" spans="1:8" x14ac:dyDescent="0.35">
      <c r="A4071">
        <v>8904206203222</v>
      </c>
      <c r="B4071" t="s">
        <v>581</v>
      </c>
      <c r="C4071" t="s">
        <v>1199</v>
      </c>
      <c r="D4071" t="s">
        <v>4356</v>
      </c>
      <c r="E4071" t="s">
        <v>117</v>
      </c>
      <c r="F4071" t="s">
        <v>4357</v>
      </c>
      <c r="G4071" t="s">
        <v>117</v>
      </c>
      <c r="H4071">
        <v>6</v>
      </c>
    </row>
    <row r="4072" spans="1:8" x14ac:dyDescent="0.35">
      <c r="A4072">
        <v>8904206211036</v>
      </c>
      <c r="B4072" t="s">
        <v>4358</v>
      </c>
      <c r="C4072" t="s">
        <v>4359</v>
      </c>
      <c r="D4072" t="s">
        <v>4360</v>
      </c>
      <c r="E4072" t="s">
        <v>117</v>
      </c>
      <c r="F4072" t="s">
        <v>4361</v>
      </c>
      <c r="G4072" t="s">
        <v>117</v>
      </c>
      <c r="H4072">
        <v>6</v>
      </c>
    </row>
    <row r="4073" spans="1:8" x14ac:dyDescent="0.35">
      <c r="A4073">
        <v>8904206211043</v>
      </c>
      <c r="B4073" t="s">
        <v>4358</v>
      </c>
      <c r="C4073" t="s">
        <v>94</v>
      </c>
      <c r="D4073" t="s">
        <v>4360</v>
      </c>
      <c r="E4073" t="s">
        <v>117</v>
      </c>
      <c r="F4073" t="s">
        <v>4361</v>
      </c>
      <c r="G4073" t="s">
        <v>117</v>
      </c>
      <c r="H4073">
        <v>5</v>
      </c>
    </row>
    <row r="4074" spans="1:8" x14ac:dyDescent="0.35">
      <c r="A4074">
        <v>8904206211340</v>
      </c>
      <c r="B4074" t="s">
        <v>4358</v>
      </c>
      <c r="C4074" t="s">
        <v>4359</v>
      </c>
      <c r="D4074" t="s">
        <v>4360</v>
      </c>
      <c r="E4074" t="s">
        <v>117</v>
      </c>
      <c r="F4074" t="s">
        <v>4361</v>
      </c>
      <c r="G4074" t="s">
        <v>117</v>
      </c>
      <c r="H4074">
        <v>2</v>
      </c>
    </row>
    <row r="4075" spans="1:8" x14ac:dyDescent="0.35">
      <c r="A4075">
        <v>8904206214198</v>
      </c>
      <c r="B4075" t="s">
        <v>4362</v>
      </c>
      <c r="C4075" t="s">
        <v>1199</v>
      </c>
      <c r="D4075" t="s">
        <v>4356</v>
      </c>
      <c r="E4075" t="s">
        <v>117</v>
      </c>
      <c r="F4075" t="s">
        <v>4357</v>
      </c>
      <c r="G4075" t="s">
        <v>117</v>
      </c>
      <c r="H4075">
        <v>52</v>
      </c>
    </row>
    <row r="4076" spans="1:8" x14ac:dyDescent="0.35">
      <c r="A4076">
        <v>8904206218134</v>
      </c>
      <c r="B4076" t="s">
        <v>668</v>
      </c>
      <c r="C4076" t="s">
        <v>83</v>
      </c>
      <c r="D4076" t="s">
        <v>4356</v>
      </c>
      <c r="E4076" t="s">
        <v>117</v>
      </c>
      <c r="F4076" t="s">
        <v>4357</v>
      </c>
      <c r="G4076" t="s">
        <v>117</v>
      </c>
      <c r="H4076">
        <v>21</v>
      </c>
    </row>
    <row r="4077" spans="1:8" x14ac:dyDescent="0.35">
      <c r="A4077">
        <v>8904206218141</v>
      </c>
      <c r="B4077" t="s">
        <v>4363</v>
      </c>
      <c r="C4077" t="s">
        <v>83</v>
      </c>
      <c r="D4077" t="s">
        <v>4356</v>
      </c>
      <c r="E4077" t="s">
        <v>117</v>
      </c>
      <c r="F4077" t="s">
        <v>4357</v>
      </c>
      <c r="G4077" t="s">
        <v>117</v>
      </c>
      <c r="H4077">
        <v>8</v>
      </c>
    </row>
    <row r="4078" spans="1:8" x14ac:dyDescent="0.35">
      <c r="A4078">
        <v>8904206218158</v>
      </c>
      <c r="B4078" t="s">
        <v>4364</v>
      </c>
      <c r="C4078" t="s">
        <v>806</v>
      </c>
      <c r="D4078" t="s">
        <v>4356</v>
      </c>
      <c r="E4078" t="s">
        <v>117</v>
      </c>
      <c r="F4078" t="s">
        <v>4357</v>
      </c>
      <c r="G4078" t="s">
        <v>117</v>
      </c>
      <c r="H4078">
        <v>4</v>
      </c>
    </row>
    <row r="4079" spans="1:8" x14ac:dyDescent="0.35">
      <c r="A4079">
        <v>8904206218165</v>
      </c>
      <c r="B4079" t="s">
        <v>4365</v>
      </c>
      <c r="C4079" t="s">
        <v>83</v>
      </c>
      <c r="D4079" t="s">
        <v>4356</v>
      </c>
      <c r="E4079" t="s">
        <v>117</v>
      </c>
      <c r="F4079" t="s">
        <v>4357</v>
      </c>
      <c r="G4079" t="s">
        <v>117</v>
      </c>
      <c r="H4079">
        <v>38</v>
      </c>
    </row>
    <row r="4080" spans="1:8" x14ac:dyDescent="0.35">
      <c r="A4080">
        <v>8904206218189</v>
      </c>
      <c r="B4080" t="s">
        <v>4366</v>
      </c>
      <c r="C4080" t="s">
        <v>806</v>
      </c>
      <c r="D4080" t="s">
        <v>4356</v>
      </c>
      <c r="E4080" t="s">
        <v>117</v>
      </c>
      <c r="F4080" t="s">
        <v>4357</v>
      </c>
      <c r="G4080" t="s">
        <v>117</v>
      </c>
      <c r="H4080">
        <v>84</v>
      </c>
    </row>
    <row r="4081" spans="1:8" x14ac:dyDescent="0.35">
      <c r="A4081">
        <v>8904206218196</v>
      </c>
      <c r="B4081" t="s">
        <v>4367</v>
      </c>
      <c r="C4081" t="s">
        <v>806</v>
      </c>
      <c r="D4081" t="s">
        <v>4356</v>
      </c>
      <c r="E4081" t="s">
        <v>117</v>
      </c>
      <c r="F4081" t="s">
        <v>4357</v>
      </c>
      <c r="G4081" t="s">
        <v>117</v>
      </c>
      <c r="H4081">
        <v>5</v>
      </c>
    </row>
    <row r="4082" spans="1:8" x14ac:dyDescent="0.35">
      <c r="A4082">
        <v>8904206218219</v>
      </c>
      <c r="B4082" t="s">
        <v>4368</v>
      </c>
      <c r="C4082" t="s">
        <v>603</v>
      </c>
      <c r="D4082" t="s">
        <v>4369</v>
      </c>
      <c r="E4082" t="s">
        <v>117</v>
      </c>
      <c r="F4082" t="s">
        <v>4357</v>
      </c>
      <c r="G4082" t="s">
        <v>117</v>
      </c>
      <c r="H4082">
        <v>4</v>
      </c>
    </row>
    <row r="4083" spans="1:8" x14ac:dyDescent="0.35">
      <c r="A4083">
        <v>8904206218226</v>
      </c>
      <c r="B4083" t="s">
        <v>4362</v>
      </c>
      <c r="C4083" t="s">
        <v>83</v>
      </c>
      <c r="D4083" t="s">
        <v>4356</v>
      </c>
      <c r="E4083" t="s">
        <v>117</v>
      </c>
      <c r="F4083" t="s">
        <v>4357</v>
      </c>
      <c r="G4083" t="s">
        <v>117</v>
      </c>
      <c r="H4083">
        <v>2</v>
      </c>
    </row>
    <row r="4084" spans="1:8" x14ac:dyDescent="0.35">
      <c r="A4084">
        <v>8904206218325</v>
      </c>
      <c r="B4084" t="s">
        <v>4370</v>
      </c>
      <c r="C4084" t="s">
        <v>1184</v>
      </c>
      <c r="D4084" t="s">
        <v>4371</v>
      </c>
      <c r="E4084" t="s">
        <v>117</v>
      </c>
      <c r="F4084" t="s">
        <v>4357</v>
      </c>
      <c r="G4084" t="s">
        <v>117</v>
      </c>
      <c r="H4084">
        <v>147</v>
      </c>
    </row>
    <row r="4085" spans="1:8" x14ac:dyDescent="0.35">
      <c r="A4085">
        <v>8904206218349</v>
      </c>
      <c r="B4085" t="s">
        <v>2545</v>
      </c>
      <c r="C4085" t="s">
        <v>83</v>
      </c>
      <c r="D4085" t="s">
        <v>4356</v>
      </c>
      <c r="E4085" t="s">
        <v>117</v>
      </c>
      <c r="F4085" t="s">
        <v>4357</v>
      </c>
      <c r="G4085" t="s">
        <v>117</v>
      </c>
      <c r="H4085">
        <v>41</v>
      </c>
    </row>
    <row r="4086" spans="1:8" x14ac:dyDescent="0.35">
      <c r="A4086">
        <v>8904206218509</v>
      </c>
      <c r="B4086" t="s">
        <v>4372</v>
      </c>
      <c r="C4086" t="s">
        <v>326</v>
      </c>
      <c r="D4086" t="s">
        <v>4371</v>
      </c>
      <c r="E4086" t="s">
        <v>117</v>
      </c>
      <c r="F4086" t="s">
        <v>4357</v>
      </c>
      <c r="G4086" t="s">
        <v>117</v>
      </c>
      <c r="H4086">
        <v>394</v>
      </c>
    </row>
    <row r="4087" spans="1:8" x14ac:dyDescent="0.35">
      <c r="A4087">
        <v>8904206218509</v>
      </c>
      <c r="B4087" t="s">
        <v>4372</v>
      </c>
      <c r="C4087" t="s">
        <v>326</v>
      </c>
      <c r="D4087" t="s">
        <v>4371</v>
      </c>
      <c r="E4087" t="s">
        <v>117</v>
      </c>
      <c r="F4087" t="s">
        <v>4357</v>
      </c>
      <c r="G4087" t="s">
        <v>776</v>
      </c>
      <c r="H4087">
        <v>1</v>
      </c>
    </row>
    <row r="4088" spans="1:8" x14ac:dyDescent="0.35">
      <c r="A4088">
        <v>8904206219049</v>
      </c>
      <c r="B4088" t="s">
        <v>581</v>
      </c>
      <c r="C4088" t="s">
        <v>825</v>
      </c>
      <c r="D4088" t="s">
        <v>4356</v>
      </c>
      <c r="E4088" t="s">
        <v>117</v>
      </c>
      <c r="F4088" t="s">
        <v>4357</v>
      </c>
      <c r="G4088" t="s">
        <v>117</v>
      </c>
      <c r="H4088">
        <v>1</v>
      </c>
    </row>
    <row r="4089" spans="1:8" x14ac:dyDescent="0.35">
      <c r="A4089">
        <v>8904206219063</v>
      </c>
      <c r="B4089" t="s">
        <v>4366</v>
      </c>
      <c r="C4089" t="s">
        <v>825</v>
      </c>
      <c r="D4089" t="s">
        <v>4356</v>
      </c>
      <c r="E4089" t="s">
        <v>117</v>
      </c>
      <c r="F4089" t="s">
        <v>4357</v>
      </c>
      <c r="G4089" t="s">
        <v>117</v>
      </c>
      <c r="H4089">
        <v>1</v>
      </c>
    </row>
    <row r="4090" spans="1:8" x14ac:dyDescent="0.35">
      <c r="A4090">
        <v>8904206219650</v>
      </c>
      <c r="B4090" t="s">
        <v>4358</v>
      </c>
      <c r="C4090" t="s">
        <v>4359</v>
      </c>
      <c r="D4090" t="s">
        <v>4360</v>
      </c>
      <c r="E4090" t="s">
        <v>117</v>
      </c>
      <c r="F4090" t="s">
        <v>4361</v>
      </c>
      <c r="G4090" t="s">
        <v>117</v>
      </c>
      <c r="H4090">
        <v>1</v>
      </c>
    </row>
    <row r="4091" spans="1:8" x14ac:dyDescent="0.35">
      <c r="A4091">
        <v>8904206219667</v>
      </c>
      <c r="B4091" t="s">
        <v>4358</v>
      </c>
      <c r="C4091" t="s">
        <v>4359</v>
      </c>
      <c r="D4091" t="s">
        <v>4360</v>
      </c>
      <c r="E4091" t="s">
        <v>117</v>
      </c>
      <c r="F4091" t="s">
        <v>4361</v>
      </c>
      <c r="G4091" t="s">
        <v>117</v>
      </c>
      <c r="H4091">
        <v>3</v>
      </c>
    </row>
    <row r="4092" spans="1:8" x14ac:dyDescent="0.35">
      <c r="A4092">
        <v>8904206219698</v>
      </c>
      <c r="B4092" t="s">
        <v>4370</v>
      </c>
      <c r="C4092" t="s">
        <v>83</v>
      </c>
      <c r="D4092" t="s">
        <v>4371</v>
      </c>
      <c r="E4092" t="s">
        <v>117</v>
      </c>
      <c r="F4092" t="s">
        <v>4357</v>
      </c>
      <c r="G4092" t="s">
        <v>117</v>
      </c>
      <c r="H4092">
        <v>34</v>
      </c>
    </row>
    <row r="4093" spans="1:8" x14ac:dyDescent="0.35">
      <c r="A4093">
        <v>8904206235445</v>
      </c>
      <c r="B4093" t="s">
        <v>581</v>
      </c>
      <c r="C4093" t="s">
        <v>603</v>
      </c>
      <c r="D4093" t="s">
        <v>4356</v>
      </c>
      <c r="E4093" t="s">
        <v>117</v>
      </c>
      <c r="F4093" t="s">
        <v>4357</v>
      </c>
      <c r="G4093" t="s">
        <v>117</v>
      </c>
      <c r="H4093">
        <v>4</v>
      </c>
    </row>
    <row r="4094" spans="1:8" x14ac:dyDescent="0.35">
      <c r="A4094">
        <v>8904206235452</v>
      </c>
      <c r="B4094" t="s">
        <v>3368</v>
      </c>
      <c r="C4094" t="s">
        <v>603</v>
      </c>
      <c r="D4094" t="s">
        <v>4356</v>
      </c>
      <c r="E4094" t="s">
        <v>117</v>
      </c>
      <c r="F4094" t="s">
        <v>4357</v>
      </c>
      <c r="G4094" t="s">
        <v>117</v>
      </c>
      <c r="H4094">
        <v>6</v>
      </c>
    </row>
    <row r="4095" spans="1:8" x14ac:dyDescent="0.35">
      <c r="A4095">
        <v>8904206235469</v>
      </c>
      <c r="B4095" t="s">
        <v>581</v>
      </c>
      <c r="C4095" t="s">
        <v>1199</v>
      </c>
      <c r="D4095" t="s">
        <v>4356</v>
      </c>
      <c r="E4095" t="s">
        <v>117</v>
      </c>
      <c r="F4095" t="s">
        <v>4357</v>
      </c>
      <c r="G4095" t="s">
        <v>117</v>
      </c>
      <c r="H4095">
        <v>56</v>
      </c>
    </row>
    <row r="4096" spans="1:8" x14ac:dyDescent="0.35">
      <c r="A4096">
        <v>8904206235476</v>
      </c>
      <c r="B4096" t="s">
        <v>4373</v>
      </c>
      <c r="C4096" t="s">
        <v>603</v>
      </c>
      <c r="D4096" t="s">
        <v>4356</v>
      </c>
      <c r="E4096" t="s">
        <v>117</v>
      </c>
      <c r="F4096" t="s">
        <v>4357</v>
      </c>
      <c r="G4096" t="s">
        <v>117</v>
      </c>
      <c r="H4096">
        <v>17</v>
      </c>
    </row>
    <row r="4097" spans="1:8" x14ac:dyDescent="0.35">
      <c r="A4097">
        <v>8904206235483</v>
      </c>
      <c r="B4097" t="s">
        <v>4366</v>
      </c>
      <c r="C4097" t="s">
        <v>1199</v>
      </c>
      <c r="D4097" t="s">
        <v>4356</v>
      </c>
      <c r="E4097" t="s">
        <v>117</v>
      </c>
      <c r="F4097" t="s">
        <v>4357</v>
      </c>
      <c r="G4097" t="s">
        <v>117</v>
      </c>
      <c r="H4097">
        <v>8</v>
      </c>
    </row>
    <row r="4098" spans="1:8" x14ac:dyDescent="0.35">
      <c r="A4098">
        <v>8904206235490</v>
      </c>
      <c r="B4098" t="s">
        <v>4365</v>
      </c>
      <c r="C4098" t="s">
        <v>603</v>
      </c>
      <c r="D4098" t="s">
        <v>4356</v>
      </c>
      <c r="E4098" t="s">
        <v>117</v>
      </c>
      <c r="F4098" t="s">
        <v>4357</v>
      </c>
      <c r="G4098" t="s">
        <v>117</v>
      </c>
      <c r="H4098">
        <v>21</v>
      </c>
    </row>
    <row r="4099" spans="1:8" x14ac:dyDescent="0.35">
      <c r="A4099">
        <v>8906013030947</v>
      </c>
      <c r="B4099" t="s">
        <v>4374</v>
      </c>
      <c r="C4099" t="s">
        <v>1141</v>
      </c>
      <c r="D4099" t="s">
        <v>4375</v>
      </c>
      <c r="E4099" t="s">
        <v>4329</v>
      </c>
      <c r="F4099" t="s">
        <v>4376</v>
      </c>
      <c r="G4099" t="s">
        <v>22</v>
      </c>
      <c r="H4099">
        <v>4</v>
      </c>
    </row>
    <row r="4100" spans="1:8" x14ac:dyDescent="0.35">
      <c r="A4100">
        <v>8906045353236</v>
      </c>
      <c r="B4100" t="s">
        <v>3550</v>
      </c>
      <c r="C4100" t="s">
        <v>909</v>
      </c>
      <c r="D4100" t="s">
        <v>4377</v>
      </c>
      <c r="E4100" t="s">
        <v>308</v>
      </c>
      <c r="F4100" t="s">
        <v>309</v>
      </c>
      <c r="G4100" t="s">
        <v>61</v>
      </c>
      <c r="H4100">
        <v>1</v>
      </c>
    </row>
    <row r="4101" spans="1:8" x14ac:dyDescent="0.35">
      <c r="A4101">
        <v>8906102380212</v>
      </c>
      <c r="B4101" t="s">
        <v>4378</v>
      </c>
      <c r="C4101" t="s">
        <v>603</v>
      </c>
      <c r="D4101" t="s">
        <v>4379</v>
      </c>
      <c r="E4101" t="s">
        <v>4380</v>
      </c>
      <c r="F4101" t="s">
        <v>4381</v>
      </c>
      <c r="G4101" t="s">
        <v>4380</v>
      </c>
      <c r="H4101">
        <v>1</v>
      </c>
    </row>
    <row r="4102" spans="1:8" x14ac:dyDescent="0.35">
      <c r="A4102">
        <v>8908000175006</v>
      </c>
      <c r="B4102" t="s">
        <v>3566</v>
      </c>
      <c r="C4102" t="s">
        <v>472</v>
      </c>
      <c r="D4102" t="s">
        <v>4382</v>
      </c>
      <c r="E4102" t="s">
        <v>117</v>
      </c>
      <c r="F4102" t="s">
        <v>4383</v>
      </c>
      <c r="G4102" t="s">
        <v>117</v>
      </c>
      <c r="H4102">
        <v>29</v>
      </c>
    </row>
    <row r="4103" spans="1:8" x14ac:dyDescent="0.35">
      <c r="A4103">
        <v>8908000175020</v>
      </c>
      <c r="B4103" t="s">
        <v>380</v>
      </c>
      <c r="C4103" t="s">
        <v>192</v>
      </c>
      <c r="D4103" t="s">
        <v>4384</v>
      </c>
      <c r="E4103" t="s">
        <v>117</v>
      </c>
      <c r="F4103" t="s">
        <v>4383</v>
      </c>
      <c r="G4103" t="s">
        <v>117</v>
      </c>
      <c r="H4103">
        <v>162</v>
      </c>
    </row>
    <row r="4104" spans="1:8" x14ac:dyDescent="0.35">
      <c r="A4104">
        <v>8908000175068</v>
      </c>
      <c r="B4104" t="s">
        <v>167</v>
      </c>
      <c r="C4104" t="s">
        <v>472</v>
      </c>
      <c r="D4104" t="s">
        <v>4382</v>
      </c>
      <c r="E4104" t="s">
        <v>117</v>
      </c>
      <c r="F4104" t="s">
        <v>4383</v>
      </c>
      <c r="G4104" t="s">
        <v>117</v>
      </c>
      <c r="H4104">
        <v>203</v>
      </c>
    </row>
    <row r="4105" spans="1:8" x14ac:dyDescent="0.35">
      <c r="A4105">
        <v>8908000175075</v>
      </c>
      <c r="B4105" t="s">
        <v>668</v>
      </c>
      <c r="C4105" t="s">
        <v>576</v>
      </c>
      <c r="D4105" t="s">
        <v>4382</v>
      </c>
      <c r="E4105" t="s">
        <v>117</v>
      </c>
      <c r="F4105" t="s">
        <v>4383</v>
      </c>
      <c r="G4105" t="s">
        <v>117</v>
      </c>
      <c r="H4105">
        <v>16</v>
      </c>
    </row>
    <row r="4106" spans="1:8" x14ac:dyDescent="0.35">
      <c r="A4106">
        <v>8908000175099</v>
      </c>
      <c r="B4106" t="s">
        <v>288</v>
      </c>
      <c r="C4106" t="s">
        <v>576</v>
      </c>
      <c r="D4106" t="s">
        <v>4382</v>
      </c>
      <c r="E4106" t="s">
        <v>117</v>
      </c>
      <c r="F4106" t="s">
        <v>4383</v>
      </c>
      <c r="G4106" t="s">
        <v>117</v>
      </c>
      <c r="H4106">
        <v>65</v>
      </c>
    </row>
    <row r="4107" spans="1:8" x14ac:dyDescent="0.35">
      <c r="A4107">
        <v>8908000175112</v>
      </c>
      <c r="B4107" t="s">
        <v>696</v>
      </c>
      <c r="C4107" t="s">
        <v>472</v>
      </c>
      <c r="D4107" t="s">
        <v>4382</v>
      </c>
      <c r="E4107" t="s">
        <v>117</v>
      </c>
      <c r="F4107" t="s">
        <v>4383</v>
      </c>
      <c r="G4107" t="s">
        <v>117</v>
      </c>
      <c r="H4107">
        <v>336</v>
      </c>
    </row>
    <row r="4108" spans="1:8" x14ac:dyDescent="0.35">
      <c r="A4108">
        <v>8908000175129</v>
      </c>
      <c r="B4108" t="s">
        <v>4385</v>
      </c>
      <c r="C4108" t="s">
        <v>576</v>
      </c>
      <c r="D4108" t="s">
        <v>4386</v>
      </c>
      <c r="E4108" t="s">
        <v>117</v>
      </c>
      <c r="F4108" t="s">
        <v>4383</v>
      </c>
      <c r="G4108" t="s">
        <v>117</v>
      </c>
      <c r="H4108">
        <v>2</v>
      </c>
    </row>
    <row r="4109" spans="1:8" x14ac:dyDescent="0.35">
      <c r="A4109">
        <v>8908000175136</v>
      </c>
      <c r="B4109" t="s">
        <v>380</v>
      </c>
      <c r="C4109" t="s">
        <v>326</v>
      </c>
      <c r="D4109" t="s">
        <v>4384</v>
      </c>
      <c r="E4109" t="s">
        <v>117</v>
      </c>
      <c r="F4109" t="s">
        <v>4383</v>
      </c>
      <c r="G4109" t="s">
        <v>117</v>
      </c>
      <c r="H4109">
        <v>413</v>
      </c>
    </row>
    <row r="4110" spans="1:8" x14ac:dyDescent="0.35">
      <c r="A4110">
        <v>8908000175174</v>
      </c>
      <c r="B4110" t="s">
        <v>854</v>
      </c>
      <c r="C4110" t="s">
        <v>472</v>
      </c>
      <c r="D4110" t="s">
        <v>4382</v>
      </c>
      <c r="E4110" t="s">
        <v>117</v>
      </c>
      <c r="F4110" t="s">
        <v>4383</v>
      </c>
      <c r="G4110" t="s">
        <v>117</v>
      </c>
      <c r="H4110">
        <v>4</v>
      </c>
    </row>
    <row r="4111" spans="1:8" x14ac:dyDescent="0.35">
      <c r="A4111">
        <v>8908000175211</v>
      </c>
      <c r="B4111" t="s">
        <v>581</v>
      </c>
      <c r="C4111" t="s">
        <v>9</v>
      </c>
      <c r="D4111" t="s">
        <v>4387</v>
      </c>
      <c r="E4111" t="s">
        <v>117</v>
      </c>
      <c r="F4111" t="s">
        <v>4383</v>
      </c>
      <c r="G4111" t="s">
        <v>117</v>
      </c>
      <c r="H4111">
        <v>71</v>
      </c>
    </row>
    <row r="4112" spans="1:8" x14ac:dyDescent="0.35">
      <c r="A4112">
        <v>8908000175228</v>
      </c>
      <c r="B4112" t="s">
        <v>581</v>
      </c>
      <c r="C4112" t="s">
        <v>9</v>
      </c>
      <c r="D4112" t="s">
        <v>4382</v>
      </c>
      <c r="E4112" t="s">
        <v>117</v>
      </c>
      <c r="F4112" t="s">
        <v>4383</v>
      </c>
      <c r="G4112" t="s">
        <v>117</v>
      </c>
      <c r="H4112">
        <v>12</v>
      </c>
    </row>
    <row r="4113" spans="1:8" x14ac:dyDescent="0.35">
      <c r="A4113">
        <v>8908000175242</v>
      </c>
      <c r="B4113" t="s">
        <v>696</v>
      </c>
      <c r="C4113" t="s">
        <v>9</v>
      </c>
      <c r="D4113" t="s">
        <v>4382</v>
      </c>
      <c r="E4113" t="s">
        <v>117</v>
      </c>
      <c r="F4113" t="s">
        <v>4383</v>
      </c>
      <c r="G4113" t="s">
        <v>117</v>
      </c>
      <c r="H4113">
        <v>112</v>
      </c>
    </row>
    <row r="4114" spans="1:8" x14ac:dyDescent="0.35">
      <c r="A4114">
        <v>8908000175259</v>
      </c>
      <c r="B4114" t="s">
        <v>1613</v>
      </c>
      <c r="C4114" t="s">
        <v>9</v>
      </c>
      <c r="D4114" t="s">
        <v>4382</v>
      </c>
      <c r="E4114" t="s">
        <v>117</v>
      </c>
      <c r="F4114" t="s">
        <v>4383</v>
      </c>
      <c r="G4114" t="s">
        <v>117</v>
      </c>
      <c r="H4114">
        <v>6</v>
      </c>
    </row>
    <row r="4115" spans="1:8" x14ac:dyDescent="0.35">
      <c r="A4115">
        <v>8908000175358</v>
      </c>
      <c r="B4115" t="s">
        <v>4388</v>
      </c>
      <c r="C4115" t="s">
        <v>9</v>
      </c>
      <c r="D4115" t="s">
        <v>4389</v>
      </c>
      <c r="E4115" t="s">
        <v>117</v>
      </c>
      <c r="F4115" t="s">
        <v>4390</v>
      </c>
      <c r="G4115" t="s">
        <v>117</v>
      </c>
      <c r="H4115">
        <v>40</v>
      </c>
    </row>
    <row r="4116" spans="1:8" x14ac:dyDescent="0.35">
      <c r="A4116">
        <v>8908000175440</v>
      </c>
      <c r="B4116" t="s">
        <v>2834</v>
      </c>
      <c r="C4116" t="s">
        <v>576</v>
      </c>
      <c r="D4116" t="s">
        <v>4389</v>
      </c>
      <c r="E4116" t="s">
        <v>117</v>
      </c>
      <c r="F4116" t="s">
        <v>4390</v>
      </c>
      <c r="G4116" t="s">
        <v>117</v>
      </c>
      <c r="H4116">
        <v>18</v>
      </c>
    </row>
    <row r="4117" spans="1:8" x14ac:dyDescent="0.35">
      <c r="A4117">
        <v>8908000175488</v>
      </c>
      <c r="B4117" t="s">
        <v>288</v>
      </c>
      <c r="C4117" t="s">
        <v>9</v>
      </c>
      <c r="D4117" t="s">
        <v>4382</v>
      </c>
      <c r="E4117" t="s">
        <v>117</v>
      </c>
      <c r="F4117" t="s">
        <v>4383</v>
      </c>
      <c r="G4117" t="s">
        <v>117</v>
      </c>
      <c r="H4117">
        <v>56</v>
      </c>
    </row>
    <row r="4118" spans="1:8" x14ac:dyDescent="0.35">
      <c r="A4118">
        <v>8934830128189</v>
      </c>
      <c r="B4118" t="s">
        <v>2908</v>
      </c>
      <c r="C4118" t="s">
        <v>1131</v>
      </c>
      <c r="D4118" t="s">
        <v>2908</v>
      </c>
      <c r="E4118" t="s">
        <v>22</v>
      </c>
      <c r="F4118" t="s">
        <v>361</v>
      </c>
      <c r="G4118" t="s">
        <v>41</v>
      </c>
      <c r="H4118">
        <v>50</v>
      </c>
    </row>
    <row r="4119" spans="1:8" x14ac:dyDescent="0.35">
      <c r="A4119">
        <v>8934839128289</v>
      </c>
      <c r="B4119" t="s">
        <v>2908</v>
      </c>
      <c r="C4119" t="s">
        <v>1131</v>
      </c>
      <c r="D4119" t="s">
        <v>2908</v>
      </c>
      <c r="E4119" t="s">
        <v>22</v>
      </c>
      <c r="F4119" t="s">
        <v>361</v>
      </c>
      <c r="G4119" t="s">
        <v>41</v>
      </c>
      <c r="H4119">
        <v>101</v>
      </c>
    </row>
    <row r="4120" spans="1:8" x14ac:dyDescent="0.35">
      <c r="A4120">
        <v>8936046075127</v>
      </c>
      <c r="B4120" t="s">
        <v>4391</v>
      </c>
      <c r="C4120" t="s">
        <v>603</v>
      </c>
      <c r="D4120" t="s">
        <v>4392</v>
      </c>
      <c r="E4120" t="s">
        <v>827</v>
      </c>
      <c r="F4120" t="s">
        <v>4393</v>
      </c>
      <c r="G4120" t="s">
        <v>34</v>
      </c>
      <c r="H4120">
        <v>1</v>
      </c>
    </row>
    <row r="4121" spans="1:8" x14ac:dyDescent="0.35">
      <c r="A4121">
        <v>8936046075127</v>
      </c>
      <c r="B4121" t="s">
        <v>4391</v>
      </c>
      <c r="C4121" t="s">
        <v>603</v>
      </c>
      <c r="D4121" t="s">
        <v>4392</v>
      </c>
      <c r="E4121" t="s">
        <v>827</v>
      </c>
      <c r="F4121" t="s">
        <v>4393</v>
      </c>
      <c r="G4121" t="s">
        <v>31</v>
      </c>
      <c r="H4121">
        <v>1</v>
      </c>
    </row>
    <row r="4122" spans="1:8" x14ac:dyDescent="0.35">
      <c r="A4122">
        <v>8946527453986</v>
      </c>
      <c r="B4122" t="s">
        <v>4394</v>
      </c>
      <c r="C4122" t="s">
        <v>78</v>
      </c>
      <c r="D4122" t="s">
        <v>4395</v>
      </c>
      <c r="E4122" t="s">
        <v>1761</v>
      </c>
      <c r="F4122" t="s">
        <v>4396</v>
      </c>
      <c r="G4122" t="s">
        <v>61</v>
      </c>
      <c r="H4122">
        <v>54</v>
      </c>
    </row>
    <row r="4123" spans="1:8" x14ac:dyDescent="0.35">
      <c r="A4123">
        <v>8992946523748</v>
      </c>
      <c r="B4123" t="s">
        <v>3881</v>
      </c>
      <c r="C4123" t="s">
        <v>272</v>
      </c>
      <c r="D4123" t="s">
        <v>3566</v>
      </c>
      <c r="E4123" t="s">
        <v>308</v>
      </c>
      <c r="F4123" t="s">
        <v>309</v>
      </c>
      <c r="G4123" t="s">
        <v>61</v>
      </c>
      <c r="H4123">
        <v>44</v>
      </c>
    </row>
    <row r="4124" spans="1:8" x14ac:dyDescent="0.35">
      <c r="A4124">
        <v>8995899250310</v>
      </c>
      <c r="B4124" t="s">
        <v>4397</v>
      </c>
      <c r="C4124" t="s">
        <v>9</v>
      </c>
      <c r="D4124" t="s">
        <v>4398</v>
      </c>
      <c r="E4124" t="s">
        <v>308</v>
      </c>
      <c r="F4124" t="s">
        <v>309</v>
      </c>
      <c r="G4124" t="s">
        <v>61</v>
      </c>
      <c r="H4124">
        <v>1</v>
      </c>
    </row>
    <row r="4125" spans="1:8" x14ac:dyDescent="0.35">
      <c r="A4125">
        <v>8996001414033</v>
      </c>
      <c r="B4125" t="s">
        <v>4399</v>
      </c>
      <c r="C4125" t="s">
        <v>2957</v>
      </c>
      <c r="D4125" t="s">
        <v>4400</v>
      </c>
      <c r="E4125" t="s">
        <v>4401</v>
      </c>
      <c r="F4125" t="s">
        <v>4402</v>
      </c>
      <c r="G4125" t="s">
        <v>34</v>
      </c>
      <c r="H4125">
        <v>1</v>
      </c>
    </row>
    <row r="4126" spans="1:8" x14ac:dyDescent="0.35">
      <c r="A4126">
        <v>8997009510123</v>
      </c>
      <c r="B4126" t="s">
        <v>4403</v>
      </c>
      <c r="C4126" t="s">
        <v>9</v>
      </c>
      <c r="D4126" t="s">
        <v>4404</v>
      </c>
      <c r="E4126" t="s">
        <v>11</v>
      </c>
      <c r="F4126" t="s">
        <v>2465</v>
      </c>
      <c r="G4126" t="s">
        <v>11</v>
      </c>
      <c r="H4126">
        <v>25</v>
      </c>
    </row>
    <row r="4127" spans="1:8" x14ac:dyDescent="0.35">
      <c r="A4127">
        <v>8999999583323</v>
      </c>
      <c r="B4127" t="s">
        <v>4405</v>
      </c>
      <c r="C4127" t="s">
        <v>1131</v>
      </c>
      <c r="D4127" t="s">
        <v>2908</v>
      </c>
      <c r="E4127" t="s">
        <v>22</v>
      </c>
      <c r="F4127" t="s">
        <v>361</v>
      </c>
      <c r="G4127" t="s">
        <v>41</v>
      </c>
      <c r="H4127">
        <v>100</v>
      </c>
    </row>
    <row r="4128" spans="1:8" x14ac:dyDescent="0.35">
      <c r="A4128">
        <v>9009214040919</v>
      </c>
      <c r="B4128" t="s">
        <v>592</v>
      </c>
      <c r="C4128" t="s">
        <v>681</v>
      </c>
      <c r="D4128" t="s">
        <v>2785</v>
      </c>
      <c r="E4128" t="s">
        <v>34</v>
      </c>
      <c r="F4128" t="s">
        <v>1838</v>
      </c>
      <c r="G4128" t="s">
        <v>34</v>
      </c>
      <c r="H4128">
        <v>2</v>
      </c>
    </row>
    <row r="4129" spans="1:8" x14ac:dyDescent="0.35">
      <c r="A4129">
        <v>90162602</v>
      </c>
      <c r="B4129" t="s">
        <v>295</v>
      </c>
      <c r="C4129" t="s">
        <v>272</v>
      </c>
      <c r="D4129" t="s">
        <v>398</v>
      </c>
      <c r="E4129" t="s">
        <v>399</v>
      </c>
      <c r="F4129" t="s">
        <v>400</v>
      </c>
      <c r="G4129" t="s">
        <v>16</v>
      </c>
      <c r="H4129">
        <v>2</v>
      </c>
    </row>
    <row r="4130" spans="1:8" x14ac:dyDescent="0.35">
      <c r="A4130">
        <v>90162602</v>
      </c>
      <c r="B4130" t="s">
        <v>295</v>
      </c>
      <c r="C4130" t="s">
        <v>272</v>
      </c>
      <c r="D4130" t="s">
        <v>398</v>
      </c>
      <c r="E4130" t="s">
        <v>399</v>
      </c>
      <c r="F4130" t="s">
        <v>400</v>
      </c>
      <c r="G4130" t="s">
        <v>61</v>
      </c>
      <c r="H4130">
        <v>9</v>
      </c>
    </row>
    <row r="4131" spans="1:8" x14ac:dyDescent="0.35">
      <c r="A4131">
        <v>9026128003601</v>
      </c>
      <c r="B4131" t="s">
        <v>3566</v>
      </c>
      <c r="C4131" t="s">
        <v>603</v>
      </c>
      <c r="D4131" t="s">
        <v>1645</v>
      </c>
      <c r="E4131" t="s">
        <v>22</v>
      </c>
      <c r="F4131" t="s">
        <v>1646</v>
      </c>
      <c r="G4131" t="s">
        <v>22</v>
      </c>
      <c r="H4131">
        <v>1</v>
      </c>
    </row>
    <row r="4132" spans="1:8" x14ac:dyDescent="0.35">
      <c r="A4132">
        <v>90338052</v>
      </c>
      <c r="B4132" t="s">
        <v>14</v>
      </c>
      <c r="C4132" t="s">
        <v>38</v>
      </c>
      <c r="D4132" t="s">
        <v>14</v>
      </c>
      <c r="E4132" t="s">
        <v>15</v>
      </c>
      <c r="F4132" t="s">
        <v>14</v>
      </c>
      <c r="G4132" t="s">
        <v>117</v>
      </c>
      <c r="H4132">
        <v>29</v>
      </c>
    </row>
    <row r="4133" spans="1:8" x14ac:dyDescent="0.35">
      <c r="A4133">
        <v>90338052</v>
      </c>
      <c r="B4133" t="s">
        <v>14</v>
      </c>
      <c r="C4133" t="s">
        <v>38</v>
      </c>
      <c r="D4133" t="s">
        <v>14</v>
      </c>
      <c r="E4133" t="s">
        <v>15</v>
      </c>
      <c r="F4133" t="s">
        <v>14</v>
      </c>
      <c r="G4133" t="s">
        <v>387</v>
      </c>
      <c r="H4133">
        <v>10</v>
      </c>
    </row>
    <row r="4134" spans="1:8" x14ac:dyDescent="0.35">
      <c r="A4134">
        <v>90338052</v>
      </c>
      <c r="B4134" t="s">
        <v>14</v>
      </c>
      <c r="C4134" t="s">
        <v>38</v>
      </c>
      <c r="D4134" t="s">
        <v>14</v>
      </c>
      <c r="E4134" t="s">
        <v>15</v>
      </c>
      <c r="F4134" t="s">
        <v>14</v>
      </c>
      <c r="G4134" t="s">
        <v>41</v>
      </c>
      <c r="H4134">
        <v>441</v>
      </c>
    </row>
    <row r="4135" spans="1:8" x14ac:dyDescent="0.35">
      <c r="A4135">
        <v>90338052</v>
      </c>
      <c r="B4135" t="s">
        <v>14</v>
      </c>
      <c r="C4135" t="s">
        <v>38</v>
      </c>
      <c r="D4135" t="s">
        <v>14</v>
      </c>
      <c r="E4135" t="s">
        <v>15</v>
      </c>
      <c r="F4135" t="s">
        <v>14</v>
      </c>
      <c r="G4135" t="s">
        <v>11</v>
      </c>
      <c r="H4135">
        <v>10</v>
      </c>
    </row>
    <row r="4136" spans="1:8" x14ac:dyDescent="0.35">
      <c r="A4136">
        <v>90338052</v>
      </c>
      <c r="B4136" t="s">
        <v>14</v>
      </c>
      <c r="C4136" t="s">
        <v>38</v>
      </c>
      <c r="D4136" t="s">
        <v>14</v>
      </c>
      <c r="E4136" t="s">
        <v>15</v>
      </c>
      <c r="F4136" t="s">
        <v>14</v>
      </c>
      <c r="G4136" t="s">
        <v>33</v>
      </c>
      <c r="H4136">
        <v>1725</v>
      </c>
    </row>
    <row r="4137" spans="1:8" x14ac:dyDescent="0.35">
      <c r="A4137">
        <v>90338052</v>
      </c>
      <c r="B4137" t="s">
        <v>14</v>
      </c>
      <c r="C4137" t="s">
        <v>38</v>
      </c>
      <c r="D4137" t="s">
        <v>14</v>
      </c>
      <c r="E4137" t="s">
        <v>15</v>
      </c>
      <c r="F4137" t="s">
        <v>14</v>
      </c>
      <c r="G4137" t="s">
        <v>34</v>
      </c>
      <c r="H4137">
        <v>20</v>
      </c>
    </row>
    <row r="4138" spans="1:8" x14ac:dyDescent="0.35">
      <c r="A4138">
        <v>90338052</v>
      </c>
      <c r="B4138" t="s">
        <v>14</v>
      </c>
      <c r="C4138" t="s">
        <v>38</v>
      </c>
      <c r="D4138" t="s">
        <v>14</v>
      </c>
      <c r="E4138" t="s">
        <v>15</v>
      </c>
      <c r="F4138" t="s">
        <v>14</v>
      </c>
      <c r="G4138" t="s">
        <v>61</v>
      </c>
      <c r="H4138">
        <v>295</v>
      </c>
    </row>
    <row r="4139" spans="1:8" x14ac:dyDescent="0.35">
      <c r="A4139">
        <v>90338052</v>
      </c>
      <c r="B4139" t="s">
        <v>14</v>
      </c>
      <c r="C4139" t="s">
        <v>38</v>
      </c>
      <c r="D4139" t="s">
        <v>14</v>
      </c>
      <c r="E4139" t="s">
        <v>15</v>
      </c>
      <c r="F4139" t="s">
        <v>14</v>
      </c>
      <c r="G4139" t="s">
        <v>31</v>
      </c>
      <c r="H4139">
        <v>2</v>
      </c>
    </row>
    <row r="4140" spans="1:8" x14ac:dyDescent="0.35">
      <c r="A4140">
        <v>90357053</v>
      </c>
      <c r="B4140" t="s">
        <v>156</v>
      </c>
      <c r="C4140" t="s">
        <v>472</v>
      </c>
      <c r="D4140" t="s">
        <v>705</v>
      </c>
      <c r="E4140" t="s">
        <v>15</v>
      </c>
      <c r="F4140" t="s">
        <v>14</v>
      </c>
      <c r="G4140" t="s">
        <v>11</v>
      </c>
      <c r="H4140">
        <v>9</v>
      </c>
    </row>
    <row r="4141" spans="1:8" x14ac:dyDescent="0.35">
      <c r="A4141">
        <v>90357053</v>
      </c>
      <c r="B4141" t="s">
        <v>156</v>
      </c>
      <c r="C4141" t="s">
        <v>472</v>
      </c>
      <c r="D4141" t="s">
        <v>705</v>
      </c>
      <c r="E4141" t="s">
        <v>15</v>
      </c>
      <c r="F4141" t="s">
        <v>14</v>
      </c>
      <c r="G4141" t="s">
        <v>34</v>
      </c>
      <c r="H4141">
        <v>51</v>
      </c>
    </row>
    <row r="4142" spans="1:8" x14ac:dyDescent="0.35">
      <c r="A4142">
        <v>90357626</v>
      </c>
      <c r="B4142" t="s">
        <v>4406</v>
      </c>
      <c r="C4142" t="s">
        <v>472</v>
      </c>
      <c r="D4142" t="s">
        <v>14</v>
      </c>
      <c r="E4142" t="s">
        <v>15</v>
      </c>
      <c r="F4142" t="s">
        <v>14</v>
      </c>
      <c r="G4142" t="s">
        <v>34</v>
      </c>
      <c r="H4142">
        <v>54</v>
      </c>
    </row>
    <row r="4143" spans="1:8" x14ac:dyDescent="0.35">
      <c r="A4143">
        <v>90357626</v>
      </c>
      <c r="B4143" t="s">
        <v>4406</v>
      </c>
      <c r="C4143" t="s">
        <v>472</v>
      </c>
      <c r="D4143" t="s">
        <v>14</v>
      </c>
      <c r="E4143" t="s">
        <v>15</v>
      </c>
      <c r="F4143" t="s">
        <v>14</v>
      </c>
      <c r="G4143" t="s">
        <v>31</v>
      </c>
      <c r="H4143">
        <v>73</v>
      </c>
    </row>
    <row r="4144" spans="1:8" x14ac:dyDescent="0.35">
      <c r="A4144">
        <v>90370748</v>
      </c>
      <c r="B4144" t="s">
        <v>1934</v>
      </c>
      <c r="C4144" t="s">
        <v>909</v>
      </c>
      <c r="D4144" t="s">
        <v>52</v>
      </c>
      <c r="E4144" t="s">
        <v>15</v>
      </c>
      <c r="F4144" t="s">
        <v>14</v>
      </c>
      <c r="G4144" t="s">
        <v>34</v>
      </c>
      <c r="H4144">
        <v>5</v>
      </c>
    </row>
    <row r="4145" spans="1:8" x14ac:dyDescent="0.35">
      <c r="A4145">
        <v>90370748</v>
      </c>
      <c r="B4145" t="s">
        <v>1934</v>
      </c>
      <c r="C4145" t="s">
        <v>909</v>
      </c>
      <c r="D4145" t="s">
        <v>52</v>
      </c>
      <c r="E4145" t="s">
        <v>15</v>
      </c>
      <c r="F4145" t="s">
        <v>14</v>
      </c>
      <c r="G4145" t="s">
        <v>61</v>
      </c>
      <c r="H4145">
        <v>166</v>
      </c>
    </row>
    <row r="4146" spans="1:8" x14ac:dyDescent="0.35">
      <c r="A4146">
        <v>90375149</v>
      </c>
      <c r="B4146" t="s">
        <v>709</v>
      </c>
      <c r="C4146" t="s">
        <v>1341</v>
      </c>
      <c r="D4146" t="s">
        <v>14</v>
      </c>
      <c r="E4146" t="s">
        <v>15</v>
      </c>
      <c r="F4146" t="s">
        <v>14</v>
      </c>
      <c r="G4146" t="s">
        <v>117</v>
      </c>
      <c r="H4146">
        <v>1</v>
      </c>
    </row>
    <row r="4147" spans="1:8" x14ac:dyDescent="0.35">
      <c r="A4147">
        <v>90375149</v>
      </c>
      <c r="B4147" t="s">
        <v>709</v>
      </c>
      <c r="C4147" t="s">
        <v>1341</v>
      </c>
      <c r="D4147" t="s">
        <v>14</v>
      </c>
      <c r="E4147" t="s">
        <v>15</v>
      </c>
      <c r="F4147" t="s">
        <v>14</v>
      </c>
      <c r="G4147" t="s">
        <v>73</v>
      </c>
      <c r="H4147">
        <v>1</v>
      </c>
    </row>
    <row r="4148" spans="1:8" x14ac:dyDescent="0.35">
      <c r="A4148">
        <v>90375286</v>
      </c>
      <c r="B4148" t="s">
        <v>14</v>
      </c>
      <c r="C4148" t="s">
        <v>1341</v>
      </c>
      <c r="D4148" t="s">
        <v>14</v>
      </c>
      <c r="E4148" t="s">
        <v>15</v>
      </c>
      <c r="F4148" t="s">
        <v>14</v>
      </c>
      <c r="G4148" t="s">
        <v>34</v>
      </c>
      <c r="H4148">
        <v>825</v>
      </c>
    </row>
    <row r="4149" spans="1:8" x14ac:dyDescent="0.35">
      <c r="A4149">
        <v>90375286</v>
      </c>
      <c r="B4149" t="s">
        <v>14</v>
      </c>
      <c r="C4149" t="s">
        <v>1341</v>
      </c>
      <c r="D4149" t="s">
        <v>14</v>
      </c>
      <c r="E4149" t="s">
        <v>15</v>
      </c>
      <c r="F4149" t="s">
        <v>14</v>
      </c>
      <c r="G4149" t="s">
        <v>150</v>
      </c>
      <c r="H4149">
        <v>1</v>
      </c>
    </row>
    <row r="4150" spans="1:8" x14ac:dyDescent="0.35">
      <c r="A4150">
        <v>90375378</v>
      </c>
      <c r="B4150" t="s">
        <v>752</v>
      </c>
      <c r="C4150" t="s">
        <v>603</v>
      </c>
      <c r="D4150" t="s">
        <v>1871</v>
      </c>
      <c r="E4150" t="s">
        <v>15</v>
      </c>
      <c r="F4150" t="s">
        <v>14</v>
      </c>
      <c r="G4150" t="s">
        <v>34</v>
      </c>
      <c r="H4150">
        <v>3</v>
      </c>
    </row>
    <row r="4151" spans="1:8" x14ac:dyDescent="0.35">
      <c r="A4151">
        <v>90375378</v>
      </c>
      <c r="B4151" t="s">
        <v>752</v>
      </c>
      <c r="C4151" t="s">
        <v>603</v>
      </c>
      <c r="D4151" t="s">
        <v>1871</v>
      </c>
      <c r="E4151" t="s">
        <v>15</v>
      </c>
      <c r="F4151" t="s">
        <v>14</v>
      </c>
      <c r="G4151" t="s">
        <v>73</v>
      </c>
      <c r="H4151">
        <v>2</v>
      </c>
    </row>
    <row r="4152" spans="1:8" x14ac:dyDescent="0.35">
      <c r="A4152">
        <v>90377235</v>
      </c>
      <c r="B4152" t="s">
        <v>4407</v>
      </c>
      <c r="C4152" t="s">
        <v>38</v>
      </c>
      <c r="D4152" t="s">
        <v>246</v>
      </c>
      <c r="E4152" t="s">
        <v>15</v>
      </c>
      <c r="F4152" t="s">
        <v>14</v>
      </c>
      <c r="G4152" t="s">
        <v>117</v>
      </c>
      <c r="H4152">
        <v>73</v>
      </c>
    </row>
    <row r="4153" spans="1:8" x14ac:dyDescent="0.35">
      <c r="A4153">
        <v>90377235</v>
      </c>
      <c r="B4153" t="s">
        <v>4407</v>
      </c>
      <c r="C4153" t="s">
        <v>38</v>
      </c>
      <c r="D4153" t="s">
        <v>246</v>
      </c>
      <c r="E4153" t="s">
        <v>15</v>
      </c>
      <c r="F4153" t="s">
        <v>14</v>
      </c>
      <c r="G4153" t="s">
        <v>41</v>
      </c>
      <c r="H4153">
        <v>24</v>
      </c>
    </row>
    <row r="4154" spans="1:8" x14ac:dyDescent="0.35">
      <c r="A4154">
        <v>90377235</v>
      </c>
      <c r="B4154" t="s">
        <v>4407</v>
      </c>
      <c r="C4154" t="s">
        <v>38</v>
      </c>
      <c r="D4154" t="s">
        <v>246</v>
      </c>
      <c r="E4154" t="s">
        <v>15</v>
      </c>
      <c r="F4154" t="s">
        <v>14</v>
      </c>
      <c r="G4154" t="s">
        <v>11</v>
      </c>
      <c r="H4154">
        <v>1</v>
      </c>
    </row>
    <row r="4155" spans="1:8" x14ac:dyDescent="0.35">
      <c r="A4155">
        <v>90377235</v>
      </c>
      <c r="B4155" t="s">
        <v>4407</v>
      </c>
      <c r="C4155" t="s">
        <v>38</v>
      </c>
      <c r="D4155" t="s">
        <v>246</v>
      </c>
      <c r="E4155" t="s">
        <v>15</v>
      </c>
      <c r="F4155" t="s">
        <v>14</v>
      </c>
      <c r="G4155" t="s">
        <v>34</v>
      </c>
      <c r="H4155">
        <v>10</v>
      </c>
    </row>
    <row r="4156" spans="1:8" x14ac:dyDescent="0.35">
      <c r="A4156">
        <v>90377235</v>
      </c>
      <c r="B4156" t="s">
        <v>4407</v>
      </c>
      <c r="C4156" t="s">
        <v>38</v>
      </c>
      <c r="D4156" t="s">
        <v>246</v>
      </c>
      <c r="E4156" t="s">
        <v>15</v>
      </c>
      <c r="F4156" t="s">
        <v>14</v>
      </c>
      <c r="G4156" t="s">
        <v>150</v>
      </c>
      <c r="H4156">
        <v>1</v>
      </c>
    </row>
    <row r="4157" spans="1:8" x14ac:dyDescent="0.35">
      <c r="A4157">
        <v>90377235</v>
      </c>
      <c r="B4157" t="s">
        <v>4407</v>
      </c>
      <c r="C4157" t="s">
        <v>38</v>
      </c>
      <c r="D4157" t="s">
        <v>246</v>
      </c>
      <c r="E4157" t="s">
        <v>15</v>
      </c>
      <c r="F4157" t="s">
        <v>14</v>
      </c>
      <c r="G4157" t="s">
        <v>61</v>
      </c>
      <c r="H4157">
        <v>91</v>
      </c>
    </row>
    <row r="4158" spans="1:8" x14ac:dyDescent="0.35">
      <c r="A4158">
        <v>90377242</v>
      </c>
      <c r="B4158" t="s">
        <v>4408</v>
      </c>
      <c r="C4158" t="s">
        <v>38</v>
      </c>
      <c r="D4158" t="s">
        <v>246</v>
      </c>
      <c r="E4158" t="s">
        <v>15</v>
      </c>
      <c r="F4158" t="s">
        <v>14</v>
      </c>
      <c r="G4158" t="s">
        <v>117</v>
      </c>
      <c r="H4158">
        <v>2</v>
      </c>
    </row>
    <row r="4159" spans="1:8" x14ac:dyDescent="0.35">
      <c r="A4159">
        <v>90377242</v>
      </c>
      <c r="B4159" t="s">
        <v>4408</v>
      </c>
      <c r="C4159" t="s">
        <v>38</v>
      </c>
      <c r="D4159" t="s">
        <v>246</v>
      </c>
      <c r="E4159" t="s">
        <v>15</v>
      </c>
      <c r="F4159" t="s">
        <v>14</v>
      </c>
      <c r="G4159" t="s">
        <v>34</v>
      </c>
      <c r="H4159">
        <v>3</v>
      </c>
    </row>
    <row r="4160" spans="1:8" x14ac:dyDescent="0.35">
      <c r="A4160">
        <v>90377242</v>
      </c>
      <c r="B4160" t="s">
        <v>4408</v>
      </c>
      <c r="C4160" t="s">
        <v>38</v>
      </c>
      <c r="D4160" t="s">
        <v>246</v>
      </c>
      <c r="E4160" t="s">
        <v>15</v>
      </c>
      <c r="F4160" t="s">
        <v>14</v>
      </c>
      <c r="G4160" t="s">
        <v>61</v>
      </c>
      <c r="H4160">
        <v>31</v>
      </c>
    </row>
    <row r="4161" spans="1:8" x14ac:dyDescent="0.35">
      <c r="A4161">
        <v>90377266</v>
      </c>
      <c r="B4161" t="s">
        <v>1940</v>
      </c>
      <c r="C4161" t="s">
        <v>909</v>
      </c>
      <c r="D4161" t="s">
        <v>705</v>
      </c>
      <c r="E4161" t="s">
        <v>15</v>
      </c>
      <c r="F4161" t="s">
        <v>14</v>
      </c>
      <c r="G4161" t="s">
        <v>117</v>
      </c>
      <c r="H4161">
        <v>6</v>
      </c>
    </row>
    <row r="4162" spans="1:8" x14ac:dyDescent="0.35">
      <c r="A4162">
        <v>90377266</v>
      </c>
      <c r="B4162" t="s">
        <v>1940</v>
      </c>
      <c r="C4162" t="s">
        <v>909</v>
      </c>
      <c r="D4162" t="s">
        <v>705</v>
      </c>
      <c r="E4162" t="s">
        <v>15</v>
      </c>
      <c r="F4162" t="s">
        <v>14</v>
      </c>
      <c r="G4162" t="s">
        <v>387</v>
      </c>
      <c r="H4162">
        <v>1</v>
      </c>
    </row>
    <row r="4163" spans="1:8" x14ac:dyDescent="0.35">
      <c r="A4163">
        <v>90377266</v>
      </c>
      <c r="B4163" t="s">
        <v>1940</v>
      </c>
      <c r="C4163" t="s">
        <v>909</v>
      </c>
      <c r="D4163" t="s">
        <v>705</v>
      </c>
      <c r="E4163" t="s">
        <v>15</v>
      </c>
      <c r="F4163" t="s">
        <v>14</v>
      </c>
      <c r="G4163" t="s">
        <v>61</v>
      </c>
      <c r="H4163">
        <v>67</v>
      </c>
    </row>
    <row r="4164" spans="1:8" x14ac:dyDescent="0.35">
      <c r="A4164">
        <v>90377457</v>
      </c>
      <c r="B4164" t="s">
        <v>4409</v>
      </c>
      <c r="C4164" t="s">
        <v>603</v>
      </c>
      <c r="D4164" t="s">
        <v>451</v>
      </c>
      <c r="E4164" t="s">
        <v>15</v>
      </c>
      <c r="F4164" t="s">
        <v>14</v>
      </c>
      <c r="G4164" t="s">
        <v>34</v>
      </c>
      <c r="H4164">
        <v>95</v>
      </c>
    </row>
    <row r="4165" spans="1:8" x14ac:dyDescent="0.35">
      <c r="A4165">
        <v>90377884</v>
      </c>
      <c r="B4165" t="s">
        <v>167</v>
      </c>
      <c r="C4165" t="s">
        <v>576</v>
      </c>
      <c r="D4165" t="s">
        <v>246</v>
      </c>
      <c r="E4165" t="s">
        <v>15</v>
      </c>
      <c r="F4165" t="s">
        <v>14</v>
      </c>
      <c r="G4165" t="s">
        <v>117</v>
      </c>
      <c r="H4165">
        <v>2</v>
      </c>
    </row>
    <row r="4166" spans="1:8" x14ac:dyDescent="0.35">
      <c r="A4166">
        <v>90377884</v>
      </c>
      <c r="B4166" t="s">
        <v>167</v>
      </c>
      <c r="C4166" t="s">
        <v>576</v>
      </c>
      <c r="D4166" t="s">
        <v>246</v>
      </c>
      <c r="E4166" t="s">
        <v>15</v>
      </c>
      <c r="F4166" t="s">
        <v>14</v>
      </c>
      <c r="G4166" t="s">
        <v>11</v>
      </c>
      <c r="H4166">
        <v>133</v>
      </c>
    </row>
    <row r="4167" spans="1:8" x14ac:dyDescent="0.35">
      <c r="A4167">
        <v>90377884</v>
      </c>
      <c r="B4167" t="s">
        <v>167</v>
      </c>
      <c r="C4167" t="s">
        <v>576</v>
      </c>
      <c r="D4167" t="s">
        <v>246</v>
      </c>
      <c r="E4167" t="s">
        <v>15</v>
      </c>
      <c r="F4167" t="s">
        <v>14</v>
      </c>
      <c r="G4167" t="s">
        <v>34</v>
      </c>
      <c r="H4167">
        <v>46</v>
      </c>
    </row>
    <row r="4168" spans="1:8" x14ac:dyDescent="0.35">
      <c r="A4168">
        <v>90377884</v>
      </c>
      <c r="B4168" t="s">
        <v>167</v>
      </c>
      <c r="C4168" t="s">
        <v>576</v>
      </c>
      <c r="D4168" t="s">
        <v>246</v>
      </c>
      <c r="E4168" t="s">
        <v>15</v>
      </c>
      <c r="F4168" t="s">
        <v>14</v>
      </c>
      <c r="G4168" t="s">
        <v>31</v>
      </c>
      <c r="H4168">
        <v>199</v>
      </c>
    </row>
    <row r="4169" spans="1:8" x14ac:dyDescent="0.35">
      <c r="A4169">
        <v>90382895</v>
      </c>
      <c r="B4169" t="s">
        <v>384</v>
      </c>
      <c r="C4169" t="s">
        <v>38</v>
      </c>
      <c r="D4169" t="s">
        <v>711</v>
      </c>
      <c r="E4169" t="s">
        <v>15</v>
      </c>
      <c r="F4169" t="s">
        <v>14</v>
      </c>
      <c r="G4169" t="s">
        <v>3453</v>
      </c>
      <c r="H4169">
        <v>2</v>
      </c>
    </row>
    <row r="4170" spans="1:8" x14ac:dyDescent="0.35">
      <c r="A4170">
        <v>90399480</v>
      </c>
      <c r="B4170" t="s">
        <v>4410</v>
      </c>
      <c r="C4170" t="s">
        <v>83</v>
      </c>
      <c r="D4170" t="s">
        <v>539</v>
      </c>
      <c r="E4170" t="s">
        <v>15</v>
      </c>
      <c r="F4170" t="s">
        <v>14</v>
      </c>
      <c r="G4170" t="s">
        <v>11</v>
      </c>
      <c r="H4170">
        <v>51</v>
      </c>
    </row>
    <row r="4171" spans="1:8" x14ac:dyDescent="0.35">
      <c r="A4171">
        <v>90399497</v>
      </c>
      <c r="B4171" t="s">
        <v>4411</v>
      </c>
      <c r="C4171" t="s">
        <v>83</v>
      </c>
      <c r="D4171" t="s">
        <v>539</v>
      </c>
      <c r="E4171" t="s">
        <v>15</v>
      </c>
      <c r="F4171" t="s">
        <v>14</v>
      </c>
      <c r="G4171" t="s">
        <v>31</v>
      </c>
      <c r="H4171">
        <v>55</v>
      </c>
    </row>
    <row r="4172" spans="1:8" x14ac:dyDescent="0.35">
      <c r="A4172">
        <v>90418013</v>
      </c>
      <c r="B4172" t="s">
        <v>1348</v>
      </c>
      <c r="C4172" t="s">
        <v>576</v>
      </c>
      <c r="D4172" t="s">
        <v>52</v>
      </c>
      <c r="E4172" t="s">
        <v>15</v>
      </c>
      <c r="F4172" t="s">
        <v>14</v>
      </c>
      <c r="G4172" t="s">
        <v>11</v>
      </c>
      <c r="H4172">
        <v>66</v>
      </c>
    </row>
    <row r="4173" spans="1:8" x14ac:dyDescent="0.35">
      <c r="A4173">
        <v>90418013</v>
      </c>
      <c r="B4173" t="s">
        <v>1348</v>
      </c>
      <c r="C4173" t="s">
        <v>576</v>
      </c>
      <c r="D4173" t="s">
        <v>52</v>
      </c>
      <c r="E4173" t="s">
        <v>15</v>
      </c>
      <c r="F4173" t="s">
        <v>14</v>
      </c>
      <c r="G4173" t="s">
        <v>34</v>
      </c>
      <c r="H4173">
        <v>25</v>
      </c>
    </row>
    <row r="4174" spans="1:8" x14ac:dyDescent="0.35">
      <c r="A4174">
        <v>90418013</v>
      </c>
      <c r="B4174" t="s">
        <v>1348</v>
      </c>
      <c r="C4174" t="s">
        <v>576</v>
      </c>
      <c r="D4174" t="s">
        <v>52</v>
      </c>
      <c r="E4174" t="s">
        <v>15</v>
      </c>
      <c r="F4174" t="s">
        <v>14</v>
      </c>
      <c r="G4174" t="s">
        <v>150</v>
      </c>
      <c r="H4174">
        <v>6</v>
      </c>
    </row>
    <row r="4175" spans="1:8" x14ac:dyDescent="0.35">
      <c r="A4175">
        <v>90418013</v>
      </c>
      <c r="B4175" t="s">
        <v>1348</v>
      </c>
      <c r="C4175" t="s">
        <v>576</v>
      </c>
      <c r="D4175" t="s">
        <v>52</v>
      </c>
      <c r="E4175" t="s">
        <v>15</v>
      </c>
      <c r="F4175" t="s">
        <v>14</v>
      </c>
      <c r="G4175" t="s">
        <v>31</v>
      </c>
      <c r="H4175">
        <v>228</v>
      </c>
    </row>
    <row r="4176" spans="1:8" x14ac:dyDescent="0.35">
      <c r="A4176">
        <v>90418297</v>
      </c>
      <c r="B4176" t="s">
        <v>1014</v>
      </c>
      <c r="C4176" t="s">
        <v>472</v>
      </c>
      <c r="D4176" t="s">
        <v>1816</v>
      </c>
      <c r="E4176" t="s">
        <v>15</v>
      </c>
      <c r="F4176" t="s">
        <v>14</v>
      </c>
      <c r="G4176" t="s">
        <v>11</v>
      </c>
      <c r="H4176">
        <v>12</v>
      </c>
    </row>
    <row r="4177" spans="1:8" x14ac:dyDescent="0.35">
      <c r="A4177">
        <v>90418303</v>
      </c>
      <c r="B4177" t="s">
        <v>4412</v>
      </c>
      <c r="C4177" t="s">
        <v>472</v>
      </c>
      <c r="D4177" t="s">
        <v>1893</v>
      </c>
      <c r="E4177" t="s">
        <v>15</v>
      </c>
      <c r="F4177" t="s">
        <v>14</v>
      </c>
      <c r="G4177" t="s">
        <v>11</v>
      </c>
      <c r="H4177">
        <v>22</v>
      </c>
    </row>
    <row r="4178" spans="1:8" x14ac:dyDescent="0.35">
      <c r="A4178">
        <v>90418303</v>
      </c>
      <c r="B4178" t="s">
        <v>4412</v>
      </c>
      <c r="C4178" t="s">
        <v>472</v>
      </c>
      <c r="D4178" t="s">
        <v>1893</v>
      </c>
      <c r="E4178" t="s">
        <v>15</v>
      </c>
      <c r="F4178" t="s">
        <v>14</v>
      </c>
      <c r="G4178" t="s">
        <v>31</v>
      </c>
      <c r="H4178">
        <v>31</v>
      </c>
    </row>
    <row r="4179" spans="1:8" x14ac:dyDescent="0.35">
      <c r="A4179">
        <v>90490224</v>
      </c>
      <c r="B4179" t="s">
        <v>4413</v>
      </c>
      <c r="C4179" t="s">
        <v>83</v>
      </c>
      <c r="D4179" t="s">
        <v>539</v>
      </c>
      <c r="E4179" t="s">
        <v>15</v>
      </c>
      <c r="F4179" t="s">
        <v>14</v>
      </c>
      <c r="G4179" t="s">
        <v>117</v>
      </c>
      <c r="H4179">
        <v>12</v>
      </c>
    </row>
    <row r="4180" spans="1:8" x14ac:dyDescent="0.35">
      <c r="A4180">
        <v>90490224</v>
      </c>
      <c r="B4180" t="s">
        <v>4413</v>
      </c>
      <c r="C4180" t="s">
        <v>83</v>
      </c>
      <c r="D4180" t="s">
        <v>539</v>
      </c>
      <c r="E4180" t="s">
        <v>15</v>
      </c>
      <c r="F4180" t="s">
        <v>14</v>
      </c>
      <c r="G4180" t="s">
        <v>11</v>
      </c>
      <c r="H4180">
        <v>1</v>
      </c>
    </row>
    <row r="4181" spans="1:8" x14ac:dyDescent="0.35">
      <c r="A4181">
        <v>90490248</v>
      </c>
      <c r="B4181" t="s">
        <v>1050</v>
      </c>
      <c r="C4181" t="s">
        <v>603</v>
      </c>
      <c r="D4181" t="s">
        <v>1871</v>
      </c>
      <c r="E4181" t="s">
        <v>15</v>
      </c>
      <c r="F4181" t="s">
        <v>14</v>
      </c>
      <c r="G4181" t="s">
        <v>34</v>
      </c>
      <c r="H4181">
        <v>1</v>
      </c>
    </row>
    <row r="4182" spans="1:8" x14ac:dyDescent="0.35">
      <c r="A4182">
        <v>90490248</v>
      </c>
      <c r="B4182" t="s">
        <v>1050</v>
      </c>
      <c r="C4182" t="s">
        <v>603</v>
      </c>
      <c r="D4182" t="s">
        <v>1871</v>
      </c>
      <c r="E4182" t="s">
        <v>15</v>
      </c>
      <c r="F4182" t="s">
        <v>14</v>
      </c>
      <c r="G4182" t="s">
        <v>73</v>
      </c>
      <c r="H4182">
        <v>2</v>
      </c>
    </row>
    <row r="4183" spans="1:8" x14ac:dyDescent="0.35">
      <c r="A4183">
        <v>90490279</v>
      </c>
      <c r="B4183" t="s">
        <v>4414</v>
      </c>
      <c r="C4183" t="s">
        <v>83</v>
      </c>
      <c r="D4183" t="s">
        <v>539</v>
      </c>
      <c r="E4183" t="s">
        <v>15</v>
      </c>
      <c r="F4183" t="s">
        <v>14</v>
      </c>
      <c r="G4183" t="s">
        <v>16</v>
      </c>
      <c r="H4183">
        <v>1</v>
      </c>
    </row>
    <row r="4184" spans="1:8" x14ac:dyDescent="0.35">
      <c r="A4184">
        <v>90490279</v>
      </c>
      <c r="B4184" t="s">
        <v>4414</v>
      </c>
      <c r="C4184" t="s">
        <v>83</v>
      </c>
      <c r="D4184" t="s">
        <v>539</v>
      </c>
      <c r="E4184" t="s">
        <v>15</v>
      </c>
      <c r="F4184" t="s">
        <v>14</v>
      </c>
      <c r="G4184" t="s">
        <v>11</v>
      </c>
      <c r="H4184">
        <v>20</v>
      </c>
    </row>
    <row r="4185" spans="1:8" x14ac:dyDescent="0.35">
      <c r="A4185">
        <v>90490279</v>
      </c>
      <c r="B4185" t="s">
        <v>4414</v>
      </c>
      <c r="C4185" t="s">
        <v>83</v>
      </c>
      <c r="D4185" t="s">
        <v>539</v>
      </c>
      <c r="E4185" t="s">
        <v>15</v>
      </c>
      <c r="F4185" t="s">
        <v>14</v>
      </c>
      <c r="G4185" t="s">
        <v>61</v>
      </c>
      <c r="H4185">
        <v>12</v>
      </c>
    </row>
    <row r="4186" spans="1:8" x14ac:dyDescent="0.35">
      <c r="A4186">
        <v>90490279</v>
      </c>
      <c r="B4186" t="s">
        <v>4414</v>
      </c>
      <c r="C4186" t="s">
        <v>83</v>
      </c>
      <c r="D4186" t="s">
        <v>539</v>
      </c>
      <c r="E4186" t="s">
        <v>15</v>
      </c>
      <c r="F4186" t="s">
        <v>14</v>
      </c>
      <c r="G4186" t="s">
        <v>31</v>
      </c>
      <c r="H4186">
        <v>168</v>
      </c>
    </row>
    <row r="4187" spans="1:8" x14ac:dyDescent="0.35">
      <c r="A4187">
        <v>90492501</v>
      </c>
      <c r="B4187" t="s">
        <v>4415</v>
      </c>
      <c r="C4187" t="s">
        <v>9</v>
      </c>
      <c r="D4187" t="s">
        <v>707</v>
      </c>
      <c r="E4187" t="s">
        <v>15</v>
      </c>
      <c r="F4187" t="s">
        <v>14</v>
      </c>
      <c r="G4187" t="s">
        <v>34</v>
      </c>
      <c r="H4187">
        <v>4</v>
      </c>
    </row>
    <row r="4188" spans="1:8" x14ac:dyDescent="0.35">
      <c r="A4188">
        <v>90492501</v>
      </c>
      <c r="B4188" t="s">
        <v>4415</v>
      </c>
      <c r="C4188" t="s">
        <v>9</v>
      </c>
      <c r="D4188" t="s">
        <v>707</v>
      </c>
      <c r="E4188" t="s">
        <v>15</v>
      </c>
      <c r="F4188" t="s">
        <v>14</v>
      </c>
      <c r="G4188" t="s">
        <v>73</v>
      </c>
      <c r="H4188">
        <v>4</v>
      </c>
    </row>
    <row r="4189" spans="1:8" x14ac:dyDescent="0.35">
      <c r="A4189">
        <v>90495502</v>
      </c>
      <c r="B4189" t="s">
        <v>705</v>
      </c>
      <c r="C4189" t="s">
        <v>36</v>
      </c>
      <c r="D4189" t="s">
        <v>705</v>
      </c>
      <c r="E4189" t="s">
        <v>15</v>
      </c>
      <c r="F4189" t="s">
        <v>14</v>
      </c>
      <c r="G4189" t="s">
        <v>11</v>
      </c>
      <c r="H4189">
        <v>39</v>
      </c>
    </row>
    <row r="4190" spans="1:8" x14ac:dyDescent="0.35">
      <c r="A4190">
        <v>9060611250516</v>
      </c>
      <c r="B4190" t="s">
        <v>4416</v>
      </c>
      <c r="C4190" t="s">
        <v>1115</v>
      </c>
      <c r="D4190" t="s">
        <v>1776</v>
      </c>
      <c r="E4190" t="s">
        <v>22</v>
      </c>
      <c r="F4190" t="s">
        <v>1777</v>
      </c>
      <c r="G4190" t="s">
        <v>464</v>
      </c>
      <c r="H4190">
        <v>1</v>
      </c>
    </row>
    <row r="4191" spans="1:8" x14ac:dyDescent="0.35">
      <c r="A4191">
        <v>9113460630012</v>
      </c>
      <c r="B4191" t="s">
        <v>4417</v>
      </c>
      <c r="C4191" t="s">
        <v>2244</v>
      </c>
      <c r="D4191" t="s">
        <v>3020</v>
      </c>
      <c r="E4191" t="s">
        <v>308</v>
      </c>
      <c r="F4191" t="s">
        <v>309</v>
      </c>
      <c r="G4191" t="s">
        <v>61</v>
      </c>
      <c r="H4191">
        <v>3</v>
      </c>
    </row>
    <row r="4192" spans="1:8" x14ac:dyDescent="0.35">
      <c r="A4192">
        <v>9163112761731</v>
      </c>
      <c r="B4192" t="s">
        <v>668</v>
      </c>
      <c r="C4192" t="s">
        <v>214</v>
      </c>
      <c r="D4192" t="s">
        <v>194</v>
      </c>
      <c r="E4192" t="s">
        <v>16</v>
      </c>
      <c r="F4192" t="s">
        <v>195</v>
      </c>
      <c r="G4192" t="s">
        <v>16</v>
      </c>
      <c r="H4192">
        <v>1</v>
      </c>
    </row>
    <row r="4193" spans="1:8" x14ac:dyDescent="0.35">
      <c r="A4193">
        <v>9245243794526</v>
      </c>
      <c r="B4193" t="s">
        <v>446</v>
      </c>
      <c r="C4193" t="s">
        <v>326</v>
      </c>
      <c r="D4193" t="s">
        <v>448</v>
      </c>
      <c r="E4193" t="s">
        <v>117</v>
      </c>
      <c r="F4193" t="s">
        <v>449</v>
      </c>
      <c r="G4193" t="s">
        <v>117</v>
      </c>
      <c r="H4193">
        <v>57</v>
      </c>
    </row>
    <row r="4194" spans="1:8" x14ac:dyDescent="0.35">
      <c r="A4194">
        <v>9280218101053</v>
      </c>
      <c r="B4194" t="s">
        <v>4418</v>
      </c>
      <c r="C4194" t="s">
        <v>114</v>
      </c>
      <c r="D4194" t="s">
        <v>2252</v>
      </c>
      <c r="E4194" t="s">
        <v>130</v>
      </c>
      <c r="F4194" t="s">
        <v>220</v>
      </c>
      <c r="G4194" t="s">
        <v>4401</v>
      </c>
      <c r="H4194">
        <v>1</v>
      </c>
    </row>
    <row r="4195" spans="1:8" x14ac:dyDescent="0.35">
      <c r="A4195">
        <v>9345101595590</v>
      </c>
      <c r="B4195" t="s">
        <v>4419</v>
      </c>
      <c r="C4195" t="s">
        <v>9</v>
      </c>
      <c r="D4195" t="s">
        <v>2252</v>
      </c>
      <c r="E4195" t="s">
        <v>130</v>
      </c>
      <c r="F4195" t="s">
        <v>220</v>
      </c>
      <c r="G4195" t="s">
        <v>22</v>
      </c>
      <c r="H4195">
        <v>1</v>
      </c>
    </row>
    <row r="4196" spans="1:8" x14ac:dyDescent="0.35">
      <c r="A4196">
        <v>9501100000415</v>
      </c>
      <c r="B4196" t="s">
        <v>884</v>
      </c>
      <c r="C4196" t="s">
        <v>603</v>
      </c>
      <c r="D4196" t="s">
        <v>4420</v>
      </c>
      <c r="E4196" t="s">
        <v>130</v>
      </c>
      <c r="F4196" t="s">
        <v>424</v>
      </c>
      <c r="G4196" t="s">
        <v>387</v>
      </c>
      <c r="H4196">
        <v>81</v>
      </c>
    </row>
    <row r="4197" spans="1:8" x14ac:dyDescent="0.35">
      <c r="A4197">
        <v>9501100000965</v>
      </c>
      <c r="B4197" t="s">
        <v>4228</v>
      </c>
      <c r="C4197" t="s">
        <v>192</v>
      </c>
      <c r="D4197" t="s">
        <v>4420</v>
      </c>
      <c r="E4197" t="s">
        <v>130</v>
      </c>
      <c r="F4197" t="s">
        <v>424</v>
      </c>
      <c r="G4197" t="s">
        <v>387</v>
      </c>
      <c r="H4197">
        <v>11</v>
      </c>
    </row>
    <row r="4198" spans="1:8" x14ac:dyDescent="0.35">
      <c r="A4198">
        <v>9501100001931</v>
      </c>
      <c r="B4198" t="s">
        <v>581</v>
      </c>
      <c r="C4198" t="s">
        <v>81</v>
      </c>
      <c r="D4198" t="s">
        <v>1793</v>
      </c>
      <c r="E4198" t="s">
        <v>130</v>
      </c>
      <c r="F4198" t="s">
        <v>424</v>
      </c>
      <c r="G4198" t="s">
        <v>387</v>
      </c>
      <c r="H4198">
        <v>105</v>
      </c>
    </row>
    <row r="4199" spans="1:8" x14ac:dyDescent="0.35">
      <c r="A4199">
        <v>9501100006974</v>
      </c>
      <c r="B4199" t="s">
        <v>884</v>
      </c>
      <c r="C4199" t="s">
        <v>681</v>
      </c>
      <c r="D4199" t="s">
        <v>900</v>
      </c>
      <c r="E4199" t="s">
        <v>15</v>
      </c>
      <c r="F4199" t="s">
        <v>901</v>
      </c>
      <c r="G4199" t="s">
        <v>387</v>
      </c>
      <c r="H4199">
        <v>2</v>
      </c>
    </row>
    <row r="4200" spans="1:8" x14ac:dyDescent="0.35">
      <c r="A4200">
        <v>9501100008008</v>
      </c>
      <c r="B4200" t="s">
        <v>668</v>
      </c>
      <c r="C4200" t="s">
        <v>3834</v>
      </c>
      <c r="D4200" t="s">
        <v>1062</v>
      </c>
      <c r="E4200" t="s">
        <v>130</v>
      </c>
      <c r="F4200" t="s">
        <v>424</v>
      </c>
      <c r="G4200" t="s">
        <v>921</v>
      </c>
      <c r="H4200">
        <v>2</v>
      </c>
    </row>
    <row r="4201" spans="1:8" x14ac:dyDescent="0.35">
      <c r="A4201">
        <v>9501100008220</v>
      </c>
      <c r="B4201" t="s">
        <v>4421</v>
      </c>
      <c r="C4201" t="s">
        <v>38</v>
      </c>
      <c r="D4201" t="s">
        <v>2607</v>
      </c>
      <c r="E4201" t="s">
        <v>15</v>
      </c>
      <c r="F4201" t="s">
        <v>14</v>
      </c>
      <c r="G4201" t="s">
        <v>33</v>
      </c>
      <c r="H4201">
        <v>85</v>
      </c>
    </row>
    <row r="4202" spans="1:8" x14ac:dyDescent="0.35">
      <c r="A4202">
        <v>9501100008237</v>
      </c>
      <c r="B4202" t="s">
        <v>1011</v>
      </c>
      <c r="C4202" t="s">
        <v>38</v>
      </c>
      <c r="D4202" t="s">
        <v>4422</v>
      </c>
      <c r="E4202" t="s">
        <v>34</v>
      </c>
      <c r="F4202" t="s">
        <v>1931</v>
      </c>
      <c r="G4202" t="s">
        <v>33</v>
      </c>
      <c r="H4202">
        <v>49</v>
      </c>
    </row>
    <row r="4203" spans="1:8" x14ac:dyDescent="0.35">
      <c r="A4203">
        <v>9501100008268</v>
      </c>
      <c r="B4203" t="s">
        <v>4423</v>
      </c>
      <c r="C4203" t="s">
        <v>38</v>
      </c>
      <c r="D4203" t="s">
        <v>2607</v>
      </c>
      <c r="E4203" t="s">
        <v>15</v>
      </c>
      <c r="F4203" t="s">
        <v>14</v>
      </c>
      <c r="G4203" t="s">
        <v>33</v>
      </c>
      <c r="H4203">
        <v>103</v>
      </c>
    </row>
    <row r="4204" spans="1:8" x14ac:dyDescent="0.35">
      <c r="A4204">
        <v>9501100008756</v>
      </c>
      <c r="B4204" t="s">
        <v>581</v>
      </c>
      <c r="C4204" t="s">
        <v>110</v>
      </c>
      <c r="D4204" t="s">
        <v>1793</v>
      </c>
      <c r="E4204" t="s">
        <v>130</v>
      </c>
      <c r="F4204" t="s">
        <v>424</v>
      </c>
      <c r="G4204" t="s">
        <v>387</v>
      </c>
      <c r="H4204">
        <v>9</v>
      </c>
    </row>
    <row r="4205" spans="1:8" x14ac:dyDescent="0.35">
      <c r="A4205">
        <v>9501101370166</v>
      </c>
      <c r="B4205" t="s">
        <v>4424</v>
      </c>
      <c r="C4205" t="s">
        <v>38</v>
      </c>
      <c r="D4205" t="s">
        <v>4425</v>
      </c>
      <c r="E4205" t="s">
        <v>117</v>
      </c>
      <c r="F4205" t="s">
        <v>4426</v>
      </c>
      <c r="G4205" t="s">
        <v>117</v>
      </c>
      <c r="H4205">
        <v>3</v>
      </c>
    </row>
    <row r="4206" spans="1:8" x14ac:dyDescent="0.35">
      <c r="A4206">
        <v>9501101370647</v>
      </c>
      <c r="B4206" t="s">
        <v>4427</v>
      </c>
      <c r="C4206" t="s">
        <v>9</v>
      </c>
      <c r="D4206" t="s">
        <v>4425</v>
      </c>
      <c r="E4206" t="s">
        <v>117</v>
      </c>
      <c r="F4206" t="s">
        <v>4426</v>
      </c>
      <c r="G4206" t="s">
        <v>117</v>
      </c>
      <c r="H4206">
        <v>1</v>
      </c>
    </row>
    <row r="4207" spans="1:8" x14ac:dyDescent="0.35">
      <c r="A4207">
        <v>9501101371705</v>
      </c>
      <c r="B4207" t="s">
        <v>4282</v>
      </c>
      <c r="C4207" t="s">
        <v>38</v>
      </c>
      <c r="D4207" t="s">
        <v>4428</v>
      </c>
      <c r="E4207" t="s">
        <v>308</v>
      </c>
      <c r="F4207" t="s">
        <v>309</v>
      </c>
      <c r="G4207" t="s">
        <v>117</v>
      </c>
      <c r="H4207">
        <v>1</v>
      </c>
    </row>
    <row r="4208" spans="1:8" x14ac:dyDescent="0.35">
      <c r="A4208">
        <v>9501101371705</v>
      </c>
      <c r="B4208" t="s">
        <v>4282</v>
      </c>
      <c r="C4208" t="s">
        <v>38</v>
      </c>
      <c r="D4208" t="s">
        <v>4428</v>
      </c>
      <c r="E4208" t="s">
        <v>308</v>
      </c>
      <c r="F4208" t="s">
        <v>309</v>
      </c>
      <c r="G4208" t="s">
        <v>150</v>
      </c>
      <c r="H4208">
        <v>2</v>
      </c>
    </row>
    <row r="4209" spans="1:8" x14ac:dyDescent="0.35">
      <c r="A4209">
        <v>9501101373853</v>
      </c>
      <c r="B4209" t="s">
        <v>4429</v>
      </c>
      <c r="C4209" t="s">
        <v>825</v>
      </c>
      <c r="D4209" t="s">
        <v>4430</v>
      </c>
      <c r="E4209" t="s">
        <v>117</v>
      </c>
      <c r="F4209" t="s">
        <v>4426</v>
      </c>
      <c r="G4209" t="s">
        <v>117</v>
      </c>
      <c r="H4209">
        <v>1</v>
      </c>
    </row>
    <row r="4210" spans="1:8" x14ac:dyDescent="0.35">
      <c r="A4210">
        <v>9501101374188</v>
      </c>
      <c r="B4210" t="s">
        <v>1091</v>
      </c>
      <c r="C4210" t="s">
        <v>326</v>
      </c>
      <c r="D4210" t="s">
        <v>4431</v>
      </c>
      <c r="E4210" t="s">
        <v>117</v>
      </c>
      <c r="F4210" t="s">
        <v>4426</v>
      </c>
      <c r="G4210" t="s">
        <v>117</v>
      </c>
      <c r="H4210">
        <v>1</v>
      </c>
    </row>
    <row r="4211" spans="1:8" x14ac:dyDescent="0.35">
      <c r="A4211">
        <v>9501101375161</v>
      </c>
      <c r="B4211" t="s">
        <v>4432</v>
      </c>
      <c r="C4211" t="s">
        <v>83</v>
      </c>
      <c r="D4211" t="s">
        <v>4433</v>
      </c>
      <c r="E4211" t="s">
        <v>117</v>
      </c>
      <c r="F4211" t="s">
        <v>4426</v>
      </c>
      <c r="G4211" t="s">
        <v>117</v>
      </c>
      <c r="H4211">
        <v>2</v>
      </c>
    </row>
    <row r="4212" spans="1:8" x14ac:dyDescent="0.35">
      <c r="A4212">
        <v>9501101375208</v>
      </c>
      <c r="B4212" t="s">
        <v>4434</v>
      </c>
      <c r="C4212" t="s">
        <v>83</v>
      </c>
      <c r="D4212" t="s">
        <v>4433</v>
      </c>
      <c r="E4212" t="s">
        <v>117</v>
      </c>
      <c r="F4212" t="s">
        <v>4426</v>
      </c>
      <c r="G4212" t="s">
        <v>117</v>
      </c>
      <c r="H4212">
        <v>51</v>
      </c>
    </row>
    <row r="4213" spans="1:8" x14ac:dyDescent="0.35">
      <c r="A4213">
        <v>9501101375611</v>
      </c>
      <c r="B4213" t="s">
        <v>4435</v>
      </c>
      <c r="C4213" t="s">
        <v>801</v>
      </c>
      <c r="D4213" t="s">
        <v>4436</v>
      </c>
      <c r="E4213" t="s">
        <v>117</v>
      </c>
      <c r="F4213" t="s">
        <v>4426</v>
      </c>
      <c r="G4213" t="s">
        <v>117</v>
      </c>
      <c r="H4213">
        <v>1</v>
      </c>
    </row>
    <row r="4214" spans="1:8" x14ac:dyDescent="0.35">
      <c r="A4214">
        <v>9501101376236</v>
      </c>
      <c r="B4214" t="s">
        <v>4437</v>
      </c>
      <c r="C4214" t="s">
        <v>2015</v>
      </c>
      <c r="D4214" t="s">
        <v>4438</v>
      </c>
      <c r="E4214" t="s">
        <v>117</v>
      </c>
      <c r="F4214" t="s">
        <v>4426</v>
      </c>
      <c r="G4214" t="s">
        <v>117</v>
      </c>
      <c r="H4214">
        <v>1</v>
      </c>
    </row>
    <row r="4215" spans="1:8" x14ac:dyDescent="0.35">
      <c r="A4215">
        <v>9501101376243</v>
      </c>
      <c r="B4215" t="s">
        <v>4437</v>
      </c>
      <c r="C4215" t="s">
        <v>38</v>
      </c>
      <c r="D4215" t="s">
        <v>4438</v>
      </c>
      <c r="E4215" t="s">
        <v>117</v>
      </c>
      <c r="F4215" t="s">
        <v>4426</v>
      </c>
      <c r="G4215" t="s">
        <v>117</v>
      </c>
      <c r="H4215">
        <v>7</v>
      </c>
    </row>
    <row r="4216" spans="1:8" x14ac:dyDescent="0.35">
      <c r="A4216">
        <v>9501101376267</v>
      </c>
      <c r="B4216" t="s">
        <v>4439</v>
      </c>
      <c r="C4216" t="s">
        <v>9</v>
      </c>
      <c r="D4216" t="s">
        <v>4438</v>
      </c>
      <c r="E4216" t="s">
        <v>117</v>
      </c>
      <c r="F4216" t="s">
        <v>4426</v>
      </c>
      <c r="G4216" t="s">
        <v>117</v>
      </c>
      <c r="H4216">
        <v>1</v>
      </c>
    </row>
    <row r="4217" spans="1:8" x14ac:dyDescent="0.35">
      <c r="A4217">
        <v>9501101376304</v>
      </c>
      <c r="B4217" t="s">
        <v>4437</v>
      </c>
      <c r="C4217" t="s">
        <v>2641</v>
      </c>
      <c r="D4217" t="s">
        <v>4440</v>
      </c>
      <c r="E4217" t="s">
        <v>117</v>
      </c>
      <c r="F4217" t="s">
        <v>4426</v>
      </c>
      <c r="G4217" t="s">
        <v>117</v>
      </c>
      <c r="H4217">
        <v>2</v>
      </c>
    </row>
    <row r="4218" spans="1:8" x14ac:dyDescent="0.35">
      <c r="A4218">
        <v>9501101376311</v>
      </c>
      <c r="B4218" t="s">
        <v>4437</v>
      </c>
      <c r="C4218" t="s">
        <v>38</v>
      </c>
      <c r="D4218" t="s">
        <v>4440</v>
      </c>
      <c r="E4218" t="s">
        <v>117</v>
      </c>
      <c r="F4218" t="s">
        <v>4426</v>
      </c>
      <c r="G4218" t="s">
        <v>117</v>
      </c>
      <c r="H4218">
        <v>1</v>
      </c>
    </row>
    <row r="4219" spans="1:8" x14ac:dyDescent="0.35">
      <c r="A4219">
        <v>9501101376373</v>
      </c>
      <c r="B4219" t="s">
        <v>4437</v>
      </c>
      <c r="C4219" t="s">
        <v>2481</v>
      </c>
      <c r="D4219" t="s">
        <v>4440</v>
      </c>
      <c r="E4219" t="s">
        <v>117</v>
      </c>
      <c r="F4219" t="s">
        <v>4426</v>
      </c>
      <c r="G4219" t="s">
        <v>117</v>
      </c>
      <c r="H4219">
        <v>1</v>
      </c>
    </row>
    <row r="4220" spans="1:8" x14ac:dyDescent="0.35">
      <c r="A4220">
        <v>9501101378018</v>
      </c>
      <c r="B4220" t="s">
        <v>3598</v>
      </c>
      <c r="C4220" t="s">
        <v>1805</v>
      </c>
      <c r="D4220" t="s">
        <v>4441</v>
      </c>
      <c r="E4220" t="s">
        <v>117</v>
      </c>
      <c r="F4220" t="s">
        <v>4426</v>
      </c>
      <c r="G4220" t="s">
        <v>117</v>
      </c>
      <c r="H4220">
        <v>1</v>
      </c>
    </row>
    <row r="4221" spans="1:8" x14ac:dyDescent="0.35">
      <c r="A4221">
        <v>9501101379015</v>
      </c>
      <c r="B4221" t="s">
        <v>3165</v>
      </c>
      <c r="C4221" t="s">
        <v>94</v>
      </c>
      <c r="D4221" t="s">
        <v>3593</v>
      </c>
      <c r="E4221" t="s">
        <v>117</v>
      </c>
      <c r="F4221" t="s">
        <v>513</v>
      </c>
      <c r="G4221" t="s">
        <v>117</v>
      </c>
      <c r="H4221">
        <v>2</v>
      </c>
    </row>
    <row r="4222" spans="1:8" x14ac:dyDescent="0.35">
      <c r="A4222">
        <v>9501101379039</v>
      </c>
      <c r="B4222" t="s">
        <v>3165</v>
      </c>
      <c r="C4222" t="s">
        <v>1394</v>
      </c>
      <c r="D4222" t="s">
        <v>3593</v>
      </c>
      <c r="E4222" t="s">
        <v>117</v>
      </c>
      <c r="F4222" t="s">
        <v>513</v>
      </c>
      <c r="G4222" t="s">
        <v>117</v>
      </c>
      <c r="H4222">
        <v>6</v>
      </c>
    </row>
    <row r="4223" spans="1:8" x14ac:dyDescent="0.35">
      <c r="A4223">
        <v>9501101379046</v>
      </c>
      <c r="B4223" t="s">
        <v>3165</v>
      </c>
      <c r="C4223" t="s">
        <v>164</v>
      </c>
      <c r="D4223" t="s">
        <v>3593</v>
      </c>
      <c r="E4223" t="s">
        <v>117</v>
      </c>
      <c r="F4223" t="s">
        <v>513</v>
      </c>
      <c r="G4223" t="s">
        <v>117</v>
      </c>
      <c r="H4223">
        <v>234</v>
      </c>
    </row>
    <row r="4224" spans="1:8" x14ac:dyDescent="0.35">
      <c r="A4224">
        <v>9501101379367</v>
      </c>
      <c r="B4224" t="s">
        <v>4442</v>
      </c>
      <c r="C4224" t="s">
        <v>9</v>
      </c>
      <c r="D4224" t="s">
        <v>512</v>
      </c>
      <c r="E4224" t="s">
        <v>117</v>
      </c>
      <c r="F4224" t="s">
        <v>513</v>
      </c>
      <c r="G4224" t="s">
        <v>117</v>
      </c>
      <c r="H4224">
        <v>1</v>
      </c>
    </row>
    <row r="4225" spans="1:8" x14ac:dyDescent="0.35">
      <c r="A4225">
        <v>9501101379411</v>
      </c>
      <c r="B4225" t="s">
        <v>2640</v>
      </c>
      <c r="C4225" t="s">
        <v>627</v>
      </c>
      <c r="D4225" t="s">
        <v>4443</v>
      </c>
      <c r="E4225" t="s">
        <v>117</v>
      </c>
      <c r="F4225" t="s">
        <v>4426</v>
      </c>
      <c r="G4225" t="s">
        <v>117</v>
      </c>
      <c r="H4225">
        <v>2</v>
      </c>
    </row>
    <row r="4226" spans="1:8" x14ac:dyDescent="0.35">
      <c r="A4226">
        <v>9501101379695</v>
      </c>
      <c r="B4226" t="s">
        <v>510</v>
      </c>
      <c r="C4226" t="s">
        <v>1184</v>
      </c>
      <c r="D4226" t="s">
        <v>512</v>
      </c>
      <c r="E4226" t="s">
        <v>117</v>
      </c>
      <c r="F4226" t="s">
        <v>513</v>
      </c>
      <c r="G4226" t="s">
        <v>117</v>
      </c>
      <c r="H4226">
        <v>5</v>
      </c>
    </row>
    <row r="4227" spans="1:8" x14ac:dyDescent="0.35">
      <c r="A4227">
        <v>9501101379701</v>
      </c>
      <c r="B4227" t="s">
        <v>510</v>
      </c>
      <c r="C4227" t="s">
        <v>4444</v>
      </c>
      <c r="D4227" t="s">
        <v>512</v>
      </c>
      <c r="E4227" t="s">
        <v>117</v>
      </c>
      <c r="F4227" t="s">
        <v>513</v>
      </c>
      <c r="G4227" t="s">
        <v>117</v>
      </c>
      <c r="H4227">
        <v>4</v>
      </c>
    </row>
    <row r="4228" spans="1:8" x14ac:dyDescent="0.35">
      <c r="A4228">
        <v>9501101379718</v>
      </c>
      <c r="B4228" t="s">
        <v>510</v>
      </c>
      <c r="C4228" t="s">
        <v>2008</v>
      </c>
      <c r="D4228" t="s">
        <v>512</v>
      </c>
      <c r="E4228" t="s">
        <v>117</v>
      </c>
      <c r="F4228" t="s">
        <v>513</v>
      </c>
      <c r="G4228" t="s">
        <v>117</v>
      </c>
      <c r="H4228">
        <v>1</v>
      </c>
    </row>
    <row r="4229" spans="1:8" x14ac:dyDescent="0.35">
      <c r="A4229">
        <v>9506000124711</v>
      </c>
      <c r="B4229" t="s">
        <v>2661</v>
      </c>
      <c r="C4229" t="s">
        <v>81</v>
      </c>
      <c r="D4229" t="s">
        <v>2531</v>
      </c>
      <c r="E4229" t="s">
        <v>2227</v>
      </c>
      <c r="F4229" t="s">
        <v>2532</v>
      </c>
      <c r="G4229" t="s">
        <v>34</v>
      </c>
      <c r="H4229">
        <v>452</v>
      </c>
    </row>
    <row r="4230" spans="1:8" x14ac:dyDescent="0.35">
      <c r="A4230">
        <v>9506000125053</v>
      </c>
      <c r="B4230" t="s">
        <v>4445</v>
      </c>
      <c r="C4230" t="s">
        <v>78</v>
      </c>
      <c r="D4230" t="s">
        <v>2531</v>
      </c>
      <c r="E4230" t="s">
        <v>2227</v>
      </c>
      <c r="F4230" t="s">
        <v>2532</v>
      </c>
      <c r="G4230" t="s">
        <v>34</v>
      </c>
      <c r="H4230">
        <v>29</v>
      </c>
    </row>
    <row r="4231" spans="1:8" x14ac:dyDescent="0.35">
      <c r="A4231">
        <v>9506000125060</v>
      </c>
      <c r="B4231" t="s">
        <v>4446</v>
      </c>
      <c r="C4231" t="s">
        <v>2008</v>
      </c>
      <c r="D4231" t="s">
        <v>2531</v>
      </c>
      <c r="E4231" t="s">
        <v>2227</v>
      </c>
      <c r="F4231" t="s">
        <v>2532</v>
      </c>
      <c r="G4231" t="s">
        <v>34</v>
      </c>
      <c r="H4231">
        <v>260</v>
      </c>
    </row>
    <row r="4232" spans="1:8" x14ac:dyDescent="0.35">
      <c r="A4232">
        <v>9507000007462</v>
      </c>
      <c r="B4232" t="s">
        <v>4447</v>
      </c>
      <c r="C4232" t="s">
        <v>9</v>
      </c>
      <c r="D4232" t="s">
        <v>4448</v>
      </c>
      <c r="E4232" t="s">
        <v>34</v>
      </c>
      <c r="F4232" t="s">
        <v>4449</v>
      </c>
      <c r="G4232" t="s">
        <v>34</v>
      </c>
      <c r="H4232">
        <v>47</v>
      </c>
    </row>
    <row r="4233" spans="1:8" x14ac:dyDescent="0.35">
      <c r="A4233">
        <v>9507000007479</v>
      </c>
      <c r="B4233" t="s">
        <v>4450</v>
      </c>
      <c r="C4233" t="s">
        <v>192</v>
      </c>
      <c r="D4233" t="s">
        <v>4448</v>
      </c>
      <c r="E4233" t="s">
        <v>34</v>
      </c>
      <c r="F4233" t="s">
        <v>4449</v>
      </c>
      <c r="G4233" t="s">
        <v>34</v>
      </c>
      <c r="H4233">
        <v>16</v>
      </c>
    </row>
    <row r="4234" spans="1:8" x14ac:dyDescent="0.35">
      <c r="A4234">
        <v>9555246321521</v>
      </c>
      <c r="B4234" t="s">
        <v>4451</v>
      </c>
      <c r="C4234" t="s">
        <v>967</v>
      </c>
      <c r="D4234" t="s">
        <v>4452</v>
      </c>
      <c r="E4234" t="s">
        <v>921</v>
      </c>
      <c r="F4234" t="s">
        <v>4453</v>
      </c>
      <c r="G4234" t="s">
        <v>117</v>
      </c>
      <c r="H4234">
        <v>3</v>
      </c>
    </row>
    <row r="4235" spans="1:8" x14ac:dyDescent="0.35">
      <c r="A4235">
        <v>9555246350347</v>
      </c>
      <c r="B4235" t="s">
        <v>966</v>
      </c>
      <c r="C4235" t="s">
        <v>967</v>
      </c>
      <c r="D4235" t="s">
        <v>4452</v>
      </c>
      <c r="E4235" t="s">
        <v>921</v>
      </c>
      <c r="F4235" t="s">
        <v>4453</v>
      </c>
      <c r="G4235" t="s">
        <v>117</v>
      </c>
      <c r="H4235">
        <v>9</v>
      </c>
    </row>
    <row r="4236" spans="1:8" x14ac:dyDescent="0.35">
      <c r="A4236">
        <v>9555764904015</v>
      </c>
      <c r="B4236" t="s">
        <v>4454</v>
      </c>
      <c r="C4236" t="s">
        <v>81</v>
      </c>
      <c r="D4236" t="s">
        <v>4455</v>
      </c>
      <c r="E4236" t="s">
        <v>2227</v>
      </c>
      <c r="F4236" t="s">
        <v>4456</v>
      </c>
      <c r="G4236" t="s">
        <v>150</v>
      </c>
      <c r="H4236">
        <v>31</v>
      </c>
    </row>
    <row r="4237" spans="1:8" x14ac:dyDescent="0.35">
      <c r="A4237">
        <v>9555764908020</v>
      </c>
      <c r="B4237" t="s">
        <v>4457</v>
      </c>
      <c r="C4237" t="s">
        <v>4458</v>
      </c>
      <c r="D4237" t="s">
        <v>4455</v>
      </c>
      <c r="E4237" t="s">
        <v>2227</v>
      </c>
      <c r="F4237" t="s">
        <v>4456</v>
      </c>
      <c r="G4237" t="s">
        <v>117</v>
      </c>
      <c r="H4237">
        <v>1</v>
      </c>
    </row>
    <row r="4238" spans="1:8" x14ac:dyDescent="0.35">
      <c r="A4238">
        <v>9556108000769</v>
      </c>
      <c r="B4238" t="s">
        <v>2143</v>
      </c>
      <c r="C4238" t="s">
        <v>758</v>
      </c>
      <c r="D4238" t="s">
        <v>1570</v>
      </c>
      <c r="E4238" t="s">
        <v>22</v>
      </c>
      <c r="F4238" t="s">
        <v>1568</v>
      </c>
      <c r="G4238" t="s">
        <v>34</v>
      </c>
      <c r="H4238">
        <v>1</v>
      </c>
    </row>
    <row r="4239" spans="1:8" x14ac:dyDescent="0.35">
      <c r="A4239">
        <v>9556111609010</v>
      </c>
      <c r="B4239" t="s">
        <v>4459</v>
      </c>
      <c r="C4239" t="s">
        <v>4460</v>
      </c>
      <c r="D4239" t="s">
        <v>1570</v>
      </c>
      <c r="E4239" t="s">
        <v>22</v>
      </c>
      <c r="F4239" t="s">
        <v>1568</v>
      </c>
      <c r="G4239" t="s">
        <v>61</v>
      </c>
      <c r="H4239">
        <v>1</v>
      </c>
    </row>
    <row r="4240" spans="1:8" x14ac:dyDescent="0.35">
      <c r="A4240">
        <v>9556135421506</v>
      </c>
      <c r="B4240" t="s">
        <v>262</v>
      </c>
      <c r="C4240" t="s">
        <v>192</v>
      </c>
      <c r="D4240" t="s">
        <v>4461</v>
      </c>
      <c r="E4240" t="s">
        <v>308</v>
      </c>
      <c r="F4240" t="s">
        <v>309</v>
      </c>
      <c r="G4240" t="s">
        <v>34</v>
      </c>
      <c r="H4240">
        <v>1</v>
      </c>
    </row>
    <row r="4241" spans="1:8" x14ac:dyDescent="0.35">
      <c r="A4241">
        <v>9556404036059</v>
      </c>
      <c r="B4241" t="s">
        <v>4462</v>
      </c>
      <c r="C4241" t="s">
        <v>4463</v>
      </c>
      <c r="D4241" t="s">
        <v>55</v>
      </c>
      <c r="E4241" t="s">
        <v>15</v>
      </c>
      <c r="F4241" t="s">
        <v>56</v>
      </c>
      <c r="G4241" t="s">
        <v>34</v>
      </c>
      <c r="H4241">
        <v>1</v>
      </c>
    </row>
    <row r="4242" spans="1:8" x14ac:dyDescent="0.35">
      <c r="A4242">
        <v>9602227002020</v>
      </c>
      <c r="B4242" t="s">
        <v>4464</v>
      </c>
      <c r="C4242" t="s">
        <v>431</v>
      </c>
      <c r="D4242" t="s">
        <v>735</v>
      </c>
      <c r="E4242" t="s">
        <v>637</v>
      </c>
      <c r="F4242" t="s">
        <v>736</v>
      </c>
      <c r="G4242" t="s">
        <v>41</v>
      </c>
      <c r="H4242">
        <v>45</v>
      </c>
    </row>
    <row r="4243" spans="1:8" x14ac:dyDescent="0.35">
      <c r="A4243">
        <v>96179796</v>
      </c>
      <c r="B4243" t="s">
        <v>4465</v>
      </c>
      <c r="C4243" t="s">
        <v>36</v>
      </c>
      <c r="D4243" t="s">
        <v>1430</v>
      </c>
      <c r="E4243" t="s">
        <v>22</v>
      </c>
      <c r="F4243" t="s">
        <v>121</v>
      </c>
      <c r="G4243" t="s">
        <v>22</v>
      </c>
      <c r="H4243">
        <v>1</v>
      </c>
    </row>
    <row r="4244" spans="1:8" x14ac:dyDescent="0.35">
      <c r="A4244">
        <v>9623666220301</v>
      </c>
      <c r="B4244" t="s">
        <v>4466</v>
      </c>
      <c r="C4244" t="s">
        <v>1068</v>
      </c>
      <c r="D4244" t="s">
        <v>1069</v>
      </c>
      <c r="E4244" t="s">
        <v>61</v>
      </c>
      <c r="F4244" t="s">
        <v>1070</v>
      </c>
      <c r="G4244" t="s">
        <v>61</v>
      </c>
      <c r="H4244">
        <v>1</v>
      </c>
    </row>
    <row r="4245" spans="1:8" x14ac:dyDescent="0.35">
      <c r="A4245">
        <v>9712131184771</v>
      </c>
      <c r="B4245" t="s">
        <v>4467</v>
      </c>
      <c r="C4245" t="s">
        <v>114</v>
      </c>
      <c r="D4245" t="s">
        <v>1169</v>
      </c>
      <c r="E4245" t="s">
        <v>61</v>
      </c>
      <c r="F4245" t="s">
        <v>1170</v>
      </c>
      <c r="G4245" t="s">
        <v>61</v>
      </c>
      <c r="H4245">
        <v>5</v>
      </c>
    </row>
    <row r="4246" spans="1:8" x14ac:dyDescent="0.35">
      <c r="A4246">
        <v>9716188532134</v>
      </c>
      <c r="B4246" t="s">
        <v>2399</v>
      </c>
      <c r="C4246" t="s">
        <v>192</v>
      </c>
      <c r="D4246" t="s">
        <v>4468</v>
      </c>
      <c r="E4246" t="s">
        <v>34</v>
      </c>
      <c r="F4246" t="s">
        <v>4469</v>
      </c>
      <c r="G4246" t="s">
        <v>34</v>
      </c>
      <c r="H4246">
        <v>83</v>
      </c>
    </row>
    <row r="4247" spans="1:8" x14ac:dyDescent="0.35">
      <c r="A4247">
        <v>9716188532141</v>
      </c>
      <c r="B4247" t="s">
        <v>2399</v>
      </c>
      <c r="C4247" t="s">
        <v>75</v>
      </c>
      <c r="D4247" t="s">
        <v>4468</v>
      </c>
      <c r="E4247" t="s">
        <v>34</v>
      </c>
      <c r="F4247" t="s">
        <v>4469</v>
      </c>
      <c r="G4247" t="s">
        <v>34</v>
      </c>
      <c r="H4247">
        <v>83</v>
      </c>
    </row>
    <row r="4248" spans="1:8" x14ac:dyDescent="0.35">
      <c r="A4248">
        <v>9716188532196</v>
      </c>
      <c r="B4248" t="s">
        <v>2399</v>
      </c>
      <c r="C4248" t="s">
        <v>9</v>
      </c>
      <c r="D4248" t="s">
        <v>4468</v>
      </c>
      <c r="E4248" t="s">
        <v>34</v>
      </c>
      <c r="F4248" t="s">
        <v>4469</v>
      </c>
      <c r="G4248" t="s">
        <v>34</v>
      </c>
      <c r="H4248">
        <v>279</v>
      </c>
    </row>
    <row r="4249" spans="1:8" x14ac:dyDescent="0.35">
      <c r="A4249">
        <v>9780201379624</v>
      </c>
      <c r="B4249" t="s">
        <v>380</v>
      </c>
      <c r="C4249" t="s">
        <v>9</v>
      </c>
      <c r="D4249" t="s">
        <v>4470</v>
      </c>
      <c r="E4249" t="s">
        <v>117</v>
      </c>
      <c r="F4249" t="s">
        <v>4471</v>
      </c>
      <c r="G4249" t="s">
        <v>117</v>
      </c>
      <c r="H4249">
        <v>14</v>
      </c>
    </row>
    <row r="4250" spans="1:8" x14ac:dyDescent="0.35">
      <c r="A4250">
        <v>9780201379624</v>
      </c>
      <c r="B4250" t="s">
        <v>380</v>
      </c>
      <c r="C4250" t="s">
        <v>9</v>
      </c>
      <c r="D4250" t="s">
        <v>4470</v>
      </c>
      <c r="E4250" t="s">
        <v>117</v>
      </c>
      <c r="F4250" t="s">
        <v>4471</v>
      </c>
      <c r="G4250" t="s">
        <v>31</v>
      </c>
      <c r="H4250">
        <v>11</v>
      </c>
    </row>
    <row r="4251" spans="1:8" x14ac:dyDescent="0.35">
      <c r="A4251">
        <v>9781234567866</v>
      </c>
      <c r="B4251" t="s">
        <v>380</v>
      </c>
      <c r="C4251" t="s">
        <v>326</v>
      </c>
      <c r="D4251" t="s">
        <v>4472</v>
      </c>
      <c r="E4251" t="s">
        <v>117</v>
      </c>
      <c r="F4251" t="s">
        <v>4473</v>
      </c>
      <c r="G4251" t="s">
        <v>117</v>
      </c>
      <c r="H4251">
        <v>37</v>
      </c>
    </row>
    <row r="4252" spans="1:8" x14ac:dyDescent="0.35">
      <c r="A4252">
        <v>98884216</v>
      </c>
      <c r="B4252" t="s">
        <v>4474</v>
      </c>
      <c r="C4252" t="s">
        <v>825</v>
      </c>
      <c r="D4252" t="s">
        <v>4384</v>
      </c>
      <c r="E4252" t="s">
        <v>117</v>
      </c>
      <c r="F4252" t="s">
        <v>4383</v>
      </c>
      <c r="G4252" t="s">
        <v>117</v>
      </c>
      <c r="H4252">
        <v>8</v>
      </c>
    </row>
    <row r="4253" spans="1:8" x14ac:dyDescent="0.35">
      <c r="A4253">
        <v>99250942</v>
      </c>
      <c r="B4253" t="s">
        <v>154</v>
      </c>
      <c r="C4253" t="s">
        <v>53</v>
      </c>
      <c r="D4253" t="s">
        <v>55</v>
      </c>
      <c r="E4253" t="s">
        <v>15</v>
      </c>
      <c r="F4253" t="s">
        <v>56</v>
      </c>
      <c r="G4253" t="s">
        <v>16</v>
      </c>
      <c r="H4253">
        <v>3</v>
      </c>
    </row>
    <row r="4254" spans="1:8" x14ac:dyDescent="0.35">
      <c r="A4254">
        <v>9952160920203</v>
      </c>
      <c r="B4254" t="s">
        <v>4475</v>
      </c>
      <c r="C4254" t="s">
        <v>9</v>
      </c>
      <c r="D4254" t="s">
        <v>4448</v>
      </c>
      <c r="E4254" t="s">
        <v>34</v>
      </c>
      <c r="F4254" t="s">
        <v>4449</v>
      </c>
      <c r="G4254" t="s">
        <v>34</v>
      </c>
      <c r="H4254">
        <v>10</v>
      </c>
    </row>
    <row r="4255" spans="1:8" x14ac:dyDescent="0.35">
      <c r="A4255">
        <v>9970338681626</v>
      </c>
      <c r="B4255" t="s">
        <v>4476</v>
      </c>
      <c r="C4255" t="s">
        <v>192</v>
      </c>
      <c r="D4255" t="s">
        <v>4477</v>
      </c>
      <c r="E4255" t="s">
        <v>308</v>
      </c>
      <c r="F4255" t="s">
        <v>309</v>
      </c>
      <c r="G4255" t="s">
        <v>117</v>
      </c>
      <c r="H425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8641-B23E-4BB3-9430-A978D42350C4}">
  <dimension ref="B2:C9"/>
  <sheetViews>
    <sheetView workbookViewId="0">
      <selection activeCell="F13" sqref="F13"/>
    </sheetView>
  </sheetViews>
  <sheetFormatPr defaultRowHeight="14.5" x14ac:dyDescent="0.35"/>
  <cols>
    <col min="2" max="2" width="29.81640625" bestFit="1" customWidth="1"/>
    <col min="3" max="3" width="11.1796875" bestFit="1" customWidth="1"/>
  </cols>
  <sheetData>
    <row r="2" spans="2:3" x14ac:dyDescent="0.35">
      <c r="B2" s="9" t="s">
        <v>5103</v>
      </c>
      <c r="C2" s="10"/>
    </row>
    <row r="3" spans="2:3" x14ac:dyDescent="0.35">
      <c r="B3" s="3" t="s">
        <v>5092</v>
      </c>
      <c r="C3" s="6">
        <f>SUM(CleanDataTable[Bottle Count])</f>
        <v>445234</v>
      </c>
    </row>
    <row r="4" spans="2:3" x14ac:dyDescent="0.35">
      <c r="B4" s="3" t="s">
        <v>5093</v>
      </c>
      <c r="C4" s="6">
        <f>COUNTA(_xlfn.UNIQUE(CleanDataTable[Brand Name]))</f>
        <v>1136</v>
      </c>
    </row>
    <row r="5" spans="2:3" x14ac:dyDescent="0.35">
      <c r="B5" s="3" t="s">
        <v>5094</v>
      </c>
      <c r="C5" s="6">
        <f>COUNTA(_xlfn.UNIQUE(CleanDataTable[Manufacturer Name]))</f>
        <v>604</v>
      </c>
    </row>
    <row r="6" spans="2:3" x14ac:dyDescent="0.35">
      <c r="B6" s="3" t="s">
        <v>5095</v>
      </c>
      <c r="C6" s="6">
        <f>COUNTA(_xlfn.UNIQUE(CleanDataTable[Scan Country]))</f>
        <v>40</v>
      </c>
    </row>
    <row r="7" spans="2:3" x14ac:dyDescent="0.35">
      <c r="B7" s="3" t="s">
        <v>5099</v>
      </c>
      <c r="C7" s="7">
        <f>GETPIVOTDATA("Bottle Count",'Pivot Tables'!$B$2,"Brand Name","Fizz")</f>
        <v>49615</v>
      </c>
    </row>
    <row r="8" spans="2:3" x14ac:dyDescent="0.35">
      <c r="B8" s="3" t="s">
        <v>5100</v>
      </c>
      <c r="C8" s="4">
        <f>(SUM('Pivot Tables'!C3:C12))/C3</f>
        <v>0.52325518716001029</v>
      </c>
    </row>
    <row r="9" spans="2:3" x14ac:dyDescent="0.35">
      <c r="B9" s="5" t="s">
        <v>5101</v>
      </c>
      <c r="C9" s="8" t="str">
        <f>'Pivot Tables'!B17</f>
        <v>500 ml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2B98-00C2-49D8-8388-8503A38197C2}">
  <dimension ref="B2:F71"/>
  <sheetViews>
    <sheetView workbookViewId="0">
      <selection activeCell="P11" sqref="P11"/>
    </sheetView>
  </sheetViews>
  <sheetFormatPr defaultRowHeight="14.5" x14ac:dyDescent="0.35"/>
  <cols>
    <col min="2" max="2" width="16.453125" bestFit="1" customWidth="1"/>
    <col min="3" max="4" width="17.54296875" bestFit="1" customWidth="1"/>
  </cols>
  <sheetData>
    <row r="2" spans="2:6" x14ac:dyDescent="0.35">
      <c r="B2" s="1" t="s">
        <v>5096</v>
      </c>
      <c r="C2" t="s">
        <v>5098</v>
      </c>
    </row>
    <row r="3" spans="2:6" x14ac:dyDescent="0.35">
      <c r="B3" s="2" t="s">
        <v>1089</v>
      </c>
      <c r="C3" s="32">
        <v>8941</v>
      </c>
      <c r="E3" t="s">
        <v>1089</v>
      </c>
      <c r="F3">
        <v>8941</v>
      </c>
    </row>
    <row r="4" spans="2:6" x14ac:dyDescent="0.35">
      <c r="B4" s="2" t="s">
        <v>414</v>
      </c>
      <c r="C4" s="32">
        <v>9970</v>
      </c>
      <c r="E4" t="s">
        <v>414</v>
      </c>
      <c r="F4">
        <v>9970</v>
      </c>
    </row>
    <row r="5" spans="2:6" x14ac:dyDescent="0.35">
      <c r="B5" s="2" t="s">
        <v>246</v>
      </c>
      <c r="C5" s="32">
        <v>10110</v>
      </c>
      <c r="E5" t="s">
        <v>246</v>
      </c>
      <c r="F5">
        <v>10110</v>
      </c>
    </row>
    <row r="6" spans="2:6" x14ac:dyDescent="0.35">
      <c r="B6" s="2" t="s">
        <v>2401</v>
      </c>
      <c r="C6" s="32">
        <v>13351</v>
      </c>
      <c r="E6" t="s">
        <v>2401</v>
      </c>
      <c r="F6">
        <v>13351</v>
      </c>
    </row>
    <row r="7" spans="2:6" x14ac:dyDescent="0.35">
      <c r="B7" s="2" t="s">
        <v>1176</v>
      </c>
      <c r="C7" s="32">
        <v>17815</v>
      </c>
      <c r="E7" t="s">
        <v>1176</v>
      </c>
      <c r="F7">
        <v>17815</v>
      </c>
    </row>
    <row r="8" spans="2:6" x14ac:dyDescent="0.35">
      <c r="B8" s="2" t="s">
        <v>2261</v>
      </c>
      <c r="C8" s="32">
        <v>24855</v>
      </c>
      <c r="E8" t="s">
        <v>2261</v>
      </c>
      <c r="F8">
        <v>24855</v>
      </c>
    </row>
    <row r="9" spans="2:6" x14ac:dyDescent="0.35">
      <c r="B9" s="2" t="s">
        <v>2538</v>
      </c>
      <c r="C9" s="32">
        <v>26236</v>
      </c>
      <c r="E9" t="s">
        <v>2538</v>
      </c>
      <c r="F9">
        <v>26236</v>
      </c>
    </row>
    <row r="10" spans="2:6" x14ac:dyDescent="0.35">
      <c r="B10" s="2" t="s">
        <v>14</v>
      </c>
      <c r="C10" s="32">
        <v>27470</v>
      </c>
      <c r="E10" t="s">
        <v>14</v>
      </c>
      <c r="F10">
        <v>27470</v>
      </c>
    </row>
    <row r="11" spans="2:6" x14ac:dyDescent="0.35">
      <c r="B11" s="2" t="s">
        <v>1149</v>
      </c>
      <c r="C11" s="32">
        <v>44608</v>
      </c>
      <c r="E11" t="s">
        <v>1149</v>
      </c>
      <c r="F11">
        <v>44608</v>
      </c>
    </row>
    <row r="12" spans="2:6" x14ac:dyDescent="0.35">
      <c r="B12" s="2" t="s">
        <v>2808</v>
      </c>
      <c r="C12" s="32">
        <v>49615</v>
      </c>
      <c r="E12" t="s">
        <v>2808</v>
      </c>
      <c r="F12">
        <v>49615</v>
      </c>
    </row>
    <row r="13" spans="2:6" x14ac:dyDescent="0.35">
      <c r="B13" s="2" t="s">
        <v>5097</v>
      </c>
      <c r="C13" s="32">
        <v>232971</v>
      </c>
    </row>
    <row r="16" spans="2:6" x14ac:dyDescent="0.35">
      <c r="B16" s="1" t="s">
        <v>5096</v>
      </c>
      <c r="C16" t="s">
        <v>5102</v>
      </c>
    </row>
    <row r="17" spans="2:6" x14ac:dyDescent="0.35">
      <c r="B17" s="2" t="s">
        <v>9</v>
      </c>
      <c r="C17" s="32">
        <v>889</v>
      </c>
      <c r="E17" t="s">
        <v>53</v>
      </c>
      <c r="F17">
        <v>89</v>
      </c>
    </row>
    <row r="18" spans="2:6" x14ac:dyDescent="0.35">
      <c r="B18" s="2" t="s">
        <v>472</v>
      </c>
      <c r="C18" s="32">
        <v>228</v>
      </c>
      <c r="E18" t="s">
        <v>326</v>
      </c>
      <c r="F18">
        <v>94</v>
      </c>
    </row>
    <row r="19" spans="2:6" x14ac:dyDescent="0.35">
      <c r="B19" s="2" t="s">
        <v>81</v>
      </c>
      <c r="C19" s="32">
        <v>208</v>
      </c>
      <c r="E19" t="s">
        <v>603</v>
      </c>
      <c r="F19">
        <v>136</v>
      </c>
    </row>
    <row r="20" spans="2:6" x14ac:dyDescent="0.35">
      <c r="B20" s="2" t="s">
        <v>192</v>
      </c>
      <c r="C20" s="32">
        <v>207</v>
      </c>
      <c r="E20" t="s">
        <v>83</v>
      </c>
      <c r="F20">
        <v>140</v>
      </c>
    </row>
    <row r="21" spans="2:6" x14ac:dyDescent="0.35">
      <c r="B21" s="2" t="s">
        <v>38</v>
      </c>
      <c r="C21" s="32">
        <v>176</v>
      </c>
      <c r="E21" t="s">
        <v>78</v>
      </c>
      <c r="F21">
        <v>169</v>
      </c>
    </row>
    <row r="22" spans="2:6" x14ac:dyDescent="0.35">
      <c r="B22" s="2" t="s">
        <v>78</v>
      </c>
      <c r="C22" s="32">
        <v>169</v>
      </c>
      <c r="E22" t="s">
        <v>38</v>
      </c>
      <c r="F22">
        <v>176</v>
      </c>
    </row>
    <row r="23" spans="2:6" x14ac:dyDescent="0.35">
      <c r="B23" s="2" t="s">
        <v>83</v>
      </c>
      <c r="C23" s="32">
        <v>140</v>
      </c>
      <c r="E23" t="s">
        <v>192</v>
      </c>
      <c r="F23">
        <v>207</v>
      </c>
    </row>
    <row r="24" spans="2:6" x14ac:dyDescent="0.35">
      <c r="B24" s="2" t="s">
        <v>603</v>
      </c>
      <c r="C24" s="32">
        <v>136</v>
      </c>
      <c r="E24" t="s">
        <v>81</v>
      </c>
      <c r="F24">
        <v>208</v>
      </c>
    </row>
    <row r="25" spans="2:6" x14ac:dyDescent="0.35">
      <c r="B25" s="2" t="s">
        <v>326</v>
      </c>
      <c r="C25" s="32">
        <v>94</v>
      </c>
      <c r="E25" t="s">
        <v>472</v>
      </c>
      <c r="F25">
        <v>228</v>
      </c>
    </row>
    <row r="26" spans="2:6" x14ac:dyDescent="0.35">
      <c r="B26" s="2" t="s">
        <v>53</v>
      </c>
      <c r="C26" s="32">
        <v>89</v>
      </c>
      <c r="E26" t="s">
        <v>9</v>
      </c>
      <c r="F26">
        <v>889</v>
      </c>
    </row>
    <row r="27" spans="2:6" x14ac:dyDescent="0.35">
      <c r="B27" s="2" t="s">
        <v>5097</v>
      </c>
      <c r="C27" s="32">
        <v>2336</v>
      </c>
    </row>
    <row r="30" spans="2:6" x14ac:dyDescent="0.35">
      <c r="B30" s="1" t="s">
        <v>5096</v>
      </c>
      <c r="C30" t="s">
        <v>5098</v>
      </c>
    </row>
    <row r="31" spans="2:6" x14ac:dyDescent="0.35">
      <c r="B31" s="2" t="s">
        <v>921</v>
      </c>
      <c r="C31" s="32">
        <v>60</v>
      </c>
      <c r="E31" t="s">
        <v>921</v>
      </c>
      <c r="F31">
        <v>60</v>
      </c>
    </row>
    <row r="32" spans="2:6" x14ac:dyDescent="0.35">
      <c r="B32" s="2" t="s">
        <v>3918</v>
      </c>
      <c r="C32" s="32">
        <v>1</v>
      </c>
      <c r="E32" t="s">
        <v>3918</v>
      </c>
      <c r="F32">
        <v>1</v>
      </c>
    </row>
    <row r="33" spans="2:6" x14ac:dyDescent="0.35">
      <c r="B33" s="2" t="s">
        <v>816</v>
      </c>
      <c r="C33" s="32">
        <v>7</v>
      </c>
      <c r="E33" t="s">
        <v>816</v>
      </c>
      <c r="F33">
        <v>7</v>
      </c>
    </row>
    <row r="34" spans="2:6" x14ac:dyDescent="0.35">
      <c r="B34" s="2" t="s">
        <v>4093</v>
      </c>
      <c r="C34" s="32">
        <v>3</v>
      </c>
      <c r="E34" t="s">
        <v>4093</v>
      </c>
      <c r="F34">
        <v>3</v>
      </c>
    </row>
    <row r="35" spans="2:6" x14ac:dyDescent="0.35">
      <c r="B35" s="2" t="s">
        <v>16</v>
      </c>
      <c r="C35" s="32">
        <v>2415</v>
      </c>
      <c r="E35" t="s">
        <v>16</v>
      </c>
      <c r="F35">
        <v>2415</v>
      </c>
    </row>
    <row r="36" spans="2:6" x14ac:dyDescent="0.35">
      <c r="B36" s="2" t="s">
        <v>117</v>
      </c>
      <c r="C36" s="32">
        <v>20748</v>
      </c>
      <c r="E36" t="s">
        <v>117</v>
      </c>
      <c r="F36">
        <v>20748</v>
      </c>
    </row>
    <row r="37" spans="2:6" x14ac:dyDescent="0.35">
      <c r="B37" s="2" t="s">
        <v>71</v>
      </c>
      <c r="C37" s="32">
        <v>1</v>
      </c>
      <c r="E37" t="s">
        <v>71</v>
      </c>
      <c r="F37">
        <v>1</v>
      </c>
    </row>
    <row r="38" spans="2:6" x14ac:dyDescent="0.35">
      <c r="B38" s="2" t="s">
        <v>4075</v>
      </c>
      <c r="C38" s="32">
        <v>1</v>
      </c>
      <c r="E38" t="s">
        <v>4075</v>
      </c>
      <c r="F38">
        <v>1</v>
      </c>
    </row>
    <row r="39" spans="2:6" x14ac:dyDescent="0.35">
      <c r="B39" s="2" t="s">
        <v>387</v>
      </c>
      <c r="C39" s="32">
        <v>1944</v>
      </c>
      <c r="E39" t="s">
        <v>387</v>
      </c>
      <c r="F39">
        <v>1944</v>
      </c>
    </row>
    <row r="40" spans="2:6" x14ac:dyDescent="0.35">
      <c r="B40" s="2" t="s">
        <v>780</v>
      </c>
      <c r="C40" s="32">
        <v>19</v>
      </c>
      <c r="E40" t="s">
        <v>780</v>
      </c>
      <c r="F40">
        <v>19</v>
      </c>
    </row>
    <row r="41" spans="2:6" x14ac:dyDescent="0.35">
      <c r="B41" s="2" t="s">
        <v>20</v>
      </c>
      <c r="C41" s="32">
        <v>9</v>
      </c>
      <c r="E41" t="s">
        <v>20</v>
      </c>
      <c r="F41">
        <v>9</v>
      </c>
    </row>
    <row r="42" spans="2:6" x14ac:dyDescent="0.35">
      <c r="B42" s="2" t="s">
        <v>3129</v>
      </c>
      <c r="C42" s="32">
        <v>1</v>
      </c>
      <c r="E42" t="s">
        <v>3129</v>
      </c>
      <c r="F42">
        <v>1</v>
      </c>
    </row>
    <row r="43" spans="2:6" x14ac:dyDescent="0.35">
      <c r="B43" s="2" t="s">
        <v>3453</v>
      </c>
      <c r="C43" s="32">
        <v>7</v>
      </c>
      <c r="E43" t="s">
        <v>3453</v>
      </c>
      <c r="F43">
        <v>7</v>
      </c>
    </row>
    <row r="44" spans="2:6" x14ac:dyDescent="0.35">
      <c r="B44" s="2" t="s">
        <v>464</v>
      </c>
      <c r="C44" s="32">
        <v>130</v>
      </c>
      <c r="E44" t="s">
        <v>464</v>
      </c>
      <c r="F44">
        <v>130</v>
      </c>
    </row>
    <row r="45" spans="2:6" x14ac:dyDescent="0.35">
      <c r="B45" s="2" t="s">
        <v>130</v>
      </c>
      <c r="C45" s="32">
        <v>4</v>
      </c>
      <c r="E45" t="s">
        <v>130</v>
      </c>
      <c r="F45">
        <v>4</v>
      </c>
    </row>
    <row r="46" spans="2:6" x14ac:dyDescent="0.35">
      <c r="B46" s="2" t="s">
        <v>22</v>
      </c>
      <c r="C46" s="32">
        <v>991</v>
      </c>
      <c r="E46" t="s">
        <v>22</v>
      </c>
      <c r="F46">
        <v>991</v>
      </c>
    </row>
    <row r="47" spans="2:6" x14ac:dyDescent="0.35">
      <c r="B47" s="2" t="s">
        <v>41</v>
      </c>
      <c r="C47" s="32">
        <v>63893</v>
      </c>
      <c r="E47" t="s">
        <v>41</v>
      </c>
      <c r="F47">
        <v>63893</v>
      </c>
    </row>
    <row r="48" spans="2:6" x14ac:dyDescent="0.35">
      <c r="B48" s="2" t="s">
        <v>2984</v>
      </c>
      <c r="C48" s="32">
        <v>2</v>
      </c>
      <c r="E48" t="s">
        <v>2984</v>
      </c>
      <c r="F48">
        <v>2</v>
      </c>
    </row>
    <row r="49" spans="2:6" x14ac:dyDescent="0.35">
      <c r="B49" s="2" t="s">
        <v>1901</v>
      </c>
      <c r="C49" s="32">
        <v>1</v>
      </c>
      <c r="E49" t="s">
        <v>1901</v>
      </c>
      <c r="F49">
        <v>1</v>
      </c>
    </row>
    <row r="50" spans="2:6" x14ac:dyDescent="0.35">
      <c r="B50" s="2" t="s">
        <v>4401</v>
      </c>
      <c r="C50" s="32">
        <v>1</v>
      </c>
      <c r="E50" t="s">
        <v>4401</v>
      </c>
      <c r="F50">
        <v>1</v>
      </c>
    </row>
    <row r="51" spans="2:6" x14ac:dyDescent="0.35">
      <c r="B51" s="2" t="s">
        <v>122</v>
      </c>
      <c r="C51" s="32">
        <v>4</v>
      </c>
      <c r="E51" t="s">
        <v>122</v>
      </c>
      <c r="F51">
        <v>4</v>
      </c>
    </row>
    <row r="52" spans="2:6" x14ac:dyDescent="0.35">
      <c r="B52" s="2" t="s">
        <v>776</v>
      </c>
      <c r="C52" s="32">
        <v>3</v>
      </c>
      <c r="E52" t="s">
        <v>776</v>
      </c>
      <c r="F52">
        <v>3</v>
      </c>
    </row>
    <row r="53" spans="2:6" x14ac:dyDescent="0.35">
      <c r="B53" s="2" t="s">
        <v>11</v>
      </c>
      <c r="C53" s="32">
        <v>10924</v>
      </c>
      <c r="E53" t="s">
        <v>11</v>
      </c>
      <c r="F53">
        <v>10924</v>
      </c>
    </row>
    <row r="54" spans="2:6" x14ac:dyDescent="0.35">
      <c r="B54" s="2" t="s">
        <v>1038</v>
      </c>
      <c r="C54" s="32">
        <v>20</v>
      </c>
      <c r="E54" t="s">
        <v>1038</v>
      </c>
      <c r="F54">
        <v>20</v>
      </c>
    </row>
    <row r="55" spans="2:6" x14ac:dyDescent="0.35">
      <c r="B55" s="2" t="s">
        <v>547</v>
      </c>
      <c r="C55" s="32">
        <v>57</v>
      </c>
      <c r="E55" t="s">
        <v>547</v>
      </c>
      <c r="F55">
        <v>57</v>
      </c>
    </row>
    <row r="56" spans="2:6" x14ac:dyDescent="0.35">
      <c r="B56" s="2" t="s">
        <v>33</v>
      </c>
      <c r="C56" s="32">
        <v>25612</v>
      </c>
      <c r="E56" t="s">
        <v>33</v>
      </c>
      <c r="F56">
        <v>25612</v>
      </c>
    </row>
    <row r="57" spans="2:6" x14ac:dyDescent="0.35">
      <c r="B57" s="2" t="s">
        <v>34</v>
      </c>
      <c r="C57" s="32">
        <v>248160</v>
      </c>
      <c r="E57" t="s">
        <v>34</v>
      </c>
      <c r="F57">
        <v>248160</v>
      </c>
    </row>
    <row r="58" spans="2:6" x14ac:dyDescent="0.35">
      <c r="B58" s="2" t="s">
        <v>598</v>
      </c>
      <c r="C58" s="32">
        <v>224</v>
      </c>
      <c r="E58" t="s">
        <v>598</v>
      </c>
      <c r="F58">
        <v>224</v>
      </c>
    </row>
    <row r="59" spans="2:6" x14ac:dyDescent="0.35">
      <c r="B59" s="2" t="s">
        <v>1201</v>
      </c>
      <c r="C59" s="32">
        <v>1</v>
      </c>
      <c r="E59" t="s">
        <v>1201</v>
      </c>
      <c r="F59">
        <v>1</v>
      </c>
    </row>
    <row r="60" spans="2:6" x14ac:dyDescent="0.35">
      <c r="B60" s="2" t="s">
        <v>1228</v>
      </c>
      <c r="C60" s="32">
        <v>1</v>
      </c>
      <c r="E60" t="s">
        <v>1228</v>
      </c>
      <c r="F60">
        <v>1</v>
      </c>
    </row>
    <row r="61" spans="2:6" x14ac:dyDescent="0.35">
      <c r="B61" s="2" t="s">
        <v>507</v>
      </c>
      <c r="C61" s="32">
        <v>1</v>
      </c>
      <c r="E61" t="s">
        <v>507</v>
      </c>
      <c r="F61">
        <v>1</v>
      </c>
    </row>
    <row r="62" spans="2:6" x14ac:dyDescent="0.35">
      <c r="B62" s="2" t="s">
        <v>2604</v>
      </c>
      <c r="C62" s="32">
        <v>8</v>
      </c>
      <c r="E62" t="s">
        <v>2604</v>
      </c>
      <c r="F62">
        <v>8</v>
      </c>
    </row>
    <row r="63" spans="2:6" x14ac:dyDescent="0.35">
      <c r="B63" s="2" t="s">
        <v>150</v>
      </c>
      <c r="C63" s="32">
        <v>12900</v>
      </c>
      <c r="E63" t="s">
        <v>150</v>
      </c>
      <c r="F63">
        <v>12900</v>
      </c>
    </row>
    <row r="64" spans="2:6" x14ac:dyDescent="0.35">
      <c r="B64" s="2" t="s">
        <v>4380</v>
      </c>
      <c r="C64" s="32">
        <v>1</v>
      </c>
      <c r="E64" t="s">
        <v>4380</v>
      </c>
      <c r="F64">
        <v>1</v>
      </c>
    </row>
    <row r="65" spans="2:6" x14ac:dyDescent="0.35">
      <c r="B65" s="2" t="s">
        <v>2443</v>
      </c>
      <c r="C65" s="32">
        <v>2</v>
      </c>
      <c r="E65" t="s">
        <v>2443</v>
      </c>
      <c r="F65">
        <v>2</v>
      </c>
    </row>
    <row r="66" spans="2:6" x14ac:dyDescent="0.35">
      <c r="B66" s="2" t="s">
        <v>61</v>
      </c>
      <c r="C66" s="32">
        <v>47591</v>
      </c>
      <c r="E66" t="s">
        <v>61</v>
      </c>
      <c r="F66">
        <v>47591</v>
      </c>
    </row>
    <row r="67" spans="2:6" x14ac:dyDescent="0.35">
      <c r="B67" s="2" t="s">
        <v>31</v>
      </c>
      <c r="C67" s="32">
        <v>7902</v>
      </c>
      <c r="E67" t="s">
        <v>31</v>
      </c>
      <c r="F67">
        <v>7902</v>
      </c>
    </row>
    <row r="68" spans="2:6" x14ac:dyDescent="0.35">
      <c r="B68" s="2" t="s">
        <v>15</v>
      </c>
      <c r="C68" s="32">
        <v>11</v>
      </c>
      <c r="E68" t="s">
        <v>15</v>
      </c>
      <c r="F68">
        <v>11</v>
      </c>
    </row>
    <row r="69" spans="2:6" x14ac:dyDescent="0.35">
      <c r="B69" s="2" t="s">
        <v>73</v>
      </c>
      <c r="C69" s="32">
        <v>551</v>
      </c>
      <c r="E69" t="s">
        <v>73</v>
      </c>
      <c r="F69">
        <v>551</v>
      </c>
    </row>
    <row r="70" spans="2:6" x14ac:dyDescent="0.35">
      <c r="B70" s="2" t="s">
        <v>578</v>
      </c>
      <c r="C70" s="32">
        <v>1023</v>
      </c>
      <c r="E70" t="s">
        <v>578</v>
      </c>
      <c r="F70">
        <v>1023</v>
      </c>
    </row>
    <row r="71" spans="2:6" x14ac:dyDescent="0.35">
      <c r="B71" s="2" t="s">
        <v>5097</v>
      </c>
      <c r="C71" s="32">
        <v>445234</v>
      </c>
    </row>
  </sheetData>
  <sortState xmlns:xlrd2="http://schemas.microsoft.com/office/spreadsheetml/2017/richdata2" ref="E17:F26">
    <sortCondition ref="F19:F26"/>
  </sortState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A297-1316-4C9F-B32B-20436A041160}">
  <dimension ref="A1:V18"/>
  <sheetViews>
    <sheetView showGridLines="0" tabSelected="1" zoomScale="79" zoomScaleNormal="71" workbookViewId="0">
      <selection activeCell="W5" sqref="W5"/>
    </sheetView>
  </sheetViews>
  <sheetFormatPr defaultRowHeight="14.5" x14ac:dyDescent="0.35"/>
  <cols>
    <col min="1" max="1" width="1.36328125" customWidth="1"/>
    <col min="4" max="4" width="12.81640625" customWidth="1"/>
    <col min="8" max="8" width="9.81640625" bestFit="1" customWidth="1"/>
    <col min="12" max="12" width="11.36328125" customWidth="1"/>
    <col min="13" max="13" width="11.26953125" customWidth="1"/>
    <col min="16" max="16" width="8.7265625" customWidth="1"/>
    <col min="17" max="17" width="11.81640625" customWidth="1"/>
    <col min="20" max="20" width="9.6328125" customWidth="1"/>
    <col min="21" max="21" width="12.453125" customWidth="1"/>
  </cols>
  <sheetData>
    <row r="1" spans="1:22" ht="6" customHeight="1" thickBot="1" x14ac:dyDescent="0.4"/>
    <row r="2" spans="1:22" ht="14.5" customHeight="1" x14ac:dyDescent="0.35">
      <c r="A2" s="11" t="s">
        <v>5104</v>
      </c>
      <c r="B2" s="25" t="s">
        <v>5105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7"/>
    </row>
    <row r="3" spans="1:22" ht="14.5" customHeight="1" x14ac:dyDescent="0.35">
      <c r="A3" s="11"/>
      <c r="B3" s="28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29"/>
    </row>
    <row r="4" spans="1:22" ht="14.5" customHeight="1" thickBot="1" x14ac:dyDescent="0.4">
      <c r="A4" s="11"/>
      <c r="B4" s="30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31"/>
    </row>
    <row r="5" spans="1:22" x14ac:dyDescent="0.35"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41"/>
    </row>
    <row r="6" spans="1:22" x14ac:dyDescent="0.35"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42"/>
    </row>
    <row r="7" spans="1:22" ht="15" thickBot="1" x14ac:dyDescent="0.4"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42"/>
    </row>
    <row r="8" spans="1:22" ht="21" customHeight="1" x14ac:dyDescent="0.35">
      <c r="B8" s="17"/>
      <c r="C8" s="34">
        <f>'KPI Calculations'!C3</f>
        <v>445234</v>
      </c>
      <c r="D8" s="34"/>
      <c r="E8" s="34"/>
      <c r="F8" s="18"/>
      <c r="G8" s="34">
        <f>'KPI Calculations'!C4</f>
        <v>1136</v>
      </c>
      <c r="H8" s="34"/>
      <c r="I8" s="34"/>
      <c r="J8" s="18"/>
      <c r="K8" s="36">
        <f>'KPI Calculations'!C5</f>
        <v>604</v>
      </c>
      <c r="L8" s="36"/>
      <c r="M8" s="36"/>
      <c r="N8" s="18"/>
      <c r="O8" s="38">
        <f>'KPI Calculations'!C6</f>
        <v>40</v>
      </c>
      <c r="P8" s="38"/>
      <c r="Q8" s="38"/>
      <c r="R8" s="18"/>
      <c r="S8" s="39">
        <f>'KPI Calculations'!C8</f>
        <v>0.52325518716001029</v>
      </c>
      <c r="T8" s="39"/>
      <c r="U8" s="39"/>
      <c r="V8" s="42"/>
    </row>
    <row r="9" spans="1:22" x14ac:dyDescent="0.35">
      <c r="B9" s="20"/>
      <c r="C9" s="33"/>
      <c r="D9" s="33"/>
      <c r="E9" s="33"/>
      <c r="F9" s="21"/>
      <c r="G9" s="33"/>
      <c r="H9" s="33"/>
      <c r="I9" s="33"/>
      <c r="J9" s="21"/>
      <c r="K9" s="35"/>
      <c r="L9" s="35"/>
      <c r="M9" s="35"/>
      <c r="N9" s="21"/>
      <c r="O9" s="37"/>
      <c r="P9" s="37"/>
      <c r="Q9" s="37"/>
      <c r="R9" s="21"/>
      <c r="S9" s="40"/>
      <c r="T9" s="40"/>
      <c r="U9" s="40"/>
      <c r="V9" s="19"/>
    </row>
    <row r="10" spans="1:22" ht="15" thickBot="1" x14ac:dyDescent="0.4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4"/>
    </row>
    <row r="18" spans="8:8" ht="23.5" x14ac:dyDescent="0.55000000000000004">
      <c r="H18" s="14"/>
    </row>
  </sheetData>
  <mergeCells count="6">
    <mergeCell ref="B2:V4"/>
    <mergeCell ref="C8:E9"/>
    <mergeCell ref="G8:I9"/>
    <mergeCell ref="K8:M9"/>
    <mergeCell ref="O8:Q9"/>
    <mergeCell ref="S8:U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3351DC-2EE8-401A-BE4C-DAF1C23554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KPI Calculations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Sodiq Olaoti</dc:creator>
  <cp:lastModifiedBy>Sodiq Olaoti</cp:lastModifiedBy>
  <dcterms:created xsi:type="dcterms:W3CDTF">2026-01-19T16:49:32Z</dcterms:created>
  <dcterms:modified xsi:type="dcterms:W3CDTF">2026-01-22T22:27:41Z</dcterms:modified>
</cp:coreProperties>
</file>